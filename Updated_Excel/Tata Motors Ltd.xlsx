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937FB03-5186-44F5-B459-D8AAF38F9C4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Monthly Nos Company" sheetId="7" r:id="rId2"/>
    <sheet name="Monthly Nos Vahan" sheetId="8" r:id="rId3"/>
    <sheet name="QTR Raw" sheetId="3" r:id="rId4"/>
    <sheet name="Annual Raw" sheetId="2" r:id="rId5"/>
    <sheet name="QTR Share Price" sheetId="4" r:id="rId6"/>
    <sheet name="QTR No. of Shares" sheetId="6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2" i="1" l="1"/>
  <c r="AA281" i="1"/>
  <c r="AA271" i="1"/>
  <c r="AA263" i="1"/>
  <c r="AA234" i="1"/>
  <c r="AA226" i="1"/>
  <c r="AA220" i="1"/>
  <c r="AA215" i="1"/>
  <c r="AA212" i="1"/>
  <c r="AA211" i="1"/>
  <c r="AA193" i="1"/>
  <c r="AA180" i="1"/>
  <c r="AA50" i="1"/>
  <c r="I68" i="8"/>
  <c r="E68" i="8"/>
  <c r="C68" i="8"/>
  <c r="V173" i="7"/>
  <c r="U173" i="7"/>
  <c r="J173" i="7"/>
  <c r="I173" i="7"/>
  <c r="B173" i="7"/>
  <c r="CL271" i="1"/>
  <c r="Z50" i="1"/>
  <c r="CK156" i="1"/>
  <c r="CK167" i="1"/>
  <c r="CK271" i="1"/>
  <c r="E173" i="7" l="1"/>
  <c r="AA21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A213" i="1" l="1"/>
  <c r="I67" i="8"/>
  <c r="E67" i="8"/>
  <c r="F68" i="8" s="1"/>
  <c r="C67" i="8"/>
  <c r="I66" i="8"/>
  <c r="E66" i="8"/>
  <c r="CL4" i="1" s="1"/>
  <c r="C66" i="8"/>
  <c r="V172" i="7"/>
  <c r="U172" i="7"/>
  <c r="J172" i="7"/>
  <c r="I172" i="7"/>
  <c r="B172" i="7"/>
  <c r="H173" i="7" s="1"/>
  <c r="E172" i="7"/>
  <c r="V171" i="7"/>
  <c r="U171" i="7"/>
  <c r="J171" i="7"/>
  <c r="J183" i="7" s="1"/>
  <c r="J195" i="7" s="1"/>
  <c r="J207" i="7" s="1"/>
  <c r="J219" i="7" s="1"/>
  <c r="I171" i="7"/>
  <c r="E171" i="7"/>
  <c r="O8" i="1"/>
  <c r="P8" i="1"/>
  <c r="Q8" i="1"/>
  <c r="R8" i="1"/>
  <c r="S8" i="1"/>
  <c r="T8" i="1"/>
  <c r="U8" i="1"/>
  <c r="V8" i="1"/>
  <c r="W8" i="1"/>
  <c r="N8" i="1"/>
  <c r="I65" i="8"/>
  <c r="E65" i="8"/>
  <c r="C65" i="8"/>
  <c r="V170" i="7"/>
  <c r="U170" i="7"/>
  <c r="J170" i="7"/>
  <c r="J182" i="7" s="1"/>
  <c r="J194" i="7" s="1"/>
  <c r="J206" i="7" s="1"/>
  <c r="J218" i="7" s="1"/>
  <c r="I170" i="7"/>
  <c r="B170" i="7"/>
  <c r="E170" i="7" s="1"/>
  <c r="I64" i="8"/>
  <c r="E64" i="8"/>
  <c r="C64" i="8"/>
  <c r="V169" i="7"/>
  <c r="U169" i="7"/>
  <c r="J169" i="7"/>
  <c r="I169" i="7"/>
  <c r="B169" i="7"/>
  <c r="E169" i="7" s="1"/>
  <c r="B168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AB32" i="7" s="1"/>
  <c r="V33" i="7"/>
  <c r="V34" i="7"/>
  <c r="V35" i="7"/>
  <c r="V36" i="7"/>
  <c r="V37" i="7"/>
  <c r="V38" i="7"/>
  <c r="V39" i="7"/>
  <c r="V40" i="7"/>
  <c r="AB40" i="7" s="1"/>
  <c r="V41" i="7"/>
  <c r="V42" i="7"/>
  <c r="V43" i="7"/>
  <c r="V44" i="7"/>
  <c r="V45" i="7"/>
  <c r="V46" i="7"/>
  <c r="V47" i="7"/>
  <c r="V48" i="7"/>
  <c r="AB48" i="7" s="1"/>
  <c r="V49" i="7"/>
  <c r="V50" i="7"/>
  <c r="V51" i="7"/>
  <c r="V52" i="7"/>
  <c r="V53" i="7"/>
  <c r="AB53" i="7" s="1"/>
  <c r="V54" i="7"/>
  <c r="V55" i="7"/>
  <c r="V56" i="7"/>
  <c r="AB56" i="7" s="1"/>
  <c r="V57" i="7"/>
  <c r="V58" i="7"/>
  <c r="V59" i="7"/>
  <c r="V60" i="7"/>
  <c r="V61" i="7"/>
  <c r="V62" i="7"/>
  <c r="V63" i="7"/>
  <c r="V64" i="7"/>
  <c r="AB64" i="7" s="1"/>
  <c r="V65" i="7"/>
  <c r="V66" i="7"/>
  <c r="V67" i="7"/>
  <c r="V68" i="7"/>
  <c r="V69" i="7"/>
  <c r="V70" i="7"/>
  <c r="V71" i="7"/>
  <c r="V72" i="7"/>
  <c r="AB72" i="7" s="1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AB88" i="7" s="1"/>
  <c r="V89" i="7"/>
  <c r="AB89" i="7" s="1"/>
  <c r="V90" i="7"/>
  <c r="V91" i="7"/>
  <c r="V92" i="7"/>
  <c r="V93" i="7"/>
  <c r="V94" i="7"/>
  <c r="V95" i="7"/>
  <c r="V96" i="7"/>
  <c r="AB96" i="7" s="1"/>
  <c r="V97" i="7"/>
  <c r="V98" i="7"/>
  <c r="V99" i="7"/>
  <c r="V100" i="7"/>
  <c r="V101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AB132" i="7" s="1"/>
  <c r="V133" i="7"/>
  <c r="V134" i="7"/>
  <c r="V135" i="7"/>
  <c r="V136" i="7"/>
  <c r="V137" i="7"/>
  <c r="V138" i="7"/>
  <c r="V139" i="7"/>
  <c r="V140" i="7"/>
  <c r="AB140" i="7" s="1"/>
  <c r="V141" i="7"/>
  <c r="V142" i="7"/>
  <c r="V143" i="7"/>
  <c r="V144" i="7"/>
  <c r="V145" i="7"/>
  <c r="V146" i="7"/>
  <c r="V147" i="7"/>
  <c r="V148" i="7"/>
  <c r="AB148" i="7" s="1"/>
  <c r="V149" i="7"/>
  <c r="AB149" i="7" s="1"/>
  <c r="V150" i="7"/>
  <c r="V151" i="7"/>
  <c r="V152" i="7"/>
  <c r="V153" i="7"/>
  <c r="V154" i="7"/>
  <c r="V155" i="7"/>
  <c r="V156" i="7"/>
  <c r="AB156" i="7" s="1"/>
  <c r="V157" i="7"/>
  <c r="V158" i="7"/>
  <c r="V159" i="7"/>
  <c r="V160" i="7"/>
  <c r="V161" i="7"/>
  <c r="AB173" i="7" s="1"/>
  <c r="V162" i="7"/>
  <c r="V163" i="7"/>
  <c r="V164" i="7"/>
  <c r="V165" i="7"/>
  <c r="V166" i="7"/>
  <c r="V167" i="7"/>
  <c r="V168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P26" i="7" s="1"/>
  <c r="J27" i="7"/>
  <c r="P27" i="7" s="1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P71" i="7" s="1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P85" i="7" s="1"/>
  <c r="J86" i="7"/>
  <c r="P86" i="7" s="1"/>
  <c r="J87" i="7"/>
  <c r="P87" i="7" s="1"/>
  <c r="J88" i="7"/>
  <c r="P88" i="7" s="1"/>
  <c r="J89" i="7"/>
  <c r="J90" i="7"/>
  <c r="J91" i="7"/>
  <c r="J92" i="7"/>
  <c r="J93" i="7"/>
  <c r="J94" i="7"/>
  <c r="J95" i="7"/>
  <c r="P95" i="7" s="1"/>
  <c r="J96" i="7"/>
  <c r="J97" i="7"/>
  <c r="J98" i="7"/>
  <c r="J99" i="7"/>
  <c r="J100" i="7"/>
  <c r="J101" i="7"/>
  <c r="J105" i="7"/>
  <c r="J106" i="7"/>
  <c r="P106" i="7" s="1"/>
  <c r="J107" i="7"/>
  <c r="P107" i="7" s="1"/>
  <c r="J108" i="7"/>
  <c r="J109" i="7"/>
  <c r="P109" i="7" s="1"/>
  <c r="J110" i="7"/>
  <c r="J111" i="7"/>
  <c r="P111" i="7" s="1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P131" i="7" s="1"/>
  <c r="J132" i="7"/>
  <c r="J133" i="7"/>
  <c r="J134" i="7"/>
  <c r="J135" i="7"/>
  <c r="J136" i="7"/>
  <c r="P136" i="7" s="1"/>
  <c r="J137" i="7"/>
  <c r="J138" i="7"/>
  <c r="J139" i="7"/>
  <c r="J140" i="7"/>
  <c r="J141" i="7"/>
  <c r="J142" i="7"/>
  <c r="J143" i="7"/>
  <c r="J144" i="7"/>
  <c r="J145" i="7"/>
  <c r="P145" i="7" s="1"/>
  <c r="J146" i="7"/>
  <c r="P146" i="7" s="1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P173" i="7" s="1"/>
  <c r="J162" i="7"/>
  <c r="J174" i="7" s="1"/>
  <c r="J186" i="7" s="1"/>
  <c r="J198" i="7" s="1"/>
  <c r="J210" i="7" s="1"/>
  <c r="J163" i="7"/>
  <c r="J164" i="7"/>
  <c r="J165" i="7"/>
  <c r="J166" i="7"/>
  <c r="J167" i="7"/>
  <c r="J168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4" i="7"/>
  <c r="C63" i="8"/>
  <c r="E63" i="8"/>
  <c r="CK4" i="1" s="1"/>
  <c r="I63" i="8"/>
  <c r="I168" i="7"/>
  <c r="U168" i="7"/>
  <c r="I62" i="8"/>
  <c r="E62" i="8"/>
  <c r="C62" i="8"/>
  <c r="I61" i="8"/>
  <c r="E61" i="8"/>
  <c r="C61" i="8"/>
  <c r="I60" i="8"/>
  <c r="E60" i="8"/>
  <c r="CJ4" i="1" s="1"/>
  <c r="C60" i="8"/>
  <c r="I59" i="8"/>
  <c r="E59" i="8"/>
  <c r="C59" i="8"/>
  <c r="I58" i="8"/>
  <c r="E58" i="8"/>
  <c r="C58" i="8"/>
  <c r="I57" i="8"/>
  <c r="E57" i="8"/>
  <c r="C57" i="8"/>
  <c r="I56" i="8"/>
  <c r="J68" i="8" s="1"/>
  <c r="E56" i="8"/>
  <c r="G68" i="8" s="1"/>
  <c r="C56" i="8"/>
  <c r="I55" i="8"/>
  <c r="E55" i="8"/>
  <c r="C55" i="8"/>
  <c r="I54" i="8"/>
  <c r="E54" i="8"/>
  <c r="C54" i="8"/>
  <c r="I53" i="8"/>
  <c r="E53" i="8"/>
  <c r="C53" i="8"/>
  <c r="I52" i="8"/>
  <c r="E52" i="8"/>
  <c r="C52" i="8"/>
  <c r="I51" i="8"/>
  <c r="E51" i="8"/>
  <c r="CG4" i="1" s="1"/>
  <c r="C51" i="8"/>
  <c r="I50" i="8"/>
  <c r="E50" i="8"/>
  <c r="C50" i="8"/>
  <c r="I49" i="8"/>
  <c r="E49" i="8"/>
  <c r="C49" i="8"/>
  <c r="I48" i="8"/>
  <c r="E48" i="8"/>
  <c r="CF4" i="1" s="1"/>
  <c r="C48" i="8"/>
  <c r="I47" i="8"/>
  <c r="E47" i="8"/>
  <c r="C47" i="8"/>
  <c r="I46" i="8"/>
  <c r="E46" i="8"/>
  <c r="C46" i="8"/>
  <c r="I45" i="8"/>
  <c r="E45" i="8"/>
  <c r="CE4" i="1" s="1"/>
  <c r="C45" i="8"/>
  <c r="I44" i="8"/>
  <c r="E44" i="8"/>
  <c r="C44" i="8"/>
  <c r="I43" i="8"/>
  <c r="E43" i="8"/>
  <c r="C43" i="8"/>
  <c r="I42" i="8"/>
  <c r="E42" i="8"/>
  <c r="CD4" i="1" s="1"/>
  <c r="C42" i="8"/>
  <c r="I41" i="8"/>
  <c r="E41" i="8"/>
  <c r="C41" i="8"/>
  <c r="I40" i="8"/>
  <c r="E40" i="8"/>
  <c r="C40" i="8"/>
  <c r="I39" i="8"/>
  <c r="E39" i="8"/>
  <c r="CC4" i="1" s="1"/>
  <c r="C39" i="8"/>
  <c r="I38" i="8"/>
  <c r="E38" i="8"/>
  <c r="C38" i="8"/>
  <c r="I37" i="8"/>
  <c r="E37" i="8"/>
  <c r="C37" i="8"/>
  <c r="I36" i="8"/>
  <c r="E36" i="8"/>
  <c r="C36" i="8"/>
  <c r="I35" i="8"/>
  <c r="E35" i="8"/>
  <c r="C35" i="8"/>
  <c r="I34" i="8"/>
  <c r="E34" i="8"/>
  <c r="C34" i="8"/>
  <c r="I33" i="8"/>
  <c r="E33" i="8"/>
  <c r="C33" i="8"/>
  <c r="I32" i="8"/>
  <c r="E32" i="8"/>
  <c r="C32" i="8"/>
  <c r="I31" i="8"/>
  <c r="E31" i="8"/>
  <c r="C31" i="8"/>
  <c r="I30" i="8"/>
  <c r="E30" i="8"/>
  <c r="BZ4" i="1" s="1"/>
  <c r="C30" i="8"/>
  <c r="I29" i="8"/>
  <c r="E29" i="8"/>
  <c r="C29" i="8"/>
  <c r="I28" i="8"/>
  <c r="E28" i="8"/>
  <c r="E27" i="8"/>
  <c r="BY4" i="1" s="1"/>
  <c r="E26" i="8"/>
  <c r="E25" i="8"/>
  <c r="E24" i="8"/>
  <c r="BX4" i="1" s="1"/>
  <c r="E23" i="8"/>
  <c r="E22" i="8"/>
  <c r="E21" i="8"/>
  <c r="BW4" i="1" s="1"/>
  <c r="E20" i="8"/>
  <c r="E19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B109" i="2"/>
  <c r="AD107" i="2"/>
  <c r="AE90" i="2"/>
  <c r="AF77" i="2"/>
  <c r="AB65" i="2"/>
  <c r="AC52" i="2"/>
  <c r="AD36" i="2"/>
  <c r="AB104" i="2"/>
  <c r="AA88" i="1" s="1"/>
  <c r="AC87" i="2"/>
  <c r="AD74" i="2"/>
  <c r="AE61" i="2"/>
  <c r="AF48" i="2"/>
  <c r="AB33" i="2"/>
  <c r="AA70" i="1" s="1"/>
  <c r="AC20" i="2"/>
  <c r="AD7" i="2"/>
  <c r="AC98" i="2"/>
  <c r="AD85" i="2"/>
  <c r="AE72" i="2"/>
  <c r="AF59" i="2"/>
  <c r="AB47" i="2"/>
  <c r="AC31" i="2"/>
  <c r="AD18" i="2"/>
  <c r="AC108" i="2"/>
  <c r="AE83" i="2"/>
  <c r="AE63" i="2"/>
  <c r="AB43" i="2"/>
  <c r="AC21" i="2"/>
  <c r="AC10" i="2"/>
  <c r="AC93" i="2"/>
  <c r="AC73" i="2"/>
  <c r="AE52" i="2"/>
  <c r="AC27" i="2"/>
  <c r="AF95" i="2"/>
  <c r="AD62" i="2"/>
  <c r="AC16" i="2"/>
  <c r="AC77" i="2"/>
  <c r="AF30" i="2"/>
  <c r="AF84" i="2"/>
  <c r="AC96" i="2"/>
  <c r="AE75" i="2"/>
  <c r="AE55" i="2"/>
  <c r="AB32" i="2"/>
  <c r="AA69" i="1" s="1"/>
  <c r="AE14" i="2"/>
  <c r="AF109" i="2"/>
  <c r="AE59" i="2"/>
  <c r="AE22" i="2"/>
  <c r="AF87" i="2"/>
  <c r="AE51" i="2"/>
  <c r="AB14" i="2"/>
  <c r="AF89" i="2"/>
  <c r="AD99" i="2"/>
  <c r="AE28" i="2"/>
  <c r="AF66" i="2"/>
  <c r="AC11" i="2"/>
  <c r="AD43" i="2"/>
  <c r="AE94" i="2"/>
  <c r="AC26" i="2"/>
  <c r="AF63" i="2"/>
  <c r="AC9" i="2"/>
  <c r="AC41" i="2"/>
  <c r="AE81" i="2"/>
  <c r="AD19" i="2"/>
  <c r="AC53" i="2"/>
  <c r="AB89" i="2"/>
  <c r="AC76" i="2"/>
  <c r="AD63" i="2"/>
  <c r="AE50" i="2"/>
  <c r="AF34" i="2"/>
  <c r="AD98" i="2"/>
  <c r="AE85" i="2"/>
  <c r="AF72" i="2"/>
  <c r="AB60" i="2"/>
  <c r="AC47" i="2"/>
  <c r="AD31" i="2"/>
  <c r="AE18" i="2"/>
  <c r="AE96" i="2"/>
  <c r="AF83" i="2"/>
  <c r="AB71" i="2"/>
  <c r="AC58" i="2"/>
  <c r="AE29" i="2"/>
  <c r="AB106" i="2"/>
  <c r="AA102" i="1" s="1"/>
  <c r="AF60" i="2"/>
  <c r="AC40" i="2"/>
  <c r="AB91" i="2"/>
  <c r="AF49" i="2"/>
  <c r="AC25" i="2"/>
  <c r="AD57" i="2"/>
  <c r="AF11" i="2"/>
  <c r="AC72" i="2"/>
  <c r="AB94" i="2"/>
  <c r="AC18" i="2"/>
  <c r="AD89" i="2"/>
  <c r="AD106" i="2"/>
  <c r="AC13" i="2"/>
  <c r="AD9" i="2"/>
  <c r="AD41" i="2"/>
  <c r="AE19" i="2"/>
  <c r="AD71" i="2"/>
  <c r="AE93" i="2"/>
  <c r="AB68" i="2"/>
  <c r="AE26" i="2"/>
  <c r="AF91" i="2"/>
  <c r="AE40" i="2"/>
  <c r="AE73" i="2"/>
  <c r="AF107" i="2"/>
  <c r="AF110" i="2"/>
  <c r="AB83" i="2"/>
  <c r="AA196" i="1" s="1"/>
  <c r="AF28" i="2"/>
  <c r="AE6" i="2"/>
  <c r="AF15" i="2"/>
  <c r="AF105" i="2"/>
  <c r="AC104" i="2"/>
  <c r="AD87" i="2"/>
  <c r="AE74" i="2"/>
  <c r="AF61" i="2"/>
  <c r="AB49" i="2"/>
  <c r="AC33" i="2"/>
  <c r="AF96" i="2"/>
  <c r="AB84" i="2"/>
  <c r="AC71" i="2"/>
  <c r="AD58" i="2"/>
  <c r="AE45" i="2"/>
  <c r="AF29" i="2"/>
  <c r="AB17" i="2"/>
  <c r="AB95" i="2"/>
  <c r="AA203" i="1" s="1"/>
  <c r="AC82" i="2"/>
  <c r="AD69" i="2"/>
  <c r="AE56" i="2"/>
  <c r="AF43" i="2"/>
  <c r="AB28" i="2"/>
  <c r="AC15" i="2"/>
  <c r="AC99" i="2"/>
  <c r="AE78" i="2"/>
  <c r="AB58" i="2"/>
  <c r="AB35" i="2"/>
  <c r="AC17" i="2"/>
  <c r="AC6" i="2"/>
  <c r="AC88" i="2"/>
  <c r="AE67" i="2"/>
  <c r="AE47" i="2"/>
  <c r="AF22" i="2"/>
  <c r="AF90" i="2"/>
  <c r="AE49" i="2"/>
  <c r="AF7" i="2"/>
  <c r="AC67" i="2"/>
  <c r="AD20" i="2"/>
  <c r="AF74" i="2"/>
  <c r="AC91" i="2"/>
  <c r="AE70" i="2"/>
  <c r="AB50" i="2"/>
  <c r="AA181" i="1" s="1"/>
  <c r="AD27" i="2"/>
  <c r="AB98" i="2"/>
  <c r="AD52" i="2"/>
  <c r="AC14" i="2"/>
  <c r="AB80" i="2"/>
  <c r="AE41" i="2"/>
  <c r="AE7" i="2"/>
  <c r="AB82" i="2"/>
  <c r="AF78" i="2"/>
  <c r="AE17" i="2"/>
  <c r="AC51" i="2"/>
  <c r="AC97" i="2"/>
  <c r="AF27" i="2"/>
  <c r="AB74" i="2"/>
  <c r="AE15" i="2"/>
  <c r="AD48" i="2"/>
  <c r="AD92" i="2"/>
  <c r="AF25" i="2"/>
  <c r="AC61" i="2"/>
  <c r="AB7" i="2"/>
  <c r="AA31" i="1" s="1"/>
  <c r="AA32" i="1" s="1"/>
  <c r="AE35" i="2"/>
  <c r="AF85" i="2"/>
  <c r="AB73" i="2"/>
  <c r="AC60" i="2"/>
  <c r="AD47" i="2"/>
  <c r="AE31" i="2"/>
  <c r="AC95" i="2"/>
  <c r="AD82" i="2"/>
  <c r="AE69" i="2"/>
  <c r="AF56" i="2"/>
  <c r="AB44" i="2"/>
  <c r="AC28" i="2"/>
  <c r="AD15" i="2"/>
  <c r="AC110" i="2"/>
  <c r="AD93" i="2"/>
  <c r="AE80" i="2"/>
  <c r="AF67" i="2"/>
  <c r="AB55" i="2"/>
  <c r="AC42" i="2"/>
  <c r="AD26" i="2"/>
  <c r="AE13" i="2"/>
  <c r="AD96" i="2"/>
  <c r="AD76" i="2"/>
  <c r="AF55" i="2"/>
  <c r="AC32" i="2"/>
  <c r="AF14" i="2"/>
  <c r="AB110" i="2"/>
  <c r="AA92" i="1" s="1"/>
  <c r="AB86" i="2"/>
  <c r="AD65" i="2"/>
  <c r="AF44" i="2"/>
  <c r="AF18" i="2"/>
  <c r="AC85" i="2"/>
  <c r="AE44" i="2"/>
  <c r="AE109" i="2"/>
  <c r="AD59" i="2"/>
  <c r="AB16" i="2"/>
  <c r="AC69" i="2"/>
  <c r="AD88" i="2"/>
  <c r="AD68" i="2"/>
  <c r="AF47" i="2"/>
  <c r="AD25" i="2"/>
  <c r="AB34" i="2"/>
  <c r="AB88" i="2"/>
  <c r="AF46" i="2"/>
  <c r="AF9" i="2"/>
  <c r="AB75" i="2"/>
  <c r="AE33" i="2"/>
  <c r="AD5" i="2"/>
  <c r="AB77" i="2"/>
  <c r="AF68" i="2"/>
  <c r="AD11" i="2"/>
  <c r="AE43" i="2"/>
  <c r="AE86" i="2"/>
  <c r="AB22" i="2"/>
  <c r="AB64" i="2"/>
  <c r="AA164" i="1" s="1"/>
  <c r="AA165" i="1" s="1"/>
  <c r="AE99" i="2"/>
  <c r="AF45" i="2"/>
  <c r="AD42" i="2"/>
  <c r="AD53" i="2"/>
  <c r="AF24" i="2"/>
  <c r="AB30" i="2"/>
  <c r="AE62" i="2"/>
  <c r="AD16" i="2"/>
  <c r="AF33" i="2"/>
  <c r="AE65" i="2"/>
  <c r="AE5" i="2"/>
  <c r="AE98" i="2"/>
  <c r="AB97" i="2"/>
  <c r="AD95" i="2"/>
  <c r="AE82" i="2"/>
  <c r="AF69" i="2"/>
  <c r="AB57" i="2"/>
  <c r="AC44" i="2"/>
  <c r="AF108" i="2"/>
  <c r="AB92" i="2"/>
  <c r="AC79" i="2"/>
  <c r="AD66" i="2"/>
  <c r="AE53" i="2"/>
  <c r="AF40" i="2"/>
  <c r="AB25" i="2"/>
  <c r="AC12" i="2"/>
  <c r="AB107" i="2"/>
  <c r="AA103" i="1" s="1"/>
  <c r="AC90" i="2"/>
  <c r="AD77" i="2"/>
  <c r="AE64" i="2"/>
  <c r="AF51" i="2"/>
  <c r="AB36" i="2"/>
  <c r="AC23" i="2"/>
  <c r="AD10" i="2"/>
  <c r="AD91" i="2"/>
  <c r="AF70" i="2"/>
  <c r="AF50" i="2"/>
  <c r="AE27" i="2"/>
  <c r="AF10" i="2"/>
  <c r="AB105" i="2"/>
  <c r="AA89" i="1" s="1"/>
  <c r="AD80" i="2"/>
  <c r="AD60" i="2"/>
  <c r="AF36" i="2"/>
  <c r="AD12" i="2"/>
  <c r="AD72" i="2"/>
  <c r="AB29" i="2"/>
  <c r="AF97" i="2"/>
  <c r="AD49" i="2"/>
  <c r="AD109" i="2"/>
  <c r="AB108" i="2"/>
  <c r="AA104" i="1" s="1"/>
  <c r="AD83" i="2"/>
  <c r="AF62" i="2"/>
  <c r="AF42" i="2"/>
  <c r="AB21" i="2"/>
  <c r="AD14" i="2"/>
  <c r="AC80" i="2"/>
  <c r="AE36" i="2"/>
  <c r="AE104" i="2"/>
  <c r="AD64" i="2"/>
  <c r="AF26" i="2"/>
  <c r="AE106" i="2"/>
  <c r="AB67" i="2"/>
  <c r="AD51" i="2"/>
  <c r="AD97" i="2"/>
  <c r="AD28" i="2"/>
  <c r="AB66" i="2"/>
  <c r="AB11" i="2"/>
  <c r="AC49" i="2"/>
  <c r="AD94" i="2"/>
  <c r="AB26" i="2"/>
  <c r="AB62" i="2"/>
  <c r="AE8" i="2"/>
  <c r="AD40" i="2"/>
  <c r="AE79" i="2"/>
  <c r="AF17" i="2"/>
  <c r="AB41" i="2"/>
  <c r="AD50" i="2"/>
  <c r="AF21" i="2"/>
  <c r="AF99" i="2"/>
  <c r="AB87" i="2"/>
  <c r="AA156" i="1" s="1"/>
  <c r="AA159" i="1" s="1"/>
  <c r="AD61" i="2"/>
  <c r="AF32" i="2"/>
  <c r="AD86" i="2"/>
  <c r="AC45" i="2"/>
  <c r="AD6" i="2"/>
  <c r="AD75" i="2"/>
  <c r="AC29" i="2"/>
  <c r="AD67" i="2"/>
  <c r="AF82" i="2"/>
  <c r="AB99" i="2"/>
  <c r="AD78" i="2"/>
  <c r="AC34" i="2"/>
  <c r="AB6" i="2"/>
  <c r="AB27" i="2"/>
  <c r="AC57" i="2"/>
  <c r="AF94" i="2"/>
  <c r="AC59" i="2"/>
  <c r="AF76" i="2"/>
  <c r="AB51" i="2"/>
  <c r="AA182" i="1" s="1"/>
  <c r="AE32" i="2"/>
  <c r="AF73" i="2"/>
  <c r="AC48" i="2"/>
  <c r="AC24" i="2"/>
  <c r="AB61" i="2"/>
  <c r="AF6" i="2"/>
  <c r="AF5" i="2"/>
  <c r="AF16" i="2"/>
  <c r="AD81" i="2"/>
  <c r="AC8" i="2"/>
  <c r="AB93" i="2"/>
  <c r="AA204" i="1" s="1"/>
  <c r="AD24" i="2"/>
  <c r="AD73" i="2"/>
  <c r="AD29" i="2"/>
  <c r="AE107" i="2"/>
  <c r="AE46" i="2"/>
  <c r="AE87" i="2"/>
  <c r="AF58" i="2"/>
  <c r="AD33" i="2"/>
  <c r="AB56" i="2"/>
  <c r="AA158" i="1" s="1"/>
  <c r="AE30" i="2"/>
  <c r="AC46" i="2"/>
  <c r="AF81" i="2"/>
  <c r="AC30" i="2"/>
  <c r="AE58" i="2"/>
  <c r="AC55" i="2"/>
  <c r="AE108" i="2"/>
  <c r="AB79" i="2"/>
  <c r="AC94" i="2"/>
  <c r="AF12" i="2"/>
  <c r="AB42" i="2"/>
  <c r="AA148" i="1" s="1"/>
  <c r="AA150" i="1" s="1"/>
  <c r="AF106" i="2"/>
  <c r="AE9" i="2"/>
  <c r="AB23" i="2"/>
  <c r="AF20" i="2"/>
  <c r="AB70" i="2"/>
  <c r="AB59" i="2"/>
  <c r="AE76" i="2"/>
  <c r="AD32" i="2"/>
  <c r="AE110" i="2"/>
  <c r="AF93" i="2"/>
  <c r="AB81" i="2"/>
  <c r="AC68" i="2"/>
  <c r="AD55" i="2"/>
  <c r="AE42" i="2"/>
  <c r="AC107" i="2"/>
  <c r="AD90" i="2"/>
  <c r="AE77" i="2"/>
  <c r="AF64" i="2"/>
  <c r="AB52" i="2"/>
  <c r="AC36" i="2"/>
  <c r="AD23" i="2"/>
  <c r="AE10" i="2"/>
  <c r="AD105" i="2"/>
  <c r="AE88" i="2"/>
  <c r="AF75" i="2"/>
  <c r="AB63" i="2"/>
  <c r="AC50" i="2"/>
  <c r="AD34" i="2"/>
  <c r="AE21" i="2"/>
  <c r="AF8" i="2"/>
  <c r="AC89" i="2"/>
  <c r="AE68" i="2"/>
  <c r="AB48" i="2"/>
  <c r="AE25" i="2"/>
  <c r="AD8" i="2"/>
  <c r="AF98" i="2"/>
  <c r="AC78" i="2"/>
  <c r="AE57" i="2"/>
  <c r="AF31" i="2"/>
  <c r="AB8" i="2"/>
  <c r="AC70" i="2"/>
  <c r="AE24" i="2"/>
  <c r="AB90" i="2"/>
  <c r="AD44" i="2"/>
  <c r="AD104" i="2"/>
  <c r="AC105" i="2"/>
  <c r="AC81" i="2"/>
  <c r="AE60" i="2"/>
  <c r="AB40" i="2"/>
  <c r="AB19" i="2"/>
  <c r="AB10" i="2"/>
  <c r="AC75" i="2"/>
  <c r="AB31" i="2"/>
  <c r="AE95" i="2"/>
  <c r="AC62" i="2"/>
  <c r="AD22" i="2"/>
  <c r="AE97" i="2"/>
  <c r="AC64" i="2"/>
  <c r="AB46" i="2"/>
  <c r="AF86" i="2"/>
  <c r="AC22" i="2"/>
  <c r="AD56" i="2"/>
  <c r="AB5" i="2"/>
  <c r="AC43" i="2"/>
  <c r="AD84" i="2"/>
  <c r="AF19" i="2"/>
  <c r="AC54" i="2"/>
  <c r="AC106" i="2"/>
  <c r="AD30" i="2"/>
  <c r="AB69" i="2"/>
  <c r="AB13" i="2"/>
  <c r="AC92" i="2"/>
  <c r="AD79" i="2"/>
  <c r="AE66" i="2"/>
  <c r="AF53" i="2"/>
  <c r="AE105" i="2"/>
  <c r="AF88" i="2"/>
  <c r="AB76" i="2"/>
  <c r="AC63" i="2"/>
  <c r="AE34" i="2"/>
  <c r="AB9" i="2"/>
  <c r="AC74" i="2"/>
  <c r="AE48" i="2"/>
  <c r="AB20" i="2"/>
  <c r="AC7" i="2"/>
  <c r="AF65" i="2"/>
  <c r="AE23" i="2"/>
  <c r="AB96" i="2"/>
  <c r="AF54" i="2"/>
  <c r="AF104" i="2"/>
  <c r="AE20" i="2"/>
  <c r="AF35" i="2"/>
  <c r="AE92" i="2"/>
  <c r="AF57" i="2"/>
  <c r="AE16" i="2"/>
  <c r="AC65" i="2"/>
  <c r="AF92" i="2"/>
  <c r="AB18" i="2"/>
  <c r="AD35" i="2"/>
  <c r="AD17" i="2"/>
  <c r="AC109" i="2"/>
  <c r="AB15" i="2"/>
  <c r="AE91" i="2"/>
  <c r="AD45" i="2"/>
  <c r="AC19" i="2"/>
  <c r="AD70" i="2"/>
  <c r="AF79" i="2"/>
  <c r="AF52" i="2"/>
  <c r="AE12" i="2"/>
  <c r="AE54" i="2"/>
  <c r="AB85" i="2"/>
  <c r="AA202" i="1" s="1"/>
  <c r="AE11" i="2"/>
  <c r="AF23" i="2"/>
  <c r="AC5" i="2"/>
  <c r="AE84" i="2"/>
  <c r="AD21" i="2"/>
  <c r="AE71" i="2"/>
  <c r="AC112" i="2"/>
  <c r="AB54" i="2"/>
  <c r="AC84" i="2"/>
  <c r="AD110" i="2"/>
  <c r="AF80" i="2"/>
  <c r="AF13" i="2"/>
  <c r="AC66" i="2"/>
  <c r="AB12" i="2"/>
  <c r="AB53" i="2"/>
  <c r="AC83" i="2"/>
  <c r="AB78" i="2"/>
  <c r="AD54" i="2"/>
  <c r="AC86" i="2"/>
  <c r="AB45" i="2"/>
  <c r="AA152" i="1" s="1"/>
  <c r="AF41" i="2"/>
  <c r="AB72" i="2"/>
  <c r="AC35" i="2"/>
  <c r="AC56" i="2"/>
  <c r="AD108" i="2"/>
  <c r="AF71" i="2"/>
  <c r="AD13" i="2"/>
  <c r="AD46" i="2"/>
  <c r="AE89" i="2"/>
  <c r="AB24" i="2"/>
  <c r="AB113" i="2"/>
  <c r="AA99" i="1" s="1"/>
  <c r="AB111" i="2"/>
  <c r="AD112" i="2"/>
  <c r="AD111" i="2"/>
  <c r="AD113" i="2"/>
  <c r="AC113" i="2"/>
  <c r="AC111" i="2"/>
  <c r="J180" i="7" l="1"/>
  <c r="J192" i="7" s="1"/>
  <c r="J204" i="7" s="1"/>
  <c r="J216" i="7" s="1"/>
  <c r="AB164" i="7"/>
  <c r="P49" i="7"/>
  <c r="K173" i="7"/>
  <c r="T169" i="7"/>
  <c r="T173" i="7"/>
  <c r="AA38" i="1"/>
  <c r="AA51" i="1"/>
  <c r="AA57" i="1"/>
  <c r="AA169" i="1"/>
  <c r="AA200" i="1"/>
  <c r="AA139" i="1" s="1"/>
  <c r="AA160" i="1"/>
  <c r="AA61" i="1"/>
  <c r="AA277" i="1"/>
  <c r="AA207" i="1"/>
  <c r="AA205" i="1"/>
  <c r="AA90" i="1"/>
  <c r="AA188" i="1"/>
  <c r="CK5" i="1"/>
  <c r="AA39" i="1"/>
  <c r="AA52" i="1"/>
  <c r="AE111" i="2"/>
  <c r="AE113" i="2"/>
  <c r="AB112" i="2"/>
  <c r="AA98" i="1" s="1"/>
  <c r="AF112" i="2"/>
  <c r="AF111" i="2"/>
  <c r="P169" i="7"/>
  <c r="P25" i="7"/>
  <c r="AB80" i="7"/>
  <c r="AB128" i="7"/>
  <c r="P160" i="7"/>
  <c r="G44" i="8"/>
  <c r="J41" i="8"/>
  <c r="G33" i="8"/>
  <c r="P167" i="7"/>
  <c r="P151" i="7"/>
  <c r="P143" i="7"/>
  <c r="P127" i="7"/>
  <c r="AB155" i="7"/>
  <c r="AB147" i="7"/>
  <c r="AB131" i="7"/>
  <c r="AB127" i="7"/>
  <c r="AB95" i="7"/>
  <c r="AB79" i="7"/>
  <c r="AB71" i="7"/>
  <c r="AB67" i="7"/>
  <c r="AB47" i="7"/>
  <c r="AB43" i="7"/>
  <c r="AB27" i="7"/>
  <c r="AB162" i="7"/>
  <c r="AB154" i="7"/>
  <c r="AB146" i="7"/>
  <c r="AB130" i="7"/>
  <c r="AB126" i="7"/>
  <c r="AB94" i="7"/>
  <c r="AB86" i="7"/>
  <c r="AB78" i="7"/>
  <c r="AB70" i="7"/>
  <c r="AB62" i="7"/>
  <c r="AB54" i="7"/>
  <c r="AB46" i="7"/>
  <c r="AB38" i="7"/>
  <c r="AB42" i="7"/>
  <c r="AB169" i="7"/>
  <c r="AB170" i="7"/>
  <c r="AB171" i="7"/>
  <c r="P159" i="7"/>
  <c r="P135" i="7"/>
  <c r="AB163" i="7"/>
  <c r="AB139" i="7"/>
  <c r="AB87" i="7"/>
  <c r="AB63" i="7"/>
  <c r="AB51" i="7"/>
  <c r="T172" i="7"/>
  <c r="H171" i="7"/>
  <c r="K171" i="7" s="1"/>
  <c r="J64" i="8"/>
  <c r="E168" i="7"/>
  <c r="W173" i="7" s="1"/>
  <c r="G41" i="8"/>
  <c r="J54" i="8"/>
  <c r="G57" i="8"/>
  <c r="P147" i="7"/>
  <c r="AB135" i="7"/>
  <c r="CF8" i="1"/>
  <c r="P113" i="7"/>
  <c r="P105" i="7"/>
  <c r="AB90" i="7"/>
  <c r="AB30" i="7"/>
  <c r="AB138" i="7"/>
  <c r="AB150" i="7"/>
  <c r="AB151" i="7"/>
  <c r="P155" i="7"/>
  <c r="AB31" i="7"/>
  <c r="P119" i="7"/>
  <c r="P112" i="7"/>
  <c r="P92" i="7"/>
  <c r="P84" i="7"/>
  <c r="P76" i="7"/>
  <c r="P68" i="7"/>
  <c r="P60" i="7"/>
  <c r="P52" i="7"/>
  <c r="P44" i="7"/>
  <c r="P36" i="7"/>
  <c r="P28" i="7"/>
  <c r="P20" i="7"/>
  <c r="AB161" i="7"/>
  <c r="AB153" i="7"/>
  <c r="AB145" i="7"/>
  <c r="AB137" i="7"/>
  <c r="AB129" i="7"/>
  <c r="AB101" i="7"/>
  <c r="AB93" i="7"/>
  <c r="AB85" i="7"/>
  <c r="AB77" i="7"/>
  <c r="AB69" i="7"/>
  <c r="AB61" i="7"/>
  <c r="AB65" i="7"/>
  <c r="AB45" i="7"/>
  <c r="AB37" i="7"/>
  <c r="AB41" i="7"/>
  <c r="AB29" i="7"/>
  <c r="P172" i="7"/>
  <c r="J61" i="8"/>
  <c r="P166" i="7"/>
  <c r="P158" i="7"/>
  <c r="P150" i="7"/>
  <c r="P142" i="7"/>
  <c r="P134" i="7"/>
  <c r="P126" i="7"/>
  <c r="P118" i="7"/>
  <c r="P122" i="7"/>
  <c r="P99" i="7"/>
  <c r="P91" i="7"/>
  <c r="P83" i="7"/>
  <c r="P75" i="7"/>
  <c r="P67" i="7"/>
  <c r="P59" i="7"/>
  <c r="P51" i="7"/>
  <c r="P43" i="7"/>
  <c r="P35" i="7"/>
  <c r="P39" i="7"/>
  <c r="P19" i="7"/>
  <c r="P23" i="7"/>
  <c r="AB152" i="7"/>
  <c r="AB92" i="7"/>
  <c r="J67" i="8"/>
  <c r="F43" i="8"/>
  <c r="P165" i="7"/>
  <c r="P157" i="7"/>
  <c r="P149" i="7"/>
  <c r="P141" i="7"/>
  <c r="P133" i="7"/>
  <c r="P125" i="7"/>
  <c r="P117" i="7"/>
  <c r="P98" i="7"/>
  <c r="P90" i="7"/>
  <c r="P82" i="7"/>
  <c r="P74" i="7"/>
  <c r="P66" i="7"/>
  <c r="P58" i="7"/>
  <c r="P50" i="7"/>
  <c r="P42" i="7"/>
  <c r="P34" i="7"/>
  <c r="P38" i="7"/>
  <c r="P18" i="7"/>
  <c r="AB159" i="7"/>
  <c r="AB99" i="7"/>
  <c r="AB91" i="7"/>
  <c r="AB75" i="7"/>
  <c r="J43" i="8"/>
  <c r="G54" i="8"/>
  <c r="G62" i="8"/>
  <c r="P164" i="7"/>
  <c r="P156" i="7"/>
  <c r="P148" i="7"/>
  <c r="P140" i="7"/>
  <c r="P132" i="7"/>
  <c r="P124" i="7"/>
  <c r="P108" i="7"/>
  <c r="P97" i="7"/>
  <c r="P89" i="7"/>
  <c r="P81" i="7"/>
  <c r="P73" i="7"/>
  <c r="P65" i="7"/>
  <c r="P57" i="7"/>
  <c r="P61" i="7"/>
  <c r="P41" i="7"/>
  <c r="P33" i="7"/>
  <c r="P37" i="7"/>
  <c r="P123" i="7"/>
  <c r="P64" i="7"/>
  <c r="AB68" i="7"/>
  <c r="P100" i="7"/>
  <c r="P63" i="7"/>
  <c r="P47" i="7"/>
  <c r="P121" i="7"/>
  <c r="P40" i="7"/>
  <c r="AB44" i="7"/>
  <c r="J177" i="7"/>
  <c r="J189" i="7" s="1"/>
  <c r="J201" i="7" s="1"/>
  <c r="J213" i="7" s="1"/>
  <c r="P163" i="7"/>
  <c r="P139" i="7"/>
  <c r="P96" i="7"/>
  <c r="P80" i="7"/>
  <c r="P56" i="7"/>
  <c r="P24" i="7"/>
  <c r="AB168" i="7"/>
  <c r="AB144" i="7"/>
  <c r="AB100" i="7"/>
  <c r="AB172" i="7"/>
  <c r="G34" i="8"/>
  <c r="G47" i="8"/>
  <c r="G55" i="8"/>
  <c r="P154" i="7"/>
  <c r="P138" i="7"/>
  <c r="P55" i="7"/>
  <c r="P31" i="7"/>
  <c r="AB167" i="7"/>
  <c r="AB59" i="7"/>
  <c r="AB35" i="7"/>
  <c r="F65" i="8"/>
  <c r="F23" i="8"/>
  <c r="G37" i="8"/>
  <c r="J47" i="8"/>
  <c r="G58" i="8"/>
  <c r="W170" i="7"/>
  <c r="P161" i="7"/>
  <c r="P153" i="7"/>
  <c r="P137" i="7"/>
  <c r="P129" i="7"/>
  <c r="P94" i="7"/>
  <c r="P78" i="7"/>
  <c r="P70" i="7"/>
  <c r="P54" i="7"/>
  <c r="P46" i="7"/>
  <c r="P30" i="7"/>
  <c r="P22" i="7"/>
  <c r="P110" i="7"/>
  <c r="AB166" i="7"/>
  <c r="AB158" i="7"/>
  <c r="AB142" i="7"/>
  <c r="AB134" i="7"/>
  <c r="AB98" i="7"/>
  <c r="AB82" i="7"/>
  <c r="AB74" i="7"/>
  <c r="AB58" i="7"/>
  <c r="AB50" i="7"/>
  <c r="AB34" i="7"/>
  <c r="AB55" i="7"/>
  <c r="AB39" i="7"/>
  <c r="W169" i="7"/>
  <c r="J65" i="8"/>
  <c r="P171" i="7"/>
  <c r="G66" i="8"/>
  <c r="G43" i="8"/>
  <c r="P62" i="7"/>
  <c r="AB66" i="7"/>
  <c r="J179" i="7"/>
  <c r="J191" i="7" s="1"/>
  <c r="J203" i="7" s="1"/>
  <c r="J215" i="7" s="1"/>
  <c r="W171" i="7"/>
  <c r="G31" i="8"/>
  <c r="G39" i="8"/>
  <c r="J57" i="8"/>
  <c r="P72" i="7"/>
  <c r="P48" i="7"/>
  <c r="P32" i="7"/>
  <c r="AB160" i="7"/>
  <c r="AB136" i="7"/>
  <c r="AB84" i="7"/>
  <c r="AB76" i="7"/>
  <c r="AB60" i="7"/>
  <c r="AB52" i="7"/>
  <c r="AB36" i="7"/>
  <c r="AB28" i="7"/>
  <c r="P162" i="7"/>
  <c r="P130" i="7"/>
  <c r="P79" i="7"/>
  <c r="AB143" i="7"/>
  <c r="AB83" i="7"/>
  <c r="W172" i="7"/>
  <c r="G40" i="8"/>
  <c r="J50" i="8"/>
  <c r="J58" i="8"/>
  <c r="F61" i="8"/>
  <c r="P168" i="7"/>
  <c r="P152" i="7"/>
  <c r="P144" i="7"/>
  <c r="P128" i="7"/>
  <c r="P120" i="7"/>
  <c r="P101" i="7"/>
  <c r="P93" i="7"/>
  <c r="P77" i="7"/>
  <c r="P69" i="7"/>
  <c r="P53" i="7"/>
  <c r="P45" i="7"/>
  <c r="P29" i="7"/>
  <c r="P21" i="7"/>
  <c r="AB165" i="7"/>
  <c r="AB157" i="7"/>
  <c r="AB141" i="7"/>
  <c r="AB133" i="7"/>
  <c r="AB97" i="7"/>
  <c r="AB81" i="7"/>
  <c r="AB73" i="7"/>
  <c r="AB57" i="7"/>
  <c r="AB49" i="7"/>
  <c r="AB33" i="7"/>
  <c r="T171" i="7"/>
  <c r="H172" i="7"/>
  <c r="K172" i="7" s="1"/>
  <c r="J66" i="8"/>
  <c r="F67" i="8"/>
  <c r="G67" i="8"/>
  <c r="F66" i="8"/>
  <c r="J184" i="7"/>
  <c r="J196" i="7" s="1"/>
  <c r="J208" i="7" s="1"/>
  <c r="BZ8" i="1"/>
  <c r="CG8" i="1"/>
  <c r="P170" i="7"/>
  <c r="J178" i="7"/>
  <c r="J190" i="7" s="1"/>
  <c r="J202" i="7" s="1"/>
  <c r="J214" i="7" s="1"/>
  <c r="F47" i="8"/>
  <c r="F51" i="8"/>
  <c r="G51" i="8"/>
  <c r="J176" i="7"/>
  <c r="J188" i="7" s="1"/>
  <c r="J200" i="7" s="1"/>
  <c r="J212" i="7" s="1"/>
  <c r="F31" i="8"/>
  <c r="G38" i="8"/>
  <c r="G48" i="8"/>
  <c r="J51" i="8"/>
  <c r="F55" i="8"/>
  <c r="J62" i="8"/>
  <c r="CH4" i="1"/>
  <c r="J175" i="7"/>
  <c r="J187" i="7" s="1"/>
  <c r="J199" i="7" s="1"/>
  <c r="J211" i="7" s="1"/>
  <c r="H169" i="7"/>
  <c r="K169" i="7" s="1"/>
  <c r="F27" i="8"/>
  <c r="G45" i="8"/>
  <c r="F59" i="8"/>
  <c r="CI4" i="1"/>
  <c r="CL8" i="1" s="1"/>
  <c r="F64" i="8"/>
  <c r="T170" i="7"/>
  <c r="F35" i="8"/>
  <c r="G42" i="8"/>
  <c r="J45" i="8"/>
  <c r="G52" i="8"/>
  <c r="J55" i="8"/>
  <c r="G59" i="8"/>
  <c r="J185" i="7"/>
  <c r="J197" i="7" s="1"/>
  <c r="J209" i="7" s="1"/>
  <c r="G35" i="8"/>
  <c r="J42" i="8"/>
  <c r="G49" i="8"/>
  <c r="J59" i="8"/>
  <c r="G32" i="8"/>
  <c r="F39" i="8"/>
  <c r="G46" i="8"/>
  <c r="J49" i="8"/>
  <c r="G56" i="8"/>
  <c r="J46" i="8"/>
  <c r="G53" i="8"/>
  <c r="J56" i="8"/>
  <c r="G60" i="8"/>
  <c r="CA4" i="1"/>
  <c r="CA5" i="1" s="1"/>
  <c r="J63" i="8"/>
  <c r="H170" i="7"/>
  <c r="G36" i="8"/>
  <c r="G50" i="8"/>
  <c r="J53" i="8"/>
  <c r="CB4" i="1"/>
  <c r="CE8" i="1" s="1"/>
  <c r="G65" i="8"/>
  <c r="G64" i="8"/>
  <c r="J181" i="7"/>
  <c r="J193" i="7" s="1"/>
  <c r="J205" i="7" s="1"/>
  <c r="J217" i="7" s="1"/>
  <c r="T168" i="7"/>
  <c r="H168" i="7"/>
  <c r="K168" i="7" s="1"/>
  <c r="CK12" i="1" s="1"/>
  <c r="F63" i="8"/>
  <c r="G63" i="8"/>
  <c r="CD5" i="1"/>
  <c r="CC5" i="1"/>
  <c r="CJ5" i="1"/>
  <c r="CG5" i="1"/>
  <c r="X4" i="1"/>
  <c r="X8" i="1" s="1"/>
  <c r="J44" i="8"/>
  <c r="J40" i="8"/>
  <c r="J60" i="8"/>
  <c r="J48" i="8"/>
  <c r="J52" i="8"/>
  <c r="F22" i="8"/>
  <c r="F26" i="8"/>
  <c r="F30" i="8"/>
  <c r="F34" i="8"/>
  <c r="F38" i="8"/>
  <c r="F42" i="8"/>
  <c r="F46" i="8"/>
  <c r="F50" i="8"/>
  <c r="F54" i="8"/>
  <c r="F58" i="8"/>
  <c r="F21" i="8"/>
  <c r="F25" i="8"/>
  <c r="F29" i="8"/>
  <c r="F33" i="8"/>
  <c r="F37" i="8"/>
  <c r="F41" i="8"/>
  <c r="F45" i="8"/>
  <c r="F49" i="8"/>
  <c r="F53" i="8"/>
  <c r="F57" i="8"/>
  <c r="G61" i="8"/>
  <c r="F20" i="8"/>
  <c r="F24" i="8"/>
  <c r="F28" i="8"/>
  <c r="F32" i="8"/>
  <c r="F36" i="8"/>
  <c r="F40" i="8"/>
  <c r="F44" i="8"/>
  <c r="F48" i="8"/>
  <c r="F52" i="8"/>
  <c r="F56" i="8"/>
  <c r="F60" i="8"/>
  <c r="F62" i="8"/>
  <c r="AF113" i="2"/>
  <c r="AE112" i="2"/>
  <c r="AA138" i="1" l="1"/>
  <c r="AA141" i="1" s="1"/>
  <c r="AA137" i="1"/>
  <c r="AA140" i="1" s="1"/>
  <c r="AA189" i="1"/>
  <c r="AA197" i="1" s="1"/>
  <c r="AA217" i="1"/>
  <c r="AA117" i="1"/>
  <c r="CK8" i="1"/>
  <c r="CK10" i="1" s="1"/>
  <c r="AA58" i="1"/>
  <c r="AA142" i="1"/>
  <c r="AA53" i="1"/>
  <c r="AA264" i="1"/>
  <c r="AA265" i="1" s="1"/>
  <c r="AA198" i="1"/>
  <c r="AA276" i="1"/>
  <c r="CI5" i="1"/>
  <c r="CE5" i="1"/>
  <c r="CA8" i="1"/>
  <c r="CE10" i="1" s="1"/>
  <c r="CH8" i="1"/>
  <c r="CL10" i="1" s="1"/>
  <c r="CB8" i="1"/>
  <c r="CF10" i="1" s="1"/>
  <c r="CL5" i="1"/>
  <c r="CB5" i="1"/>
  <c r="CH5" i="1"/>
  <c r="Y4" i="1"/>
  <c r="Y8" i="1" s="1"/>
  <c r="Y10" i="1" s="1"/>
  <c r="CF5" i="1"/>
  <c r="CD8" i="1"/>
  <c r="CD10" i="1" s="1"/>
  <c r="Z4" i="1"/>
  <c r="Z8" i="1" s="1"/>
  <c r="CI8" i="1"/>
  <c r="CI10" i="1" s="1"/>
  <c r="CJ8" i="1"/>
  <c r="CJ10" i="1" s="1"/>
  <c r="CC8" i="1"/>
  <c r="CG10" i="1" s="1"/>
  <c r="K170" i="7"/>
  <c r="AA218" i="1" l="1"/>
  <c r="AA216" i="1"/>
  <c r="AA119" i="1"/>
  <c r="AA121" i="1"/>
  <c r="AA120" i="1"/>
  <c r="Z10" i="1"/>
  <c r="AA80" i="1"/>
  <c r="AA62" i="1"/>
  <c r="AA143" i="1"/>
  <c r="AA144" i="1"/>
  <c r="Y5" i="1"/>
  <c r="Z5" i="1"/>
  <c r="CH10" i="1"/>
  <c r="AA64" i="1" l="1"/>
  <c r="AA65" i="1"/>
  <c r="CI32" i="1"/>
  <c r="CH32" i="1"/>
  <c r="CG32" i="1"/>
  <c r="CF32" i="1"/>
  <c r="AA83" i="1" s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CI36" i="1"/>
  <c r="AA66" i="1" l="1"/>
  <c r="AA73" i="1"/>
  <c r="AA266" i="1"/>
  <c r="H180" i="7"/>
  <c r="T16" i="7"/>
  <c r="U16" i="7"/>
  <c r="T17" i="7"/>
  <c r="U17" i="7"/>
  <c r="T18" i="7"/>
  <c r="U18" i="7"/>
  <c r="T19" i="7"/>
  <c r="U19" i="7"/>
  <c r="T20" i="7"/>
  <c r="U20" i="7"/>
  <c r="T21" i="7"/>
  <c r="U21" i="7"/>
  <c r="T22" i="7"/>
  <c r="U22" i="7"/>
  <c r="T23" i="7"/>
  <c r="U23" i="7"/>
  <c r="T24" i="7"/>
  <c r="U24" i="7"/>
  <c r="T25" i="7"/>
  <c r="U25" i="7"/>
  <c r="T26" i="7"/>
  <c r="U26" i="7"/>
  <c r="T27" i="7"/>
  <c r="U27" i="7"/>
  <c r="T28" i="7"/>
  <c r="U28" i="7"/>
  <c r="T29" i="7"/>
  <c r="U29" i="7"/>
  <c r="T30" i="7"/>
  <c r="Z30" i="7" s="1"/>
  <c r="U30" i="7"/>
  <c r="T31" i="7"/>
  <c r="Z31" i="7" s="1"/>
  <c r="U31" i="7"/>
  <c r="AA31" i="7" s="1"/>
  <c r="T32" i="7"/>
  <c r="Z32" i="7" s="1"/>
  <c r="U32" i="7"/>
  <c r="AA32" i="7" s="1"/>
  <c r="T33" i="7"/>
  <c r="U33" i="7"/>
  <c r="AA33" i="7" s="1"/>
  <c r="T34" i="7"/>
  <c r="U34" i="7"/>
  <c r="AA34" i="7" s="1"/>
  <c r="T35" i="7"/>
  <c r="Z35" i="7" s="1"/>
  <c r="U35" i="7"/>
  <c r="T36" i="7"/>
  <c r="Z36" i="7" s="1"/>
  <c r="U36" i="7"/>
  <c r="T37" i="7"/>
  <c r="Z37" i="7" s="1"/>
  <c r="U37" i="7"/>
  <c r="AA37" i="7" s="1"/>
  <c r="T38" i="7"/>
  <c r="Z38" i="7" s="1"/>
  <c r="U38" i="7"/>
  <c r="T39" i="7"/>
  <c r="Z39" i="7" s="1"/>
  <c r="U39" i="7"/>
  <c r="AA39" i="7" s="1"/>
  <c r="T40" i="7"/>
  <c r="Z40" i="7" s="1"/>
  <c r="U40" i="7"/>
  <c r="T41" i="7"/>
  <c r="U41" i="7"/>
  <c r="AA41" i="7" s="1"/>
  <c r="T42" i="7"/>
  <c r="Z42" i="7" s="1"/>
  <c r="U42" i="7"/>
  <c r="AA42" i="7" s="1"/>
  <c r="T43" i="7"/>
  <c r="Z43" i="7" s="1"/>
  <c r="U43" i="7"/>
  <c r="AA43" i="7" s="1"/>
  <c r="T44" i="7"/>
  <c r="Z44" i="7" s="1"/>
  <c r="U44" i="7"/>
  <c r="AA44" i="7" s="1"/>
  <c r="T45" i="7"/>
  <c r="Z45" i="7" s="1"/>
  <c r="U45" i="7"/>
  <c r="AA45" i="7" s="1"/>
  <c r="T46" i="7"/>
  <c r="Z46" i="7" s="1"/>
  <c r="U46" i="7"/>
  <c r="T47" i="7"/>
  <c r="Z47" i="7" s="1"/>
  <c r="U47" i="7"/>
  <c r="AA47" i="7" s="1"/>
  <c r="T48" i="7"/>
  <c r="Z48" i="7" s="1"/>
  <c r="U48" i="7"/>
  <c r="AA48" i="7" s="1"/>
  <c r="T49" i="7"/>
  <c r="U49" i="7"/>
  <c r="AA49" i="7" s="1"/>
  <c r="T50" i="7"/>
  <c r="Z50" i="7" s="1"/>
  <c r="U50" i="7"/>
  <c r="T51" i="7"/>
  <c r="Z51" i="7" s="1"/>
  <c r="U51" i="7"/>
  <c r="AA51" i="7" s="1"/>
  <c r="T52" i="7"/>
  <c r="Z52" i="7" s="1"/>
  <c r="U52" i="7"/>
  <c r="AA52" i="7" s="1"/>
  <c r="T53" i="7"/>
  <c r="Z53" i="7" s="1"/>
  <c r="U53" i="7"/>
  <c r="AA53" i="7" s="1"/>
  <c r="T54" i="7"/>
  <c r="Z54" i="7" s="1"/>
  <c r="U54" i="7"/>
  <c r="T55" i="7"/>
  <c r="Z55" i="7" s="1"/>
  <c r="U55" i="7"/>
  <c r="T56" i="7"/>
  <c r="Z56" i="7" s="1"/>
  <c r="U56" i="7"/>
  <c r="T57" i="7"/>
  <c r="U57" i="7"/>
  <c r="AA57" i="7" s="1"/>
  <c r="T58" i="7"/>
  <c r="Z58" i="7" s="1"/>
  <c r="U58" i="7"/>
  <c r="AA58" i="7" s="1"/>
  <c r="T59" i="7"/>
  <c r="Z59" i="7" s="1"/>
  <c r="U59" i="7"/>
  <c r="AA59" i="7" s="1"/>
  <c r="T60" i="7"/>
  <c r="Z60" i="7" s="1"/>
  <c r="U60" i="7"/>
  <c r="AA60" i="7" s="1"/>
  <c r="T61" i="7"/>
  <c r="Z61" i="7" s="1"/>
  <c r="U61" i="7"/>
  <c r="T62" i="7"/>
  <c r="Z62" i="7" s="1"/>
  <c r="U62" i="7"/>
  <c r="T63" i="7"/>
  <c r="Z63" i="7" s="1"/>
  <c r="U63" i="7"/>
  <c r="AA63" i="7" s="1"/>
  <c r="T64" i="7"/>
  <c r="Z64" i="7" s="1"/>
  <c r="U64" i="7"/>
  <c r="T65" i="7"/>
  <c r="U65" i="7"/>
  <c r="AA65" i="7" s="1"/>
  <c r="T66" i="7"/>
  <c r="Z66" i="7" s="1"/>
  <c r="U66" i="7"/>
  <c r="AA66" i="7" s="1"/>
  <c r="T67" i="7"/>
  <c r="Z67" i="7" s="1"/>
  <c r="U67" i="7"/>
  <c r="T68" i="7"/>
  <c r="Z68" i="7" s="1"/>
  <c r="U68" i="7"/>
  <c r="AA68" i="7" s="1"/>
  <c r="T69" i="7"/>
  <c r="Z69" i="7" s="1"/>
  <c r="U69" i="7"/>
  <c r="AA69" i="7" s="1"/>
  <c r="T70" i="7"/>
  <c r="Z70" i="7" s="1"/>
  <c r="U70" i="7"/>
  <c r="T71" i="7"/>
  <c r="Z71" i="7" s="1"/>
  <c r="U71" i="7"/>
  <c r="AA71" i="7" s="1"/>
  <c r="T72" i="7"/>
  <c r="Z72" i="7" s="1"/>
  <c r="U72" i="7"/>
  <c r="AA72" i="7" s="1"/>
  <c r="T73" i="7"/>
  <c r="U73" i="7"/>
  <c r="AA73" i="7" s="1"/>
  <c r="T74" i="7"/>
  <c r="Z74" i="7" s="1"/>
  <c r="U74" i="7"/>
  <c r="AA74" i="7" s="1"/>
  <c r="T75" i="7"/>
  <c r="Z75" i="7" s="1"/>
  <c r="U75" i="7"/>
  <c r="T76" i="7"/>
  <c r="Z76" i="7" s="1"/>
  <c r="U76" i="7"/>
  <c r="AA76" i="7" s="1"/>
  <c r="T77" i="7"/>
  <c r="Z77" i="7" s="1"/>
  <c r="U77" i="7"/>
  <c r="AA77" i="7" s="1"/>
  <c r="T78" i="7"/>
  <c r="U78" i="7"/>
  <c r="T79" i="7"/>
  <c r="U79" i="7"/>
  <c r="T80" i="7"/>
  <c r="U80" i="7"/>
  <c r="T81" i="7"/>
  <c r="U81" i="7"/>
  <c r="T82" i="7"/>
  <c r="U82" i="7"/>
  <c r="T83" i="7"/>
  <c r="U83" i="7"/>
  <c r="T84" i="7"/>
  <c r="U84" i="7"/>
  <c r="T85" i="7"/>
  <c r="U85" i="7"/>
  <c r="T86" i="7"/>
  <c r="U86" i="7"/>
  <c r="T87" i="7"/>
  <c r="U87" i="7"/>
  <c r="T88" i="7"/>
  <c r="U88" i="7"/>
  <c r="T89" i="7"/>
  <c r="U89" i="7"/>
  <c r="T90" i="7"/>
  <c r="U90" i="7"/>
  <c r="T91" i="7"/>
  <c r="U91" i="7"/>
  <c r="T92" i="7"/>
  <c r="U92" i="7"/>
  <c r="AA92" i="7" s="1"/>
  <c r="T93" i="7"/>
  <c r="Z93" i="7" s="1"/>
  <c r="U93" i="7"/>
  <c r="AA93" i="7" s="1"/>
  <c r="T94" i="7"/>
  <c r="U94" i="7"/>
  <c r="T95" i="7"/>
  <c r="Z95" i="7" s="1"/>
  <c r="U95" i="7"/>
  <c r="AA95" i="7" s="1"/>
  <c r="T96" i="7"/>
  <c r="Z96" i="7" s="1"/>
  <c r="U96" i="7"/>
  <c r="T97" i="7"/>
  <c r="U97" i="7"/>
  <c r="AA97" i="7" s="1"/>
  <c r="T98" i="7"/>
  <c r="Z98" i="7" s="1"/>
  <c r="U98" i="7"/>
  <c r="AA98" i="7" s="1"/>
  <c r="T99" i="7"/>
  <c r="Z99" i="7" s="1"/>
  <c r="U99" i="7"/>
  <c r="AA99" i="7" s="1"/>
  <c r="T100" i="7"/>
  <c r="U100" i="7"/>
  <c r="AA100" i="7" s="1"/>
  <c r="T101" i="7"/>
  <c r="Z101" i="7" s="1"/>
  <c r="U101" i="7"/>
  <c r="AA101" i="7" s="1"/>
  <c r="T102" i="7"/>
  <c r="Z102" i="7" s="1"/>
  <c r="U102" i="7"/>
  <c r="T103" i="7"/>
  <c r="Z103" i="7" s="1"/>
  <c r="U103" i="7"/>
  <c r="AA103" i="7" s="1"/>
  <c r="T104" i="7"/>
  <c r="Z104" i="7" s="1"/>
  <c r="U104" i="7"/>
  <c r="AA104" i="7" s="1"/>
  <c r="T105" i="7"/>
  <c r="U105" i="7"/>
  <c r="AA105" i="7" s="1"/>
  <c r="T106" i="7"/>
  <c r="Z106" i="7" s="1"/>
  <c r="U106" i="7"/>
  <c r="AA106" i="7" s="1"/>
  <c r="T107" i="7"/>
  <c r="U107" i="7"/>
  <c r="AA107" i="7" s="1"/>
  <c r="T108" i="7"/>
  <c r="Z108" i="7" s="1"/>
  <c r="U108" i="7"/>
  <c r="AA108" i="7" s="1"/>
  <c r="T109" i="7"/>
  <c r="Z109" i="7" s="1"/>
  <c r="U109" i="7"/>
  <c r="AA109" i="7" s="1"/>
  <c r="T110" i="7"/>
  <c r="Z110" i="7" s="1"/>
  <c r="U110" i="7"/>
  <c r="T111" i="7"/>
  <c r="Z111" i="7" s="1"/>
  <c r="U111" i="7"/>
  <c r="AA111" i="7" s="1"/>
  <c r="T112" i="7"/>
  <c r="Z112" i="7" s="1"/>
  <c r="U112" i="7"/>
  <c r="AA112" i="7" s="1"/>
  <c r="T113" i="7"/>
  <c r="U113" i="7"/>
  <c r="T114" i="7"/>
  <c r="Z114" i="7" s="1"/>
  <c r="U114" i="7"/>
  <c r="AA114" i="7" s="1"/>
  <c r="T115" i="7"/>
  <c r="Z115" i="7" s="1"/>
  <c r="U115" i="7"/>
  <c r="AA115" i="7" s="1"/>
  <c r="T116" i="7"/>
  <c r="U116" i="7"/>
  <c r="AA116" i="7" s="1"/>
  <c r="T117" i="7"/>
  <c r="Z117" i="7" s="1"/>
  <c r="U117" i="7"/>
  <c r="T118" i="7"/>
  <c r="Z118" i="7" s="1"/>
  <c r="U118" i="7"/>
  <c r="T119" i="7"/>
  <c r="U119" i="7"/>
  <c r="T120" i="7"/>
  <c r="U120" i="7"/>
  <c r="AA120" i="7" s="1"/>
  <c r="T121" i="7"/>
  <c r="U121" i="7"/>
  <c r="T122" i="7"/>
  <c r="Z122" i="7" s="1"/>
  <c r="U122" i="7"/>
  <c r="T123" i="7"/>
  <c r="Z123" i="7" s="1"/>
  <c r="U123" i="7"/>
  <c r="AA123" i="7" s="1"/>
  <c r="T124" i="7"/>
  <c r="U124" i="7"/>
  <c r="AA124" i="7" s="1"/>
  <c r="T125" i="7"/>
  <c r="U125" i="7"/>
  <c r="T126" i="7"/>
  <c r="Z126" i="7" s="1"/>
  <c r="U126" i="7"/>
  <c r="T127" i="7"/>
  <c r="Z127" i="7" s="1"/>
  <c r="U127" i="7"/>
  <c r="AA127" i="7" s="1"/>
  <c r="T128" i="7"/>
  <c r="U128" i="7"/>
  <c r="T129" i="7"/>
  <c r="U129" i="7"/>
  <c r="AA129" i="7" s="1"/>
  <c r="T130" i="7"/>
  <c r="Z130" i="7" s="1"/>
  <c r="U130" i="7"/>
  <c r="T131" i="7"/>
  <c r="Z131" i="7" s="1"/>
  <c r="U131" i="7"/>
  <c r="AA131" i="7" s="1"/>
  <c r="T132" i="7"/>
  <c r="U132" i="7"/>
  <c r="AA132" i="7" s="1"/>
  <c r="T133" i="7"/>
  <c r="U133" i="7"/>
  <c r="T134" i="7"/>
  <c r="U134" i="7"/>
  <c r="T135" i="7"/>
  <c r="U135" i="7"/>
  <c r="T136" i="7"/>
  <c r="Z136" i="7" s="1"/>
  <c r="U136" i="7"/>
  <c r="T137" i="7"/>
  <c r="U137" i="7"/>
  <c r="AA137" i="7" s="1"/>
  <c r="T138" i="7"/>
  <c r="U138" i="7"/>
  <c r="AA138" i="7" s="1"/>
  <c r="T139" i="7"/>
  <c r="U139" i="7"/>
  <c r="T140" i="7"/>
  <c r="Z140" i="7" s="1"/>
  <c r="U140" i="7"/>
  <c r="AA140" i="7" s="1"/>
  <c r="T141" i="7"/>
  <c r="U141" i="7"/>
  <c r="T142" i="7"/>
  <c r="U142" i="7"/>
  <c r="T143" i="7"/>
  <c r="U143" i="7"/>
  <c r="T144" i="7"/>
  <c r="U144" i="7"/>
  <c r="AA156" i="7" s="1"/>
  <c r="T145" i="7"/>
  <c r="U145" i="7"/>
  <c r="T146" i="7"/>
  <c r="U146" i="7"/>
  <c r="T147" i="7"/>
  <c r="U147" i="7"/>
  <c r="T148" i="7"/>
  <c r="U148" i="7"/>
  <c r="T149" i="7"/>
  <c r="U149" i="7"/>
  <c r="W149" i="7"/>
  <c r="T150" i="7"/>
  <c r="U150" i="7"/>
  <c r="W150" i="7"/>
  <c r="T151" i="7"/>
  <c r="U151" i="7"/>
  <c r="W151" i="7"/>
  <c r="T152" i="7"/>
  <c r="U152" i="7"/>
  <c r="W152" i="7"/>
  <c r="T153" i="7"/>
  <c r="U153" i="7"/>
  <c r="W153" i="7"/>
  <c r="T154" i="7"/>
  <c r="U154" i="7"/>
  <c r="W154" i="7"/>
  <c r="T155" i="7"/>
  <c r="U155" i="7"/>
  <c r="W155" i="7"/>
  <c r="T156" i="7"/>
  <c r="U156" i="7"/>
  <c r="AA168" i="7" s="1"/>
  <c r="W156" i="7"/>
  <c r="T157" i="7"/>
  <c r="U157" i="7"/>
  <c r="AA169" i="7" s="1"/>
  <c r="W157" i="7"/>
  <c r="AC169" i="7" s="1"/>
  <c r="T158" i="7"/>
  <c r="Z170" i="7" s="1"/>
  <c r="U158" i="7"/>
  <c r="AA170" i="7" s="1"/>
  <c r="W158" i="7"/>
  <c r="AC170" i="7" s="1"/>
  <c r="T159" i="7"/>
  <c r="U159" i="7"/>
  <c r="W159" i="7"/>
  <c r="AC171" i="7" s="1"/>
  <c r="T160" i="7"/>
  <c r="Z172" i="7" s="1"/>
  <c r="U160" i="7"/>
  <c r="AA172" i="7" s="1"/>
  <c r="W160" i="7"/>
  <c r="AC172" i="7" s="1"/>
  <c r="T161" i="7"/>
  <c r="Z173" i="7" s="1"/>
  <c r="U161" i="7"/>
  <c r="AA173" i="7" s="1"/>
  <c r="W161" i="7"/>
  <c r="AC173" i="7" s="1"/>
  <c r="T162" i="7"/>
  <c r="U162" i="7"/>
  <c r="W162" i="7"/>
  <c r="AC162" i="7" s="1"/>
  <c r="T163" i="7"/>
  <c r="U163" i="7"/>
  <c r="W163" i="7"/>
  <c r="T164" i="7"/>
  <c r="U164" i="7"/>
  <c r="W164" i="7"/>
  <c r="AC164" i="7" s="1"/>
  <c r="T165" i="7"/>
  <c r="U165" i="7"/>
  <c r="AA165" i="7" s="1"/>
  <c r="W165" i="7"/>
  <c r="T166" i="7"/>
  <c r="U166" i="7"/>
  <c r="W166" i="7"/>
  <c r="T167" i="7"/>
  <c r="U167" i="7"/>
  <c r="W167" i="7"/>
  <c r="U15" i="7"/>
  <c r="T15" i="7"/>
  <c r="AA91" i="7"/>
  <c r="AA96" i="7"/>
  <c r="Z94" i="7"/>
  <c r="AA35" i="7"/>
  <c r="AA40" i="7"/>
  <c r="Z28" i="7"/>
  <c r="AA28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O19" i="7" s="1"/>
  <c r="H20" i="7"/>
  <c r="I20" i="7"/>
  <c r="O20" i="7" s="1"/>
  <c r="H21" i="7"/>
  <c r="I21" i="7"/>
  <c r="O21" i="7" s="1"/>
  <c r="H22" i="7"/>
  <c r="I22" i="7"/>
  <c r="H23" i="7"/>
  <c r="I23" i="7"/>
  <c r="H24" i="7"/>
  <c r="I24" i="7"/>
  <c r="O24" i="7" s="1"/>
  <c r="H25" i="7"/>
  <c r="I25" i="7"/>
  <c r="O25" i="7" s="1"/>
  <c r="H26" i="7"/>
  <c r="I26" i="7"/>
  <c r="O26" i="7" s="1"/>
  <c r="H27" i="7"/>
  <c r="I27" i="7"/>
  <c r="H28" i="7"/>
  <c r="I28" i="7"/>
  <c r="O28" i="7" s="1"/>
  <c r="H29" i="7"/>
  <c r="I29" i="7"/>
  <c r="H30" i="7"/>
  <c r="I30" i="7"/>
  <c r="O30" i="7" s="1"/>
  <c r="H31" i="7"/>
  <c r="I31" i="7"/>
  <c r="H32" i="7"/>
  <c r="I32" i="7"/>
  <c r="H33" i="7"/>
  <c r="I33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H50" i="7"/>
  <c r="I50" i="7"/>
  <c r="H51" i="7"/>
  <c r="I51" i="7"/>
  <c r="H52" i="7"/>
  <c r="I52" i="7"/>
  <c r="H53" i="7"/>
  <c r="I53" i="7"/>
  <c r="H54" i="7"/>
  <c r="I54" i="7"/>
  <c r="H55" i="7"/>
  <c r="I55" i="7"/>
  <c r="O55" i="7" s="1"/>
  <c r="H56" i="7"/>
  <c r="I56" i="7"/>
  <c r="O56" i="7" s="1"/>
  <c r="H57" i="7"/>
  <c r="I57" i="7"/>
  <c r="O57" i="7" s="1"/>
  <c r="H58" i="7"/>
  <c r="I58" i="7"/>
  <c r="O58" i="7" s="1"/>
  <c r="H59" i="7"/>
  <c r="I59" i="7"/>
  <c r="H60" i="7"/>
  <c r="I60" i="7"/>
  <c r="H61" i="7"/>
  <c r="I61" i="7"/>
  <c r="H62" i="7"/>
  <c r="I62" i="7"/>
  <c r="H63" i="7"/>
  <c r="I63" i="7"/>
  <c r="H64" i="7"/>
  <c r="I64" i="7"/>
  <c r="H65" i="7"/>
  <c r="I65" i="7"/>
  <c r="H66" i="7"/>
  <c r="I66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77" i="7"/>
  <c r="I77" i="7"/>
  <c r="H78" i="7"/>
  <c r="I78" i="7"/>
  <c r="O78" i="7" s="1"/>
  <c r="H79" i="7"/>
  <c r="I79" i="7"/>
  <c r="O79" i="7" s="1"/>
  <c r="H80" i="7"/>
  <c r="I80" i="7"/>
  <c r="O80" i="7" s="1"/>
  <c r="H81" i="7"/>
  <c r="I81" i="7"/>
  <c r="O81" i="7" s="1"/>
  <c r="H82" i="7"/>
  <c r="I82" i="7"/>
  <c r="O82" i="7" s="1"/>
  <c r="H83" i="7"/>
  <c r="I83" i="7"/>
  <c r="O83" i="7" s="1"/>
  <c r="H84" i="7"/>
  <c r="I84" i="7"/>
  <c r="H85" i="7"/>
  <c r="I85" i="7"/>
  <c r="O85" i="7" s="1"/>
  <c r="H86" i="7"/>
  <c r="I86" i="7"/>
  <c r="O86" i="7" s="1"/>
  <c r="H87" i="7"/>
  <c r="I87" i="7"/>
  <c r="O87" i="7" s="1"/>
  <c r="H88" i="7"/>
  <c r="I88" i="7"/>
  <c r="O88" i="7" s="1"/>
  <c r="H89" i="7"/>
  <c r="I89" i="7"/>
  <c r="O89" i="7" s="1"/>
  <c r="H90" i="7"/>
  <c r="I90" i="7"/>
  <c r="O90" i="7" s="1"/>
  <c r="H91" i="7"/>
  <c r="I91" i="7"/>
  <c r="O91" i="7" s="1"/>
  <c r="H92" i="7"/>
  <c r="I92" i="7"/>
  <c r="O92" i="7" s="1"/>
  <c r="H93" i="7"/>
  <c r="I93" i="7"/>
  <c r="O93" i="7" s="1"/>
  <c r="H94" i="7"/>
  <c r="I94" i="7"/>
  <c r="O94" i="7" s="1"/>
  <c r="H95" i="7"/>
  <c r="I95" i="7"/>
  <c r="H96" i="7"/>
  <c r="I96" i="7"/>
  <c r="O96" i="7" s="1"/>
  <c r="H97" i="7"/>
  <c r="I97" i="7"/>
  <c r="O97" i="7" s="1"/>
  <c r="H98" i="7"/>
  <c r="I98" i="7"/>
  <c r="O98" i="7" s="1"/>
  <c r="H99" i="7"/>
  <c r="I99" i="7"/>
  <c r="O99" i="7" s="1"/>
  <c r="H100" i="7"/>
  <c r="I100" i="7"/>
  <c r="O100" i="7" s="1"/>
  <c r="H101" i="7"/>
  <c r="I101" i="7"/>
  <c r="H102" i="7"/>
  <c r="I102" i="7"/>
  <c r="H103" i="7"/>
  <c r="I103" i="7"/>
  <c r="O103" i="7" s="1"/>
  <c r="H104" i="7"/>
  <c r="I104" i="7"/>
  <c r="O104" i="7" s="1"/>
  <c r="H105" i="7"/>
  <c r="I105" i="7"/>
  <c r="H106" i="7"/>
  <c r="I106" i="7"/>
  <c r="O106" i="7" s="1"/>
  <c r="H107" i="7"/>
  <c r="I107" i="7"/>
  <c r="O107" i="7" s="1"/>
  <c r="H108" i="7"/>
  <c r="I108" i="7"/>
  <c r="O108" i="7" s="1"/>
  <c r="H109" i="7"/>
  <c r="I109" i="7"/>
  <c r="O109" i="7" s="1"/>
  <c r="H110" i="7"/>
  <c r="I110" i="7"/>
  <c r="O110" i="7" s="1"/>
  <c r="H111" i="7"/>
  <c r="I111" i="7"/>
  <c r="O111" i="7" s="1"/>
  <c r="H112" i="7"/>
  <c r="I112" i="7"/>
  <c r="H113" i="7"/>
  <c r="I113" i="7"/>
  <c r="H114" i="7"/>
  <c r="I114" i="7"/>
  <c r="H115" i="7"/>
  <c r="I115" i="7"/>
  <c r="H116" i="7"/>
  <c r="I116" i="7"/>
  <c r="O116" i="7" s="1"/>
  <c r="H117" i="7"/>
  <c r="I117" i="7"/>
  <c r="O117" i="7" s="1"/>
  <c r="H118" i="7"/>
  <c r="I118" i="7"/>
  <c r="O118" i="7" s="1"/>
  <c r="H119" i="7"/>
  <c r="I119" i="7"/>
  <c r="H120" i="7"/>
  <c r="I120" i="7"/>
  <c r="O120" i="7" s="1"/>
  <c r="H121" i="7"/>
  <c r="I121" i="7"/>
  <c r="O121" i="7" s="1"/>
  <c r="H122" i="7"/>
  <c r="I122" i="7"/>
  <c r="O122" i="7" s="1"/>
  <c r="H123" i="7"/>
  <c r="I123" i="7"/>
  <c r="O123" i="7" s="1"/>
  <c r="H124" i="7"/>
  <c r="I124" i="7"/>
  <c r="O124" i="7" s="1"/>
  <c r="H125" i="7"/>
  <c r="I125" i="7"/>
  <c r="O125" i="7" s="1"/>
  <c r="H126" i="7"/>
  <c r="I126" i="7"/>
  <c r="H127" i="7"/>
  <c r="I127" i="7"/>
  <c r="O127" i="7" s="1"/>
  <c r="H128" i="7"/>
  <c r="I128" i="7"/>
  <c r="O128" i="7" s="1"/>
  <c r="H129" i="7"/>
  <c r="I129" i="7"/>
  <c r="O129" i="7" s="1"/>
  <c r="H130" i="7"/>
  <c r="I130" i="7"/>
  <c r="O130" i="7" s="1"/>
  <c r="H131" i="7"/>
  <c r="I131" i="7"/>
  <c r="O131" i="7" s="1"/>
  <c r="H132" i="7"/>
  <c r="I132" i="7"/>
  <c r="O132" i="7" s="1"/>
  <c r="H133" i="7"/>
  <c r="I133" i="7"/>
  <c r="O133" i="7" s="1"/>
  <c r="H134" i="7"/>
  <c r="I134" i="7"/>
  <c r="O134" i="7" s="1"/>
  <c r="H135" i="7"/>
  <c r="I135" i="7"/>
  <c r="O135" i="7" s="1"/>
  <c r="H136" i="7"/>
  <c r="I136" i="7"/>
  <c r="H137" i="7"/>
  <c r="I137" i="7"/>
  <c r="H138" i="7"/>
  <c r="I138" i="7"/>
  <c r="H139" i="7"/>
  <c r="I139" i="7"/>
  <c r="H140" i="7"/>
  <c r="I140" i="7"/>
  <c r="H141" i="7"/>
  <c r="I141" i="7"/>
  <c r="H142" i="7"/>
  <c r="I142" i="7"/>
  <c r="H143" i="7"/>
  <c r="I143" i="7"/>
  <c r="H144" i="7"/>
  <c r="I144" i="7"/>
  <c r="H145" i="7"/>
  <c r="I145" i="7"/>
  <c r="H146" i="7"/>
  <c r="I146" i="7"/>
  <c r="H147" i="7"/>
  <c r="I147" i="7"/>
  <c r="H148" i="7"/>
  <c r="I148" i="7"/>
  <c r="O148" i="7" s="1"/>
  <c r="H149" i="7"/>
  <c r="I149" i="7"/>
  <c r="O149" i="7" s="1"/>
  <c r="H150" i="7"/>
  <c r="I150" i="7"/>
  <c r="O150" i="7" s="1"/>
  <c r="H151" i="7"/>
  <c r="I151" i="7"/>
  <c r="O151" i="7" s="1"/>
  <c r="H152" i="7"/>
  <c r="I152" i="7"/>
  <c r="O152" i="7" s="1"/>
  <c r="H153" i="7"/>
  <c r="I153" i="7"/>
  <c r="O153" i="7" s="1"/>
  <c r="H154" i="7"/>
  <c r="I154" i="7"/>
  <c r="O154" i="7" s="1"/>
  <c r="H155" i="7"/>
  <c r="I155" i="7"/>
  <c r="O155" i="7" s="1"/>
  <c r="H156" i="7"/>
  <c r="I156" i="7"/>
  <c r="H157" i="7"/>
  <c r="I157" i="7"/>
  <c r="O169" i="7" s="1"/>
  <c r="H158" i="7"/>
  <c r="I158" i="7"/>
  <c r="O170" i="7" s="1"/>
  <c r="H159" i="7"/>
  <c r="I159" i="7"/>
  <c r="O171" i="7" s="1"/>
  <c r="H160" i="7"/>
  <c r="N172" i="7" s="1"/>
  <c r="I160" i="7"/>
  <c r="O172" i="7" s="1"/>
  <c r="H161" i="7"/>
  <c r="N173" i="7" s="1"/>
  <c r="I161" i="7"/>
  <c r="O173" i="7" s="1"/>
  <c r="H162" i="7"/>
  <c r="I162" i="7"/>
  <c r="H163" i="7"/>
  <c r="I163" i="7"/>
  <c r="H164" i="7"/>
  <c r="I164" i="7"/>
  <c r="H165" i="7"/>
  <c r="I165" i="7"/>
  <c r="H166" i="7"/>
  <c r="I166" i="7"/>
  <c r="H167" i="7"/>
  <c r="I167" i="7"/>
  <c r="I6" i="7"/>
  <c r="H6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AC65" i="7" s="1"/>
  <c r="W66" i="7"/>
  <c r="W67" i="7"/>
  <c r="W68" i="7"/>
  <c r="W69" i="7"/>
  <c r="W70" i="7"/>
  <c r="W71" i="7"/>
  <c r="W72" i="7"/>
  <c r="W73" i="7"/>
  <c r="AC73" i="7" s="1"/>
  <c r="W74" i="7"/>
  <c r="W75" i="7"/>
  <c r="W76" i="7"/>
  <c r="W77" i="7"/>
  <c r="W78" i="7"/>
  <c r="W79" i="7"/>
  <c r="W80" i="7"/>
  <c r="W81" i="7"/>
  <c r="AC81" i="7" s="1"/>
  <c r="W82" i="7"/>
  <c r="W83" i="7"/>
  <c r="W84" i="7"/>
  <c r="W85" i="7"/>
  <c r="W86" i="7"/>
  <c r="W87" i="7"/>
  <c r="W88" i="7"/>
  <c r="W89" i="7"/>
  <c r="AC89" i="7" s="1"/>
  <c r="W90" i="7"/>
  <c r="W91" i="7"/>
  <c r="W92" i="7"/>
  <c r="W93" i="7"/>
  <c r="W94" i="7"/>
  <c r="W95" i="7"/>
  <c r="W96" i="7"/>
  <c r="W97" i="7"/>
  <c r="AC97" i="7" s="1"/>
  <c r="W98" i="7"/>
  <c r="W99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Z78" i="7" l="1"/>
  <c r="Z79" i="7"/>
  <c r="AA79" i="1"/>
  <c r="AA77" i="1"/>
  <c r="AA91" i="1"/>
  <c r="AA225" i="1"/>
  <c r="AA227" i="1" s="1"/>
  <c r="AA79" i="7"/>
  <c r="Z80" i="7"/>
  <c r="AA80" i="7"/>
  <c r="AA81" i="7"/>
  <c r="Z82" i="7"/>
  <c r="AA82" i="7"/>
  <c r="Z83" i="7"/>
  <c r="AA83" i="7"/>
  <c r="AA84" i="7"/>
  <c r="AA85" i="7"/>
  <c r="Z86" i="7"/>
  <c r="Z87" i="7"/>
  <c r="Z88" i="7"/>
  <c r="AA88" i="7"/>
  <c r="AA89" i="7"/>
  <c r="Z90" i="7"/>
  <c r="AA90" i="7"/>
  <c r="Z91" i="7"/>
  <c r="AC165" i="7"/>
  <c r="O59" i="7"/>
  <c r="O60" i="7"/>
  <c r="O61" i="7"/>
  <c r="O62" i="7"/>
  <c r="O63" i="7"/>
  <c r="O138" i="7"/>
  <c r="O139" i="7"/>
  <c r="O140" i="7"/>
  <c r="O141" i="7"/>
  <c r="O142" i="7"/>
  <c r="O144" i="7"/>
  <c r="O145" i="7"/>
  <c r="O146" i="7"/>
  <c r="O147" i="7"/>
  <c r="AA75" i="7"/>
  <c r="AA87" i="7"/>
  <c r="O126" i="7"/>
  <c r="O22" i="7"/>
  <c r="O105" i="7"/>
  <c r="AA64" i="7"/>
  <c r="O84" i="7"/>
  <c r="AA29" i="7"/>
  <c r="Z166" i="7"/>
  <c r="AA163" i="7"/>
  <c r="Z162" i="7"/>
  <c r="O77" i="7"/>
  <c r="AA36" i="7"/>
  <c r="Z120" i="7"/>
  <c r="O136" i="7"/>
  <c r="AC129" i="7"/>
  <c r="O119" i="7"/>
  <c r="O95" i="7"/>
  <c r="O27" i="7"/>
  <c r="AC136" i="7"/>
  <c r="AC128" i="7"/>
  <c r="AC90" i="7"/>
  <c r="AC82" i="7"/>
  <c r="AC66" i="7"/>
  <c r="Z163" i="7"/>
  <c r="AC161" i="7"/>
  <c r="AA128" i="7"/>
  <c r="AA164" i="7"/>
  <c r="AC130" i="7"/>
  <c r="AC92" i="7"/>
  <c r="AC84" i="7"/>
  <c r="AC68" i="7"/>
  <c r="K156" i="7"/>
  <c r="K144" i="7"/>
  <c r="K72" i="7"/>
  <c r="K48" i="7"/>
  <c r="K36" i="7"/>
  <c r="AS12" i="1" s="1"/>
  <c r="K12" i="7"/>
  <c r="AK12" i="1" s="1"/>
  <c r="AA160" i="7"/>
  <c r="K163" i="7"/>
  <c r="K159" i="7"/>
  <c r="Q171" i="7" s="1"/>
  <c r="N171" i="7"/>
  <c r="K151" i="7"/>
  <c r="K147" i="7"/>
  <c r="K139" i="7"/>
  <c r="K115" i="7"/>
  <c r="K75" i="7"/>
  <c r="K67" i="7"/>
  <c r="K55" i="7"/>
  <c r="K51" i="7"/>
  <c r="AX12" i="1" s="1"/>
  <c r="K39" i="7"/>
  <c r="AT12" i="1" s="1"/>
  <c r="AT20" i="1" s="1"/>
  <c r="K15" i="7"/>
  <c r="AL12" i="1" s="1"/>
  <c r="Z158" i="7"/>
  <c r="AA157" i="7"/>
  <c r="AC126" i="7"/>
  <c r="AC96" i="7"/>
  <c r="AC88" i="7"/>
  <c r="AC80" i="7"/>
  <c r="AC72" i="7"/>
  <c r="AC64" i="7"/>
  <c r="K162" i="7"/>
  <c r="K150" i="7"/>
  <c r="K138" i="7"/>
  <c r="K114" i="7"/>
  <c r="BS12" i="1" s="1"/>
  <c r="K78" i="7"/>
  <c r="BG12" i="1" s="1"/>
  <c r="K66" i="7"/>
  <c r="BC12" i="1" s="1"/>
  <c r="BC20" i="1" s="1"/>
  <c r="K54" i="7"/>
  <c r="K42" i="7"/>
  <c r="K18" i="7"/>
  <c r="Q30" i="7" s="1"/>
  <c r="Z160" i="7"/>
  <c r="AC167" i="7"/>
  <c r="Z165" i="7"/>
  <c r="AA162" i="7"/>
  <c r="AC133" i="7"/>
  <c r="AA167" i="7"/>
  <c r="AA159" i="7"/>
  <c r="AA171" i="7"/>
  <c r="K165" i="7"/>
  <c r="K153" i="7"/>
  <c r="K145" i="7"/>
  <c r="K141" i="7"/>
  <c r="K85" i="7"/>
  <c r="K81" i="7"/>
  <c r="K73" i="7"/>
  <c r="K69" i="7"/>
  <c r="K45" i="7"/>
  <c r="K33" i="7"/>
  <c r="AR12" i="1" s="1"/>
  <c r="K9" i="7"/>
  <c r="AJ12" i="1" s="1"/>
  <c r="AJ16" i="1" s="1"/>
  <c r="Z167" i="7"/>
  <c r="Z159" i="7"/>
  <c r="Z171" i="7"/>
  <c r="AC132" i="7"/>
  <c r="AC93" i="7"/>
  <c r="AC85" i="7"/>
  <c r="AC77" i="7"/>
  <c r="AC69" i="7"/>
  <c r="AC166" i="7"/>
  <c r="Z164" i="7"/>
  <c r="AA161" i="7"/>
  <c r="N96" i="7"/>
  <c r="K96" i="7"/>
  <c r="BM12" i="1" s="1"/>
  <c r="O137" i="7"/>
  <c r="K6" i="7"/>
  <c r="AI12" i="1" s="1"/>
  <c r="O143" i="7"/>
  <c r="O23" i="7"/>
  <c r="Z146" i="7"/>
  <c r="K149" i="7"/>
  <c r="K113" i="7"/>
  <c r="K65" i="7"/>
  <c r="N29" i="7"/>
  <c r="K29" i="7"/>
  <c r="AA67" i="7"/>
  <c r="AC159" i="7"/>
  <c r="Z85" i="7"/>
  <c r="N90" i="7"/>
  <c r="K90" i="7"/>
  <c r="N125" i="7"/>
  <c r="K125" i="7"/>
  <c r="K83" i="7"/>
  <c r="K47" i="7"/>
  <c r="K17" i="7"/>
  <c r="K166" i="7"/>
  <c r="K160" i="7"/>
  <c r="K154" i="7"/>
  <c r="K148" i="7"/>
  <c r="K142" i="7"/>
  <c r="K136" i="7"/>
  <c r="N130" i="7"/>
  <c r="K130" i="7"/>
  <c r="N124" i="7"/>
  <c r="K124" i="7"/>
  <c r="N118" i="7"/>
  <c r="K118" i="7"/>
  <c r="K112" i="7"/>
  <c r="Q124" i="7" s="1"/>
  <c r="N106" i="7"/>
  <c r="K106" i="7"/>
  <c r="Q118" i="7" s="1"/>
  <c r="K100" i="7"/>
  <c r="N94" i="7"/>
  <c r="K94" i="7"/>
  <c r="N88" i="7"/>
  <c r="K88" i="7"/>
  <c r="N82" i="7"/>
  <c r="K82" i="7"/>
  <c r="K76" i="7"/>
  <c r="K70" i="7"/>
  <c r="N64" i="7"/>
  <c r="K64" i="7"/>
  <c r="N58" i="7"/>
  <c r="K58" i="7"/>
  <c r="K52" i="7"/>
  <c r="K46" i="7"/>
  <c r="K40" i="7"/>
  <c r="K34" i="7"/>
  <c r="N28" i="7"/>
  <c r="K28" i="7"/>
  <c r="N22" i="7"/>
  <c r="K22" i="7"/>
  <c r="K16" i="7"/>
  <c r="Q28" i="7" s="1"/>
  <c r="K10" i="7"/>
  <c r="AA144" i="7"/>
  <c r="N84" i="7"/>
  <c r="K84" i="7"/>
  <c r="Q84" i="7" s="1"/>
  <c r="N24" i="7"/>
  <c r="K24" i="7"/>
  <c r="AO12" i="1" s="1"/>
  <c r="K137" i="7"/>
  <c r="N107" i="7"/>
  <c r="K107" i="7"/>
  <c r="Q119" i="7" s="1"/>
  <c r="K77" i="7"/>
  <c r="K53" i="7"/>
  <c r="K35" i="7"/>
  <c r="AC134" i="7"/>
  <c r="N132" i="7"/>
  <c r="K132" i="7"/>
  <c r="BY12" i="1" s="1"/>
  <c r="AC74" i="7"/>
  <c r="K143" i="7"/>
  <c r="Q143" i="7" s="1"/>
  <c r="K101" i="7"/>
  <c r="N59" i="7"/>
  <c r="K59" i="7"/>
  <c r="Q59" i="7" s="1"/>
  <c r="K11" i="7"/>
  <c r="AA145" i="7"/>
  <c r="AA61" i="7"/>
  <c r="N135" i="7"/>
  <c r="K135" i="7"/>
  <c r="N129" i="7"/>
  <c r="K129" i="7"/>
  <c r="BX12" i="1" s="1"/>
  <c r="N123" i="7"/>
  <c r="K123" i="7"/>
  <c r="BV12" i="1" s="1"/>
  <c r="N117" i="7"/>
  <c r="K117" i="7"/>
  <c r="N111" i="7"/>
  <c r="K111" i="7"/>
  <c r="BR12" i="1" s="1"/>
  <c r="N105" i="7"/>
  <c r="K105" i="7"/>
  <c r="BP12" i="1" s="1"/>
  <c r="N99" i="7"/>
  <c r="K99" i="7"/>
  <c r="N93" i="7"/>
  <c r="K93" i="7"/>
  <c r="BL12" i="1" s="1"/>
  <c r="N87" i="7"/>
  <c r="K87" i="7"/>
  <c r="BJ12" i="1" s="1"/>
  <c r="N63" i="7"/>
  <c r="K63" i="7"/>
  <c r="BB12" i="1" s="1"/>
  <c r="N57" i="7"/>
  <c r="K57" i="7"/>
  <c r="AZ12" i="1" s="1"/>
  <c r="N27" i="7"/>
  <c r="K27" i="7"/>
  <c r="AP12" i="1" s="1"/>
  <c r="N21" i="7"/>
  <c r="K21" i="7"/>
  <c r="AC76" i="7"/>
  <c r="N126" i="7"/>
  <c r="K126" i="7"/>
  <c r="N60" i="7"/>
  <c r="K60" i="7"/>
  <c r="O29" i="7"/>
  <c r="AC98" i="7"/>
  <c r="K155" i="7"/>
  <c r="N95" i="7"/>
  <c r="K95" i="7"/>
  <c r="N30" i="7"/>
  <c r="K30" i="7"/>
  <c r="K161" i="7"/>
  <c r="Q173" i="7" s="1"/>
  <c r="N119" i="7"/>
  <c r="K119" i="7"/>
  <c r="K41" i="7"/>
  <c r="K164" i="7"/>
  <c r="K158" i="7"/>
  <c r="Q170" i="7" s="1"/>
  <c r="N170" i="7"/>
  <c r="K152" i="7"/>
  <c r="K146" i="7"/>
  <c r="K140" i="7"/>
  <c r="N134" i="7"/>
  <c r="K134" i="7"/>
  <c r="N128" i="7"/>
  <c r="K128" i="7"/>
  <c r="N122" i="7"/>
  <c r="K122" i="7"/>
  <c r="N116" i="7"/>
  <c r="K116" i="7"/>
  <c r="N110" i="7"/>
  <c r="K110" i="7"/>
  <c r="Q122" i="7" s="1"/>
  <c r="N104" i="7"/>
  <c r="N98" i="7"/>
  <c r="K98" i="7"/>
  <c r="N92" i="7"/>
  <c r="K92" i="7"/>
  <c r="K86" i="7"/>
  <c r="N80" i="7"/>
  <c r="K80" i="7"/>
  <c r="Q92" i="7" s="1"/>
  <c r="K74" i="7"/>
  <c r="K68" i="7"/>
  <c r="N62" i="7"/>
  <c r="K62" i="7"/>
  <c r="N56" i="7"/>
  <c r="K56" i="7"/>
  <c r="K50" i="7"/>
  <c r="K44" i="7"/>
  <c r="K38" i="7"/>
  <c r="K32" i="7"/>
  <c r="N26" i="7"/>
  <c r="K26" i="7"/>
  <c r="N20" i="7"/>
  <c r="K20" i="7"/>
  <c r="K14" i="7"/>
  <c r="K8" i="7"/>
  <c r="Q20" i="7" s="1"/>
  <c r="Z134" i="7"/>
  <c r="N120" i="7"/>
  <c r="K120" i="7"/>
  <c r="BU12" i="1" s="1"/>
  <c r="BU20" i="1" s="1"/>
  <c r="AA56" i="7"/>
  <c r="K167" i="7"/>
  <c r="N131" i="7"/>
  <c r="K131" i="7"/>
  <c r="Q131" i="7" s="1"/>
  <c r="N89" i="7"/>
  <c r="K89" i="7"/>
  <c r="N23" i="7"/>
  <c r="K23" i="7"/>
  <c r="AA55" i="7"/>
  <c r="Z157" i="7"/>
  <c r="Z169" i="7"/>
  <c r="Z27" i="7"/>
  <c r="Z142" i="7"/>
  <c r="N108" i="7"/>
  <c r="K108" i="7"/>
  <c r="BQ12" i="1" s="1"/>
  <c r="AA50" i="7"/>
  <c r="K71" i="7"/>
  <c r="Z107" i="7"/>
  <c r="Z29" i="7"/>
  <c r="K157" i="7"/>
  <c r="Q169" i="7" s="1"/>
  <c r="N169" i="7"/>
  <c r="N133" i="7"/>
  <c r="K133" i="7"/>
  <c r="N127" i="7"/>
  <c r="K127" i="7"/>
  <c r="N121" i="7"/>
  <c r="K121" i="7"/>
  <c r="N109" i="7"/>
  <c r="K109" i="7"/>
  <c r="Q121" i="7" s="1"/>
  <c r="N97" i="7"/>
  <c r="K97" i="7"/>
  <c r="N91" i="7"/>
  <c r="K91" i="7"/>
  <c r="N79" i="7"/>
  <c r="K79" i="7"/>
  <c r="N61" i="7"/>
  <c r="K61" i="7"/>
  <c r="K49" i="7"/>
  <c r="K43" i="7"/>
  <c r="K37" i="7"/>
  <c r="N31" i="7"/>
  <c r="K31" i="7"/>
  <c r="N25" i="7"/>
  <c r="K25" i="7"/>
  <c r="N19" i="7"/>
  <c r="K19" i="7"/>
  <c r="K13" i="7"/>
  <c r="K7" i="7"/>
  <c r="H192" i="7"/>
  <c r="AA152" i="7"/>
  <c r="Z154" i="7"/>
  <c r="O64" i="7"/>
  <c r="AC52" i="7"/>
  <c r="AC53" i="7"/>
  <c r="AC54" i="7"/>
  <c r="AC56" i="7"/>
  <c r="AC57" i="7"/>
  <c r="AC58" i="7"/>
  <c r="AC60" i="7"/>
  <c r="AC61" i="7"/>
  <c r="AC62" i="7"/>
  <c r="Z147" i="7"/>
  <c r="Z135" i="7"/>
  <c r="AA147" i="7"/>
  <c r="AA135" i="7"/>
  <c r="AA148" i="7"/>
  <c r="AA136" i="7"/>
  <c r="Z150" i="7"/>
  <c r="Z138" i="7"/>
  <c r="Z144" i="7"/>
  <c r="N65" i="7"/>
  <c r="O65" i="7"/>
  <c r="N66" i="7"/>
  <c r="O66" i="7"/>
  <c r="N67" i="7"/>
  <c r="O67" i="7"/>
  <c r="N68" i="7"/>
  <c r="O68" i="7"/>
  <c r="N69" i="7"/>
  <c r="O69" i="7"/>
  <c r="N70" i="7"/>
  <c r="O70" i="7"/>
  <c r="N71" i="7"/>
  <c r="O71" i="7"/>
  <c r="N72" i="7"/>
  <c r="O72" i="7"/>
  <c r="N73" i="7"/>
  <c r="O73" i="7"/>
  <c r="O74" i="7"/>
  <c r="O75" i="7"/>
  <c r="O76" i="7"/>
  <c r="Z151" i="7"/>
  <c r="Z139" i="7"/>
  <c r="AA151" i="7"/>
  <c r="AA139" i="7"/>
  <c r="N77" i="7"/>
  <c r="AA146" i="7"/>
  <c r="Z148" i="7"/>
  <c r="Z149" i="7"/>
  <c r="Z152" i="7"/>
  <c r="AA153" i="7"/>
  <c r="AA154" i="7"/>
  <c r="Z141" i="7"/>
  <c r="Z153" i="7"/>
  <c r="Z155" i="7"/>
  <c r="Z143" i="7"/>
  <c r="AA155" i="7"/>
  <c r="AA143" i="7"/>
  <c r="O31" i="7"/>
  <c r="O43" i="7"/>
  <c r="N32" i="7"/>
  <c r="N44" i="7"/>
  <c r="O44" i="7"/>
  <c r="O32" i="7"/>
  <c r="N45" i="7"/>
  <c r="N33" i="7"/>
  <c r="O33" i="7"/>
  <c r="O45" i="7"/>
  <c r="N46" i="7"/>
  <c r="N34" i="7"/>
  <c r="O46" i="7"/>
  <c r="O34" i="7"/>
  <c r="N47" i="7"/>
  <c r="N35" i="7"/>
  <c r="O35" i="7"/>
  <c r="O47" i="7"/>
  <c r="N48" i="7"/>
  <c r="N36" i="7"/>
  <c r="O36" i="7"/>
  <c r="O48" i="7"/>
  <c r="N37" i="7"/>
  <c r="N49" i="7"/>
  <c r="O37" i="7"/>
  <c r="O49" i="7"/>
  <c r="N50" i="7"/>
  <c r="N38" i="7"/>
  <c r="O38" i="7"/>
  <c r="O50" i="7"/>
  <c r="N51" i="7"/>
  <c r="N39" i="7"/>
  <c r="O51" i="7"/>
  <c r="O39" i="7"/>
  <c r="N40" i="7"/>
  <c r="N52" i="7"/>
  <c r="O52" i="7"/>
  <c r="O40" i="7"/>
  <c r="N53" i="7"/>
  <c r="N41" i="7"/>
  <c r="O53" i="7"/>
  <c r="O41" i="7"/>
  <c r="N42" i="7"/>
  <c r="N54" i="7"/>
  <c r="O42" i="7"/>
  <c r="O54" i="7"/>
  <c r="N55" i="7"/>
  <c r="N43" i="7"/>
  <c r="AA122" i="7"/>
  <c r="Z124" i="7"/>
  <c r="Z125" i="7"/>
  <c r="Z128" i="7"/>
  <c r="AA130" i="7"/>
  <c r="Z132" i="7"/>
  <c r="Z133" i="7"/>
  <c r="O18" i="7"/>
  <c r="W17" i="7"/>
  <c r="W18" i="7"/>
  <c r="AC30" i="7" s="1"/>
  <c r="W19" i="7"/>
  <c r="AC31" i="7" s="1"/>
  <c r="W20" i="7"/>
  <c r="AC32" i="7" s="1"/>
  <c r="W21" i="7"/>
  <c r="AC33" i="7" s="1"/>
  <c r="W22" i="7"/>
  <c r="AC34" i="7" s="1"/>
  <c r="W23" i="7"/>
  <c r="AC35" i="7" s="1"/>
  <c r="W24" i="7"/>
  <c r="AC36" i="7" s="1"/>
  <c r="W25" i="7"/>
  <c r="AC37" i="7" s="1"/>
  <c r="W26" i="7"/>
  <c r="AC38" i="7" s="1"/>
  <c r="W27" i="7"/>
  <c r="AC39" i="7" s="1"/>
  <c r="W28" i="7"/>
  <c r="AC40" i="7" s="1"/>
  <c r="W29" i="7"/>
  <c r="W168" i="7"/>
  <c r="AC168" i="7" s="1"/>
  <c r="N74" i="7"/>
  <c r="N75" i="7"/>
  <c r="N76" i="7"/>
  <c r="N78" i="7"/>
  <c r="N81" i="7"/>
  <c r="N83" i="7"/>
  <c r="N85" i="7"/>
  <c r="N86" i="7"/>
  <c r="O101" i="7"/>
  <c r="D102" i="7"/>
  <c r="AC149" i="7"/>
  <c r="AC137" i="7"/>
  <c r="AC150" i="7"/>
  <c r="AC138" i="7"/>
  <c r="AC152" i="7"/>
  <c r="AC140" i="7"/>
  <c r="AC153" i="7"/>
  <c r="AC141" i="7"/>
  <c r="AC154" i="7"/>
  <c r="AC142" i="7"/>
  <c r="AC144" i="7"/>
  <c r="AC156" i="7"/>
  <c r="AC157" i="7"/>
  <c r="AC145" i="7"/>
  <c r="AC158" i="7"/>
  <c r="AC146" i="7"/>
  <c r="AC148" i="7"/>
  <c r="AC160" i="7"/>
  <c r="AC70" i="7"/>
  <c r="AC42" i="7"/>
  <c r="AC44" i="7"/>
  <c r="AC45" i="7"/>
  <c r="AC46" i="7"/>
  <c r="AC48" i="7"/>
  <c r="AC49" i="7"/>
  <c r="AC50" i="7"/>
  <c r="AA30" i="7"/>
  <c r="AC59" i="7"/>
  <c r="AC67" i="7"/>
  <c r="AC83" i="7"/>
  <c r="AC91" i="7"/>
  <c r="AA121" i="7"/>
  <c r="AC131" i="7"/>
  <c r="AC139" i="7"/>
  <c r="AC155" i="7"/>
  <c r="O114" i="7"/>
  <c r="AC75" i="7"/>
  <c r="AC78" i="7"/>
  <c r="Z84" i="7"/>
  <c r="AC99" i="7"/>
  <c r="AA117" i="7"/>
  <c r="AA119" i="7"/>
  <c r="AA133" i="7"/>
  <c r="AC147" i="7"/>
  <c r="AA149" i="7"/>
  <c r="AC163" i="7"/>
  <c r="Z33" i="7"/>
  <c r="AA38" i="7"/>
  <c r="AC43" i="7"/>
  <c r="AC51" i="7"/>
  <c r="AA113" i="7"/>
  <c r="AA125" i="7"/>
  <c r="AA141" i="7"/>
  <c r="Z156" i="7"/>
  <c r="Z168" i="7"/>
  <c r="N18" i="7"/>
  <c r="AQ12" i="1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68" i="7"/>
  <c r="O156" i="7"/>
  <c r="O168" i="7"/>
  <c r="N157" i="7"/>
  <c r="H181" i="7"/>
  <c r="O157" i="7"/>
  <c r="N158" i="7"/>
  <c r="H182" i="7"/>
  <c r="O158" i="7"/>
  <c r="N159" i="7"/>
  <c r="O159" i="7"/>
  <c r="N160" i="7"/>
  <c r="O160" i="7"/>
  <c r="N161" i="7"/>
  <c r="O161" i="7"/>
  <c r="N162" i="7"/>
  <c r="H174" i="7"/>
  <c r="O162" i="7"/>
  <c r="I174" i="7"/>
  <c r="N163" i="7"/>
  <c r="H175" i="7"/>
  <c r="O163" i="7"/>
  <c r="I175" i="7"/>
  <c r="H176" i="7"/>
  <c r="N164" i="7"/>
  <c r="O164" i="7"/>
  <c r="I176" i="7"/>
  <c r="N165" i="7"/>
  <c r="H177" i="7"/>
  <c r="I177" i="7"/>
  <c r="O165" i="7"/>
  <c r="N166" i="7"/>
  <c r="H178" i="7"/>
  <c r="I178" i="7"/>
  <c r="O166" i="7"/>
  <c r="H179" i="7"/>
  <c r="N167" i="7"/>
  <c r="I179" i="7"/>
  <c r="O167" i="7"/>
  <c r="W16" i="7"/>
  <c r="W15" i="7"/>
  <c r="I180" i="7"/>
  <c r="K180" i="7" s="1"/>
  <c r="O115" i="7"/>
  <c r="O113" i="7"/>
  <c r="O112" i="7"/>
  <c r="O102" i="7"/>
  <c r="W101" i="7"/>
  <c r="N103" i="7"/>
  <c r="N115" i="7"/>
  <c r="N113" i="7"/>
  <c r="Z119" i="7"/>
  <c r="N100" i="7"/>
  <c r="N102" i="7"/>
  <c r="W100" i="7"/>
  <c r="N112" i="7"/>
  <c r="Z116" i="7"/>
  <c r="N101" i="7"/>
  <c r="N114" i="7"/>
  <c r="AC47" i="7"/>
  <c r="Z41" i="7"/>
  <c r="AC55" i="7"/>
  <c r="Z49" i="7"/>
  <c r="AC63" i="7"/>
  <c r="Z57" i="7"/>
  <c r="AC71" i="7"/>
  <c r="Z65" i="7"/>
  <c r="AC79" i="7"/>
  <c r="Z73" i="7"/>
  <c r="AC87" i="7"/>
  <c r="Z81" i="7"/>
  <c r="AC95" i="7"/>
  <c r="AC86" i="7"/>
  <c r="Z89" i="7"/>
  <c r="AC94" i="7"/>
  <c r="Z97" i="7"/>
  <c r="Z105" i="7"/>
  <c r="Z113" i="7"/>
  <c r="AC127" i="7"/>
  <c r="Z121" i="7"/>
  <c r="AC135" i="7"/>
  <c r="Z129" i="7"/>
  <c r="AC143" i="7"/>
  <c r="Z137" i="7"/>
  <c r="AC151" i="7"/>
  <c r="Z145" i="7"/>
  <c r="AA166" i="7"/>
  <c r="AA46" i="7"/>
  <c r="AA54" i="7"/>
  <c r="AA62" i="7"/>
  <c r="AA70" i="7"/>
  <c r="AA78" i="7"/>
  <c r="AA86" i="7"/>
  <c r="Z92" i="7"/>
  <c r="AA94" i="7"/>
  <c r="Z100" i="7"/>
  <c r="AA102" i="7"/>
  <c r="AA110" i="7"/>
  <c r="AA118" i="7"/>
  <c r="AA126" i="7"/>
  <c r="AA134" i="7"/>
  <c r="AA142" i="7"/>
  <c r="AA150" i="7"/>
  <c r="Z161" i="7"/>
  <c r="AA158" i="7"/>
  <c r="AA27" i="7"/>
  <c r="Z34" i="7"/>
  <c r="Q127" i="7" l="1"/>
  <c r="Q43" i="7"/>
  <c r="Q40" i="7"/>
  <c r="AA93" i="1"/>
  <c r="AA94" i="1"/>
  <c r="Q24" i="7"/>
  <c r="Q137" i="7"/>
  <c r="Q136" i="7"/>
  <c r="Q70" i="7"/>
  <c r="Q126" i="7"/>
  <c r="Q60" i="7"/>
  <c r="Q155" i="7"/>
  <c r="Q161" i="7"/>
  <c r="Q134" i="7"/>
  <c r="Q89" i="7"/>
  <c r="Q55" i="7"/>
  <c r="Q135" i="7"/>
  <c r="BE12" i="1"/>
  <c r="Q72" i="7"/>
  <c r="Q48" i="7"/>
  <c r="AW12" i="1"/>
  <c r="AY12" i="1"/>
  <c r="Q54" i="7"/>
  <c r="AU12" i="1"/>
  <c r="AU16" i="1" s="1"/>
  <c r="Q42" i="7"/>
  <c r="BH12" i="1"/>
  <c r="Q81" i="7"/>
  <c r="BD12" i="1"/>
  <c r="Q69" i="7"/>
  <c r="AV12" i="1"/>
  <c r="AV20" i="1" s="1"/>
  <c r="Q57" i="7"/>
  <c r="Q67" i="7"/>
  <c r="Q142" i="7"/>
  <c r="BI12" i="1"/>
  <c r="Q132" i="7"/>
  <c r="Q148" i="7"/>
  <c r="Q139" i="7"/>
  <c r="Q46" i="7"/>
  <c r="BW12" i="1"/>
  <c r="BW13" i="1" s="1"/>
  <c r="AS13" i="1"/>
  <c r="Q120" i="7"/>
  <c r="Q61" i="7"/>
  <c r="Q44" i="7"/>
  <c r="Q78" i="7"/>
  <c r="Q50" i="7"/>
  <c r="Q52" i="7"/>
  <c r="BY13" i="1"/>
  <c r="Q51" i="7"/>
  <c r="Q79" i="7"/>
  <c r="Q32" i="7"/>
  <c r="Q128" i="7"/>
  <c r="Q140" i="7"/>
  <c r="Q117" i="7"/>
  <c r="Q58" i="7"/>
  <c r="Q130" i="7"/>
  <c r="Q65" i="7"/>
  <c r="Q108" i="7"/>
  <c r="Q96" i="7"/>
  <c r="Q36" i="7"/>
  <c r="Q154" i="7"/>
  <c r="Q90" i="7"/>
  <c r="Q21" i="7"/>
  <c r="Q75" i="7"/>
  <c r="Q45" i="7"/>
  <c r="Q86" i="7"/>
  <c r="Q93" i="7"/>
  <c r="AW13" i="1"/>
  <c r="Q38" i="7"/>
  <c r="Q123" i="7"/>
  <c r="Q106" i="7"/>
  <c r="Q149" i="7"/>
  <c r="Q66" i="7"/>
  <c r="BL13" i="1"/>
  <c r="BL16" i="1"/>
  <c r="BV13" i="1"/>
  <c r="Q41" i="7"/>
  <c r="Q56" i="7"/>
  <c r="Q22" i="7"/>
  <c r="BU16" i="1"/>
  <c r="BU21" i="1" s="1"/>
  <c r="Q151" i="7"/>
  <c r="BT12" i="1"/>
  <c r="BV7" i="1" s="1"/>
  <c r="Q129" i="7"/>
  <c r="BK12" i="1"/>
  <c r="BK20" i="1" s="1"/>
  <c r="Q39" i="7"/>
  <c r="Q91" i="7"/>
  <c r="AU20" i="1"/>
  <c r="AU21" i="1" s="1"/>
  <c r="BG13" i="1"/>
  <c r="Q37" i="7"/>
  <c r="Q23" i="7"/>
  <c r="Q35" i="7"/>
  <c r="Q87" i="7"/>
  <c r="BF12" i="1"/>
  <c r="BG7" i="1" s="1"/>
  <c r="BA12" i="1"/>
  <c r="BE13" i="1" s="1"/>
  <c r="Q49" i="7"/>
  <c r="Q133" i="7"/>
  <c r="Q107" i="7"/>
  <c r="Q53" i="7"/>
  <c r="Q34" i="7"/>
  <c r="Q82" i="7"/>
  <c r="Q146" i="7"/>
  <c r="Q110" i="7"/>
  <c r="Q152" i="7"/>
  <c r="Q111" i="7"/>
  <c r="Q160" i="7"/>
  <c r="Q172" i="7"/>
  <c r="Q77" i="7"/>
  <c r="Q47" i="7"/>
  <c r="Q19" i="7"/>
  <c r="AT16" i="1"/>
  <c r="AT21" i="1" s="1"/>
  <c r="Q68" i="7"/>
  <c r="Q29" i="7"/>
  <c r="BL20" i="1"/>
  <c r="AJ20" i="1"/>
  <c r="AJ21" i="1" s="1"/>
  <c r="H191" i="7"/>
  <c r="K179" i="7"/>
  <c r="Q179" i="7" s="1"/>
  <c r="H188" i="7"/>
  <c r="K176" i="7"/>
  <c r="Q176" i="7" s="1"/>
  <c r="H185" i="7"/>
  <c r="Q158" i="7"/>
  <c r="Q109" i="7"/>
  <c r="Q26" i="7"/>
  <c r="BZ12" i="1"/>
  <c r="BZ16" i="1" s="1"/>
  <c r="H190" i="7"/>
  <c r="K178" i="7"/>
  <c r="Q178" i="7" s="1"/>
  <c r="H187" i="7"/>
  <c r="K175" i="7"/>
  <c r="Q175" i="7" s="1"/>
  <c r="Q105" i="7"/>
  <c r="Q125" i="7"/>
  <c r="AN12" i="1"/>
  <c r="AR13" i="1" s="1"/>
  <c r="Q31" i="7"/>
  <c r="H183" i="7"/>
  <c r="BC16" i="1"/>
  <c r="BC21" i="1" s="1"/>
  <c r="Q145" i="7"/>
  <c r="Q99" i="7"/>
  <c r="Q63" i="7"/>
  <c r="Q27" i="7"/>
  <c r="Q33" i="7"/>
  <c r="BC13" i="1"/>
  <c r="H184" i="7"/>
  <c r="Q157" i="7"/>
  <c r="BN12" i="1"/>
  <c r="BN13" i="1" s="1"/>
  <c r="AU13" i="1"/>
  <c r="H189" i="7"/>
  <c r="K177" i="7"/>
  <c r="H186" i="7"/>
  <c r="K174" i="7"/>
  <c r="E102" i="7"/>
  <c r="W107" i="7" s="1"/>
  <c r="V108" i="7"/>
  <c r="V104" i="7"/>
  <c r="J103" i="7"/>
  <c r="V109" i="7"/>
  <c r="V110" i="7"/>
  <c r="V111" i="7"/>
  <c r="V112" i="7"/>
  <c r="V113" i="7"/>
  <c r="V107" i="7"/>
  <c r="V102" i="7"/>
  <c r="V103" i="7"/>
  <c r="J102" i="7"/>
  <c r="V105" i="7"/>
  <c r="J104" i="7"/>
  <c r="V106" i="7"/>
  <c r="N12" i="1"/>
  <c r="N20" i="1" s="1"/>
  <c r="BB16" i="1"/>
  <c r="BE7" i="1"/>
  <c r="AX13" i="1"/>
  <c r="AT13" i="1"/>
  <c r="AS7" i="1"/>
  <c r="AL20" i="1"/>
  <c r="AI20" i="1"/>
  <c r="AL7" i="1"/>
  <c r="AR7" i="1"/>
  <c r="BM13" i="1"/>
  <c r="BU13" i="1"/>
  <c r="AZ13" i="1"/>
  <c r="BP13" i="1"/>
  <c r="BH13" i="1"/>
  <c r="BD20" i="1"/>
  <c r="AV16" i="1"/>
  <c r="AV21" i="1" s="1"/>
  <c r="AY7" i="1"/>
  <c r="P12" i="1"/>
  <c r="AU7" i="1"/>
  <c r="BS20" i="1"/>
  <c r="AK20" i="1"/>
  <c r="BX7" i="1"/>
  <c r="AT7" i="1"/>
  <c r="AW20" i="1"/>
  <c r="AZ7" i="1"/>
  <c r="BB20" i="1"/>
  <c r="BS7" i="1"/>
  <c r="BJ7" i="1"/>
  <c r="AX7" i="1"/>
  <c r="AX9" i="1" s="1"/>
  <c r="AW7" i="1"/>
  <c r="AI16" i="1"/>
  <c r="AO13" i="1"/>
  <c r="BQ13" i="1"/>
  <c r="Q12" i="1"/>
  <c r="AL16" i="1"/>
  <c r="AP13" i="1"/>
  <c r="BD13" i="1"/>
  <c r="T12" i="1"/>
  <c r="BD16" i="1"/>
  <c r="BD21" i="1" s="1"/>
  <c r="BS16" i="1"/>
  <c r="AW16" i="1"/>
  <c r="AK16" i="1"/>
  <c r="BB13" i="1"/>
  <c r="H194" i="7"/>
  <c r="H193" i="7"/>
  <c r="H204" i="7"/>
  <c r="Q113" i="7"/>
  <c r="Q163" i="7"/>
  <c r="Q164" i="7"/>
  <c r="AQ20" i="1"/>
  <c r="AQ16" i="1"/>
  <c r="AR20" i="1"/>
  <c r="AR16" i="1"/>
  <c r="AS16" i="1"/>
  <c r="AS20" i="1"/>
  <c r="AZ20" i="1"/>
  <c r="AZ16" i="1"/>
  <c r="BG20" i="1"/>
  <c r="BG16" i="1"/>
  <c r="BJ20" i="1"/>
  <c r="BJ16" i="1"/>
  <c r="BP16" i="1"/>
  <c r="BP20" i="1"/>
  <c r="BQ20" i="1"/>
  <c r="BQ16" i="1"/>
  <c r="BR20" i="1"/>
  <c r="BR16" i="1"/>
  <c r="BX16" i="1"/>
  <c r="BX20" i="1"/>
  <c r="BY20" i="1"/>
  <c r="BY16" i="1"/>
  <c r="Q166" i="7"/>
  <c r="Q101" i="7"/>
  <c r="AO20" i="1"/>
  <c r="AO16" i="1"/>
  <c r="AP20" i="1"/>
  <c r="AP16" i="1"/>
  <c r="AX20" i="1"/>
  <c r="AX16" i="1"/>
  <c r="BM20" i="1"/>
  <c r="BM16" i="1"/>
  <c r="BV20" i="1"/>
  <c r="BV16" i="1"/>
  <c r="Q98" i="7"/>
  <c r="Q167" i="7"/>
  <c r="AC28" i="7"/>
  <c r="AC27" i="7"/>
  <c r="Q88" i="7"/>
  <c r="Q95" i="7"/>
  <c r="Q25" i="7"/>
  <c r="Q97" i="7"/>
  <c r="AC29" i="7"/>
  <c r="AC41" i="7"/>
  <c r="Q100" i="7"/>
  <c r="Q112" i="7"/>
  <c r="Q74" i="7"/>
  <c r="Q62" i="7"/>
  <c r="Q76" i="7"/>
  <c r="Q64" i="7"/>
  <c r="Q83" i="7"/>
  <c r="Q71" i="7"/>
  <c r="Q85" i="7"/>
  <c r="Q73" i="7"/>
  <c r="Q80" i="7"/>
  <c r="Q94" i="7"/>
  <c r="AM12" i="1"/>
  <c r="Q18" i="7"/>
  <c r="Q138" i="7"/>
  <c r="CA12" i="1"/>
  <c r="Q141" i="7"/>
  <c r="CB12" i="1"/>
  <c r="Q144" i="7"/>
  <c r="CC12" i="1"/>
  <c r="Q147" i="7"/>
  <c r="CD12" i="1"/>
  <c r="Q150" i="7"/>
  <c r="CE12" i="1"/>
  <c r="Q153" i="7"/>
  <c r="CF12" i="1"/>
  <c r="Q156" i="7"/>
  <c r="CG12" i="1"/>
  <c r="CK13" i="1" s="1"/>
  <c r="Q168" i="7"/>
  <c r="I181" i="7"/>
  <c r="K181" i="7" s="1"/>
  <c r="I182" i="7"/>
  <c r="K182" i="7" s="1"/>
  <c r="Q159" i="7"/>
  <c r="CH12" i="1"/>
  <c r="I183" i="7"/>
  <c r="I184" i="7"/>
  <c r="I185" i="7"/>
  <c r="Q162" i="7"/>
  <c r="CI12" i="1"/>
  <c r="I186" i="7"/>
  <c r="I187" i="7"/>
  <c r="I188" i="7"/>
  <c r="Q165" i="7"/>
  <c r="CJ12" i="1"/>
  <c r="I189" i="7"/>
  <c r="I190" i="7"/>
  <c r="I191" i="7"/>
  <c r="I192" i="7"/>
  <c r="K192" i="7" s="1"/>
  <c r="AC101" i="7"/>
  <c r="AC100" i="7"/>
  <c r="AY13" i="1" l="1"/>
  <c r="AV13" i="1"/>
  <c r="AY20" i="1"/>
  <c r="AY16" i="1"/>
  <c r="BE16" i="1"/>
  <c r="BE20" i="1"/>
  <c r="BH20" i="1"/>
  <c r="BH16" i="1"/>
  <c r="BI13" i="1"/>
  <c r="BI20" i="1"/>
  <c r="BI16" i="1"/>
  <c r="W103" i="7"/>
  <c r="W111" i="7"/>
  <c r="BT13" i="1"/>
  <c r="AV7" i="1"/>
  <c r="CK7" i="1"/>
  <c r="AA111" i="1"/>
  <c r="AA128" i="1" s="1"/>
  <c r="AA112" i="1"/>
  <c r="AA129" i="1" s="1"/>
  <c r="AA110" i="1"/>
  <c r="AA127" i="1" s="1"/>
  <c r="BY7" i="1"/>
  <c r="BW16" i="1"/>
  <c r="BW20" i="1"/>
  <c r="BK13" i="1"/>
  <c r="BE21" i="1"/>
  <c r="N7" i="1"/>
  <c r="BL7" i="1"/>
  <c r="W12" i="1"/>
  <c r="W7" i="1" s="1"/>
  <c r="AN16" i="1"/>
  <c r="AQ7" i="1"/>
  <c r="AU9" i="1" s="1"/>
  <c r="BZ13" i="1"/>
  <c r="AN13" i="1"/>
  <c r="BL21" i="1"/>
  <c r="BX13" i="1"/>
  <c r="BZ7" i="1"/>
  <c r="BZ9" i="1" s="1"/>
  <c r="BT7" i="1"/>
  <c r="BZ20" i="1"/>
  <c r="BZ21" i="1" s="1"/>
  <c r="BW7" i="1"/>
  <c r="AP7" i="1"/>
  <c r="AT9" i="1" s="1"/>
  <c r="BH7" i="1"/>
  <c r="BF16" i="1"/>
  <c r="BQ21" i="1"/>
  <c r="AQ21" i="1"/>
  <c r="BU7" i="1"/>
  <c r="BY9" i="1" s="1"/>
  <c r="Q13" i="1"/>
  <c r="BH21" i="1"/>
  <c r="BX21" i="1"/>
  <c r="BP21" i="1"/>
  <c r="AL21" i="1"/>
  <c r="BF13" i="1"/>
  <c r="AZ21" i="1"/>
  <c r="BB21" i="1"/>
  <c r="BB7" i="1"/>
  <c r="BB9" i="1" s="1"/>
  <c r="BA7" i="1"/>
  <c r="BA9" i="1" s="1"/>
  <c r="R12" i="1"/>
  <c r="R20" i="1" s="1"/>
  <c r="AW21" i="1"/>
  <c r="BF20" i="1"/>
  <c r="AI21" i="1"/>
  <c r="BF7" i="1"/>
  <c r="W112" i="7"/>
  <c r="BY21" i="1"/>
  <c r="AW9" i="1"/>
  <c r="U12" i="1"/>
  <c r="U13" i="1" s="1"/>
  <c r="BA20" i="1"/>
  <c r="BD7" i="1"/>
  <c r="BD9" i="1" s="1"/>
  <c r="W105" i="7"/>
  <c r="AC105" i="7" s="1"/>
  <c r="BS21" i="1"/>
  <c r="BN7" i="1"/>
  <c r="BN9" i="1" s="1"/>
  <c r="W110" i="7"/>
  <c r="AC110" i="7" s="1"/>
  <c r="AX21" i="1"/>
  <c r="BA13" i="1"/>
  <c r="BC7" i="1"/>
  <c r="BC9" i="1" s="1"/>
  <c r="W106" i="7"/>
  <c r="AC106" i="7" s="1"/>
  <c r="AZ9" i="1"/>
  <c r="AK21" i="1"/>
  <c r="BJ13" i="1"/>
  <c r="BK16" i="1"/>
  <c r="BK21" i="1" s="1"/>
  <c r="BT16" i="1"/>
  <c r="BT20" i="1"/>
  <c r="BT21" i="1" s="1"/>
  <c r="W108" i="7"/>
  <c r="AC120" i="7" s="1"/>
  <c r="W113" i="7"/>
  <c r="AC113" i="7" s="1"/>
  <c r="BA16" i="1"/>
  <c r="S12" i="1"/>
  <c r="S7" i="1" s="1"/>
  <c r="W104" i="7"/>
  <c r="AC116" i="7" s="1"/>
  <c r="BI7" i="1"/>
  <c r="BI9" i="1" s="1"/>
  <c r="BM7" i="1"/>
  <c r="W102" i="7"/>
  <c r="AC114" i="7" s="1"/>
  <c r="W109" i="7"/>
  <c r="AC121" i="7" s="1"/>
  <c r="BR13" i="1"/>
  <c r="BK7" i="1"/>
  <c r="BK9" i="1" s="1"/>
  <c r="AB102" i="7"/>
  <c r="AB114" i="7"/>
  <c r="H198" i="7"/>
  <c r="K186" i="7"/>
  <c r="AB107" i="7"/>
  <c r="AB119" i="7"/>
  <c r="H199" i="7"/>
  <c r="K187" i="7"/>
  <c r="Q187" i="7" s="1"/>
  <c r="H197" i="7"/>
  <c r="K185" i="7"/>
  <c r="Q185" i="7" s="1"/>
  <c r="CD7" i="1"/>
  <c r="AB110" i="7"/>
  <c r="AB122" i="7"/>
  <c r="H203" i="7"/>
  <c r="K191" i="7"/>
  <c r="Q191" i="7" s="1"/>
  <c r="AB125" i="7"/>
  <c r="AB113" i="7"/>
  <c r="BR21" i="1"/>
  <c r="AB109" i="7"/>
  <c r="AB121" i="7"/>
  <c r="H195" i="7"/>
  <c r="K183" i="7"/>
  <c r="H201" i="7"/>
  <c r="K189" i="7"/>
  <c r="AB111" i="7"/>
  <c r="AB123" i="7"/>
  <c r="BN16" i="1"/>
  <c r="AY9" i="1"/>
  <c r="AB106" i="7"/>
  <c r="AB118" i="7"/>
  <c r="P103" i="7"/>
  <c r="P115" i="7"/>
  <c r="K103" i="7"/>
  <c r="H196" i="7"/>
  <c r="K184" i="7"/>
  <c r="Q184" i="7" s="1"/>
  <c r="AR21" i="1"/>
  <c r="P104" i="7"/>
  <c r="P116" i="7"/>
  <c r="K104" i="7"/>
  <c r="AB104" i="7"/>
  <c r="AB116" i="7"/>
  <c r="AB112" i="7"/>
  <c r="AB124" i="7"/>
  <c r="H202" i="7"/>
  <c r="K190" i="7"/>
  <c r="Q190" i="7" s="1"/>
  <c r="AN20" i="1"/>
  <c r="AB105" i="7"/>
  <c r="AB117" i="7"/>
  <c r="AB108" i="7"/>
  <c r="AB120" i="7"/>
  <c r="X12" i="1"/>
  <c r="P102" i="7"/>
  <c r="P114" i="7"/>
  <c r="K102" i="7"/>
  <c r="H200" i="7"/>
  <c r="K188" i="7"/>
  <c r="Q188" i="7" s="1"/>
  <c r="BN20" i="1"/>
  <c r="AB103" i="7"/>
  <c r="AB115" i="7"/>
  <c r="CH7" i="1"/>
  <c r="BM21" i="1"/>
  <c r="BI21" i="1"/>
  <c r="AS21" i="1"/>
  <c r="CA7" i="1"/>
  <c r="P20" i="1"/>
  <c r="P7" i="1"/>
  <c r="CC7" i="1"/>
  <c r="AO7" i="1"/>
  <c r="AS9" i="1" s="1"/>
  <c r="CG7" i="1"/>
  <c r="Q20" i="1"/>
  <c r="Q7" i="1"/>
  <c r="CB7" i="1"/>
  <c r="CB9" i="1" s="1"/>
  <c r="AN7" i="1"/>
  <c r="AR9" i="1" s="1"/>
  <c r="CJ7" i="1"/>
  <c r="CF7" i="1"/>
  <c r="AM7" i="1"/>
  <c r="BG21" i="1"/>
  <c r="CI7" i="1"/>
  <c r="CE7" i="1"/>
  <c r="AP21" i="1"/>
  <c r="BJ21" i="1"/>
  <c r="T20" i="1"/>
  <c r="T7" i="1"/>
  <c r="H206" i="7"/>
  <c r="H205" i="7"/>
  <c r="H216" i="7"/>
  <c r="AO21" i="1"/>
  <c r="BV21" i="1"/>
  <c r="AC119" i="7"/>
  <c r="AC107" i="7"/>
  <c r="AM13" i="1"/>
  <c r="O12" i="1"/>
  <c r="O7" i="1" s="1"/>
  <c r="AQ13" i="1"/>
  <c r="AM20" i="1"/>
  <c r="AM16" i="1"/>
  <c r="CA16" i="1"/>
  <c r="CA13" i="1"/>
  <c r="CA20" i="1"/>
  <c r="Y12" i="1"/>
  <c r="Y7" i="1" s="1"/>
  <c r="CB13" i="1"/>
  <c r="CB16" i="1"/>
  <c r="CB20" i="1"/>
  <c r="CC13" i="1"/>
  <c r="CC16" i="1"/>
  <c r="CC20" i="1"/>
  <c r="CD13" i="1"/>
  <c r="CD16" i="1"/>
  <c r="CD20" i="1"/>
  <c r="CE13" i="1"/>
  <c r="CE20" i="1"/>
  <c r="Z12" i="1"/>
  <c r="Z7" i="1" s="1"/>
  <c r="CE16" i="1"/>
  <c r="CF13" i="1"/>
  <c r="CF16" i="1"/>
  <c r="CF20" i="1"/>
  <c r="CG16" i="1"/>
  <c r="CG13" i="1"/>
  <c r="CG20" i="1"/>
  <c r="Q181" i="7"/>
  <c r="I193" i="7"/>
  <c r="K193" i="7" s="1"/>
  <c r="Q182" i="7"/>
  <c r="I194" i="7"/>
  <c r="K194" i="7" s="1"/>
  <c r="CH13" i="1"/>
  <c r="CH16" i="1"/>
  <c r="CH20" i="1"/>
  <c r="CL12" i="1"/>
  <c r="I195" i="7"/>
  <c r="I196" i="7"/>
  <c r="I197" i="7"/>
  <c r="CI13" i="1"/>
  <c r="CI20" i="1"/>
  <c r="CI16" i="1"/>
  <c r="I198" i="7"/>
  <c r="CM12" i="1"/>
  <c r="Q174" i="7"/>
  <c r="I199" i="7"/>
  <c r="I200" i="7"/>
  <c r="CJ13" i="1"/>
  <c r="CN12" i="1"/>
  <c r="Q177" i="7"/>
  <c r="I201" i="7"/>
  <c r="I202" i="7"/>
  <c r="I203" i="7"/>
  <c r="Q180" i="7"/>
  <c r="CO12" i="1"/>
  <c r="I204" i="7"/>
  <c r="K204" i="7" s="1"/>
  <c r="AY21" i="1" l="1"/>
  <c r="AC123" i="7"/>
  <c r="AC111" i="7"/>
  <c r="AC115" i="7"/>
  <c r="AC103" i="7"/>
  <c r="AC124" i="7"/>
  <c r="AC112" i="7"/>
  <c r="BX9" i="1"/>
  <c r="BW9" i="1"/>
  <c r="AV9" i="1"/>
  <c r="X13" i="1"/>
  <c r="CA9" i="1"/>
  <c r="CC9" i="1"/>
  <c r="CK9" i="1"/>
  <c r="AQ9" i="1"/>
  <c r="BW21" i="1"/>
  <c r="O9" i="1"/>
  <c r="BF21" i="1"/>
  <c r="BL9" i="1"/>
  <c r="CL13" i="1"/>
  <c r="CL7" i="1"/>
  <c r="CL9" i="1" s="1"/>
  <c r="BE9" i="1"/>
  <c r="U20" i="1"/>
  <c r="AP9" i="1"/>
  <c r="AC108" i="7"/>
  <c r="AN21" i="1"/>
  <c r="CD9" i="1"/>
  <c r="W20" i="1"/>
  <c r="U7" i="1"/>
  <c r="U9" i="1" s="1"/>
  <c r="BG9" i="1"/>
  <c r="BA21" i="1"/>
  <c r="BF9" i="1"/>
  <c r="CF9" i="1"/>
  <c r="BM9" i="1"/>
  <c r="AC125" i="7"/>
  <c r="BN21" i="1"/>
  <c r="AC117" i="7"/>
  <c r="AC109" i="7"/>
  <c r="R13" i="1"/>
  <c r="R7" i="1"/>
  <c r="S9" i="1" s="1"/>
  <c r="BJ9" i="1"/>
  <c r="AC102" i="7"/>
  <c r="Z9" i="1"/>
  <c r="CH9" i="1"/>
  <c r="AC122" i="7"/>
  <c r="S20" i="1"/>
  <c r="AC118" i="7"/>
  <c r="AC104" i="7"/>
  <c r="BH9" i="1"/>
  <c r="S13" i="1"/>
  <c r="T13" i="1"/>
  <c r="BO12" i="1"/>
  <c r="Q114" i="7"/>
  <c r="Q102" i="7"/>
  <c r="CJ9" i="1"/>
  <c r="P9" i="1"/>
  <c r="H209" i="7"/>
  <c r="K197" i="7"/>
  <c r="Q197" i="7" s="1"/>
  <c r="Q9" i="1"/>
  <c r="H213" i="7"/>
  <c r="K201" i="7"/>
  <c r="H208" i="7"/>
  <c r="K196" i="7"/>
  <c r="Q196" i="7" s="1"/>
  <c r="H210" i="7"/>
  <c r="K198" i="7"/>
  <c r="CG9" i="1"/>
  <c r="Q115" i="7"/>
  <c r="Q103" i="7"/>
  <c r="H207" i="7"/>
  <c r="K195" i="7"/>
  <c r="H214" i="7"/>
  <c r="K202" i="7"/>
  <c r="Q202" i="7" s="1"/>
  <c r="CI9" i="1"/>
  <c r="H211" i="7"/>
  <c r="K199" i="7"/>
  <c r="Q199" i="7" s="1"/>
  <c r="CE9" i="1"/>
  <c r="X7" i="1"/>
  <c r="X9" i="1" s="1"/>
  <c r="H212" i="7"/>
  <c r="K200" i="7"/>
  <c r="Q200" i="7" s="1"/>
  <c r="Q116" i="7"/>
  <c r="Q104" i="7"/>
  <c r="H215" i="7"/>
  <c r="K203" i="7"/>
  <c r="Q203" i="7" s="1"/>
  <c r="T9" i="1"/>
  <c r="X20" i="1"/>
  <c r="AA12" i="1"/>
  <c r="AA13" i="1" s="1"/>
  <c r="CA21" i="1"/>
  <c r="H218" i="7"/>
  <c r="H217" i="7"/>
  <c r="AM21" i="1"/>
  <c r="P13" i="1"/>
  <c r="O20" i="1"/>
  <c r="O13" i="1"/>
  <c r="Y13" i="1"/>
  <c r="Y20" i="1"/>
  <c r="Z13" i="1"/>
  <c r="Z20" i="1"/>
  <c r="CG21" i="1"/>
  <c r="Q193" i="7"/>
  <c r="I205" i="7"/>
  <c r="K205" i="7" s="1"/>
  <c r="Q194" i="7"/>
  <c r="I206" i="7"/>
  <c r="K206" i="7" s="1"/>
  <c r="CH21" i="1"/>
  <c r="Q183" i="7"/>
  <c r="CP12" i="1"/>
  <c r="AB12" i="1" s="1"/>
  <c r="I207" i="7"/>
  <c r="I208" i="7"/>
  <c r="I209" i="7"/>
  <c r="CI21" i="1"/>
  <c r="CM20" i="1"/>
  <c r="Q186" i="7"/>
  <c r="CQ12" i="1"/>
  <c r="I210" i="7"/>
  <c r="CM13" i="1"/>
  <c r="I211" i="7"/>
  <c r="I212" i="7"/>
  <c r="CN13" i="1"/>
  <c r="Q189" i="7"/>
  <c r="CR12" i="1"/>
  <c r="I213" i="7"/>
  <c r="I214" i="7"/>
  <c r="I215" i="7"/>
  <c r="CB21" i="1"/>
  <c r="CE21" i="1"/>
  <c r="CC21" i="1"/>
  <c r="CD21" i="1"/>
  <c r="CF21" i="1"/>
  <c r="CO13" i="1"/>
  <c r="CS12" i="1"/>
  <c r="Q192" i="7"/>
  <c r="I216" i="7"/>
  <c r="K216" i="7" s="1"/>
  <c r="K215" i="7" l="1"/>
  <c r="R9" i="1"/>
  <c r="Y9" i="1"/>
  <c r="K208" i="7"/>
  <c r="Q208" i="7" s="1"/>
  <c r="AB13" i="1"/>
  <c r="H219" i="7"/>
  <c r="K207" i="7"/>
  <c r="K212" i="7"/>
  <c r="Q212" i="7" s="1"/>
  <c r="K209" i="7"/>
  <c r="Q209" i="7" s="1"/>
  <c r="K213" i="7"/>
  <c r="K214" i="7"/>
  <c r="K211" i="7"/>
  <c r="Q211" i="7" s="1"/>
  <c r="K210" i="7"/>
  <c r="CY12" i="1" s="1"/>
  <c r="BO20" i="1"/>
  <c r="BO13" i="1"/>
  <c r="BR7" i="1"/>
  <c r="BS13" i="1"/>
  <c r="BQ7" i="1"/>
  <c r="BO16" i="1"/>
  <c r="V12" i="1"/>
  <c r="BO7" i="1"/>
  <c r="BP7" i="1"/>
  <c r="Q205" i="7"/>
  <c r="I217" i="7"/>
  <c r="K217" i="7" s="1"/>
  <c r="Q206" i="7"/>
  <c r="I218" i="7"/>
  <c r="CP13" i="1"/>
  <c r="Q195" i="7"/>
  <c r="CT12" i="1"/>
  <c r="AC12" i="1" s="1"/>
  <c r="I219" i="7"/>
  <c r="CQ20" i="1"/>
  <c r="CQ13" i="1"/>
  <c r="CU12" i="1"/>
  <c r="Q198" i="7"/>
  <c r="CR13" i="1"/>
  <c r="Q201" i="7"/>
  <c r="CV12" i="1"/>
  <c r="Q213" i="7"/>
  <c r="CS13" i="1"/>
  <c r="CW12" i="1"/>
  <c r="Q204" i="7"/>
  <c r="Q216" i="7"/>
  <c r="DA12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M156" i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H184" i="1"/>
  <c r="CJ271" i="1"/>
  <c r="Z271" i="1"/>
  <c r="Q215" i="7" l="1"/>
  <c r="Q214" i="7"/>
  <c r="CZ12" i="1"/>
  <c r="BO21" i="1"/>
  <c r="BQ9" i="1"/>
  <c r="BU9" i="1"/>
  <c r="BO9" i="1"/>
  <c r="BS9" i="1"/>
  <c r="Q210" i="7"/>
  <c r="BR9" i="1"/>
  <c r="BV9" i="1"/>
  <c r="BP9" i="1"/>
  <c r="BT9" i="1"/>
  <c r="V13" i="1"/>
  <c r="V20" i="1"/>
  <c r="W13" i="1"/>
  <c r="V7" i="1"/>
  <c r="K219" i="7"/>
  <c r="DB12" i="1" s="1"/>
  <c r="AE12" i="1" s="1"/>
  <c r="K218" i="7"/>
  <c r="Q218" i="7" s="1"/>
  <c r="Q217" i="7"/>
  <c r="CT13" i="1"/>
  <c r="Q207" i="7"/>
  <c r="CX12" i="1"/>
  <c r="AD12" i="1" s="1"/>
  <c r="AD13" i="1" s="1"/>
  <c r="CU20" i="1"/>
  <c r="CY13" i="1"/>
  <c r="CU13" i="1"/>
  <c r="CV13" i="1"/>
  <c r="CZ13" i="1"/>
  <c r="AC13" i="1"/>
  <c r="CW13" i="1"/>
  <c r="DA13" i="1"/>
  <c r="CM167" i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CI271" i="1"/>
  <c r="CG167" i="1"/>
  <c r="CG156" i="1"/>
  <c r="CG271" i="1"/>
  <c r="CH271" i="1"/>
  <c r="AB35" i="1"/>
  <c r="AC35" i="1"/>
  <c r="AD35" i="1"/>
  <c r="AE35" i="1"/>
  <c r="AB36" i="1"/>
  <c r="AC36" i="1"/>
  <c r="AD36" i="1"/>
  <c r="AE36" i="1"/>
  <c r="AB42" i="1"/>
  <c r="AC42" i="1"/>
  <c r="AD42" i="1"/>
  <c r="AE42" i="1"/>
  <c r="AB43" i="1"/>
  <c r="AC43" i="1"/>
  <c r="AD43" i="1"/>
  <c r="AE43" i="1"/>
  <c r="AB72" i="1"/>
  <c r="AC72" i="1"/>
  <c r="AD72" i="1"/>
  <c r="AE72" i="1"/>
  <c r="AB191" i="1"/>
  <c r="AC191" i="1"/>
  <c r="AD191" i="1"/>
  <c r="AE191" i="1"/>
  <c r="AB205" i="1"/>
  <c r="AC205" i="1"/>
  <c r="AD205" i="1"/>
  <c r="AE205" i="1"/>
  <c r="CE167" i="1"/>
  <c r="CE156" i="1"/>
  <c r="CE271" i="1"/>
  <c r="CF271" i="1"/>
  <c r="AI229" i="1"/>
  <c r="AI234" i="1"/>
  <c r="AI238" i="1"/>
  <c r="AI241" i="1"/>
  <c r="AJ241" i="1"/>
  <c r="AI271" i="1"/>
  <c r="Y271" i="1"/>
  <c r="AK167" i="1"/>
  <c r="AK156" i="1"/>
  <c r="AM167" i="1"/>
  <c r="AM156" i="1"/>
  <c r="AO167" i="1"/>
  <c r="AO156" i="1"/>
  <c r="AQ167" i="1"/>
  <c r="AQ156" i="1"/>
  <c r="AS167" i="1"/>
  <c r="AS156" i="1"/>
  <c r="AU167" i="1"/>
  <c r="AU156" i="1"/>
  <c r="AW167" i="1"/>
  <c r="AW156" i="1"/>
  <c r="AY167" i="1"/>
  <c r="AY156" i="1"/>
  <c r="BA167" i="1"/>
  <c r="BA156" i="1"/>
  <c r="BC167" i="1"/>
  <c r="BC156" i="1"/>
  <c r="BE167" i="1"/>
  <c r="BE156" i="1"/>
  <c r="BG167" i="1"/>
  <c r="BG156" i="1"/>
  <c r="BI167" i="1"/>
  <c r="BI156" i="1"/>
  <c r="BK167" i="1"/>
  <c r="BK156" i="1"/>
  <c r="BM167" i="1"/>
  <c r="BM156" i="1"/>
  <c r="BO167" i="1"/>
  <c r="BO156" i="1"/>
  <c r="BQ167" i="1"/>
  <c r="BQ156" i="1"/>
  <c r="BS167" i="1"/>
  <c r="BS156" i="1"/>
  <c r="BU167" i="1"/>
  <c r="BU156" i="1"/>
  <c r="BW167" i="1"/>
  <c r="BW156" i="1"/>
  <c r="BY167" i="1"/>
  <c r="BY156" i="1"/>
  <c r="CA167" i="1"/>
  <c r="CA156" i="1"/>
  <c r="CC167" i="1"/>
  <c r="CC156" i="1"/>
  <c r="CD271" i="1"/>
  <c r="CC271" i="1"/>
  <c r="AJ271" i="1"/>
  <c r="AK271" i="1"/>
  <c r="AL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Q219" i="7" l="1"/>
  <c r="V9" i="1"/>
  <c r="W9" i="1"/>
  <c r="CX13" i="1"/>
  <c r="DB13" i="1"/>
  <c r="CY20" i="1"/>
  <c r="AE13" i="1"/>
  <c r="Y1" i="1"/>
  <c r="Z1" i="1" s="1"/>
  <c r="AA1" i="1" l="1"/>
  <c r="AB1" i="1" s="1"/>
  <c r="AC1" i="1" s="1"/>
  <c r="AD1" i="1" s="1"/>
  <c r="AE1" i="1" s="1"/>
  <c r="AB49" i="1" l="1"/>
  <c r="C4" i="2"/>
  <c r="Z15" i="2"/>
  <c r="AA53" i="2"/>
  <c r="Z42" i="2"/>
  <c r="AA108" i="2"/>
  <c r="Z6" i="2"/>
  <c r="Z63" i="2"/>
  <c r="Y95" i="2"/>
  <c r="Y74" i="2"/>
  <c r="Z94" i="2"/>
  <c r="AA42" i="2"/>
  <c r="Z71" i="2"/>
  <c r="AA9" i="2"/>
  <c r="AA99" i="2"/>
  <c r="W6" i="2"/>
  <c r="Z85" i="2"/>
  <c r="AA32" i="2"/>
  <c r="AA71" i="2"/>
  <c r="Y17" i="2"/>
  <c r="Y36" i="2"/>
  <c r="AA30" i="2"/>
  <c r="Z69" i="2"/>
  <c r="Z54" i="2"/>
  <c r="Y46" i="2"/>
  <c r="AA89" i="2"/>
  <c r="Y8" i="2"/>
  <c r="Z25" i="2"/>
  <c r="Y48" i="2"/>
  <c r="AA20" i="2"/>
  <c r="AA90" i="2"/>
  <c r="AA22" i="2"/>
  <c r="AA10" i="2"/>
  <c r="Y63" i="2"/>
  <c r="AA98" i="2"/>
  <c r="Y21" i="2"/>
  <c r="AA35" i="2"/>
  <c r="AA50" i="2"/>
  <c r="Y56" i="2"/>
  <c r="Z52" i="2"/>
  <c r="Z9" i="2"/>
  <c r="AA73" i="2"/>
  <c r="Y90" i="2"/>
  <c r="Z80" i="2"/>
  <c r="Y67" i="2"/>
  <c r="AA41" i="2"/>
  <c r="Z51" i="2"/>
  <c r="AA13" i="2"/>
  <c r="AA70" i="2"/>
  <c r="Z7" i="2"/>
  <c r="Y57" i="2"/>
  <c r="AA69" i="2"/>
  <c r="Y87" i="2"/>
  <c r="Y85" i="2"/>
  <c r="Z28" i="2"/>
  <c r="Z45" i="2"/>
  <c r="AA34" i="2"/>
  <c r="Y92" i="2"/>
  <c r="AA84" i="2"/>
  <c r="AA21" i="2"/>
  <c r="Y59" i="2"/>
  <c r="AA26" i="2"/>
  <c r="Z70" i="2"/>
  <c r="Y75" i="2"/>
  <c r="V6" i="2"/>
  <c r="Y43" i="2"/>
  <c r="Y105" i="2"/>
  <c r="Z88" i="2"/>
  <c r="Z95" i="2"/>
  <c r="Y96" i="2"/>
  <c r="Z77" i="2"/>
  <c r="Z74" i="2"/>
  <c r="Z92" i="2"/>
  <c r="AA45" i="2"/>
  <c r="Y69" i="2"/>
  <c r="Z83" i="2"/>
  <c r="AA46" i="2"/>
  <c r="Z35" i="2"/>
  <c r="Z68" i="2"/>
  <c r="AA16" i="2"/>
  <c r="Y64" i="2"/>
  <c r="Z53" i="2"/>
  <c r="AA51" i="2"/>
  <c r="AA29" i="2"/>
  <c r="Y9" i="2"/>
  <c r="Z91" i="2"/>
  <c r="AA93" i="2"/>
  <c r="Z40" i="2"/>
  <c r="Z31" i="2"/>
  <c r="Y22" i="2"/>
  <c r="Z14" i="2"/>
  <c r="AA64" i="2"/>
  <c r="AA5" i="2"/>
  <c r="AA74" i="2"/>
  <c r="AA27" i="2"/>
  <c r="Y42" i="2"/>
  <c r="Z23" i="2"/>
  <c r="Y88" i="2"/>
  <c r="Y28" i="2"/>
  <c r="Z11" i="2"/>
  <c r="AA105" i="2"/>
  <c r="AA106" i="2"/>
  <c r="Y52" i="2"/>
  <c r="Y82" i="2"/>
  <c r="Y107" i="2"/>
  <c r="Z107" i="2"/>
  <c r="AA60" i="2"/>
  <c r="Z97" i="2"/>
  <c r="Y24" i="2"/>
  <c r="Z87" i="2"/>
  <c r="Y6" i="2"/>
  <c r="AA28" i="2"/>
  <c r="Y27" i="2"/>
  <c r="AA77" i="2"/>
  <c r="AA61" i="2"/>
  <c r="Y25" i="2"/>
  <c r="Y98" i="2"/>
  <c r="Z21" i="2"/>
  <c r="AA67" i="2"/>
  <c r="Y19" i="2"/>
  <c r="Z109" i="2"/>
  <c r="Z44" i="2"/>
  <c r="Z47" i="2"/>
  <c r="AA68" i="2"/>
  <c r="Y34" i="2"/>
  <c r="Y108" i="2"/>
  <c r="AA97" i="2"/>
  <c r="Z19" i="2"/>
  <c r="AA107" i="2"/>
  <c r="AA72" i="2"/>
  <c r="Y84" i="2"/>
  <c r="Y10" i="2"/>
  <c r="AA7" i="2"/>
  <c r="Y30" i="2"/>
  <c r="AA57" i="2"/>
  <c r="AA52" i="2"/>
  <c r="Z26" i="2"/>
  <c r="AA65" i="2"/>
  <c r="AA95" i="2"/>
  <c r="Y20" i="2"/>
  <c r="Z55" i="2"/>
  <c r="Y68" i="2"/>
  <c r="Y49" i="2"/>
  <c r="Y109" i="2"/>
  <c r="Z24" i="2"/>
  <c r="Y65" i="2"/>
  <c r="AA86" i="2"/>
  <c r="Z105" i="2"/>
  <c r="AA80" i="2"/>
  <c r="Z17" i="2"/>
  <c r="Y61" i="2"/>
  <c r="Y86" i="2"/>
  <c r="Z96" i="2"/>
  <c r="Y16" i="2"/>
  <c r="Z84" i="2"/>
  <c r="Z46" i="2"/>
  <c r="AA36" i="2"/>
  <c r="AA96" i="2"/>
  <c r="Y79" i="2"/>
  <c r="AA66" i="2"/>
  <c r="Z98" i="2"/>
  <c r="Y83" i="2"/>
  <c r="Z5" i="2"/>
  <c r="Z111" i="2" s="1"/>
  <c r="Z76" i="2"/>
  <c r="AA59" i="2"/>
  <c r="AA75" i="2"/>
  <c r="Z61" i="2"/>
  <c r="AA14" i="2"/>
  <c r="Y80" i="2"/>
  <c r="Z33" i="2"/>
  <c r="Z62" i="2"/>
  <c r="Y77" i="2"/>
  <c r="Y73" i="2"/>
  <c r="Z82" i="2"/>
  <c r="Y50" i="2"/>
  <c r="Y62" i="2"/>
  <c r="Y93" i="2"/>
  <c r="Y104" i="2"/>
  <c r="Y70" i="2"/>
  <c r="Z20" i="2"/>
  <c r="Z32" i="2"/>
  <c r="Z8" i="2"/>
  <c r="Y5" i="2"/>
  <c r="Y13" i="2"/>
  <c r="AA109" i="2"/>
  <c r="AA94" i="2"/>
  <c r="Y15" i="2"/>
  <c r="Z93" i="2"/>
  <c r="Y60" i="2"/>
  <c r="Z110" i="2"/>
  <c r="AA76" i="2"/>
  <c r="AA25" i="2"/>
  <c r="AA23" i="2"/>
  <c r="AA55" i="2"/>
  <c r="AA18" i="2"/>
  <c r="Z16" i="2"/>
  <c r="Z41" i="2"/>
  <c r="Y81" i="2"/>
  <c r="Y110" i="2"/>
  <c r="Z90" i="2"/>
  <c r="AA63" i="2"/>
  <c r="Z56" i="2"/>
  <c r="AA49" i="2"/>
  <c r="Y97" i="2"/>
  <c r="Z99" i="2"/>
  <c r="Z59" i="2"/>
  <c r="AA91" i="2"/>
  <c r="Z104" i="2"/>
  <c r="Z89" i="2"/>
  <c r="Y35" i="2"/>
  <c r="AA11" i="2"/>
  <c r="AA40" i="2"/>
  <c r="Y11" i="2"/>
  <c r="AA79" i="2"/>
  <c r="AA8" i="2"/>
  <c r="Y76" i="2"/>
  <c r="AA85" i="2"/>
  <c r="Y91" i="2"/>
  <c r="Z112" i="2"/>
  <c r="Y89" i="2"/>
  <c r="Z43" i="2"/>
  <c r="AA6" i="2"/>
  <c r="AA82" i="2"/>
  <c r="Z65" i="2"/>
  <c r="Y99" i="2"/>
  <c r="AA92" i="2"/>
  <c r="Z22" i="2"/>
  <c r="Y18" i="2"/>
  <c r="AA58" i="2"/>
  <c r="AA15" i="2"/>
  <c r="AA43" i="2"/>
  <c r="Y71" i="2"/>
  <c r="Z66" i="2"/>
  <c r="Y7" i="2"/>
  <c r="Y33" i="2"/>
  <c r="Y55" i="2"/>
  <c r="Z108" i="2"/>
  <c r="AA62" i="2"/>
  <c r="AA110" i="2"/>
  <c r="Y47" i="2"/>
  <c r="Y14" i="2"/>
  <c r="Z27" i="2"/>
  <c r="Z67" i="2"/>
  <c r="AA87" i="2"/>
  <c r="AA31" i="2"/>
  <c r="Y41" i="2"/>
  <c r="AA19" i="2"/>
  <c r="Y45" i="2"/>
  <c r="C5" i="2"/>
  <c r="AA24" i="2"/>
  <c r="AA48" i="2"/>
  <c r="Z64" i="2"/>
  <c r="Y58" i="2"/>
  <c r="AA12" i="2"/>
  <c r="Y40" i="2"/>
  <c r="Z57" i="2"/>
  <c r="Z78" i="2"/>
  <c r="Z36" i="2"/>
  <c r="Z73" i="2"/>
  <c r="Z49" i="2"/>
  <c r="AA78" i="2"/>
  <c r="Y53" i="2"/>
  <c r="Z79" i="2"/>
  <c r="AA33" i="2"/>
  <c r="Z29" i="2"/>
  <c r="Z106" i="2"/>
  <c r="Y26" i="2"/>
  <c r="Z75" i="2"/>
  <c r="AA81" i="2"/>
  <c r="Z86" i="2"/>
  <c r="Z30" i="2"/>
  <c r="Z113" i="2"/>
  <c r="Z81" i="2"/>
  <c r="Y29" i="2"/>
  <c r="Y31" i="2"/>
  <c r="AA88" i="2"/>
  <c r="Z50" i="2"/>
  <c r="Y94" i="2"/>
  <c r="Y66" i="2"/>
  <c r="Y72" i="2"/>
  <c r="X6" i="2"/>
  <c r="Y51" i="2"/>
  <c r="Z72" i="2"/>
  <c r="Y44" i="2"/>
  <c r="Z18" i="2"/>
  <c r="Z34" i="2"/>
  <c r="AA47" i="2"/>
  <c r="Y106" i="2"/>
  <c r="Z12" i="2"/>
  <c r="Z58" i="2"/>
  <c r="AA54" i="2"/>
  <c r="Z60" i="2"/>
  <c r="AA17" i="2"/>
  <c r="Z10" i="2"/>
  <c r="Y12" i="2"/>
  <c r="AA83" i="2"/>
  <c r="Y32" i="2"/>
  <c r="AA56" i="2"/>
  <c r="Z48" i="2"/>
  <c r="Y78" i="2"/>
  <c r="AA44" i="2"/>
  <c r="Z13" i="2"/>
  <c r="Y54" i="2"/>
  <c r="AA104" i="2"/>
  <c r="Y23" i="2"/>
  <c r="Z70" i="1" l="1"/>
  <c r="Z31" i="1"/>
  <c r="Z32" i="1" s="1"/>
  <c r="Z69" i="1"/>
  <c r="X158" i="1"/>
  <c r="Z182" i="1"/>
  <c r="CH182" i="1" s="1"/>
  <c r="X152" i="1"/>
  <c r="Y182" i="1"/>
  <c r="A1" i="1"/>
  <c r="Z158" i="1"/>
  <c r="CH158" i="1" s="1"/>
  <c r="Y152" i="1"/>
  <c r="X182" i="1"/>
  <c r="X181" i="1"/>
  <c r="X196" i="1"/>
  <c r="Z181" i="1"/>
  <c r="CH181" i="1" s="1"/>
  <c r="Y158" i="1"/>
  <c r="Y181" i="1"/>
  <c r="Z196" i="1"/>
  <c r="CH196" i="1" s="1"/>
  <c r="Z152" i="1"/>
  <c r="CH152" i="1" s="1"/>
  <c r="Y196" i="1"/>
  <c r="X203" i="1"/>
  <c r="CH175" i="1"/>
  <c r="CH183" i="1"/>
  <c r="X215" i="1"/>
  <c r="Z148" i="1"/>
  <c r="CH148" i="1" s="1"/>
  <c r="CI148" i="1" s="1"/>
  <c r="Y203" i="1"/>
  <c r="CH168" i="1"/>
  <c r="Y102" i="1"/>
  <c r="Y202" i="1"/>
  <c r="Y88" i="1"/>
  <c r="Z202" i="1"/>
  <c r="CH163" i="1"/>
  <c r="Z204" i="1"/>
  <c r="CH174" i="1"/>
  <c r="Y164" i="1"/>
  <c r="X102" i="1"/>
  <c r="Y226" i="1"/>
  <c r="Z92" i="1"/>
  <c r="Z88" i="1"/>
  <c r="CH167" i="1"/>
  <c r="CI167" i="1" s="1"/>
  <c r="X70" i="1"/>
  <c r="CH195" i="1"/>
  <c r="CH166" i="1"/>
  <c r="X148" i="1"/>
  <c r="Y204" i="1"/>
  <c r="CH187" i="1"/>
  <c r="Y89" i="1"/>
  <c r="X31" i="1"/>
  <c r="X32" i="1" s="1"/>
  <c r="X16" i="1" s="1"/>
  <c r="Y31" i="1"/>
  <c r="Y32" i="1" s="1"/>
  <c r="X204" i="1"/>
  <c r="Z226" i="1"/>
  <c r="Z89" i="1"/>
  <c r="X164" i="1"/>
  <c r="X88" i="1"/>
  <c r="CH185" i="1"/>
  <c r="Y156" i="1"/>
  <c r="Y98" i="1"/>
  <c r="Z103" i="1"/>
  <c r="X103" i="1"/>
  <c r="Y148" i="1"/>
  <c r="Z203" i="1"/>
  <c r="Y103" i="1"/>
  <c r="CH149" i="1"/>
  <c r="X69" i="1"/>
  <c r="X104" i="1"/>
  <c r="Y193" i="1"/>
  <c r="Z241" i="1" s="1"/>
  <c r="CH192" i="1"/>
  <c r="Y104" i="1"/>
  <c r="CH171" i="1"/>
  <c r="CH155" i="1"/>
  <c r="X92" i="1"/>
  <c r="X263" i="1"/>
  <c r="CH154" i="1"/>
  <c r="CH179" i="1"/>
  <c r="Y92" i="1"/>
  <c r="CH173" i="1"/>
  <c r="X281" i="1"/>
  <c r="CH191" i="1"/>
  <c r="X226" i="1"/>
  <c r="Z156" i="1"/>
  <c r="CH156" i="1" s="1"/>
  <c r="CI156" i="1" s="1"/>
  <c r="Z102" i="1"/>
  <c r="CH147" i="1"/>
  <c r="CI147" i="1" s="1"/>
  <c r="Y70" i="1"/>
  <c r="Z263" i="1"/>
  <c r="Z104" i="1"/>
  <c r="CH177" i="1"/>
  <c r="Z164" i="1"/>
  <c r="CH164" i="1" s="1"/>
  <c r="CI164" i="1" s="1"/>
  <c r="X202" i="1"/>
  <c r="Y69" i="1"/>
  <c r="X89" i="1"/>
  <c r="CH176" i="1"/>
  <c r="X156" i="1"/>
  <c r="CH186" i="1"/>
  <c r="Z215" i="1"/>
  <c r="Z282" i="1"/>
  <c r="Y99" i="1"/>
  <c r="Z211" i="1"/>
  <c r="AA111" i="2"/>
  <c r="AA112" i="2"/>
  <c r="Y111" i="2"/>
  <c r="Y112" i="2"/>
  <c r="Y113" i="2"/>
  <c r="AA113" i="2"/>
  <c r="Z16" i="1" l="1"/>
  <c r="AA33" i="1"/>
  <c r="Z99" i="1"/>
  <c r="X98" i="1"/>
  <c r="Z98" i="1"/>
  <c r="Z38" i="1"/>
  <c r="Z51" i="1"/>
  <c r="Y16" i="1"/>
  <c r="Y21" i="1" s="1"/>
  <c r="Z33" i="1"/>
  <c r="X99" i="1"/>
  <c r="Y90" i="1"/>
  <c r="Y138" i="1" s="1"/>
  <c r="X205" i="1"/>
  <c r="Z21" i="1"/>
  <c r="X21" i="1"/>
  <c r="Z90" i="1"/>
  <c r="Z138" i="1" s="1"/>
  <c r="Y38" i="1"/>
  <c r="Y165" i="1"/>
  <c r="Y169" i="1" s="1"/>
  <c r="X188" i="1"/>
  <c r="X217" i="1" s="1"/>
  <c r="X216" i="1" s="1"/>
  <c r="Z188" i="1"/>
  <c r="Y205" i="1"/>
  <c r="X282" i="1"/>
  <c r="Y159" i="1"/>
  <c r="Y61" i="1" s="1"/>
  <c r="X212" i="1"/>
  <c r="Y212" i="1"/>
  <c r="X211" i="1"/>
  <c r="Z205" i="1"/>
  <c r="Y211" i="1"/>
  <c r="X165" i="1"/>
  <c r="X169" i="1" s="1"/>
  <c r="Y188" i="1"/>
  <c r="Z150" i="1"/>
  <c r="Y282" i="1"/>
  <c r="Z212" i="1"/>
  <c r="X150" i="1"/>
  <c r="X207" i="1" s="1"/>
  <c r="Y180" i="1"/>
  <c r="Y214" i="1" s="1"/>
  <c r="X159" i="1"/>
  <c r="X61" i="1" s="1"/>
  <c r="Y234" i="1"/>
  <c r="Z281" i="1"/>
  <c r="Y150" i="1"/>
  <c r="Y277" i="1" s="1"/>
  <c r="X180" i="1"/>
  <c r="X214" i="1" s="1"/>
  <c r="X50" i="1"/>
  <c r="X51" i="1" s="1"/>
  <c r="Y50" i="1"/>
  <c r="Y51" i="1" s="1"/>
  <c r="Z165" i="1"/>
  <c r="Y281" i="1"/>
  <c r="Y263" i="1"/>
  <c r="X38" i="1"/>
  <c r="Z159" i="1"/>
  <c r="X90" i="1"/>
  <c r="Y215" i="1"/>
  <c r="Z220" i="1"/>
  <c r="Z234" i="1"/>
  <c r="Z180" i="1"/>
  <c r="Y220" i="1"/>
  <c r="Z193" i="1"/>
  <c r="AA241" i="1" s="1"/>
  <c r="X193" i="1"/>
  <c r="Y241" i="1" s="1"/>
  <c r="Y33" i="1"/>
  <c r="A1" i="3"/>
  <c r="BP6" i="3"/>
  <c r="BM12" i="3"/>
  <c r="BP13" i="3"/>
  <c r="BI18" i="3"/>
  <c r="BM23" i="3"/>
  <c r="BN27" i="3"/>
  <c r="BE33" i="3"/>
  <c r="BT37" i="3"/>
  <c r="BU5" i="3"/>
  <c r="BQ11" i="3"/>
  <c r="BJ16" i="3"/>
  <c r="BT19" i="3"/>
  <c r="BP26" i="3"/>
  <c r="BK36" i="3"/>
  <c r="BS40" i="3"/>
  <c r="BJ8" i="3"/>
  <c r="BU12" i="3"/>
  <c r="BO17" i="3"/>
  <c r="BJ21" i="3"/>
  <c r="BM25" i="3"/>
  <c r="BT30" i="3"/>
  <c r="BL36" i="3"/>
  <c r="BT40" i="3"/>
  <c r="BE6" i="3"/>
  <c r="CK29" i="1" s="1"/>
  <c r="BP10" i="3"/>
  <c r="BG14" i="3"/>
  <c r="BS18" i="3"/>
  <c r="BU30" i="3"/>
  <c r="BS38" i="3"/>
  <c r="BN5" i="3"/>
  <c r="BK11" i="3"/>
  <c r="BS14" i="3"/>
  <c r="BS20" i="3"/>
  <c r="BE29" i="3"/>
  <c r="CK63" i="1" s="1"/>
  <c r="BK46" i="3"/>
  <c r="BH8" i="3"/>
  <c r="BN10" i="3"/>
  <c r="BI25" i="3"/>
  <c r="BJ29" i="3"/>
  <c r="BS30" i="3"/>
  <c r="BU34" i="3"/>
  <c r="BT42" i="3"/>
  <c r="BL16" i="3"/>
  <c r="BU19" i="3"/>
  <c r="BV23" i="3"/>
  <c r="BM29" i="3"/>
  <c r="BN33" i="3"/>
  <c r="BU42" i="3"/>
  <c r="BM16" i="3"/>
  <c r="BG20" i="3"/>
  <c r="BS22" i="3"/>
  <c r="BG24" i="3"/>
  <c r="BH28" i="3"/>
  <c r="BO33" i="3"/>
  <c r="BV40" i="3"/>
  <c r="BJ45" i="3"/>
  <c r="BL8" i="3"/>
  <c r="BF13" i="3"/>
  <c r="BQ17" i="3"/>
  <c r="BT18" i="3"/>
  <c r="BH20" i="3"/>
  <c r="BT22" i="3"/>
  <c r="BI24" i="3"/>
  <c r="BO25" i="3"/>
  <c r="BU26" i="3"/>
  <c r="BI28" i="3"/>
  <c r="BP29" i="3"/>
  <c r="BV30" i="3"/>
  <c r="BJ32" i="3"/>
  <c r="BQ33" i="3"/>
  <c r="BF35" i="3"/>
  <c r="CL70" i="1" s="1"/>
  <c r="BS36" i="3"/>
  <c r="BT38" i="3"/>
  <c r="BH41" i="3"/>
  <c r="BK45" i="3"/>
  <c r="BT7" i="3"/>
  <c r="BG17" i="3"/>
  <c r="BM19" i="3"/>
  <c r="BH26" i="3"/>
  <c r="BT35" i="3"/>
  <c r="BH40" i="3"/>
  <c r="BE7" i="3"/>
  <c r="BT12" i="3"/>
  <c r="BN17" i="3"/>
  <c r="BI21" i="3"/>
  <c r="BU23" i="3"/>
  <c r="BP38" i="3"/>
  <c r="BF7" i="3"/>
  <c r="BO10" i="3"/>
  <c r="BI15" i="3"/>
  <c r="BP22" i="3"/>
  <c r="BV34" i="3"/>
  <c r="BR38" i="3"/>
  <c r="BK8" i="3"/>
  <c r="BT11" i="3"/>
  <c r="BP17" i="3"/>
  <c r="BM21" i="3"/>
  <c r="BN25" i="3"/>
  <c r="BO29" i="3"/>
  <c r="BR36" i="3"/>
  <c r="BJ7" i="3"/>
  <c r="BQ10" i="3"/>
  <c r="BO16" i="3"/>
  <c r="BM6" i="3"/>
  <c r="BS8" i="3"/>
  <c r="BV9" i="3"/>
  <c r="BI12" i="3"/>
  <c r="BO14" i="3"/>
  <c r="BR15" i="3"/>
  <c r="BU16" i="3"/>
  <c r="BO20" i="3"/>
  <c r="BV21" i="3"/>
  <c r="BJ23" i="3"/>
  <c r="BP24" i="3"/>
  <c r="BE26" i="3"/>
  <c r="CK72" i="1" s="1"/>
  <c r="BK27" i="3"/>
  <c r="BQ28" i="3"/>
  <c r="BE30" i="3"/>
  <c r="BL31" i="3"/>
  <c r="BR32" i="3"/>
  <c r="BF34" i="3"/>
  <c r="CL69" i="1" s="1"/>
  <c r="BQ35" i="3"/>
  <c r="BP37" i="3"/>
  <c r="BQ39" i="3"/>
  <c r="BT41" i="3"/>
  <c r="BV45" i="3"/>
  <c r="BG10" i="3"/>
  <c r="BV15" i="3"/>
  <c r="BG22" i="3"/>
  <c r="BQ31" i="3"/>
  <c r="BE14" i="3"/>
  <c r="CK44" i="1" s="1"/>
  <c r="BM33" i="3"/>
  <c r="BV5" i="3"/>
  <c r="BR11" i="3"/>
  <c r="BF14" i="3"/>
  <c r="CL44" i="1" s="1"/>
  <c r="BQ18" i="3"/>
  <c r="BS26" i="3"/>
  <c r="BG28" i="3"/>
  <c r="BH32" i="3"/>
  <c r="BE35" i="3"/>
  <c r="CK70" i="1" s="1"/>
  <c r="BF6" i="3"/>
  <c r="CL29" i="1" s="1"/>
  <c r="BU11" i="3"/>
  <c r="BL15" i="3"/>
  <c r="BN21" i="3"/>
  <c r="BJ5" i="3"/>
  <c r="BO7" i="3"/>
  <c r="BF11" i="3"/>
  <c r="CL37" i="1" s="1"/>
  <c r="BM13" i="3"/>
  <c r="BF18" i="3"/>
  <c r="BI19" i="3"/>
  <c r="BK5" i="3"/>
  <c r="BN6" i="3"/>
  <c r="BQ7" i="3"/>
  <c r="BT8" i="3"/>
  <c r="BE10" i="3"/>
  <c r="CK35" i="1" s="1"/>
  <c r="BG11" i="3"/>
  <c r="BK12" i="3"/>
  <c r="BN13" i="3"/>
  <c r="BP14" i="3"/>
  <c r="BS15" i="3"/>
  <c r="BE17" i="3"/>
  <c r="BG18" i="3"/>
  <c r="BJ19" i="3"/>
  <c r="BQ20" i="3"/>
  <c r="BE22" i="3"/>
  <c r="BK23" i="3"/>
  <c r="BQ24" i="3"/>
  <c r="BF26" i="3"/>
  <c r="CL72" i="1" s="1"/>
  <c r="BL27" i="3"/>
  <c r="BR28" i="3"/>
  <c r="BG30" i="3"/>
  <c r="BM31" i="3"/>
  <c r="BS32" i="3"/>
  <c r="BG34" i="3"/>
  <c r="BR35" i="3"/>
  <c r="BQ37" i="3"/>
  <c r="BR39" i="3"/>
  <c r="BU41" i="3"/>
  <c r="BI46" i="3"/>
  <c r="BE9" i="3"/>
  <c r="BT24" i="3"/>
  <c r="BK30" i="3"/>
  <c r="BL34" i="3"/>
  <c r="BH42" i="3"/>
  <c r="BK9" i="3"/>
  <c r="BG15" i="3"/>
  <c r="BP18" i="3"/>
  <c r="BO22" i="3"/>
  <c r="BV27" i="3"/>
  <c r="BG32" i="3"/>
  <c r="BM9" i="3"/>
  <c r="BG7" i="3"/>
  <c r="BN9" i="3"/>
  <c r="BE13" i="3"/>
  <c r="BJ15" i="3"/>
  <c r="BT26" i="3"/>
  <c r="BI32" i="3"/>
  <c r="BO9" i="3"/>
  <c r="BH14" i="3"/>
  <c r="BM5" i="3"/>
  <c r="BO6" i="3"/>
  <c r="BS7" i="3"/>
  <c r="BU8" i="3"/>
  <c r="BF10" i="3"/>
  <c r="CL35" i="1" s="1"/>
  <c r="BI11" i="3"/>
  <c r="BL12" i="3"/>
  <c r="BO13" i="3"/>
  <c r="BQ14" i="3"/>
  <c r="BU15" i="3"/>
  <c r="BF17" i="3"/>
  <c r="BH18" i="3"/>
  <c r="BK19" i="3"/>
  <c r="BR20" i="3"/>
  <c r="BF22" i="3"/>
  <c r="BL23" i="3"/>
  <c r="BS24" i="3"/>
  <c r="BG26" i="3"/>
  <c r="BM27" i="3"/>
  <c r="BS28" i="3"/>
  <c r="BH30" i="3"/>
  <c r="BN31" i="3"/>
  <c r="BT32" i="3"/>
  <c r="BK34" i="3"/>
  <c r="BS35" i="3"/>
  <c r="BR37" i="3"/>
  <c r="BU39" i="3"/>
  <c r="BV41" i="3"/>
  <c r="BJ46" i="3"/>
  <c r="BE5" i="3"/>
  <c r="BO5" i="3"/>
  <c r="BS6" i="3"/>
  <c r="BK7" i="3"/>
  <c r="BM8" i="3"/>
  <c r="BO12" i="3"/>
  <c r="BI39" i="3"/>
  <c r="BI41" i="3"/>
  <c r="BL45" i="3"/>
  <c r="BG5" i="3"/>
  <c r="BR5" i="3"/>
  <c r="BK6" i="3"/>
  <c r="BU6" i="3"/>
  <c r="BM7" i="3"/>
  <c r="BE8" i="3"/>
  <c r="BP8" i="3"/>
  <c r="BH9" i="3"/>
  <c r="BS9" i="3"/>
  <c r="BL10" i="3"/>
  <c r="BV10" i="3"/>
  <c r="BN11" i="3"/>
  <c r="BG12" i="3"/>
  <c r="BQ12" i="3"/>
  <c r="BI13" i="3"/>
  <c r="BU13" i="3"/>
  <c r="BM14" i="3"/>
  <c r="BE15" i="3"/>
  <c r="BO15" i="3"/>
  <c r="BH16" i="3"/>
  <c r="BR16" i="3"/>
  <c r="BJ17" i="3"/>
  <c r="BV17" i="3"/>
  <c r="BN18" i="3"/>
  <c r="BF19" i="3"/>
  <c r="BR19" i="3"/>
  <c r="BK20" i="3"/>
  <c r="BF21" i="3"/>
  <c r="CL31" i="1" s="1"/>
  <c r="BQ21" i="3"/>
  <c r="BM22" i="3"/>
  <c r="BF23" i="3"/>
  <c r="CL59" i="1" s="1"/>
  <c r="BS23" i="3"/>
  <c r="BL24" i="3"/>
  <c r="BG25" i="3"/>
  <c r="BR25" i="3"/>
  <c r="BM26" i="3"/>
  <c r="BI27" i="3"/>
  <c r="BT27" i="3"/>
  <c r="BO28" i="3"/>
  <c r="BH29" i="3"/>
  <c r="BU29" i="3"/>
  <c r="BN30" i="3"/>
  <c r="BI31" i="3"/>
  <c r="BU31" i="3"/>
  <c r="BP32" i="3"/>
  <c r="BI33" i="3"/>
  <c r="BV33" i="3"/>
  <c r="BO34" i="3"/>
  <c r="BM35" i="3"/>
  <c r="BI36" i="3"/>
  <c r="BH37" i="3"/>
  <c r="BK38" i="3"/>
  <c r="BK39" i="3"/>
  <c r="BK40" i="3"/>
  <c r="BQ41" i="3"/>
  <c r="BR42" i="3"/>
  <c r="BR45" i="3"/>
  <c r="BT46" i="3"/>
  <c r="BG6" i="3"/>
  <c r="BU7" i="3"/>
  <c r="BF9" i="3"/>
  <c r="BP9" i="3"/>
  <c r="BH10" i="3"/>
  <c r="BT10" i="3"/>
  <c r="BL11" i="3"/>
  <c r="BV11" i="3"/>
  <c r="BG13" i="3"/>
  <c r="BQ13" i="3"/>
  <c r="BI14" i="3"/>
  <c r="BU14" i="3"/>
  <c r="BM15" i="3"/>
  <c r="BE16" i="3"/>
  <c r="CK45" i="1" s="1"/>
  <c r="CK20" i="1" s="1"/>
  <c r="BP16" i="3"/>
  <c r="BH17" i="3"/>
  <c r="BR17" i="3"/>
  <c r="BK18" i="3"/>
  <c r="BV18" i="3"/>
  <c r="BN19" i="3"/>
  <c r="BI20" i="3"/>
  <c r="BT20" i="3"/>
  <c r="BO21" i="3"/>
  <c r="BH22" i="3"/>
  <c r="BU22" i="3"/>
  <c r="BQ23" i="3"/>
  <c r="BJ24" i="3"/>
  <c r="BE25" i="3"/>
  <c r="CK60" i="1" s="1"/>
  <c r="CK281" i="1" s="1"/>
  <c r="BP25" i="3"/>
  <c r="BK26" i="3"/>
  <c r="BV26" i="3"/>
  <c r="BQ27" i="3"/>
  <c r="BK28" i="3"/>
  <c r="BF29" i="3"/>
  <c r="CL63" i="1" s="1"/>
  <c r="BQ29" i="3"/>
  <c r="BL30" i="3"/>
  <c r="BE31" i="3"/>
  <c r="BR31" i="3"/>
  <c r="BK32" i="3"/>
  <c r="BG33" i="3"/>
  <c r="BR33" i="3"/>
  <c r="BM34" i="3"/>
  <c r="BI35" i="3"/>
  <c r="BG36" i="3"/>
  <c r="BT36" i="3"/>
  <c r="BU37" i="3"/>
  <c r="BI40" i="3"/>
  <c r="BL42" i="3"/>
  <c r="BL46" i="3"/>
  <c r="BF5" i="3"/>
  <c r="BP5" i="3"/>
  <c r="BI6" i="3"/>
  <c r="BT6" i="3"/>
  <c r="BL7" i="3"/>
  <c r="BV7" i="3"/>
  <c r="BO8" i="3"/>
  <c r="BG9" i="3"/>
  <c r="BQ9" i="3"/>
  <c r="BK10" i="3"/>
  <c r="BU10" i="3"/>
  <c r="BM11" i="3"/>
  <c r="BE12" i="3"/>
  <c r="CK36" i="1" s="1"/>
  <c r="BP12" i="3"/>
  <c r="BH13" i="3"/>
  <c r="BR13" i="3"/>
  <c r="BL14" i="3"/>
  <c r="BV14" i="3"/>
  <c r="BN15" i="3"/>
  <c r="BG16" i="3"/>
  <c r="BQ16" i="3"/>
  <c r="BI17" i="3"/>
  <c r="BS17" i="3"/>
  <c r="BM18" i="3"/>
  <c r="BE19" i="3"/>
  <c r="BQ19" i="3"/>
  <c r="BJ20" i="3"/>
  <c r="BE21" i="3"/>
  <c r="CK31" i="1" s="1"/>
  <c r="BP21" i="3"/>
  <c r="BK22" i="3"/>
  <c r="BE23" i="3"/>
  <c r="CK59" i="1" s="1"/>
  <c r="BR23" i="3"/>
  <c r="BK24" i="3"/>
  <c r="BF25" i="3"/>
  <c r="CL60" i="1" s="1"/>
  <c r="BQ25" i="3"/>
  <c r="BL26" i="3"/>
  <c r="BE27" i="3"/>
  <c r="BS27" i="3"/>
  <c r="BL28" i="3"/>
  <c r="BG29" i="3"/>
  <c r="BR29" i="3"/>
  <c r="BM30" i="3"/>
  <c r="BF31" i="3"/>
  <c r="BS31" i="3"/>
  <c r="BO32" i="3"/>
  <c r="BH33" i="3"/>
  <c r="BU33" i="3"/>
  <c r="BN34" i="3"/>
  <c r="BJ35" i="3"/>
  <c r="BH36" i="3"/>
  <c r="BG37" i="3"/>
  <c r="BG38" i="3"/>
  <c r="BJ39" i="3"/>
  <c r="BJ40" i="3"/>
  <c r="BJ41" i="3"/>
  <c r="BM42" i="3"/>
  <c r="BM45" i="3"/>
  <c r="BN46" i="3"/>
  <c r="BI5" i="3"/>
  <c r="BS5" i="3"/>
  <c r="BL6" i="3"/>
  <c r="BV6" i="3"/>
  <c r="BN7" i="3"/>
  <c r="BG8" i="3"/>
  <c r="BQ8" i="3"/>
  <c r="BJ9" i="3"/>
  <c r="BU9" i="3"/>
  <c r="BM10" i="3"/>
  <c r="BE11" i="3"/>
  <c r="CK37" i="1" s="1"/>
  <c r="BO11" i="3"/>
  <c r="BH12" i="3"/>
  <c r="BR12" i="3"/>
  <c r="BK13" i="3"/>
  <c r="BV13" i="3"/>
  <c r="BN14" i="3"/>
  <c r="BF15" i="3"/>
  <c r="BQ15" i="3"/>
  <c r="BI16" i="3"/>
  <c r="BS16" i="3"/>
  <c r="BM17" i="3"/>
  <c r="BE18" i="3"/>
  <c r="BO18" i="3"/>
  <c r="BG19" i="3"/>
  <c r="BS19" i="3"/>
  <c r="BL20" i="3"/>
  <c r="BG21" i="3"/>
  <c r="BU21" i="3"/>
  <c r="BN22" i="3"/>
  <c r="BI23" i="3"/>
  <c r="BT23" i="3"/>
  <c r="BO24" i="3"/>
  <c r="BH25" i="3"/>
  <c r="BU25" i="3"/>
  <c r="BO26" i="3"/>
  <c r="BJ27" i="3"/>
  <c r="BU27" i="3"/>
  <c r="BP28" i="3"/>
  <c r="BI29" i="3"/>
  <c r="BV29" i="3"/>
  <c r="BO30" i="3"/>
  <c r="BK31" i="3"/>
  <c r="BV31" i="3"/>
  <c r="BQ32" i="3"/>
  <c r="BJ33" i="3"/>
  <c r="BE34" i="3"/>
  <c r="CK69" i="1" s="1"/>
  <c r="BP34" i="3"/>
  <c r="BN35" i="3"/>
  <c r="BJ36" i="3"/>
  <c r="BI37" i="3"/>
  <c r="BL38" i="3"/>
  <c r="BL39" i="3"/>
  <c r="BL40" i="3"/>
  <c r="BR41" i="3"/>
  <c r="BS42" i="3"/>
  <c r="BS45" i="3"/>
  <c r="BV46" i="3"/>
  <c r="BS34" i="3"/>
  <c r="BU35" i="3"/>
  <c r="BJ37" i="3"/>
  <c r="BH38" i="3"/>
  <c r="BQ40" i="3"/>
  <c r="BJ42" i="3"/>
  <c r="BT45" i="3"/>
  <c r="BK35" i="3"/>
  <c r="BP36" i="3"/>
  <c r="BU38" i="3"/>
  <c r="BS39" i="3"/>
  <c r="BL41" i="3"/>
  <c r="BV42" i="3"/>
  <c r="BR46" i="3"/>
  <c r="BH5" i="3"/>
  <c r="BQ5" i="3"/>
  <c r="BH6" i="3"/>
  <c r="BQ6" i="3"/>
  <c r="BI7" i="3"/>
  <c r="BR7" i="3"/>
  <c r="BI8" i="3"/>
  <c r="BR8" i="3"/>
  <c r="BI9" i="3"/>
  <c r="BR9" i="3"/>
  <c r="BI10" i="3"/>
  <c r="BS10" i="3"/>
  <c r="BJ11" i="3"/>
  <c r="BS11" i="3"/>
  <c r="BJ12" i="3"/>
  <c r="BS12" i="3"/>
  <c r="BJ13" i="3"/>
  <c r="BS13" i="3"/>
  <c r="BK14" i="3"/>
  <c r="BT14" i="3"/>
  <c r="BK15" i="3"/>
  <c r="BT15" i="3"/>
  <c r="BK16" i="3"/>
  <c r="BT16" i="3"/>
  <c r="BK17" i="3"/>
  <c r="BU17" i="3"/>
  <c r="BL18" i="3"/>
  <c r="BU18" i="3"/>
  <c r="BL19" i="3"/>
  <c r="BV19" i="3"/>
  <c r="BP20" i="3"/>
  <c r="BH21" i="3"/>
  <c r="BR21" i="3"/>
  <c r="BL22" i="3"/>
  <c r="BV22" i="3"/>
  <c r="BN23" i="3"/>
  <c r="BH24" i="3"/>
  <c r="BR24" i="3"/>
  <c r="BJ25" i="3"/>
  <c r="BV25" i="3"/>
  <c r="BN26" i="3"/>
  <c r="BF27" i="3"/>
  <c r="BR27" i="3"/>
  <c r="BJ28" i="3"/>
  <c r="BT28" i="3"/>
  <c r="BN29" i="3"/>
  <c r="BF30" i="3"/>
  <c r="BP30" i="3"/>
  <c r="BJ31" i="3"/>
  <c r="BT31" i="3"/>
  <c r="BL32" i="3"/>
  <c r="BF33" i="3"/>
  <c r="BP33" i="3"/>
  <c r="BH34" i="3"/>
  <c r="BT34" i="3"/>
  <c r="BL35" i="3"/>
  <c r="BV35" i="3"/>
  <c r="BQ36" i="3"/>
  <c r="BL37" i="3"/>
  <c r="BJ38" i="3"/>
  <c r="BH39" i="3"/>
  <c r="BT39" i="3"/>
  <c r="BR40" i="3"/>
  <c r="BM41" i="3"/>
  <c r="BK42" i="3"/>
  <c r="BI45" i="3"/>
  <c r="BU45" i="3"/>
  <c r="BS46" i="3"/>
  <c r="BO19" i="3"/>
  <c r="BM20" i="3"/>
  <c r="BK21" i="3"/>
  <c r="BI22" i="3"/>
  <c r="BQ22" i="3"/>
  <c r="BO23" i="3"/>
  <c r="BE24" i="3"/>
  <c r="BU24" i="3"/>
  <c r="BK25" i="3"/>
  <c r="BI26" i="3"/>
  <c r="BG27" i="3"/>
  <c r="BE28" i="3"/>
  <c r="CK56" i="1" s="1"/>
  <c r="BM28" i="3"/>
  <c r="BK29" i="3"/>
  <c r="BI30" i="3"/>
  <c r="BG31" i="3"/>
  <c r="BO31" i="3"/>
  <c r="BM32" i="3"/>
  <c r="BK33" i="3"/>
  <c r="BS33" i="3"/>
  <c r="BQ34" i="3"/>
  <c r="BO35" i="3"/>
  <c r="BV36" i="3"/>
  <c r="BV37" i="3"/>
  <c r="BV38" i="3"/>
  <c r="BM39" i="3"/>
  <c r="BN40" i="3"/>
  <c r="BN41" i="3"/>
  <c r="BE42" i="3"/>
  <c r="CK76" i="1" s="1"/>
  <c r="BE45" i="3"/>
  <c r="CK88" i="1" s="1"/>
  <c r="BF46" i="3"/>
  <c r="CL89" i="1" s="1"/>
  <c r="BE20" i="3"/>
  <c r="BU20" i="3"/>
  <c r="BS21" i="3"/>
  <c r="BG23" i="3"/>
  <c r="BM24" i="3"/>
  <c r="BS25" i="3"/>
  <c r="BQ26" i="3"/>
  <c r="BO27" i="3"/>
  <c r="BU28" i="3"/>
  <c r="BS29" i="3"/>
  <c r="BQ30" i="3"/>
  <c r="BE32" i="3"/>
  <c r="BU32" i="3"/>
  <c r="BI34" i="3"/>
  <c r="BG35" i="3"/>
  <c r="BE36" i="3"/>
  <c r="BM36" i="3"/>
  <c r="BM37" i="3"/>
  <c r="BM38" i="3"/>
  <c r="BV39" i="3"/>
  <c r="BE41" i="3"/>
  <c r="BN42" i="3"/>
  <c r="BN45" i="3"/>
  <c r="BO46" i="3"/>
  <c r="BL5" i="3"/>
  <c r="BT5" i="3"/>
  <c r="BJ6" i="3"/>
  <c r="BR6" i="3"/>
  <c r="BH7" i="3"/>
  <c r="BP7" i="3"/>
  <c r="BF8" i="3"/>
  <c r="BN8" i="3"/>
  <c r="BV8" i="3"/>
  <c r="BL9" i="3"/>
  <c r="BT9" i="3"/>
  <c r="BJ10" i="3"/>
  <c r="BR10" i="3"/>
  <c r="BH11" i="3"/>
  <c r="BP11" i="3"/>
  <c r="BF12" i="3"/>
  <c r="CL36" i="1" s="1"/>
  <c r="BN12" i="3"/>
  <c r="BV12" i="3"/>
  <c r="BL13" i="3"/>
  <c r="BT13" i="3"/>
  <c r="BJ14" i="3"/>
  <c r="BR14" i="3"/>
  <c r="BH15" i="3"/>
  <c r="BP15" i="3"/>
  <c r="BF16" i="3"/>
  <c r="CL45" i="1" s="1"/>
  <c r="CL20" i="1" s="1"/>
  <c r="BN16" i="3"/>
  <c r="BV16" i="3"/>
  <c r="BL17" i="3"/>
  <c r="BT17" i="3"/>
  <c r="BJ18" i="3"/>
  <c r="BR18" i="3"/>
  <c r="BH19" i="3"/>
  <c r="BP19" i="3"/>
  <c r="BF20" i="3"/>
  <c r="BN20" i="3"/>
  <c r="BV20" i="3"/>
  <c r="BL21" i="3"/>
  <c r="BT21" i="3"/>
  <c r="BJ22" i="3"/>
  <c r="BR22" i="3"/>
  <c r="BH23" i="3"/>
  <c r="BP23" i="3"/>
  <c r="BF24" i="3"/>
  <c r="BN24" i="3"/>
  <c r="BV24" i="3"/>
  <c r="BL25" i="3"/>
  <c r="BT25" i="3"/>
  <c r="BJ26" i="3"/>
  <c r="BR26" i="3"/>
  <c r="BH27" i="3"/>
  <c r="BP27" i="3"/>
  <c r="BF28" i="3"/>
  <c r="CL56" i="1" s="1"/>
  <c r="BN28" i="3"/>
  <c r="BV28" i="3"/>
  <c r="BL29" i="3"/>
  <c r="BT29" i="3"/>
  <c r="BJ30" i="3"/>
  <c r="BR30" i="3"/>
  <c r="BH31" i="3"/>
  <c r="BP31" i="3"/>
  <c r="BF32" i="3"/>
  <c r="BN32" i="3"/>
  <c r="BV32" i="3"/>
  <c r="BL33" i="3"/>
  <c r="BT33" i="3"/>
  <c r="BJ34" i="3"/>
  <c r="BR34" i="3"/>
  <c r="BH35" i="3"/>
  <c r="BP35" i="3"/>
  <c r="BF36" i="3"/>
  <c r="BN36" i="3"/>
  <c r="BE37" i="3"/>
  <c r="BN37" i="3"/>
  <c r="BE38" i="3"/>
  <c r="BN38" i="3"/>
  <c r="BE39" i="3"/>
  <c r="BN39" i="3"/>
  <c r="BF40" i="3"/>
  <c r="BO40" i="3"/>
  <c r="BF41" i="3"/>
  <c r="BO41" i="3"/>
  <c r="BF42" i="3"/>
  <c r="CL76" i="1" s="1"/>
  <c r="BO42" i="3"/>
  <c r="BF45" i="3"/>
  <c r="CL88" i="1" s="1"/>
  <c r="CL90" i="1" s="1"/>
  <c r="BP45" i="3"/>
  <c r="BG46" i="3"/>
  <c r="BP46" i="3"/>
  <c r="BO36" i="3"/>
  <c r="BF37" i="3"/>
  <c r="BO37" i="3"/>
  <c r="BF38" i="3"/>
  <c r="BO38" i="3"/>
  <c r="BF39" i="3"/>
  <c r="BP39" i="3"/>
  <c r="BG40" i="3"/>
  <c r="BP40" i="3"/>
  <c r="BG41" i="3"/>
  <c r="BP41" i="3"/>
  <c r="BG42" i="3"/>
  <c r="BP42" i="3"/>
  <c r="BH45" i="3"/>
  <c r="BQ45" i="3"/>
  <c r="BH46" i="3"/>
  <c r="BQ46" i="3"/>
  <c r="BU36" i="3"/>
  <c r="BK37" i="3"/>
  <c r="BS37" i="3"/>
  <c r="BI38" i="3"/>
  <c r="BQ38" i="3"/>
  <c r="BG39" i="3"/>
  <c r="BO39" i="3"/>
  <c r="BE40" i="3"/>
  <c r="BM40" i="3"/>
  <c r="BU40" i="3"/>
  <c r="BK41" i="3"/>
  <c r="BS41" i="3"/>
  <c r="BI42" i="3"/>
  <c r="BQ42" i="3"/>
  <c r="BG45" i="3"/>
  <c r="BO45" i="3"/>
  <c r="BE46" i="3"/>
  <c r="CK89" i="1" s="1"/>
  <c r="BM46" i="3"/>
  <c r="BU46" i="3"/>
  <c r="BC5" i="3"/>
  <c r="BC81" i="3"/>
  <c r="BD29" i="3"/>
  <c r="BC89" i="3"/>
  <c r="BC73" i="3"/>
  <c r="BB37" i="3"/>
  <c r="BD33" i="3"/>
  <c r="BC31" i="3"/>
  <c r="BC83" i="3"/>
  <c r="BC49" i="3"/>
  <c r="BD12" i="3"/>
  <c r="BC72" i="3"/>
  <c r="BC90" i="3"/>
  <c r="BC24" i="3"/>
  <c r="BB9" i="3"/>
  <c r="BB15" i="3"/>
  <c r="BA33" i="3"/>
  <c r="BC70" i="3"/>
  <c r="BB5" i="3"/>
  <c r="BA15" i="3"/>
  <c r="BC88" i="3"/>
  <c r="BB87" i="3"/>
  <c r="BB58" i="3"/>
  <c r="BC40" i="3"/>
  <c r="BB32" i="3"/>
  <c r="BA32" i="3"/>
  <c r="BA17" i="3"/>
  <c r="BB83" i="3"/>
  <c r="BB24" i="3"/>
  <c r="BA36" i="3"/>
  <c r="BB31" i="3"/>
  <c r="BA18" i="3"/>
  <c r="BB20" i="3"/>
  <c r="BB90" i="3"/>
  <c r="BB88" i="3"/>
  <c r="BB80" i="3"/>
  <c r="BB60" i="3"/>
  <c r="BC86" i="3"/>
  <c r="BA26" i="3"/>
  <c r="BC79" i="3"/>
  <c r="BC19" i="3"/>
  <c r="BC30" i="3"/>
  <c r="BC45" i="3"/>
  <c r="BD7" i="3"/>
  <c r="BA37" i="3"/>
  <c r="BB36" i="3"/>
  <c r="BD19" i="3"/>
  <c r="BA34" i="3"/>
  <c r="BC36" i="3"/>
  <c r="BD10" i="3"/>
  <c r="BC97" i="3"/>
  <c r="BB63" i="3"/>
  <c r="BB72" i="3"/>
  <c r="BC22" i="3"/>
  <c r="BC23" i="3"/>
  <c r="BA46" i="3"/>
  <c r="BB19" i="3"/>
  <c r="BB46" i="3"/>
  <c r="BC65" i="3"/>
  <c r="BC78" i="3"/>
  <c r="BA29" i="3"/>
  <c r="BA21" i="3"/>
  <c r="BC96" i="3"/>
  <c r="BA12" i="3"/>
  <c r="BC94" i="3"/>
  <c r="BB94" i="3"/>
  <c r="BB64" i="3"/>
  <c r="BB23" i="3"/>
  <c r="BC13" i="3"/>
  <c r="BC68" i="3"/>
  <c r="BB42" i="3"/>
  <c r="BC11" i="3"/>
  <c r="BC80" i="3"/>
  <c r="BA11" i="3"/>
  <c r="BB69" i="3"/>
  <c r="BC85" i="3"/>
  <c r="BB74" i="3"/>
  <c r="BB68" i="3"/>
  <c r="BB55" i="3"/>
  <c r="BA24" i="3"/>
  <c r="BD14" i="3"/>
  <c r="BC26" i="3"/>
  <c r="BA20" i="3"/>
  <c r="BC21" i="3"/>
  <c r="BC87" i="3"/>
  <c r="BC66" i="3"/>
  <c r="BC95" i="3"/>
  <c r="BA27" i="3"/>
  <c r="BC14" i="3"/>
  <c r="BB16" i="3"/>
  <c r="BD36" i="3"/>
  <c r="BB81" i="3"/>
  <c r="BB56" i="3"/>
  <c r="BC25" i="3"/>
  <c r="BC57" i="3"/>
  <c r="BD9" i="3"/>
  <c r="BC55" i="3"/>
  <c r="BA30" i="3"/>
  <c r="BA42" i="3"/>
  <c r="BC77" i="3"/>
  <c r="BD17" i="3"/>
  <c r="BC82" i="3"/>
  <c r="BD40" i="3"/>
  <c r="BC92" i="3"/>
  <c r="BC7" i="3"/>
  <c r="BB41" i="3"/>
  <c r="BB22" i="3"/>
  <c r="BB84" i="3"/>
  <c r="BB97" i="3"/>
  <c r="BD16" i="3"/>
  <c r="BD32" i="3"/>
  <c r="BB10" i="3"/>
  <c r="BC67" i="3"/>
  <c r="BD42" i="3"/>
  <c r="BB12" i="3"/>
  <c r="AY29" i="3"/>
  <c r="BD20" i="3"/>
  <c r="BD22" i="3"/>
  <c r="BB47" i="3"/>
  <c r="BB39" i="3"/>
  <c r="BC42" i="3"/>
  <c r="BA28" i="3"/>
  <c r="BB14" i="3"/>
  <c r="BC46" i="3"/>
  <c r="BB92" i="3"/>
  <c r="BB76" i="3"/>
  <c r="BA31" i="3"/>
  <c r="BD11" i="3"/>
  <c r="BD26" i="3"/>
  <c r="BD15" i="3"/>
  <c r="BC59" i="3"/>
  <c r="BC48" i="3"/>
  <c r="BC39" i="3"/>
  <c r="BD5" i="3"/>
  <c r="BD63" i="3"/>
  <c r="BD6" i="3"/>
  <c r="BB18" i="3"/>
  <c r="BD83" i="3"/>
  <c r="BA14" i="3"/>
  <c r="BB25" i="3"/>
  <c r="BC47" i="3"/>
  <c r="BC38" i="3"/>
  <c r="AV10" i="3"/>
  <c r="BC17" i="3"/>
  <c r="BC16" i="3"/>
  <c r="BA7" i="3"/>
  <c r="BB70" i="3"/>
  <c r="BB21" i="3"/>
  <c r="BD79" i="3"/>
  <c r="BB96" i="3"/>
  <c r="BC8" i="3"/>
  <c r="BD38" i="3"/>
  <c r="BD34" i="3"/>
  <c r="BB61" i="3"/>
  <c r="BD92" i="3"/>
  <c r="BD89" i="3"/>
  <c r="BC35" i="3"/>
  <c r="BC50" i="3"/>
  <c r="BD97" i="3"/>
  <c r="BB65" i="3"/>
  <c r="BD59" i="3"/>
  <c r="BD54" i="3"/>
  <c r="BB77" i="3"/>
  <c r="BB49" i="3"/>
  <c r="BB91" i="3"/>
  <c r="BB93" i="3"/>
  <c r="BB17" i="3"/>
  <c r="BD37" i="3"/>
  <c r="BC60" i="3"/>
  <c r="BC33" i="3"/>
  <c r="BD24" i="3"/>
  <c r="BC61" i="3"/>
  <c r="BD18" i="3"/>
  <c r="BD8" i="3"/>
  <c r="BC18" i="3"/>
  <c r="BC37" i="3"/>
  <c r="BC62" i="3"/>
  <c r="BC20" i="3"/>
  <c r="BA22" i="3"/>
  <c r="BD73" i="3"/>
  <c r="BB13" i="3"/>
  <c r="BB85" i="3"/>
  <c r="BB89" i="3"/>
  <c r="BB27" i="3"/>
  <c r="BC6" i="3"/>
  <c r="BA41" i="3"/>
  <c r="BB8" i="3"/>
  <c r="BA23" i="3"/>
  <c r="BB35" i="3"/>
  <c r="BC12" i="3"/>
  <c r="BD13" i="3"/>
  <c r="BB59" i="3"/>
  <c r="BA35" i="3"/>
  <c r="BC64" i="3"/>
  <c r="BD25" i="3"/>
  <c r="BC74" i="3"/>
  <c r="BC56" i="3"/>
  <c r="BB62" i="3"/>
  <c r="BD39" i="3"/>
  <c r="BB73" i="3"/>
  <c r="BB86" i="3"/>
  <c r="BB30" i="3"/>
  <c r="BB7" i="3"/>
  <c r="BC28" i="3"/>
  <c r="BA39" i="3"/>
  <c r="BA6" i="3"/>
  <c r="BD41" i="3"/>
  <c r="BA8" i="3"/>
  <c r="BD30" i="3"/>
  <c r="BC76" i="3"/>
  <c r="BD31" i="3"/>
  <c r="BA16" i="3"/>
  <c r="BA13" i="3"/>
  <c r="BC41" i="3"/>
  <c r="BB11" i="3"/>
  <c r="BA9" i="3"/>
  <c r="BD55" i="3"/>
  <c r="BB40" i="3"/>
  <c r="BB78" i="3"/>
  <c r="BB82" i="3"/>
  <c r="BA25" i="3"/>
  <c r="BB38" i="3"/>
  <c r="BD80" i="3"/>
  <c r="BD75" i="3"/>
  <c r="BB71" i="3"/>
  <c r="BB79" i="3"/>
  <c r="BB6" i="3"/>
  <c r="BB33" i="3"/>
  <c r="BC71" i="3"/>
  <c r="BA38" i="3"/>
  <c r="BB34" i="3"/>
  <c r="BD69" i="3"/>
  <c r="BD58" i="3"/>
  <c r="BB45" i="3"/>
  <c r="BB26" i="3"/>
  <c r="BD64" i="3"/>
  <c r="BB28" i="3"/>
  <c r="BB29" i="3"/>
  <c r="BB48" i="3"/>
  <c r="BD45" i="3"/>
  <c r="BB66" i="3"/>
  <c r="BB54" i="3"/>
  <c r="BC15" i="3"/>
  <c r="BA19" i="3"/>
  <c r="BC69" i="3"/>
  <c r="BC29" i="3"/>
  <c r="BC27" i="3"/>
  <c r="BD23" i="3"/>
  <c r="BC10" i="3"/>
  <c r="BA10" i="3"/>
  <c r="BC34" i="3"/>
  <c r="BA40" i="3"/>
  <c r="BC9" i="3"/>
  <c r="BD81" i="3"/>
  <c r="BB75" i="3"/>
  <c r="BC93" i="3"/>
  <c r="BD95" i="3"/>
  <c r="BD35" i="3"/>
  <c r="BD46" i="3"/>
  <c r="BD28" i="3"/>
  <c r="BC32" i="3"/>
  <c r="BA45" i="3"/>
  <c r="BD27" i="3"/>
  <c r="BC54" i="3"/>
  <c r="BA5" i="3"/>
  <c r="BD21" i="3"/>
  <c r="BD57" i="3"/>
  <c r="BD72" i="3"/>
  <c r="BB57" i="3"/>
  <c r="BB67" i="3"/>
  <c r="BA95" i="3"/>
  <c r="BA63" i="3"/>
  <c r="BM75" i="3"/>
  <c r="BM62" i="3"/>
  <c r="BM48" i="3"/>
  <c r="BM78" i="3"/>
  <c r="BM54" i="3"/>
  <c r="BM70" i="3"/>
  <c r="BM74" i="3"/>
  <c r="BM58" i="3"/>
  <c r="BM72" i="3"/>
  <c r="BM80" i="3"/>
  <c r="BF82" i="3"/>
  <c r="CL176" i="1" s="1"/>
  <c r="BF78" i="3"/>
  <c r="CL173" i="1" s="1"/>
  <c r="BF95" i="3"/>
  <c r="BF76" i="3"/>
  <c r="BF62" i="3"/>
  <c r="CL154" i="1" s="1"/>
  <c r="BF63" i="3"/>
  <c r="CL155" i="1" s="1"/>
  <c r="BF59" i="3"/>
  <c r="BF94" i="3"/>
  <c r="BF60" i="3"/>
  <c r="CL152" i="1" s="1"/>
  <c r="BF79" i="3"/>
  <c r="CL174" i="1" s="1"/>
  <c r="BF56" i="3"/>
  <c r="CL147" i="1" s="1"/>
  <c r="BF75" i="3"/>
  <c r="BF66" i="3"/>
  <c r="CL183" i="1" s="1"/>
  <c r="BF88" i="3"/>
  <c r="CL158" i="1" s="1"/>
  <c r="BF72" i="3"/>
  <c r="CL166" i="1" s="1"/>
  <c r="BF91" i="3"/>
  <c r="CL186" i="1" s="1"/>
  <c r="BF92" i="3"/>
  <c r="CL187" i="1" s="1"/>
  <c r="BF47" i="3"/>
  <c r="BF48" i="3"/>
  <c r="BF49" i="3"/>
  <c r="CL98" i="1" s="1"/>
  <c r="BF58" i="3"/>
  <c r="CL149" i="1" s="1"/>
  <c r="BF55" i="3"/>
  <c r="BF68" i="3"/>
  <c r="CL165" i="1" s="1"/>
  <c r="BF71" i="3"/>
  <c r="BF74" i="3"/>
  <c r="CL168" i="1" s="1"/>
  <c r="BF84" i="3"/>
  <c r="CL177" i="1" s="1"/>
  <c r="BF87" i="3"/>
  <c r="CL184" i="1" s="1"/>
  <c r="BF90" i="3"/>
  <c r="BF54" i="3"/>
  <c r="BF64" i="3"/>
  <c r="CL181" i="1" s="1"/>
  <c r="BF67" i="3"/>
  <c r="BF70" i="3"/>
  <c r="CL164" i="1" s="1"/>
  <c r="BF80" i="3"/>
  <c r="CL191" i="1" s="1"/>
  <c r="BF83" i="3"/>
  <c r="CL192" i="1" s="1"/>
  <c r="BF86" i="3"/>
  <c r="BF57" i="3"/>
  <c r="CL148" i="1" s="1"/>
  <c r="BF65" i="3"/>
  <c r="CL182" i="1" s="1"/>
  <c r="BF69" i="3"/>
  <c r="BF73" i="3"/>
  <c r="BF81" i="3"/>
  <c r="CL175" i="1" s="1"/>
  <c r="BF85" i="3"/>
  <c r="CL179" i="1" s="1"/>
  <c r="BF93" i="3"/>
  <c r="BP65" i="3"/>
  <c r="BP66" i="3"/>
  <c r="BP50" i="3"/>
  <c r="BP85" i="3"/>
  <c r="BP91" i="3"/>
  <c r="BP69" i="3"/>
  <c r="BP59" i="3"/>
  <c r="BP78" i="3"/>
  <c r="BP79" i="3"/>
  <c r="BP97" i="3"/>
  <c r="BP62" i="3"/>
  <c r="BP63" i="3"/>
  <c r="BP81" i="3"/>
  <c r="BP82" i="3"/>
  <c r="BP55" i="3"/>
  <c r="BP61" i="3"/>
  <c r="BP58" i="3"/>
  <c r="BP71" i="3"/>
  <c r="BP74" i="3"/>
  <c r="BP77" i="3"/>
  <c r="BP87" i="3"/>
  <c r="BP90" i="3"/>
  <c r="BP93" i="3"/>
  <c r="BP47" i="3"/>
  <c r="BP57" i="3"/>
  <c r="BP67" i="3"/>
  <c r="BP73" i="3"/>
  <c r="BP86" i="3"/>
  <c r="BP89" i="3"/>
  <c r="BP49" i="3"/>
  <c r="BP56" i="3"/>
  <c r="BP60" i="3"/>
  <c r="BP68" i="3"/>
  <c r="BP72" i="3"/>
  <c r="BP76" i="3"/>
  <c r="BP80" i="3"/>
  <c r="BP84" i="3"/>
  <c r="BP88" i="3"/>
  <c r="BP92" i="3"/>
  <c r="BP96" i="3"/>
  <c r="BI73" i="3"/>
  <c r="BI64" i="3"/>
  <c r="BI93" i="3"/>
  <c r="BI61" i="3"/>
  <c r="BI94" i="3"/>
  <c r="BI79" i="3"/>
  <c r="BS72" i="3"/>
  <c r="BS89" i="3"/>
  <c r="BS83" i="3"/>
  <c r="BS64" i="3"/>
  <c r="BS85" i="3"/>
  <c r="BS48" i="3"/>
  <c r="BS91" i="3"/>
  <c r="BS63" i="3"/>
  <c r="BS69" i="3"/>
  <c r="BS73" i="3"/>
  <c r="BS92" i="3"/>
  <c r="BS50" i="3"/>
  <c r="BS67" i="3"/>
  <c r="BS88" i="3"/>
  <c r="BS93" i="3"/>
  <c r="BS56" i="3"/>
  <c r="BS57" i="3"/>
  <c r="BS75" i="3"/>
  <c r="BS76" i="3"/>
  <c r="BS77" i="3"/>
  <c r="BS95" i="3"/>
  <c r="BS96" i="3"/>
  <c r="BS59" i="3"/>
  <c r="BS60" i="3"/>
  <c r="BS61" i="3"/>
  <c r="BS79" i="3"/>
  <c r="BS80" i="3"/>
  <c r="BS49" i="3"/>
  <c r="BS55" i="3"/>
  <c r="BS65" i="3"/>
  <c r="BS68" i="3"/>
  <c r="BS71" i="3"/>
  <c r="BS81" i="3"/>
  <c r="BS84" i="3"/>
  <c r="BS87" i="3"/>
  <c r="BS97" i="3"/>
  <c r="BS47" i="3"/>
  <c r="BS54" i="3"/>
  <c r="BS58" i="3"/>
  <c r="BS62" i="3"/>
  <c r="BS66" i="3"/>
  <c r="BS70" i="3"/>
  <c r="BS74" i="3"/>
  <c r="BS78" i="3"/>
  <c r="BS82" i="3"/>
  <c r="BS86" i="3"/>
  <c r="BS90" i="3"/>
  <c r="BS94" i="3"/>
  <c r="BH89" i="3"/>
  <c r="BH70" i="3"/>
  <c r="BH69" i="3"/>
  <c r="BH86" i="3"/>
  <c r="BH67" i="3"/>
  <c r="BH83" i="3"/>
  <c r="BH82" i="3"/>
  <c r="BH63" i="3"/>
  <c r="BH57" i="3"/>
  <c r="BH79" i="3"/>
  <c r="BH66" i="3"/>
  <c r="BH95" i="3"/>
  <c r="BH85" i="3"/>
  <c r="BH50" i="3"/>
  <c r="BH54" i="3"/>
  <c r="BH73" i="3"/>
  <c r="BH59" i="3"/>
  <c r="BH65" i="3"/>
  <c r="BH62" i="3"/>
  <c r="BH75" i="3"/>
  <c r="BH78" i="3"/>
  <c r="BH81" i="3"/>
  <c r="BH91" i="3"/>
  <c r="BH94" i="3"/>
  <c r="BH97" i="3"/>
  <c r="BH47" i="3"/>
  <c r="BH48" i="3"/>
  <c r="BH55" i="3"/>
  <c r="BH58" i="3"/>
  <c r="BH61" i="3"/>
  <c r="BH71" i="3"/>
  <c r="BH74" i="3"/>
  <c r="BH77" i="3"/>
  <c r="BH87" i="3"/>
  <c r="BH90" i="3"/>
  <c r="BH93" i="3"/>
  <c r="BH49" i="3"/>
  <c r="BH56" i="3"/>
  <c r="BH60" i="3"/>
  <c r="BH64" i="3"/>
  <c r="BH68" i="3"/>
  <c r="BH72" i="3"/>
  <c r="BH76" i="3"/>
  <c r="BH80" i="3"/>
  <c r="BH84" i="3"/>
  <c r="BH88" i="3"/>
  <c r="BH92" i="3"/>
  <c r="BH96" i="3"/>
  <c r="BQ94" i="3"/>
  <c r="BQ92" i="3"/>
  <c r="BQ73" i="3"/>
  <c r="BQ54" i="3"/>
  <c r="BQ65" i="3"/>
  <c r="BQ60" i="3"/>
  <c r="BQ89" i="3"/>
  <c r="BQ56" i="3"/>
  <c r="BQ85" i="3"/>
  <c r="BQ88" i="3"/>
  <c r="BQ69" i="3"/>
  <c r="BQ84" i="3"/>
  <c r="BQ70" i="3"/>
  <c r="BQ66" i="3"/>
  <c r="BQ76" i="3"/>
  <c r="BQ86" i="3"/>
  <c r="BQ62" i="3"/>
  <c r="BQ50" i="3"/>
  <c r="BQ57" i="3"/>
  <c r="BQ72" i="3"/>
  <c r="BQ82" i="3"/>
  <c r="BQ49" i="3"/>
  <c r="BQ81" i="3"/>
  <c r="BQ68" i="3"/>
  <c r="BQ78" i="3"/>
  <c r="BQ97" i="3"/>
  <c r="BQ58" i="3"/>
  <c r="BQ61" i="3"/>
  <c r="BQ64" i="3"/>
  <c r="BQ74" i="3"/>
  <c r="BQ77" i="3"/>
  <c r="BQ80" i="3"/>
  <c r="BQ90" i="3"/>
  <c r="BQ93" i="3"/>
  <c r="BQ96" i="3"/>
  <c r="BQ47" i="3"/>
  <c r="BQ48" i="3"/>
  <c r="BQ55" i="3"/>
  <c r="BQ59" i="3"/>
  <c r="BQ63" i="3"/>
  <c r="BQ67" i="3"/>
  <c r="BQ71" i="3"/>
  <c r="BQ75" i="3"/>
  <c r="BQ79" i="3"/>
  <c r="BQ83" i="3"/>
  <c r="BQ87" i="3"/>
  <c r="BQ91" i="3"/>
  <c r="BQ95" i="3"/>
  <c r="BL95" i="3"/>
  <c r="BL92" i="3"/>
  <c r="BL89" i="3"/>
  <c r="BL79" i="3"/>
  <c r="BL76" i="3"/>
  <c r="BL73" i="3"/>
  <c r="BL57" i="3"/>
  <c r="BL63" i="3"/>
  <c r="BL60" i="3"/>
  <c r="BL87" i="3"/>
  <c r="BL68" i="3"/>
  <c r="BL67" i="3"/>
  <c r="BL48" i="3"/>
  <c r="BL84" i="3"/>
  <c r="BL83" i="3"/>
  <c r="BL65" i="3"/>
  <c r="BL64" i="3"/>
  <c r="BL80" i="3"/>
  <c r="BL61" i="3"/>
  <c r="BL97" i="3"/>
  <c r="BL93" i="3"/>
  <c r="BL55" i="3"/>
  <c r="BL81" i="3"/>
  <c r="BL71" i="3"/>
  <c r="BL96" i="3"/>
  <c r="BL47" i="3"/>
  <c r="BL49" i="3"/>
  <c r="BL77" i="3"/>
  <c r="BL50" i="3"/>
  <c r="BL56" i="3"/>
  <c r="BL59" i="3"/>
  <c r="BL69" i="3"/>
  <c r="BL72" i="3"/>
  <c r="BL75" i="3"/>
  <c r="BL85" i="3"/>
  <c r="BL88" i="3"/>
  <c r="BL91" i="3"/>
  <c r="BL54" i="3"/>
  <c r="BL58" i="3"/>
  <c r="BL62" i="3"/>
  <c r="BL66" i="3"/>
  <c r="BL70" i="3"/>
  <c r="BL74" i="3"/>
  <c r="BL78" i="3"/>
  <c r="BL82" i="3"/>
  <c r="BL86" i="3"/>
  <c r="BL90" i="3"/>
  <c r="BL94" i="3"/>
  <c r="BT91" i="3"/>
  <c r="BT88" i="3"/>
  <c r="BT85" i="3"/>
  <c r="BT75" i="3"/>
  <c r="BT72" i="3"/>
  <c r="BT69" i="3"/>
  <c r="BT59" i="3"/>
  <c r="BT56" i="3"/>
  <c r="BT50" i="3"/>
  <c r="BT96" i="3"/>
  <c r="BT95" i="3"/>
  <c r="BT77" i="3"/>
  <c r="BT76" i="3"/>
  <c r="BT57" i="3"/>
  <c r="BT93" i="3"/>
  <c r="BT92" i="3"/>
  <c r="BT73" i="3"/>
  <c r="BT89" i="3"/>
  <c r="BT83" i="3"/>
  <c r="BT64" i="3"/>
  <c r="BT48" i="3"/>
  <c r="BT47" i="3"/>
  <c r="BT80" i="3"/>
  <c r="BT61" i="3"/>
  <c r="BT79" i="3"/>
  <c r="BT60" i="3"/>
  <c r="BT67" i="3"/>
  <c r="BT63" i="3"/>
  <c r="BT49" i="3"/>
  <c r="BT55" i="3"/>
  <c r="BT65" i="3"/>
  <c r="BT68" i="3"/>
  <c r="BT71" i="3"/>
  <c r="BT81" i="3"/>
  <c r="BT84" i="3"/>
  <c r="BT87" i="3"/>
  <c r="BT97" i="3"/>
  <c r="BT54" i="3"/>
  <c r="BT58" i="3"/>
  <c r="BT62" i="3"/>
  <c r="BT66" i="3"/>
  <c r="BT70" i="3"/>
  <c r="BT74" i="3"/>
  <c r="BT78" i="3"/>
  <c r="BT82" i="3"/>
  <c r="BT86" i="3"/>
  <c r="BT90" i="3"/>
  <c r="BT94" i="3"/>
  <c r="BD48" i="3"/>
  <c r="BD82" i="3"/>
  <c r="BD84" i="3"/>
  <c r="BD91" i="3"/>
  <c r="BD88" i="3"/>
  <c r="BD78" i="3"/>
  <c r="BD47" i="3"/>
  <c r="BD90" i="3"/>
  <c r="BD94" i="3"/>
  <c r="BD77" i="3"/>
  <c r="BD66" i="3"/>
  <c r="BD96" i="3"/>
  <c r="BD61" i="3"/>
  <c r="BD87" i="3"/>
  <c r="BD65" i="3"/>
  <c r="BD93" i="3"/>
  <c r="BD60" i="3"/>
  <c r="BD68" i="3"/>
  <c r="BD56" i="3"/>
  <c r="BD49" i="3"/>
  <c r="BD86" i="3"/>
  <c r="BD76" i="3"/>
  <c r="BD62" i="3"/>
  <c r="BD85" i="3"/>
  <c r="BD67" i="3"/>
  <c r="BD70" i="3"/>
  <c r="BD71" i="3"/>
  <c r="BA81" i="3"/>
  <c r="BA83" i="3"/>
  <c r="BA73" i="3"/>
  <c r="BA78" i="3"/>
  <c r="BA79" i="3"/>
  <c r="BA72" i="3"/>
  <c r="BA68" i="3"/>
  <c r="BA64" i="3"/>
  <c r="BA62" i="3"/>
  <c r="BA88" i="3"/>
  <c r="BA71" i="3"/>
  <c r="BA92" i="3"/>
  <c r="BA77" i="3"/>
  <c r="BA76" i="3"/>
  <c r="BA96" i="3"/>
  <c r="BA87" i="3"/>
  <c r="BA67" i="3"/>
  <c r="BA80" i="3"/>
  <c r="BA74" i="3"/>
  <c r="BA55" i="3"/>
  <c r="BA59" i="3"/>
  <c r="BA50" i="3"/>
  <c r="BA49" i="3"/>
  <c r="BA93" i="3"/>
  <c r="BA57" i="3"/>
  <c r="BA61" i="3"/>
  <c r="BA86" i="3"/>
  <c r="BA94" i="3"/>
  <c r="BA47" i="3"/>
  <c r="BA65" i="3"/>
  <c r="BA70" i="3"/>
  <c r="BA91" i="3"/>
  <c r="BA97" i="3"/>
  <c r="BA56" i="3"/>
  <c r="BA84" i="3"/>
  <c r="BA75" i="3"/>
  <c r="BA82" i="3"/>
  <c r="BA54" i="3"/>
  <c r="BA90" i="3"/>
  <c r="BA85" i="3"/>
  <c r="BA60" i="3"/>
  <c r="BA89" i="3"/>
  <c r="BA66" i="3"/>
  <c r="BA69" i="3"/>
  <c r="BA58" i="3"/>
  <c r="BF96" i="3" l="1"/>
  <c r="CL195" i="1" s="1"/>
  <c r="BF50" i="3"/>
  <c r="CL99" i="1" s="1"/>
  <c r="BF61" i="3"/>
  <c r="BF77" i="3"/>
  <c r="CL171" i="1" s="1"/>
  <c r="BF89" i="3"/>
  <c r="CL185" i="1" s="1"/>
  <c r="BF97" i="3"/>
  <c r="BP94" i="3"/>
  <c r="BP75" i="3"/>
  <c r="BP95" i="3"/>
  <c r="BP48" i="3"/>
  <c r="BP54" i="3"/>
  <c r="BP70" i="3"/>
  <c r="BP83" i="3"/>
  <c r="BP64" i="3"/>
  <c r="BI77" i="3"/>
  <c r="BI82" i="3"/>
  <c r="BI62" i="3"/>
  <c r="BI48" i="3"/>
  <c r="BI55" i="3"/>
  <c r="BI67" i="3"/>
  <c r="BI71" i="3"/>
  <c r="BI75" i="3"/>
  <c r="BI91" i="3"/>
  <c r="BI92" i="3"/>
  <c r="BI74" i="3"/>
  <c r="BI85" i="3"/>
  <c r="BI69" i="3"/>
  <c r="BI70" i="3"/>
  <c r="BI88" i="3"/>
  <c r="BI89" i="3"/>
  <c r="BI90" i="3"/>
  <c r="BI68" i="3"/>
  <c r="BI83" i="3"/>
  <c r="BI58" i="3"/>
  <c r="BI72" i="3"/>
  <c r="BI50" i="3"/>
  <c r="BI96" i="3"/>
  <c r="BI54" i="3"/>
  <c r="BI56" i="3"/>
  <c r="BI60" i="3"/>
  <c r="BI57" i="3"/>
  <c r="BI76" i="3"/>
  <c r="BI65" i="3"/>
  <c r="BI84" i="3"/>
  <c r="BI59" i="3"/>
  <c r="BI87" i="3"/>
  <c r="BU64" i="3"/>
  <c r="BU68" i="3"/>
  <c r="BU82" i="3"/>
  <c r="BU63" i="3"/>
  <c r="BU87" i="3"/>
  <c r="BU54" i="3"/>
  <c r="BU83" i="3"/>
  <c r="BU96" i="3"/>
  <c r="BU86" i="3"/>
  <c r="BU49" i="3"/>
  <c r="BU80" i="3"/>
  <c r="BU47" i="3"/>
  <c r="BU48" i="3"/>
  <c r="BU70" i="3"/>
  <c r="BU84" i="3"/>
  <c r="BU67" i="3"/>
  <c r="BU71" i="3"/>
  <c r="BU76" i="3"/>
  <c r="BU90" i="3"/>
  <c r="BU95" i="3"/>
  <c r="BU66" i="3"/>
  <c r="BU55" i="3"/>
  <c r="BU60" i="3"/>
  <c r="BU74" i="3"/>
  <c r="BU79" i="3"/>
  <c r="BU58" i="3"/>
  <c r="BU92" i="3"/>
  <c r="BU56" i="3"/>
  <c r="BU59" i="3"/>
  <c r="BU62" i="3"/>
  <c r="BU72" i="3"/>
  <c r="BU75" i="3"/>
  <c r="BU78" i="3"/>
  <c r="BU88" i="3"/>
  <c r="BU91" i="3"/>
  <c r="BU94" i="3"/>
  <c r="BU50" i="3"/>
  <c r="BU57" i="3"/>
  <c r="BU61" i="3"/>
  <c r="BU65" i="3"/>
  <c r="BU69" i="3"/>
  <c r="BU73" i="3"/>
  <c r="BU77" i="3"/>
  <c r="BU81" i="3"/>
  <c r="BU85" i="3"/>
  <c r="BU89" i="3"/>
  <c r="BU93" i="3"/>
  <c r="BU97" i="3"/>
  <c r="BI80" i="3"/>
  <c r="BI47" i="3"/>
  <c r="BI66" i="3"/>
  <c r="BI86" i="3"/>
  <c r="BI49" i="3"/>
  <c r="BI78" i="3"/>
  <c r="BI81" i="3"/>
  <c r="BI97" i="3"/>
  <c r="BI63" i="3"/>
  <c r="BI95" i="3"/>
  <c r="Z39" i="1"/>
  <c r="AA40" i="1"/>
  <c r="Z217" i="1"/>
  <c r="Z216" i="1" s="1"/>
  <c r="AA229" i="1"/>
  <c r="Z207" i="1"/>
  <c r="AA239" i="1"/>
  <c r="Z61" i="1"/>
  <c r="AA278" i="1"/>
  <c r="AA238" i="1"/>
  <c r="Z214" i="1"/>
  <c r="AA228" i="1"/>
  <c r="AA230" i="1" s="1"/>
  <c r="AA231" i="1" s="1"/>
  <c r="BC58" i="3"/>
  <c r="BC84" i="3"/>
  <c r="BB95" i="3"/>
  <c r="BB50" i="3"/>
  <c r="BD74" i="3"/>
  <c r="BD50" i="3"/>
  <c r="BC63" i="3"/>
  <c r="BA48" i="3"/>
  <c r="BC75" i="3"/>
  <c r="BC91" i="3"/>
  <c r="CP20" i="1"/>
  <c r="CT20" i="1" s="1"/>
  <c r="CX20" i="1" s="1"/>
  <c r="DB20" i="1" s="1"/>
  <c r="Z40" i="1"/>
  <c r="Z52" i="1"/>
  <c r="Y137" i="1"/>
  <c r="CL169" i="1"/>
  <c r="BN71" i="3"/>
  <c r="BN91" i="3"/>
  <c r="BN48" i="3"/>
  <c r="BN72" i="3"/>
  <c r="BN62" i="3"/>
  <c r="BN90" i="3"/>
  <c r="BN58" i="3"/>
  <c r="BN49" i="3"/>
  <c r="BN56" i="3"/>
  <c r="BN75" i="3"/>
  <c r="BN94" i="3"/>
  <c r="BN84" i="3"/>
  <c r="BN74" i="3"/>
  <c r="BN88" i="3"/>
  <c r="BN59" i="3"/>
  <c r="BN78" i="3"/>
  <c r="BN55" i="3"/>
  <c r="BN68" i="3"/>
  <c r="BN87" i="3"/>
  <c r="BN47" i="3"/>
  <c r="BN54" i="3"/>
  <c r="BN64" i="3"/>
  <c r="BN67" i="3"/>
  <c r="BN70" i="3"/>
  <c r="BN80" i="3"/>
  <c r="BN83" i="3"/>
  <c r="BN86" i="3"/>
  <c r="BN96" i="3"/>
  <c r="BN60" i="3"/>
  <c r="BN63" i="3"/>
  <c r="BN66" i="3"/>
  <c r="BN76" i="3"/>
  <c r="BN79" i="3"/>
  <c r="BN82" i="3"/>
  <c r="BN92" i="3"/>
  <c r="BN95" i="3"/>
  <c r="BN50" i="3"/>
  <c r="BN57" i="3"/>
  <c r="BN61" i="3"/>
  <c r="BN65" i="3"/>
  <c r="BN69" i="3"/>
  <c r="BN73" i="3"/>
  <c r="BN77" i="3"/>
  <c r="BN81" i="3"/>
  <c r="BN85" i="3"/>
  <c r="BN89" i="3"/>
  <c r="BN93" i="3"/>
  <c r="BN97" i="3"/>
  <c r="CL211" i="1"/>
  <c r="CK90" i="1"/>
  <c r="CL212" i="1"/>
  <c r="Z169" i="1"/>
  <c r="AA235" i="1" s="1"/>
  <c r="AA233" i="1" s="1"/>
  <c r="AA245" i="1" s="1"/>
  <c r="Z57" i="1"/>
  <c r="CK263" i="1"/>
  <c r="CK32" i="1"/>
  <c r="BV82" i="3"/>
  <c r="BV92" i="3"/>
  <c r="BV95" i="3"/>
  <c r="BV56" i="3"/>
  <c r="BV59" i="3"/>
  <c r="BV62" i="3"/>
  <c r="BV72" i="3"/>
  <c r="BV75" i="3"/>
  <c r="BV78" i="3"/>
  <c r="BV88" i="3"/>
  <c r="BV91" i="3"/>
  <c r="BV94" i="3"/>
  <c r="BV50" i="3"/>
  <c r="BV57" i="3"/>
  <c r="BV61" i="3"/>
  <c r="BV90" i="3"/>
  <c r="BV69" i="3"/>
  <c r="BV73" i="3"/>
  <c r="BV77" i="3"/>
  <c r="BV81" i="3"/>
  <c r="BV85" i="3"/>
  <c r="BV65" i="3"/>
  <c r="BV93" i="3"/>
  <c r="BV48" i="3"/>
  <c r="BV55" i="3"/>
  <c r="BV58" i="3"/>
  <c r="BV60" i="3"/>
  <c r="BV89" i="3"/>
  <c r="BV63" i="3"/>
  <c r="BV66" i="3"/>
  <c r="BV76" i="3"/>
  <c r="BV68" i="3"/>
  <c r="BV64" i="3"/>
  <c r="BV87" i="3"/>
  <c r="BV83" i="3"/>
  <c r="BV67" i="3"/>
  <c r="BV79" i="3"/>
  <c r="BV80" i="3"/>
  <c r="BV96" i="3"/>
  <c r="BV86" i="3"/>
  <c r="BV49" i="3"/>
  <c r="BV71" i="3"/>
  <c r="BV47" i="3"/>
  <c r="BV97" i="3"/>
  <c r="BV70" i="3"/>
  <c r="BV84" i="3"/>
  <c r="BV54" i="3"/>
  <c r="BV74" i="3"/>
  <c r="CL32" i="1"/>
  <c r="CL16" i="1" s="1"/>
  <c r="CL21" i="1" s="1"/>
  <c r="CL263" i="1"/>
  <c r="BJ59" i="3"/>
  <c r="BJ67" i="3"/>
  <c r="BJ75" i="3"/>
  <c r="BJ83" i="3"/>
  <c r="BJ91" i="3"/>
  <c r="BJ54" i="3"/>
  <c r="BJ73" i="3"/>
  <c r="BJ86" i="3"/>
  <c r="BJ66" i="3"/>
  <c r="BJ72" i="3"/>
  <c r="BJ50" i="3"/>
  <c r="BJ56" i="3"/>
  <c r="BJ69" i="3"/>
  <c r="BJ82" i="3"/>
  <c r="BJ85" i="3"/>
  <c r="BJ88" i="3"/>
  <c r="BJ49" i="3"/>
  <c r="BJ62" i="3"/>
  <c r="BJ65" i="3"/>
  <c r="BJ68" i="3"/>
  <c r="BJ78" i="3"/>
  <c r="BJ81" i="3"/>
  <c r="BJ84" i="3"/>
  <c r="BJ94" i="3"/>
  <c r="BJ55" i="3"/>
  <c r="BJ63" i="3"/>
  <c r="BJ71" i="3"/>
  <c r="BJ79" i="3"/>
  <c r="BJ87" i="3"/>
  <c r="BJ95" i="3"/>
  <c r="BJ97" i="3"/>
  <c r="BJ89" i="3"/>
  <c r="BJ76" i="3"/>
  <c r="BJ61" i="3"/>
  <c r="BJ47" i="3"/>
  <c r="BJ70" i="3"/>
  <c r="BJ48" i="3"/>
  <c r="BJ90" i="3"/>
  <c r="BJ57" i="3"/>
  <c r="BJ80" i="3"/>
  <c r="BJ60" i="3"/>
  <c r="BJ74" i="3"/>
  <c r="BJ64" i="3"/>
  <c r="BJ92" i="3"/>
  <c r="BJ58" i="3"/>
  <c r="BJ77" i="3"/>
  <c r="BJ96" i="3"/>
  <c r="BJ93" i="3"/>
  <c r="BK81" i="3"/>
  <c r="BK95" i="3"/>
  <c r="BK76" i="3"/>
  <c r="BK84" i="3"/>
  <c r="BK60" i="3"/>
  <c r="BK97" i="3"/>
  <c r="BK92" i="3"/>
  <c r="BK93" i="3"/>
  <c r="BK63" i="3"/>
  <c r="BK96" i="3"/>
  <c r="BK67" i="3"/>
  <c r="BK87" i="3"/>
  <c r="BK71" i="3"/>
  <c r="BK56" i="3"/>
  <c r="BK69" i="3"/>
  <c r="BK75" i="3"/>
  <c r="BK88" i="3"/>
  <c r="BK58" i="3"/>
  <c r="BK66" i="3"/>
  <c r="BK74" i="3"/>
  <c r="BK82" i="3"/>
  <c r="BK86" i="3"/>
  <c r="BK90" i="3"/>
  <c r="BK94" i="3"/>
  <c r="BK80" i="3"/>
  <c r="BK57" i="3"/>
  <c r="BK61" i="3"/>
  <c r="BK65" i="3"/>
  <c r="BK89" i="3"/>
  <c r="BK83" i="3"/>
  <c r="BK73" i="3"/>
  <c r="BK79" i="3"/>
  <c r="BK64" i="3"/>
  <c r="BK77" i="3"/>
  <c r="BK48" i="3"/>
  <c r="BK68" i="3"/>
  <c r="BK49" i="3"/>
  <c r="BK50" i="3"/>
  <c r="BK59" i="3"/>
  <c r="BK72" i="3"/>
  <c r="BK47" i="3"/>
  <c r="BK91" i="3"/>
  <c r="BK54" i="3"/>
  <c r="BK62" i="3"/>
  <c r="BK70" i="3"/>
  <c r="BK78" i="3"/>
  <c r="BK85" i="3"/>
  <c r="BK55" i="3"/>
  <c r="BM64" i="3"/>
  <c r="BM83" i="3"/>
  <c r="BM84" i="3"/>
  <c r="BM60" i="3"/>
  <c r="BM63" i="3"/>
  <c r="BM66" i="3"/>
  <c r="BM76" i="3"/>
  <c r="BM79" i="3"/>
  <c r="BM82" i="3"/>
  <c r="BM92" i="3"/>
  <c r="BM95" i="3"/>
  <c r="BM50" i="3"/>
  <c r="BM57" i="3"/>
  <c r="BM61" i="3"/>
  <c r="BM90" i="3"/>
  <c r="BM69" i="3"/>
  <c r="BM73" i="3"/>
  <c r="BM77" i="3"/>
  <c r="BM81" i="3"/>
  <c r="BM85" i="3"/>
  <c r="BM89" i="3"/>
  <c r="BM93" i="3"/>
  <c r="BM97" i="3"/>
  <c r="BM47" i="3"/>
  <c r="BM88" i="3"/>
  <c r="BM59" i="3"/>
  <c r="BM87" i="3"/>
  <c r="BM55" i="3"/>
  <c r="BM68" i="3"/>
  <c r="BM49" i="3"/>
  <c r="BM71" i="3"/>
  <c r="BM86" i="3"/>
  <c r="BM67" i="3"/>
  <c r="BM91" i="3"/>
  <c r="BM94" i="3"/>
  <c r="BM56" i="3"/>
  <c r="BM96" i="3"/>
  <c r="BM65" i="3"/>
  <c r="BE71" i="3"/>
  <c r="BE72" i="3"/>
  <c r="BE90" i="3"/>
  <c r="BE91" i="3"/>
  <c r="BE92" i="3"/>
  <c r="BE55" i="3"/>
  <c r="BE56" i="3"/>
  <c r="BE74" i="3"/>
  <c r="BE75" i="3"/>
  <c r="BE76" i="3"/>
  <c r="BE94" i="3"/>
  <c r="BE95" i="3"/>
  <c r="CJ196" i="1" s="1"/>
  <c r="BE54" i="3"/>
  <c r="BE64" i="3"/>
  <c r="BE67" i="3"/>
  <c r="BE70" i="3"/>
  <c r="BE80" i="3"/>
  <c r="BE83" i="3"/>
  <c r="BE86" i="3"/>
  <c r="BE96" i="3"/>
  <c r="BE50" i="3"/>
  <c r="CK99" i="1" s="1"/>
  <c r="BE57" i="3"/>
  <c r="BE61" i="3"/>
  <c r="BE65" i="3"/>
  <c r="BE69" i="3"/>
  <c r="BE73" i="3"/>
  <c r="BE77" i="3"/>
  <c r="BE81" i="3"/>
  <c r="BE85" i="3"/>
  <c r="BE89" i="3"/>
  <c r="BE93" i="3"/>
  <c r="BE97" i="3"/>
  <c r="BE82" i="3"/>
  <c r="BE63" i="3"/>
  <c r="BE78" i="3"/>
  <c r="BE47" i="3"/>
  <c r="BE60" i="3"/>
  <c r="BE59" i="3"/>
  <c r="BE48" i="3"/>
  <c r="BE84" i="3"/>
  <c r="BE79" i="3"/>
  <c r="BE58" i="3"/>
  <c r="BE87" i="3"/>
  <c r="BE66" i="3"/>
  <c r="BE88" i="3"/>
  <c r="BE62" i="3"/>
  <c r="BE68" i="3"/>
  <c r="BE49" i="3"/>
  <c r="CK98" i="1" s="1"/>
  <c r="BO78" i="3"/>
  <c r="BO97" i="3"/>
  <c r="BO61" i="3"/>
  <c r="BO62" i="3"/>
  <c r="BO63" i="3"/>
  <c r="BO81" i="3"/>
  <c r="BO82" i="3"/>
  <c r="BO65" i="3"/>
  <c r="BO66" i="3"/>
  <c r="BO85" i="3"/>
  <c r="BO47" i="3"/>
  <c r="BO48" i="3"/>
  <c r="BO54" i="3"/>
  <c r="BO57" i="3"/>
  <c r="BO67" i="3"/>
  <c r="BO70" i="3"/>
  <c r="BO73" i="3"/>
  <c r="BO83" i="3"/>
  <c r="BO86" i="3"/>
  <c r="BO89" i="3"/>
  <c r="BO49" i="3"/>
  <c r="BO56" i="3"/>
  <c r="BO60" i="3"/>
  <c r="BO64" i="3"/>
  <c r="BO68" i="3"/>
  <c r="BO72" i="3"/>
  <c r="BO76" i="3"/>
  <c r="BO80" i="3"/>
  <c r="BO84" i="3"/>
  <c r="BO88" i="3"/>
  <c r="BO92" i="3"/>
  <c r="BO96" i="3"/>
  <c r="BO59" i="3"/>
  <c r="BO77" i="3"/>
  <c r="BO71" i="3"/>
  <c r="BO58" i="3"/>
  <c r="BO91" i="3"/>
  <c r="BO95" i="3"/>
  <c r="BO87" i="3"/>
  <c r="BO69" i="3"/>
  <c r="BO75" i="3"/>
  <c r="BO79" i="3"/>
  <c r="BO55" i="3"/>
  <c r="BO74" i="3"/>
  <c r="BO93" i="3"/>
  <c r="BO90" i="3"/>
  <c r="BO94" i="3"/>
  <c r="BO50" i="3"/>
  <c r="BG82" i="3"/>
  <c r="BG59" i="3"/>
  <c r="BG69" i="3"/>
  <c r="BG70" i="3"/>
  <c r="BG79" i="3"/>
  <c r="BG66" i="3"/>
  <c r="BG89" i="3"/>
  <c r="BG65" i="3"/>
  <c r="BG85" i="3"/>
  <c r="BG94" i="3"/>
  <c r="BG75" i="3"/>
  <c r="BG67" i="3"/>
  <c r="BG86" i="3"/>
  <c r="BG91" i="3"/>
  <c r="BG83" i="3"/>
  <c r="BG78" i="3"/>
  <c r="BG77" i="3"/>
  <c r="BG87" i="3"/>
  <c r="BG90" i="3"/>
  <c r="BG93" i="3"/>
  <c r="BG49" i="3"/>
  <c r="BG56" i="3"/>
  <c r="BG60" i="3"/>
  <c r="BG63" i="3"/>
  <c r="BG68" i="3"/>
  <c r="BG72" i="3"/>
  <c r="BG76" i="3"/>
  <c r="BG80" i="3"/>
  <c r="BG84" i="3"/>
  <c r="BG88" i="3"/>
  <c r="BG92" i="3"/>
  <c r="BG96" i="3"/>
  <c r="BG62" i="3"/>
  <c r="BG81" i="3"/>
  <c r="BG95" i="3"/>
  <c r="CL196" i="1" s="1"/>
  <c r="BG97" i="3"/>
  <c r="BG50" i="3"/>
  <c r="BG54" i="3"/>
  <c r="BG73" i="3"/>
  <c r="BG57" i="3"/>
  <c r="BG47" i="3"/>
  <c r="BG48" i="3"/>
  <c r="BG55" i="3"/>
  <c r="BG58" i="3"/>
  <c r="BG61" i="3"/>
  <c r="BG71" i="3"/>
  <c r="BG74" i="3"/>
  <c r="BG64" i="3"/>
  <c r="BR88" i="3"/>
  <c r="BR60" i="3"/>
  <c r="BR49" i="3"/>
  <c r="BR62" i="3"/>
  <c r="BR65" i="3"/>
  <c r="BR68" i="3"/>
  <c r="BR78" i="3"/>
  <c r="BR81" i="3"/>
  <c r="BR84" i="3"/>
  <c r="BR94" i="3"/>
  <c r="BR97" i="3"/>
  <c r="BR48" i="3"/>
  <c r="BR58" i="3"/>
  <c r="BR61" i="3"/>
  <c r="BR64" i="3"/>
  <c r="BR74" i="3"/>
  <c r="BR77" i="3"/>
  <c r="BR80" i="3"/>
  <c r="BR90" i="3"/>
  <c r="BR93" i="3"/>
  <c r="BR96" i="3"/>
  <c r="BR55" i="3"/>
  <c r="BR59" i="3"/>
  <c r="BR63" i="3"/>
  <c r="BR67" i="3"/>
  <c r="BR71" i="3"/>
  <c r="BR75" i="3"/>
  <c r="BR79" i="3"/>
  <c r="BR83" i="3"/>
  <c r="BR87" i="3"/>
  <c r="BR91" i="3"/>
  <c r="BR95" i="3"/>
  <c r="BR89" i="3"/>
  <c r="BR47" i="3"/>
  <c r="BR76" i="3"/>
  <c r="BR57" i="3"/>
  <c r="BR86" i="3"/>
  <c r="BR73" i="3"/>
  <c r="BR50" i="3"/>
  <c r="BR72" i="3"/>
  <c r="BR82" i="3"/>
  <c r="BR92" i="3"/>
  <c r="BR54" i="3"/>
  <c r="BR66" i="3"/>
  <c r="BR85" i="3"/>
  <c r="BR56" i="3"/>
  <c r="BR70" i="3"/>
  <c r="BR69" i="3"/>
  <c r="CL281" i="1"/>
  <c r="CK226" i="1"/>
  <c r="CK282" i="1"/>
  <c r="CL226" i="1"/>
  <c r="CL282" i="1"/>
  <c r="CL180" i="1"/>
  <c r="CL193" i="1"/>
  <c r="CK50" i="1"/>
  <c r="CL50" i="1"/>
  <c r="CL159" i="1"/>
  <c r="CL150" i="1"/>
  <c r="CJ31" i="1"/>
  <c r="CJ56" i="1"/>
  <c r="CJ70" i="1"/>
  <c r="CJ59" i="1"/>
  <c r="CJ60" i="1"/>
  <c r="CJ69" i="1"/>
  <c r="CJ29" i="1"/>
  <c r="CJ72" i="1"/>
  <c r="CJ37" i="1"/>
  <c r="CJ76" i="1"/>
  <c r="CJ45" i="1"/>
  <c r="CJ20" i="1" s="1"/>
  <c r="CJ44" i="1"/>
  <c r="CJ50" i="1" s="1"/>
  <c r="CJ35" i="1"/>
  <c r="CJ36" i="1"/>
  <c r="CJ63" i="1"/>
  <c r="CG37" i="1"/>
  <c r="CI37" i="1"/>
  <c r="CH37" i="1"/>
  <c r="Z137" i="1"/>
  <c r="Z18" i="1"/>
  <c r="Y39" i="1"/>
  <c r="Y18" i="1"/>
  <c r="X39" i="1"/>
  <c r="X18" i="1"/>
  <c r="Z117" i="1"/>
  <c r="Z121" i="1" s="1"/>
  <c r="Y213" i="1"/>
  <c r="Z278" i="1"/>
  <c r="X57" i="1"/>
  <c r="Y57" i="1"/>
  <c r="Y235" i="1"/>
  <c r="Y233" i="1" s="1"/>
  <c r="Y200" i="1"/>
  <c r="Y139" i="1" s="1"/>
  <c r="Y141" i="1" s="1"/>
  <c r="Z160" i="1"/>
  <c r="Z200" i="1"/>
  <c r="Z139" i="1" s="1"/>
  <c r="Z141" i="1" s="1"/>
  <c r="X117" i="1"/>
  <c r="X121" i="1" s="1"/>
  <c r="Y238" i="1"/>
  <c r="Y278" i="1"/>
  <c r="X160" i="1"/>
  <c r="Y52" i="1"/>
  <c r="Y229" i="1"/>
  <c r="Y189" i="1"/>
  <c r="Z238" i="1"/>
  <c r="X200" i="1"/>
  <c r="X139" i="1" s="1"/>
  <c r="X218" i="1"/>
  <c r="Z229" i="1"/>
  <c r="Z277" i="1"/>
  <c r="Y217" i="1"/>
  <c r="Y218" i="1" s="1"/>
  <c r="X189" i="1"/>
  <c r="X197" i="1" s="1"/>
  <c r="Z213" i="1"/>
  <c r="Y228" i="1"/>
  <c r="Y117" i="1"/>
  <c r="CH162" i="1"/>
  <c r="CI162" i="1" s="1"/>
  <c r="X213" i="1"/>
  <c r="Y160" i="1"/>
  <c r="Y207" i="1"/>
  <c r="X277" i="1"/>
  <c r="X52" i="1"/>
  <c r="Z218" i="1"/>
  <c r="AA221" i="1" s="1"/>
  <c r="AA222" i="1" s="1"/>
  <c r="Z189" i="1"/>
  <c r="Z228" i="1"/>
  <c r="X137" i="1"/>
  <c r="X138" i="1"/>
  <c r="Y40" i="1"/>
  <c r="CJ177" i="1"/>
  <c r="CJ171" i="1"/>
  <c r="CJ179" i="1"/>
  <c r="CJ149" i="1"/>
  <c r="CJ154" i="1"/>
  <c r="CK154" i="1" s="1"/>
  <c r="CJ164" i="1"/>
  <c r="CJ173" i="1"/>
  <c r="CJ175" i="1"/>
  <c r="CJ183" i="1"/>
  <c r="CJ186" i="1"/>
  <c r="CJ152" i="1"/>
  <c r="CK152" i="1" s="1"/>
  <c r="CJ155" i="1"/>
  <c r="CJ174" i="1"/>
  <c r="CJ184" i="1"/>
  <c r="CJ185" i="1"/>
  <c r="CJ147" i="1"/>
  <c r="CJ181" i="1"/>
  <c r="CJ166" i="1"/>
  <c r="CJ191" i="1"/>
  <c r="CJ158" i="1"/>
  <c r="CJ195" i="1"/>
  <c r="CJ148" i="1"/>
  <c r="CJ182" i="1"/>
  <c r="CJ187" i="1"/>
  <c r="CJ165" i="1"/>
  <c r="CK57" i="1" s="1"/>
  <c r="CJ192" i="1"/>
  <c r="CJ176" i="1"/>
  <c r="CJ98" i="1"/>
  <c r="CN45" i="1"/>
  <c r="CR45" i="1" s="1"/>
  <c r="CV45" i="1" s="1"/>
  <c r="CZ45" i="1" s="1"/>
  <c r="CJ89" i="1"/>
  <c r="CJ88" i="1"/>
  <c r="CI196" i="1"/>
  <c r="CI99" i="1"/>
  <c r="CI98" i="1"/>
  <c r="CM45" i="1"/>
  <c r="CQ45" i="1" s="1"/>
  <c r="CU45" i="1" s="1"/>
  <c r="CY45" i="1" s="1"/>
  <c r="CI69" i="1"/>
  <c r="CI70" i="1"/>
  <c r="CI163" i="1"/>
  <c r="CG99" i="1"/>
  <c r="CG98" i="1"/>
  <c r="CI152" i="1"/>
  <c r="CH98" i="1"/>
  <c r="CI166" i="1"/>
  <c r="CG70" i="1"/>
  <c r="CH70" i="1"/>
  <c r="CO45" i="1"/>
  <c r="CI154" i="1"/>
  <c r="CI168" i="1"/>
  <c r="CI158" i="1"/>
  <c r="CI155" i="1"/>
  <c r="CI195" i="1"/>
  <c r="CI171" i="1"/>
  <c r="CP45" i="1"/>
  <c r="CT45" i="1" s="1"/>
  <c r="CX45" i="1" s="1"/>
  <c r="DB45" i="1" s="1"/>
  <c r="CG69" i="1"/>
  <c r="CH69" i="1"/>
  <c r="CF196" i="1"/>
  <c r="CG196" i="1" s="1"/>
  <c r="A1" i="6"/>
  <c r="A1" i="4"/>
  <c r="FQ5" i="4" a="1"/>
  <c r="GI5" i="4" a="1"/>
  <c r="GW5" i="4" a="1"/>
  <c r="FL6" i="4" a="1"/>
  <c r="FS6" i="4" a="1"/>
  <c r="GR6" i="4" a="1"/>
  <c r="HG6" i="4" a="1"/>
  <c r="GU7" i="4" a="1"/>
  <c r="HC7" i="4" a="1"/>
  <c r="FF8" i="4" a="1"/>
  <c r="GO8" i="4" a="1"/>
  <c r="GC9" i="4" a="1"/>
  <c r="HC9" i="4" a="1"/>
  <c r="GW11" i="4" a="1"/>
  <c r="GQ12" i="4" a="1"/>
  <c r="FG13" i="4" a="1"/>
  <c r="FZ13" i="4" a="1"/>
  <c r="GJ13" i="4" a="1"/>
  <c r="FT14" i="4" a="1"/>
  <c r="GD14" i="4" a="1"/>
  <c r="GW14" i="4" a="1"/>
  <c r="GD15" i="4" a="1"/>
  <c r="HB15" i="4" a="1"/>
  <c r="FX16" i="4" a="1"/>
  <c r="GV16" i="4" a="1"/>
  <c r="FW5" i="4" a="1"/>
  <c r="GK5" i="4" a="1"/>
  <c r="HC5" i="4" a="1"/>
  <c r="FN6" i="4" a="1"/>
  <c r="GM6" i="4" a="1"/>
  <c r="FK7" i="4" a="1"/>
  <c r="GA7" i="4" a="1"/>
  <c r="GG7" i="4" a="1"/>
  <c r="FP8" i="4" a="1"/>
  <c r="FY8" i="4" a="1"/>
  <c r="FM9" i="4" a="1"/>
  <c r="FI11" i="4" a="1"/>
  <c r="GM11" i="4" a="1"/>
  <c r="HF11" i="4" a="1"/>
  <c r="GF12" i="4" a="1"/>
  <c r="FR5" i="4" a="1"/>
  <c r="GQ5" i="4" a="1"/>
  <c r="HE5" i="4" a="1"/>
  <c r="FT6" i="4" a="1"/>
  <c r="GH6" i="4" a="1"/>
  <c r="GZ6" i="4" a="1"/>
  <c r="FM7" i="4" a="1"/>
  <c r="FI8" i="4" a="1"/>
  <c r="GZ8" i="4" a="1"/>
  <c r="GD9" i="4" a="1"/>
  <c r="GM9" i="4" a="1"/>
  <c r="FU11" i="4" a="1"/>
  <c r="GN11" i="4" a="1"/>
  <c r="FN12" i="4" a="1"/>
  <c r="GH12" i="4" a="1"/>
  <c r="FH13" i="4" a="1"/>
  <c r="GA13" i="4" a="1"/>
  <c r="FU14" i="4" a="1"/>
  <c r="GX14" i="4" a="1"/>
  <c r="FG15" i="4" a="1"/>
  <c r="FT15" i="4" a="1"/>
  <c r="GE15" i="4" a="1"/>
  <c r="GR15" i="4" a="1"/>
  <c r="FM16" i="4" a="1"/>
  <c r="FM5" i="4" a="1"/>
  <c r="GE5" i="4" a="1"/>
  <c r="GS5" i="4" a="1"/>
  <c r="FH6" i="4" a="1"/>
  <c r="FV6" i="4" a="1"/>
  <c r="GN6" i="4" a="1"/>
  <c r="GU6" i="4" a="1"/>
  <c r="GB7" i="4" a="1"/>
  <c r="GJ7" i="4" a="1"/>
  <c r="GJ8" i="4" a="1"/>
  <c r="FW9" i="4" a="1"/>
  <c r="FM11" i="4" a="1"/>
  <c r="GQ11" i="4" a="1"/>
  <c r="FZ12" i="4" a="1"/>
  <c r="GJ12" i="4" a="1"/>
  <c r="HC12" i="4" a="1"/>
  <c r="GM13" i="4" a="1"/>
  <c r="HF13" i="4" a="1"/>
  <c r="GF14" i="4" a="1"/>
  <c r="GZ14" i="4" a="1"/>
  <c r="GF15" i="4" a="1"/>
  <c r="HE15" i="4" a="1"/>
  <c r="FZ16" i="4" a="1"/>
  <c r="GX16" i="4" a="1"/>
  <c r="FS5" i="4" a="1"/>
  <c r="GG5" i="4" a="1"/>
  <c r="HF5" i="4" a="1"/>
  <c r="GB6" i="4" a="1"/>
  <c r="GP6" i="4" a="1"/>
  <c r="HC6" i="4" a="1"/>
  <c r="GY7" i="4" a="1"/>
  <c r="FJ8" i="4" a="1"/>
  <c r="FT8" i="4" a="1"/>
  <c r="HA8" i="4" a="1"/>
  <c r="FG9" i="4" a="1"/>
  <c r="GO9" i="4" a="1"/>
  <c r="GX9" i="4" a="1"/>
  <c r="HF9" i="4" a="1"/>
  <c r="FY11" i="4" a="1"/>
  <c r="GR11" i="4" a="1"/>
  <c r="FR12" i="4" a="1"/>
  <c r="GK12" i="4" a="1"/>
  <c r="HE12" i="4" a="1"/>
  <c r="FL13" i="4" a="1"/>
  <c r="GE13" i="4" a="1"/>
  <c r="GX13" i="4" a="1"/>
  <c r="FF14" i="4" a="1"/>
  <c r="FY14" i="4" a="1"/>
  <c r="GR14" i="4" a="1"/>
  <c r="FL15" i="4" a="1"/>
  <c r="GJ15" i="4" a="1"/>
  <c r="FF16" i="4" a="1"/>
  <c r="GD16" i="4" a="1"/>
  <c r="HB16" i="4" a="1"/>
  <c r="FG5" i="4" a="1"/>
  <c r="FN5" i="4" a="1"/>
  <c r="FU5" i="4" a="1"/>
  <c r="GM5" i="4" a="1"/>
  <c r="GT5" i="4" a="1"/>
  <c r="HA5" i="4" a="1"/>
  <c r="FP6" i="4" a="1"/>
  <c r="FW6" i="4" a="1"/>
  <c r="GD6" i="4" a="1"/>
  <c r="GV6" i="4" a="1"/>
  <c r="FO7" i="4" a="1"/>
  <c r="FW7" i="4" a="1"/>
  <c r="GC7" i="4" a="1"/>
  <c r="GK7" i="4" a="1"/>
  <c r="GS7" i="4" a="1"/>
  <c r="GK8" i="4" a="1"/>
  <c r="GT8" i="4" a="1"/>
  <c r="FY9" i="4" a="1"/>
  <c r="GH9" i="4" a="1"/>
  <c r="FN11" i="4" a="1"/>
  <c r="GH11" i="4" a="1"/>
  <c r="FH12" i="4" a="1"/>
  <c r="GA12" i="4" a="1"/>
  <c r="GW12" i="4" a="1"/>
  <c r="FU13" i="4" a="1"/>
  <c r="GQ13" i="4" a="1"/>
  <c r="FG14" i="4" a="1"/>
  <c r="GJ14" i="4" a="1"/>
  <c r="HC14" i="4" a="1"/>
  <c r="FY15" i="4" a="1"/>
  <c r="GW15" i="4" a="1"/>
  <c r="FR16" i="4" a="1"/>
  <c r="GQ16" i="4" a="1"/>
  <c r="FI5" i="4" a="1"/>
  <c r="GA5" i="4" a="1"/>
  <c r="GH5" i="4" a="1"/>
  <c r="GO5" i="4" a="1"/>
  <c r="HG5" i="4" a="1"/>
  <c r="FK6" i="4" a="1"/>
  <c r="FR6" i="4" a="1"/>
  <c r="GJ6" i="4" a="1"/>
  <c r="GQ6" i="4" a="1"/>
  <c r="GX6" i="4" a="1"/>
  <c r="HD6" i="4" a="1"/>
  <c r="FI7" i="4" a="1"/>
  <c r="GZ7" i="4" a="1"/>
  <c r="HH7" i="4" a="1"/>
  <c r="FU8" i="4" a="1"/>
  <c r="GD8" i="4" a="1"/>
  <c r="FI9" i="4" a="1"/>
  <c r="FR9" i="4" a="1"/>
  <c r="GY9" i="4" a="1"/>
  <c r="FG11" i="4" a="1"/>
  <c r="FP11" i="4" a="1"/>
  <c r="FZ11" i="4" a="1"/>
  <c r="GS11" i="4" a="1"/>
  <c r="HC11" i="4" a="1"/>
  <c r="FI12" i="4" a="1"/>
  <c r="FT12" i="4" a="1"/>
  <c r="GM12" i="4" a="1"/>
  <c r="HF12" i="4" a="1"/>
  <c r="FM13" i="4" a="1"/>
  <c r="GF13" i="4" a="1"/>
  <c r="GZ13" i="4" a="1"/>
  <c r="FZ14" i="4" a="1"/>
  <c r="GS14" i="4" a="1"/>
  <c r="FM15" i="4" a="1"/>
  <c r="GL15" i="4" a="1"/>
  <c r="FG16" i="4" a="1"/>
  <c r="GE16" i="4" a="1"/>
  <c r="HD16" i="4" a="1"/>
  <c r="FJ5" i="4" a="1"/>
  <c r="GP5" i="4" a="1"/>
  <c r="FZ6" i="4" a="1"/>
  <c r="GY6" i="4" a="1"/>
  <c r="GF8" i="4" a="1"/>
  <c r="FS9" i="4" a="1"/>
  <c r="GA11" i="4" a="1"/>
  <c r="FM12" i="4" a="1"/>
  <c r="HC13" i="4" a="1"/>
  <c r="GM14" i="4" a="1"/>
  <c r="FF15" i="4" a="1"/>
  <c r="GD5" i="4" a="1"/>
  <c r="FG6" i="4" a="1"/>
  <c r="GF6" i="4" a="1"/>
  <c r="GT6" i="4" a="1"/>
  <c r="FS7" i="4" a="1"/>
  <c r="GO7" i="4" a="1"/>
  <c r="HF8" i="4" a="1"/>
  <c r="GT9" i="4" a="1"/>
  <c r="FY12" i="4" a="1"/>
  <c r="GZ12" i="4" a="1"/>
  <c r="FR13" i="4" a="1"/>
  <c r="GS13" i="4" a="1"/>
  <c r="FL14" i="4" a="1"/>
  <c r="GE14" i="4" a="1"/>
  <c r="FR15" i="4" a="1"/>
  <c r="GQ15" i="4" a="1"/>
  <c r="FL16" i="4" a="1"/>
  <c r="FY16" i="4" a="1"/>
  <c r="GJ16" i="4" a="1"/>
  <c r="GW16" i="4" a="1"/>
  <c r="FK5" i="4" a="1"/>
  <c r="FY5" i="4" a="1"/>
  <c r="GX5" i="4" a="1"/>
  <c r="GA6" i="4" a="1"/>
  <c r="HH6" i="4" a="1"/>
  <c r="HD7" i="4" a="1"/>
  <c r="GP8" i="4" a="1"/>
  <c r="HE9" i="4" a="1"/>
  <c r="GE11" i="4" a="1"/>
  <c r="GX11" i="4" a="1"/>
  <c r="GR12" i="4" a="1"/>
  <c r="HE13" i="4" a="1"/>
  <c r="GQ14" i="4" a="1"/>
  <c r="GL16" i="4" a="1"/>
  <c r="FF5" i="4" a="1"/>
  <c r="GL5" i="4" a="1"/>
  <c r="FO6" i="4" a="1"/>
  <c r="FT7" i="4" a="1"/>
  <c r="FZ8" i="4" a="1"/>
  <c r="FN9" i="4" a="1"/>
  <c r="GF11" i="4" a="1"/>
  <c r="FG12" i="4" a="1"/>
  <c r="GS12" i="4" a="1"/>
  <c r="FT13" i="4" a="1"/>
  <c r="GW13" i="4" a="1"/>
  <c r="FM14" i="4" a="1"/>
  <c r="FH15" i="4" a="1"/>
  <c r="FZ5" i="4" a="1"/>
  <c r="GY5" i="4" a="1"/>
  <c r="FJ6" i="4" a="1"/>
  <c r="GI6" i="4" a="1"/>
  <c r="GQ7" i="4" a="1"/>
  <c r="HG7" i="4" a="1"/>
  <c r="HB14" i="4" a="1"/>
  <c r="FO5" i="4" a="1"/>
  <c r="FV5" i="4" a="1"/>
  <c r="GC5" i="4" a="1"/>
  <c r="GU5" i="4" a="1"/>
  <c r="HB5" i="4" a="1"/>
  <c r="FF6" i="4" a="1"/>
  <c r="FX6" i="4" a="1"/>
  <c r="GE6" i="4" a="1"/>
  <c r="GL6" i="4" a="1"/>
  <c r="FX7" i="4" a="1"/>
  <c r="GF7" i="4" a="1"/>
  <c r="FN8" i="4" a="1"/>
  <c r="GV8" i="4" a="1"/>
  <c r="HE8" i="4" a="1"/>
  <c r="GI9" i="4" a="1"/>
  <c r="GS9" i="4" a="1"/>
  <c r="FH11" i="4" a="1"/>
  <c r="FR11" i="4" a="1"/>
  <c r="GK11" i="4" a="1"/>
  <c r="HE11" i="4" a="1"/>
  <c r="FL12" i="4" a="1"/>
  <c r="FU12" i="4" a="1"/>
  <c r="GE12" i="4" a="1"/>
  <c r="GX12" i="4" a="1"/>
  <c r="FN13" i="4" a="1"/>
  <c r="FY13" i="4" a="1"/>
  <c r="GH13" i="4" a="1"/>
  <c r="GR13" i="4" a="1"/>
  <c r="FH14" i="4" a="1"/>
  <c r="FR14" i="4" a="1"/>
  <c r="GA14" i="4" a="1"/>
  <c r="GL14" i="4" a="1"/>
  <c r="HE14" i="4" a="1"/>
  <c r="FZ15" i="4" a="1"/>
  <c r="GX15" i="4" a="1"/>
  <c r="FT16" i="4" a="1"/>
  <c r="GR16" i="4" a="1"/>
  <c r="HE16" i="4" a="1"/>
  <c r="FU15" i="4" a="1"/>
  <c r="GS15" i="4" a="1"/>
  <c r="FH16" i="4" a="1"/>
  <c r="FU16" i="4" a="1"/>
  <c r="FY7" i="4" a="1"/>
  <c r="GV7" i="4" a="1"/>
  <c r="FQ8" i="4" a="1"/>
  <c r="GB8" i="4" a="1"/>
  <c r="GL8" i="4" a="1"/>
  <c r="GW8" i="4" a="1"/>
  <c r="HH8" i="4" a="1"/>
  <c r="FO9" i="4" a="1"/>
  <c r="FZ9" i="4" a="1"/>
  <c r="GK9" i="4" a="1"/>
  <c r="GU9" i="4" a="1"/>
  <c r="HG9" i="4" a="1"/>
  <c r="FV11" i="4" a="1"/>
  <c r="GT11" i="4" a="1"/>
  <c r="HA11" i="4" a="1"/>
  <c r="FV12" i="4" a="1"/>
  <c r="GN12" i="4" a="1"/>
  <c r="HA12" i="4" a="1"/>
  <c r="FP13" i="4" a="1"/>
  <c r="GT13" i="4" a="1"/>
  <c r="FI14" i="4" a="1"/>
  <c r="FP14" i="4" a="1"/>
  <c r="GH14" i="4" a="1"/>
  <c r="GN14" i="4" a="1"/>
  <c r="HF14" i="4" a="1"/>
  <c r="FI15" i="4" a="1"/>
  <c r="FP15" i="4" a="1"/>
  <c r="GH15" i="4" a="1"/>
  <c r="HF15" i="4" a="1"/>
  <c r="FI16" i="4" a="1"/>
  <c r="GH16" i="4" a="1"/>
  <c r="HF16" i="4" a="1"/>
  <c r="FH5" i="4" a="1"/>
  <c r="FL5" i="4" a="1"/>
  <c r="FP5" i="4" a="1"/>
  <c r="FT5" i="4" a="1"/>
  <c r="FX5" i="4" a="1"/>
  <c r="GB5" i="4" a="1"/>
  <c r="GF5" i="4" a="1"/>
  <c r="GJ5" i="4" a="1"/>
  <c r="GN5" i="4" a="1"/>
  <c r="GR5" i="4" a="1"/>
  <c r="GV5" i="4" a="1"/>
  <c r="GZ5" i="4" a="1"/>
  <c r="HD5" i="4" a="1"/>
  <c r="HH5" i="4" a="1"/>
  <c r="FI6" i="4" a="1"/>
  <c r="FM6" i="4" a="1"/>
  <c r="FQ6" i="4" a="1"/>
  <c r="FU6" i="4" a="1"/>
  <c r="FY6" i="4" a="1"/>
  <c r="GC6" i="4" a="1"/>
  <c r="GG6" i="4" a="1"/>
  <c r="GK6" i="4" a="1"/>
  <c r="GO6" i="4" a="1"/>
  <c r="GS6" i="4" a="1"/>
  <c r="GW6" i="4" a="1"/>
  <c r="HF6" i="4" a="1"/>
  <c r="FL7" i="4" a="1"/>
  <c r="FU7" i="4" a="1"/>
  <c r="GI7" i="4" a="1"/>
  <c r="GR7" i="4" a="1"/>
  <c r="HA7" i="4" a="1"/>
  <c r="FK11" i="4" a="1"/>
  <c r="FQ11" i="4" a="1"/>
  <c r="GI11" i="4" a="1"/>
  <c r="GO11" i="4" a="1"/>
  <c r="GV11" i="4" a="1"/>
  <c r="HG11" i="4" a="1"/>
  <c r="FK12" i="4" a="1"/>
  <c r="FQ12" i="4" a="1"/>
  <c r="GI12" i="4" a="1"/>
  <c r="GO12" i="4" a="1"/>
  <c r="HG12" i="4" a="1"/>
  <c r="FK13" i="4" a="1"/>
  <c r="GC13" i="4" a="1"/>
  <c r="GI13" i="4" a="1"/>
  <c r="HA13" i="4" a="1"/>
  <c r="HG13" i="4" a="1"/>
  <c r="FK14" i="4" a="1"/>
  <c r="FV14" i="4" a="1"/>
  <c r="GC14" i="4" a="1"/>
  <c r="GI14" i="4" a="1"/>
  <c r="HA14" i="4" a="1"/>
  <c r="HG14" i="4" a="1"/>
  <c r="FV15" i="4" a="1"/>
  <c r="GC15" i="4" a="1"/>
  <c r="GU15" i="4" a="1"/>
  <c r="HA15" i="4" a="1"/>
  <c r="FP16" i="4" a="1"/>
  <c r="FV16" i="4" a="1"/>
  <c r="GC16" i="4" a="1"/>
  <c r="GN16" i="4" a="1"/>
  <c r="GU16" i="4" a="1"/>
  <c r="HA16" i="4" a="1"/>
  <c r="FO15" i="4" a="1"/>
  <c r="GM15" i="4" a="1"/>
  <c r="GZ15" i="4" a="1"/>
  <c r="FO16" i="4" a="1"/>
  <c r="GM16" i="4" a="1"/>
  <c r="GS16" i="4" a="1"/>
  <c r="FG7" i="4" a="1"/>
  <c r="FP7" i="4" a="1"/>
  <c r="GM7" i="4" a="1"/>
  <c r="HE7" i="4" a="1"/>
  <c r="FL8" i="4" a="1"/>
  <c r="FV8" i="4" a="1"/>
  <c r="GG8" i="4" a="1"/>
  <c r="GR8" i="4" a="1"/>
  <c r="HB8" i="4" a="1"/>
  <c r="FJ9" i="4" a="1"/>
  <c r="FU9" i="4" a="1"/>
  <c r="GE9" i="4" a="1"/>
  <c r="GP9" i="4" a="1"/>
  <c r="HA9" i="4" a="1"/>
  <c r="GB11" i="4" a="1"/>
  <c r="FP12" i="4" a="1"/>
  <c r="GT12" i="4" a="1"/>
  <c r="FI13" i="4" a="1"/>
  <c r="FV13" i="4" a="1"/>
  <c r="GN13" i="4" a="1"/>
  <c r="GA15" i="4" a="1"/>
  <c r="GN15" i="4" a="1"/>
  <c r="GA16" i="4" a="1"/>
  <c r="GZ16" i="4" a="1"/>
  <c r="HB6" i="4" a="1"/>
  <c r="FH7" i="4" a="1"/>
  <c r="FQ7" i="4" a="1"/>
  <c r="GE7" i="4" a="1"/>
  <c r="GN7" i="4" a="1"/>
  <c r="GW7" i="4" a="1"/>
  <c r="FH8" i="4" a="1"/>
  <c r="FM8" i="4" a="1"/>
  <c r="FR8" i="4" a="1"/>
  <c r="FX8" i="4" a="1"/>
  <c r="GC8" i="4" a="1"/>
  <c r="GH8" i="4" a="1"/>
  <c r="GN8" i="4" a="1"/>
  <c r="GS8" i="4" a="1"/>
  <c r="GX8" i="4" a="1"/>
  <c r="HD8" i="4" a="1"/>
  <c r="FF9" i="4" a="1"/>
  <c r="FK9" i="4" a="1"/>
  <c r="FQ9" i="4" a="1"/>
  <c r="FV9" i="4" a="1"/>
  <c r="GA9" i="4" a="1"/>
  <c r="GG9" i="4" a="1"/>
  <c r="GL9" i="4" a="1"/>
  <c r="GQ9" i="4" a="1"/>
  <c r="GW9" i="4" a="1"/>
  <c r="HB9" i="4" a="1"/>
  <c r="HH9" i="4" a="1"/>
  <c r="FL11" i="4" a="1"/>
  <c r="FW11" i="4" a="1"/>
  <c r="GD11" i="4" a="1"/>
  <c r="GJ11" i="4" a="1"/>
  <c r="HB11" i="4" a="1"/>
  <c r="HH11" i="4" a="1"/>
  <c r="FW12" i="4" a="1"/>
  <c r="GD12" i="4" a="1"/>
  <c r="GV12" i="4" a="1"/>
  <c r="HB12" i="4" a="1"/>
  <c r="FQ13" i="4" a="1"/>
  <c r="FW13" i="4" a="1"/>
  <c r="GD13" i="4" a="1"/>
  <c r="GO13" i="4" a="1"/>
  <c r="GV13" i="4" a="1"/>
  <c r="HB13" i="4" a="1"/>
  <c r="FQ14" i="4" a="1"/>
  <c r="FW14" i="4" a="1"/>
  <c r="GO14" i="4" a="1"/>
  <c r="GV14" i="4" a="1"/>
  <c r="FK15" i="4" a="1"/>
  <c r="FQ15" i="4" a="1"/>
  <c r="GI15" i="4" a="1"/>
  <c r="GO15" i="4" a="1"/>
  <c r="GV15" i="4" a="1"/>
  <c r="HG15" i="4" a="1"/>
  <c r="FK16" i="4" a="1"/>
  <c r="FQ16" i="4" a="1"/>
  <c r="GI16" i="4" a="1"/>
  <c r="GO16" i="4" a="1"/>
  <c r="HG16" i="4" a="1"/>
  <c r="HD9" i="4" a="1"/>
  <c r="FJ11" i="4" a="1"/>
  <c r="FS11" i="4" a="1"/>
  <c r="FX11" i="4" a="1"/>
  <c r="GG11" i="4" a="1"/>
  <c r="GP11" i="4" a="1"/>
  <c r="GY11" i="4" a="1"/>
  <c r="HD11" i="4" a="1"/>
  <c r="FJ12" i="4" a="1"/>
  <c r="FS12" i="4" a="1"/>
  <c r="GB12" i="4" a="1"/>
  <c r="GG12" i="4" a="1"/>
  <c r="GP12" i="4" a="1"/>
  <c r="GY12" i="4" a="1"/>
  <c r="HH12" i="4" a="1"/>
  <c r="FJ13" i="4" a="1"/>
  <c r="FS13" i="4" a="1"/>
  <c r="GB13" i="4" a="1"/>
  <c r="GK13" i="4" a="1"/>
  <c r="GP13" i="4" a="1"/>
  <c r="GY13" i="4" a="1"/>
  <c r="HH13" i="4" a="1"/>
  <c r="FN14" i="4" a="1"/>
  <c r="FS14" i="4" a="1"/>
  <c r="GB14" i="4" a="1"/>
  <c r="GK14" i="4" a="1"/>
  <c r="GT14" i="4" a="1"/>
  <c r="GY14" i="4" a="1"/>
  <c r="HH14" i="4" a="1"/>
  <c r="FN15" i="4" a="1"/>
  <c r="FW15" i="4" a="1"/>
  <c r="GB15" i="4" a="1"/>
  <c r="GK15" i="4" a="1"/>
  <c r="GT15" i="4" a="1"/>
  <c r="HC15" i="4" a="1"/>
  <c r="HH15" i="4" a="1"/>
  <c r="FN16" i="4" a="1"/>
  <c r="FW16" i="4" a="1"/>
  <c r="GF16" i="4" a="1"/>
  <c r="GK16" i="4" a="1"/>
  <c r="GT16" i="4" a="1"/>
  <c r="HC16" i="4" a="1"/>
  <c r="HA6" i="4" a="1"/>
  <c r="HE6" i="4" a="1"/>
  <c r="FF7" i="4" a="1"/>
  <c r="FJ7" i="4" a="1"/>
  <c r="FN7" i="4" a="1"/>
  <c r="FR7" i="4" a="1"/>
  <c r="FV7" i="4" a="1"/>
  <c r="FZ7" i="4" a="1"/>
  <c r="GD7" i="4" a="1"/>
  <c r="GH7" i="4" a="1"/>
  <c r="GL7" i="4" a="1"/>
  <c r="GP7" i="4" a="1"/>
  <c r="GT7" i="4" a="1"/>
  <c r="GX7" i="4" a="1"/>
  <c r="HB7" i="4" a="1"/>
  <c r="HF7" i="4" a="1"/>
  <c r="FG8" i="4" a="1"/>
  <c r="FK8" i="4" a="1"/>
  <c r="FO8" i="4" a="1"/>
  <c r="FS8" i="4" a="1"/>
  <c r="FW8" i="4" a="1"/>
  <c r="GA8" i="4" a="1"/>
  <c r="GE8" i="4" a="1"/>
  <c r="GI8" i="4" a="1"/>
  <c r="GM8" i="4" a="1"/>
  <c r="GQ8" i="4" a="1"/>
  <c r="GU8" i="4" a="1"/>
  <c r="GY8" i="4" a="1"/>
  <c r="HC8" i="4" a="1"/>
  <c r="HG8" i="4" a="1"/>
  <c r="FH9" i="4" a="1"/>
  <c r="FL9" i="4" a="1"/>
  <c r="FP9" i="4" a="1"/>
  <c r="FT9" i="4" a="1"/>
  <c r="FX9" i="4" a="1"/>
  <c r="GB9" i="4" a="1"/>
  <c r="GF9" i="4" a="1"/>
  <c r="GJ9" i="4" a="1"/>
  <c r="GN9" i="4" a="1"/>
  <c r="GR9" i="4" a="1"/>
  <c r="GV9" i="4" a="1"/>
  <c r="GZ9" i="4" a="1"/>
  <c r="FF11" i="4" a="1"/>
  <c r="FO11" i="4" a="1"/>
  <c r="FT11" i="4" a="1"/>
  <c r="GC11" i="4" a="1"/>
  <c r="GL11" i="4" a="1"/>
  <c r="GU11" i="4" a="1"/>
  <c r="GZ11" i="4" a="1"/>
  <c r="FF12" i="4" a="1"/>
  <c r="FO12" i="4" a="1"/>
  <c r="FX12" i="4" a="1"/>
  <c r="GC12" i="4" a="1"/>
  <c r="GL12" i="4" a="1"/>
  <c r="GU12" i="4" a="1"/>
  <c r="HD12" i="4" a="1"/>
  <c r="FF13" i="4" a="1"/>
  <c r="FO13" i="4" a="1"/>
  <c r="FX13" i="4" a="1"/>
  <c r="GG13" i="4" a="1"/>
  <c r="GL13" i="4" a="1"/>
  <c r="GU13" i="4" a="1"/>
  <c r="HD13" i="4" a="1"/>
  <c r="FJ14" i="4" a="1"/>
  <c r="FO14" i="4" a="1"/>
  <c r="FX14" i="4" a="1"/>
  <c r="GG14" i="4" a="1"/>
  <c r="GP14" i="4" a="1"/>
  <c r="GU14" i="4" a="1"/>
  <c r="HD14" i="4" a="1"/>
  <c r="FJ15" i="4" a="1"/>
  <c r="FS15" i="4" a="1"/>
  <c r="FX15" i="4" a="1"/>
  <c r="GG15" i="4" a="1"/>
  <c r="GP15" i="4" a="1"/>
  <c r="GY15" i="4" a="1"/>
  <c r="HD15" i="4" a="1"/>
  <c r="FJ16" i="4" a="1"/>
  <c r="FS16" i="4" a="1"/>
  <c r="GB16" i="4" a="1"/>
  <c r="GG16" i="4" a="1"/>
  <c r="GP16" i="4" a="1"/>
  <c r="GY16" i="4" a="1"/>
  <c r="HH16" i="4" a="1"/>
  <c r="EX15" i="4" a="1"/>
  <c r="FA7" i="4" a="1"/>
  <c r="FD8" i="4" a="1"/>
  <c r="FC15" i="4" a="1"/>
  <c r="FB6" i="4" a="1"/>
  <c r="FE11" i="4" a="1"/>
  <c r="EZ13" i="4" a="1"/>
  <c r="EX8" i="4" a="1"/>
  <c r="FD11" i="4" a="1"/>
  <c r="EZ7" i="4" a="1"/>
  <c r="FA9" i="4" a="1"/>
  <c r="EY12" i="4" a="1"/>
  <c r="FC9" i="4" a="1"/>
  <c r="FB7" i="4" a="1"/>
  <c r="FE15" i="4" a="1"/>
  <c r="FC13" i="4" a="1"/>
  <c r="EZ9" i="4" a="1"/>
  <c r="EX6" i="4" a="1"/>
  <c r="EZ12" i="4" a="1"/>
  <c r="EZ6" i="4" a="1"/>
  <c r="FA6" i="4" a="1"/>
  <c r="FC12" i="4" a="1"/>
  <c r="EX12" i="4" a="1"/>
  <c r="FB5" i="4" a="1"/>
  <c r="FB13" i="4" a="1"/>
  <c r="EY14" i="4" a="1"/>
  <c r="EY8" i="4" a="1"/>
  <c r="FB11" i="4" a="1"/>
  <c r="EY6" i="4" a="1"/>
  <c r="FD5" i="4" a="1"/>
  <c r="FC6" i="4" a="1"/>
  <c r="EY7" i="4" a="1"/>
  <c r="FC7" i="4" a="1"/>
  <c r="EX11" i="4" a="1"/>
  <c r="FB16" i="4" a="1"/>
  <c r="FD14" i="4" a="1"/>
  <c r="FD6" i="4" a="1"/>
  <c r="FA15" i="4" a="1"/>
  <c r="EX13" i="4" a="1"/>
  <c r="EX14" i="4" a="1"/>
  <c r="FE7" i="4" a="1"/>
  <c r="FE6" i="4" a="1"/>
  <c r="FA14" i="4" a="1"/>
  <c r="FA12" i="4" a="1"/>
  <c r="EZ16" i="4" a="1"/>
  <c r="FC5" i="4" a="1"/>
  <c r="EY11" i="4" a="1"/>
  <c r="EX5" i="4" a="1"/>
  <c r="FB12" i="4" a="1"/>
  <c r="FD7" i="4" a="1"/>
  <c r="FA5" i="4" a="1"/>
  <c r="FE9" i="4" a="1"/>
  <c r="FE8" i="4" a="1"/>
  <c r="FE13" i="4" a="1"/>
  <c r="EZ5" i="4" a="1"/>
  <c r="FA13" i="4" a="1"/>
  <c r="FD15" i="4" a="1"/>
  <c r="FB8" i="4" a="1"/>
  <c r="FE5" i="4" a="1"/>
  <c r="FC14" i="4" a="1"/>
  <c r="EZ15" i="4" a="1"/>
  <c r="FA11" i="4" a="1"/>
  <c r="FA16" i="4" a="1"/>
  <c r="FC16" i="4" a="1"/>
  <c r="FE12" i="4" a="1"/>
  <c r="EZ8" i="4" a="1"/>
  <c r="EX7" i="4" a="1"/>
  <c r="EY5" i="4" a="1"/>
  <c r="FE14" i="4" a="1"/>
  <c r="EY9" i="4" a="1"/>
  <c r="EZ14" i="4" a="1"/>
  <c r="EX9" i="4" a="1"/>
  <c r="FC11" i="4" a="1"/>
  <c r="EX16" i="4" a="1"/>
  <c r="FB9" i="4" a="1"/>
  <c r="FD16" i="4" a="1"/>
  <c r="FD13" i="4" a="1"/>
  <c r="FD12" i="4" a="1"/>
  <c r="EY15" i="4" a="1"/>
  <c r="EY13" i="4" a="1"/>
  <c r="EY16" i="4" a="1"/>
  <c r="FE16" i="4" a="1"/>
  <c r="FB14" i="4" a="1"/>
  <c r="EZ11" i="4" a="1"/>
  <c r="FD9" i="4" a="1"/>
  <c r="FB15" i="4" a="1"/>
  <c r="FA8" i="4" a="1"/>
  <c r="FC8" i="4" a="1"/>
  <c r="CL188" i="1" l="1"/>
  <c r="CL217" i="1" s="1"/>
  <c r="CL215" i="1"/>
  <c r="CL216" i="1"/>
  <c r="CK51" i="1"/>
  <c r="CL51" i="1"/>
  <c r="Z54" i="1"/>
  <c r="AA237" i="1"/>
  <c r="AA242" i="1" s="1"/>
  <c r="AA243" i="1" s="1"/>
  <c r="Z58" i="1"/>
  <c r="AA279" i="1"/>
  <c r="AA280" i="1" s="1"/>
  <c r="AA54" i="1"/>
  <c r="CJ168" i="1"/>
  <c r="CK168" i="1" s="1"/>
  <c r="CJ99" i="1"/>
  <c r="CH99" i="1"/>
  <c r="Z53" i="1"/>
  <c r="Z62" i="1"/>
  <c r="Z80" i="1"/>
  <c r="CK33" i="1"/>
  <c r="CL34" i="1"/>
  <c r="CK38" i="1"/>
  <c r="CK16" i="1"/>
  <c r="CL33" i="1"/>
  <c r="CL38" i="1"/>
  <c r="CL18" i="1" s="1"/>
  <c r="CL214" i="1"/>
  <c r="CL189" i="1"/>
  <c r="CL197" i="1"/>
  <c r="CL277" i="1"/>
  <c r="CL160" i="1"/>
  <c r="CL200" i="1"/>
  <c r="CL139" i="1" s="1"/>
  <c r="CL117" i="1"/>
  <c r="CK196" i="1"/>
  <c r="CM196" i="1"/>
  <c r="CN196" i="1" s="1"/>
  <c r="CO196" i="1" s="1"/>
  <c r="CP196" i="1" s="1"/>
  <c r="CQ196" i="1" s="1"/>
  <c r="CR196" i="1" s="1"/>
  <c r="CS196" i="1" s="1"/>
  <c r="CT196" i="1" s="1"/>
  <c r="CU196" i="1" s="1"/>
  <c r="CV196" i="1" s="1"/>
  <c r="CW196" i="1" s="1"/>
  <c r="CX196" i="1" s="1"/>
  <c r="CY196" i="1" s="1"/>
  <c r="CZ196" i="1" s="1"/>
  <c r="DA196" i="1" s="1"/>
  <c r="DB196" i="1" s="1"/>
  <c r="CK123" i="1"/>
  <c r="CK124" i="1" s="1"/>
  <c r="CL123" i="1"/>
  <c r="CL124" i="1" s="1"/>
  <c r="CL276" i="1"/>
  <c r="CK171" i="1"/>
  <c r="CL234" i="1" s="1"/>
  <c r="CK164" i="1"/>
  <c r="CM155" i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K155" i="1"/>
  <c r="CM147" i="1"/>
  <c r="CN147" i="1" s="1"/>
  <c r="CO147" i="1" s="1"/>
  <c r="CP147" i="1" s="1"/>
  <c r="CQ147" i="1" s="1"/>
  <c r="CR147" i="1" s="1"/>
  <c r="CS147" i="1" s="1"/>
  <c r="CT147" i="1" s="1"/>
  <c r="CU147" i="1" s="1"/>
  <c r="CV147" i="1" s="1"/>
  <c r="CK147" i="1"/>
  <c r="CM166" i="1"/>
  <c r="CN166" i="1" s="1"/>
  <c r="CO166" i="1" s="1"/>
  <c r="CP166" i="1" s="1"/>
  <c r="CQ166" i="1" s="1"/>
  <c r="CR166" i="1" s="1"/>
  <c r="CS166" i="1" s="1"/>
  <c r="CT166" i="1" s="1"/>
  <c r="CU166" i="1" s="1"/>
  <c r="CV166" i="1" s="1"/>
  <c r="CW166" i="1" s="1"/>
  <c r="CX166" i="1" s="1"/>
  <c r="CY166" i="1" s="1"/>
  <c r="CZ166" i="1" s="1"/>
  <c r="DA166" i="1" s="1"/>
  <c r="DB166" i="1" s="1"/>
  <c r="CK166" i="1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CK158" i="1"/>
  <c r="CM195" i="1"/>
  <c r="CN195" i="1" s="1"/>
  <c r="CO195" i="1" s="1"/>
  <c r="CP195" i="1" s="1"/>
  <c r="CQ195" i="1" s="1"/>
  <c r="CR195" i="1" s="1"/>
  <c r="CS195" i="1" s="1"/>
  <c r="CT195" i="1" s="1"/>
  <c r="CU195" i="1" s="1"/>
  <c r="CV195" i="1" s="1"/>
  <c r="CK195" i="1"/>
  <c r="CM148" i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K148" i="1"/>
  <c r="CI89" i="1"/>
  <c r="CH89" i="1" s="1"/>
  <c r="CG89" i="1" s="1"/>
  <c r="CF89" i="1" s="1"/>
  <c r="CE89" i="1" s="1"/>
  <c r="CD89" i="1" s="1"/>
  <c r="CC89" i="1" s="1"/>
  <c r="CB89" i="1" s="1"/>
  <c r="CA89" i="1" s="1"/>
  <c r="BZ89" i="1" s="1"/>
  <c r="BY89" i="1" s="1"/>
  <c r="BX89" i="1" s="1"/>
  <c r="BW89" i="1" s="1"/>
  <c r="BV89" i="1" s="1"/>
  <c r="BU89" i="1" s="1"/>
  <c r="BT89" i="1" s="1"/>
  <c r="BS89" i="1" s="1"/>
  <c r="BR89" i="1" s="1"/>
  <c r="BQ89" i="1" s="1"/>
  <c r="BP89" i="1" s="1"/>
  <c r="BO89" i="1" s="1"/>
  <c r="BN89" i="1" s="1"/>
  <c r="BM89" i="1" s="1"/>
  <c r="BL89" i="1" s="1"/>
  <c r="BK89" i="1" s="1"/>
  <c r="BJ89" i="1" s="1"/>
  <c r="BI89" i="1" s="1"/>
  <c r="BH89" i="1" s="1"/>
  <c r="BG89" i="1" s="1"/>
  <c r="BF89" i="1" s="1"/>
  <c r="BE89" i="1" s="1"/>
  <c r="BD89" i="1" s="1"/>
  <c r="BC89" i="1" s="1"/>
  <c r="BB89" i="1" s="1"/>
  <c r="BA89" i="1" s="1"/>
  <c r="AZ89" i="1" s="1"/>
  <c r="AY89" i="1" s="1"/>
  <c r="AX89" i="1" s="1"/>
  <c r="AW89" i="1" s="1"/>
  <c r="AV89" i="1" s="1"/>
  <c r="AU89" i="1" s="1"/>
  <c r="AT89" i="1" s="1"/>
  <c r="AS89" i="1" s="1"/>
  <c r="AR89" i="1" s="1"/>
  <c r="AQ89" i="1" s="1"/>
  <c r="AP89" i="1" s="1"/>
  <c r="AO89" i="1" s="1"/>
  <c r="AN89" i="1" s="1"/>
  <c r="AM89" i="1" s="1"/>
  <c r="AL89" i="1" s="1"/>
  <c r="AK89" i="1" s="1"/>
  <c r="AJ89" i="1" s="1"/>
  <c r="AI89" i="1" s="1"/>
  <c r="CO20" i="1"/>
  <c r="CN20" i="1"/>
  <c r="CJ32" i="1"/>
  <c r="JR9" i="4" s="1"/>
  <c r="JR7" i="4" s="1"/>
  <c r="JP9" i="4" s="1"/>
  <c r="JQ16" i="4" s="1"/>
  <c r="JR16" i="4" s="1"/>
  <c r="JQ9" i="4" s="1"/>
  <c r="JP16" i="4" s="1"/>
  <c r="X119" i="1"/>
  <c r="Y58" i="1"/>
  <c r="Y80" i="1" s="1"/>
  <c r="Y23" i="1"/>
  <c r="Y24" i="1" s="1"/>
  <c r="Z23" i="1"/>
  <c r="Z24" i="1" s="1"/>
  <c r="X142" i="1"/>
  <c r="X23" i="1"/>
  <c r="X24" i="1" s="1"/>
  <c r="Y19" i="1"/>
  <c r="Y17" i="1"/>
  <c r="Z119" i="1"/>
  <c r="X19" i="1"/>
  <c r="X17" i="1"/>
  <c r="Z120" i="1"/>
  <c r="Z19" i="1"/>
  <c r="Z17" i="1"/>
  <c r="CI88" i="1"/>
  <c r="CH88" i="1" s="1"/>
  <c r="CG88" i="1" s="1"/>
  <c r="CF88" i="1" s="1"/>
  <c r="CE88" i="1" s="1"/>
  <c r="CD88" i="1" s="1"/>
  <c r="CC88" i="1" s="1"/>
  <c r="CB88" i="1" s="1"/>
  <c r="CA88" i="1" s="1"/>
  <c r="BZ88" i="1" s="1"/>
  <c r="BY88" i="1" s="1"/>
  <c r="BX88" i="1" s="1"/>
  <c r="BW88" i="1" s="1"/>
  <c r="BV88" i="1" s="1"/>
  <c r="BU88" i="1" s="1"/>
  <c r="BT88" i="1" s="1"/>
  <c r="BS88" i="1" s="1"/>
  <c r="BR88" i="1" s="1"/>
  <c r="BQ88" i="1" s="1"/>
  <c r="BP88" i="1" s="1"/>
  <c r="BO88" i="1" s="1"/>
  <c r="BN88" i="1" s="1"/>
  <c r="BM88" i="1" s="1"/>
  <c r="BL88" i="1" s="1"/>
  <c r="BK88" i="1" s="1"/>
  <c r="BJ88" i="1" s="1"/>
  <c r="BI88" i="1" s="1"/>
  <c r="BH88" i="1" s="1"/>
  <c r="BG88" i="1" s="1"/>
  <c r="BF88" i="1" s="1"/>
  <c r="BE88" i="1" s="1"/>
  <c r="BD88" i="1" s="1"/>
  <c r="BC88" i="1" s="1"/>
  <c r="BB88" i="1" s="1"/>
  <c r="BA88" i="1" s="1"/>
  <c r="AZ88" i="1" s="1"/>
  <c r="AY88" i="1" s="1"/>
  <c r="AX88" i="1" s="1"/>
  <c r="AW88" i="1" s="1"/>
  <c r="AV88" i="1" s="1"/>
  <c r="AU88" i="1" s="1"/>
  <c r="AT88" i="1" s="1"/>
  <c r="AS88" i="1" s="1"/>
  <c r="AR88" i="1" s="1"/>
  <c r="AQ88" i="1" s="1"/>
  <c r="AP88" i="1" s="1"/>
  <c r="AO88" i="1" s="1"/>
  <c r="AN88" i="1" s="1"/>
  <c r="AM88" i="1" s="1"/>
  <c r="AL88" i="1" s="1"/>
  <c r="AK88" i="1" s="1"/>
  <c r="AJ88" i="1" s="1"/>
  <c r="AI88" i="1" s="1"/>
  <c r="X141" i="1"/>
  <c r="X120" i="1"/>
  <c r="CM152" i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M168" i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Z140" i="1"/>
  <c r="Y140" i="1"/>
  <c r="Y197" i="1"/>
  <c r="Y276" i="1" s="1"/>
  <c r="Z235" i="1"/>
  <c r="Z233" i="1" s="1"/>
  <c r="Y264" i="1"/>
  <c r="Y265" i="1" s="1"/>
  <c r="Y230" i="1"/>
  <c r="Y53" i="1"/>
  <c r="Y142" i="1"/>
  <c r="Y144" i="1" s="1"/>
  <c r="CJ123" i="1"/>
  <c r="CJ163" i="1"/>
  <c r="X140" i="1"/>
  <c r="X264" i="1"/>
  <c r="X265" i="1" s="1"/>
  <c r="Y216" i="1"/>
  <c r="X276" i="1"/>
  <c r="X198" i="1"/>
  <c r="Z230" i="1"/>
  <c r="Y221" i="1"/>
  <c r="Y222" i="1" s="1"/>
  <c r="Z221" i="1"/>
  <c r="Z222" i="1" s="1"/>
  <c r="Y120" i="1"/>
  <c r="Y119" i="1"/>
  <c r="Y121" i="1"/>
  <c r="CI165" i="1"/>
  <c r="Y54" i="1"/>
  <c r="X58" i="1"/>
  <c r="X62" i="1" s="1"/>
  <c r="X64" i="1" s="1"/>
  <c r="Y279" i="1"/>
  <c r="Y280" i="1" s="1"/>
  <c r="X53" i="1"/>
  <c r="Z264" i="1"/>
  <c r="Z265" i="1" s="1"/>
  <c r="CS45" i="1"/>
  <c r="CM164" i="1"/>
  <c r="CN164" i="1" s="1"/>
  <c r="CO164" i="1" s="1"/>
  <c r="CP164" i="1" s="1"/>
  <c r="Z279" i="1"/>
  <c r="Z280" i="1" s="1"/>
  <c r="Z197" i="1"/>
  <c r="Z142" i="1"/>
  <c r="CJ150" i="1"/>
  <c r="CJ180" i="1"/>
  <c r="CJ215" i="1"/>
  <c r="CK215" i="1" s="1"/>
  <c r="CK185" i="1" s="1"/>
  <c r="CJ159" i="1"/>
  <c r="CJ281" i="1"/>
  <c r="CJ212" i="1"/>
  <c r="CK212" i="1" s="1"/>
  <c r="CK176" i="1" s="1"/>
  <c r="CJ193" i="1"/>
  <c r="CK241" i="1" s="1"/>
  <c r="CJ188" i="1"/>
  <c r="CJ211" i="1"/>
  <c r="CK211" i="1" s="1"/>
  <c r="CK175" i="1" s="1"/>
  <c r="CJ90" i="1"/>
  <c r="CJ226" i="1"/>
  <c r="CJ282" i="1"/>
  <c r="CJ234" i="1"/>
  <c r="CJ263" i="1"/>
  <c r="CI159" i="1"/>
  <c r="CI281" i="1"/>
  <c r="CI226" i="1"/>
  <c r="CI282" i="1"/>
  <c r="CI263" i="1"/>
  <c r="CI50" i="1"/>
  <c r="CI234" i="1"/>
  <c r="JO16" i="4" s="1"/>
  <c r="JO9" i="4" s="1"/>
  <c r="JN9" i="4" s="1"/>
  <c r="JN16" i="4" s="1"/>
  <c r="CG50" i="1"/>
  <c r="CH50" i="1"/>
  <c r="CH281" i="1"/>
  <c r="CH188" i="1"/>
  <c r="CG282" i="1"/>
  <c r="CG226" i="1"/>
  <c r="CG281" i="1"/>
  <c r="CH263" i="1"/>
  <c r="CH282" i="1"/>
  <c r="CH226" i="1"/>
  <c r="CH180" i="1"/>
  <c r="CH215" i="1"/>
  <c r="CI215" i="1" s="1"/>
  <c r="CH159" i="1"/>
  <c r="CH150" i="1"/>
  <c r="CH212" i="1"/>
  <c r="CI212" i="1" s="1"/>
  <c r="CG263" i="1"/>
  <c r="CH165" i="1"/>
  <c r="CI57" i="1" s="1"/>
  <c r="CH193" i="1"/>
  <c r="CI241" i="1" s="1"/>
  <c r="CH211" i="1"/>
  <c r="CI211" i="1" s="1"/>
  <c r="CJ169" i="1" l="1"/>
  <c r="CK234" i="1"/>
  <c r="CL19" i="1"/>
  <c r="CL17" i="1"/>
  <c r="JR15" i="4"/>
  <c r="JR14" i="4"/>
  <c r="JQ8" i="4"/>
  <c r="JQ7" i="4"/>
  <c r="JQ14" i="4"/>
  <c r="JQ19" i="4" s="1"/>
  <c r="CK103" i="1" s="1"/>
  <c r="JR8" i="4"/>
  <c r="JQ15" i="4"/>
  <c r="JP8" i="4"/>
  <c r="JP7" i="4"/>
  <c r="Z64" i="1"/>
  <c r="Z65" i="1"/>
  <c r="AA67" i="1" s="1"/>
  <c r="CL41" i="1"/>
  <c r="CK39" i="1"/>
  <c r="CK52" i="1"/>
  <c r="CK18" i="1"/>
  <c r="CK21" i="1"/>
  <c r="CK17" i="1"/>
  <c r="CL52" i="1"/>
  <c r="CL23" i="1" s="1"/>
  <c r="CL22" i="1" s="1"/>
  <c r="CL39" i="1"/>
  <c r="CL218" i="1"/>
  <c r="CL213" i="1"/>
  <c r="CL198" i="1"/>
  <c r="CK159" i="1"/>
  <c r="CJ51" i="1"/>
  <c r="CK34" i="1"/>
  <c r="CL257" i="1"/>
  <c r="CK257" i="1"/>
  <c r="CJ162" i="1"/>
  <c r="CK162" i="1" s="1"/>
  <c r="CK163" i="1"/>
  <c r="CL163" i="1" s="1"/>
  <c r="CL162" i="1" s="1"/>
  <c r="CM162" i="1" s="1"/>
  <c r="CN162" i="1" s="1"/>
  <c r="CO162" i="1" s="1"/>
  <c r="CP162" i="1" s="1"/>
  <c r="CQ162" i="1" s="1"/>
  <c r="CR162" i="1" s="1"/>
  <c r="CS162" i="1" s="1"/>
  <c r="CT162" i="1" s="1"/>
  <c r="CU162" i="1" s="1"/>
  <c r="CV162" i="1" s="1"/>
  <c r="CW162" i="1" s="1"/>
  <c r="CX162" i="1" s="1"/>
  <c r="CY162" i="1" s="1"/>
  <c r="CZ162" i="1" s="1"/>
  <c r="DA162" i="1" s="1"/>
  <c r="DB162" i="1" s="1"/>
  <c r="JQ21" i="4"/>
  <c r="CK102" i="1" s="1"/>
  <c r="JR21" i="4"/>
  <c r="CL102" i="1" s="1"/>
  <c r="Y62" i="1"/>
  <c r="CS20" i="1"/>
  <c r="CJ38" i="1"/>
  <c r="CJ33" i="1"/>
  <c r="CJ34" i="1"/>
  <c r="CJ16" i="1"/>
  <c r="CR20" i="1"/>
  <c r="CJ57" i="1"/>
  <c r="CH90" i="1"/>
  <c r="CH117" i="1" s="1"/>
  <c r="X144" i="1"/>
  <c r="CI90" i="1"/>
  <c r="CG90" i="1"/>
  <c r="X22" i="1"/>
  <c r="X143" i="1"/>
  <c r="Y22" i="1"/>
  <c r="Z22" i="1"/>
  <c r="Z143" i="1"/>
  <c r="Y143" i="1"/>
  <c r="Y198" i="1"/>
  <c r="CJ124" i="1"/>
  <c r="CI38" i="1"/>
  <c r="X80" i="1"/>
  <c r="JP15" i="4"/>
  <c r="JP14" i="4"/>
  <c r="X65" i="1"/>
  <c r="CJ117" i="1"/>
  <c r="CJ214" i="1"/>
  <c r="CJ213" i="1" s="1"/>
  <c r="CM154" i="1"/>
  <c r="CQ164" i="1"/>
  <c r="CR164" i="1" s="1"/>
  <c r="CS164" i="1" s="1"/>
  <c r="CT164" i="1" s="1"/>
  <c r="AB164" i="1"/>
  <c r="CW45" i="1"/>
  <c r="DA45" i="1" s="1"/>
  <c r="CJ217" i="1"/>
  <c r="CJ216" i="1" s="1"/>
  <c r="CK216" i="1" s="1"/>
  <c r="Z276" i="1"/>
  <c r="Z198" i="1"/>
  <c r="CW195" i="1"/>
  <c r="CW147" i="1"/>
  <c r="Z144" i="1"/>
  <c r="CJ160" i="1"/>
  <c r="JP21" i="4"/>
  <c r="CJ102" i="1" s="1"/>
  <c r="CJ257" i="1"/>
  <c r="CJ189" i="1"/>
  <c r="CJ238" i="1"/>
  <c r="CJ278" i="1"/>
  <c r="JO21" i="4"/>
  <c r="CI102" i="1" s="1"/>
  <c r="CI238" i="1"/>
  <c r="CH169" i="1"/>
  <c r="CI51" i="1"/>
  <c r="JO7" i="4"/>
  <c r="JO15" i="4"/>
  <c r="JO14" i="4"/>
  <c r="CH217" i="1"/>
  <c r="CH216" i="1" s="1"/>
  <c r="CI216" i="1" s="1"/>
  <c r="CI217" i="1" s="1"/>
  <c r="JO8" i="4"/>
  <c r="CI34" i="1"/>
  <c r="CI278" i="1"/>
  <c r="JN21" i="4"/>
  <c r="CH102" i="1" s="1"/>
  <c r="JN15" i="4"/>
  <c r="JN14" i="4"/>
  <c r="JN7" i="4"/>
  <c r="JN8" i="4"/>
  <c r="CH277" i="1"/>
  <c r="CH51" i="1"/>
  <c r="CH200" i="1"/>
  <c r="CH160" i="1"/>
  <c r="CH214" i="1"/>
  <c r="CH189" i="1"/>
  <c r="CG38" i="1"/>
  <c r="CK40" i="1" s="1"/>
  <c r="CG51" i="1"/>
  <c r="CH34" i="1"/>
  <c r="CH38" i="1"/>
  <c r="AC49" i="1"/>
  <c r="JR20" i="4" l="1"/>
  <c r="CL104" i="1" s="1"/>
  <c r="JR19" i="4"/>
  <c r="CL103" i="1" s="1"/>
  <c r="CK137" i="1"/>
  <c r="CK128" i="1"/>
  <c r="CJ197" i="1"/>
  <c r="CM16" i="1"/>
  <c r="JQ20" i="4"/>
  <c r="CK104" i="1" s="1"/>
  <c r="Z73" i="1"/>
  <c r="Z66" i="1"/>
  <c r="CL55" i="1"/>
  <c r="CK23" i="1"/>
  <c r="CK24" i="1" s="1"/>
  <c r="CK264" i="1"/>
  <c r="CK265" i="1" s="1"/>
  <c r="CK53" i="1"/>
  <c r="CK58" i="1"/>
  <c r="CK62" i="1" s="1"/>
  <c r="CK19" i="1"/>
  <c r="CK22" i="1"/>
  <c r="CL58" i="1"/>
  <c r="CL62" i="1" s="1"/>
  <c r="CL53" i="1"/>
  <c r="CL279" i="1"/>
  <c r="CL264" i="1"/>
  <c r="CL265" i="1" s="1"/>
  <c r="CK278" i="1"/>
  <c r="CK238" i="1"/>
  <c r="CL278" i="1"/>
  <c r="CL238" i="1"/>
  <c r="CL138" i="1"/>
  <c r="CL141" i="1" s="1"/>
  <c r="CL121" i="1"/>
  <c r="CL129" i="1"/>
  <c r="CL120" i="1"/>
  <c r="CL137" i="1"/>
  <c r="CL140" i="1" s="1"/>
  <c r="CL128" i="1"/>
  <c r="CK127" i="1"/>
  <c r="CL127" i="1"/>
  <c r="CL119" i="1"/>
  <c r="CK165" i="1"/>
  <c r="Y65" i="1"/>
  <c r="Y64" i="1"/>
  <c r="CJ18" i="1"/>
  <c r="CJ19" i="1" s="1"/>
  <c r="CK41" i="1"/>
  <c r="CH18" i="1"/>
  <c r="CH19" i="1" s="1"/>
  <c r="CL40" i="1"/>
  <c r="CK213" i="1"/>
  <c r="CK184" i="1"/>
  <c r="CK188" i="1" s="1"/>
  <c r="CK217" i="1"/>
  <c r="CJ41" i="1"/>
  <c r="CG18" i="1"/>
  <c r="CJ21" i="1"/>
  <c r="CW20" i="1"/>
  <c r="CV20" i="1"/>
  <c r="CJ52" i="1"/>
  <c r="CJ39" i="1"/>
  <c r="CI18" i="1"/>
  <c r="CI19" i="1" s="1"/>
  <c r="CG19" i="1"/>
  <c r="CJ17" i="1"/>
  <c r="CG17" i="1"/>
  <c r="CH17" i="1"/>
  <c r="CJ119" i="1"/>
  <c r="X266" i="1"/>
  <c r="X73" i="1"/>
  <c r="X79" i="1" s="1"/>
  <c r="X66" i="1"/>
  <c r="CH119" i="1"/>
  <c r="CJ127" i="1"/>
  <c r="CI184" i="1"/>
  <c r="CM216" i="1"/>
  <c r="CN216" i="1" s="1"/>
  <c r="CO216" i="1" s="1"/>
  <c r="CP216" i="1" s="1"/>
  <c r="CQ216" i="1" s="1"/>
  <c r="CR216" i="1" s="1"/>
  <c r="CS216" i="1" s="1"/>
  <c r="CT216" i="1" s="1"/>
  <c r="CU216" i="1" s="1"/>
  <c r="CV216" i="1" s="1"/>
  <c r="CW216" i="1" s="1"/>
  <c r="CX216" i="1" s="1"/>
  <c r="CY216" i="1" s="1"/>
  <c r="CZ216" i="1" s="1"/>
  <c r="DA216" i="1" s="1"/>
  <c r="DB216" i="1" s="1"/>
  <c r="CH139" i="1"/>
  <c r="CI61" i="1"/>
  <c r="CM211" i="1"/>
  <c r="CN154" i="1"/>
  <c r="CM159" i="1"/>
  <c r="CM212" i="1"/>
  <c r="CJ218" i="1"/>
  <c r="CM171" i="1"/>
  <c r="CM234" i="1" s="1"/>
  <c r="CM215" i="1"/>
  <c r="CU164" i="1"/>
  <c r="CV164" i="1" s="1"/>
  <c r="CW164" i="1" s="1"/>
  <c r="CX164" i="1" s="1"/>
  <c r="AC164" i="1"/>
  <c r="CX195" i="1"/>
  <c r="CX147" i="1"/>
  <c r="Z266" i="1"/>
  <c r="JP20" i="4"/>
  <c r="CJ104" i="1" s="1"/>
  <c r="CJ121" i="1" s="1"/>
  <c r="JP19" i="4"/>
  <c r="CJ103" i="1" s="1"/>
  <c r="CJ120" i="1" s="1"/>
  <c r="CI169" i="1"/>
  <c r="CI235" i="1" s="1"/>
  <c r="CI233" i="1" s="1"/>
  <c r="CH197" i="1"/>
  <c r="CH198" i="1" s="1"/>
  <c r="CI41" i="1"/>
  <c r="JO19" i="4"/>
  <c r="CI103" i="1" s="1"/>
  <c r="JO20" i="4"/>
  <c r="CI104" i="1" s="1"/>
  <c r="CI39" i="1"/>
  <c r="CI52" i="1"/>
  <c r="JN20" i="4"/>
  <c r="CH104" i="1" s="1"/>
  <c r="CH121" i="1" s="1"/>
  <c r="JN19" i="4"/>
  <c r="CH103" i="1" s="1"/>
  <c r="CH120" i="1" s="1"/>
  <c r="CH213" i="1"/>
  <c r="CI213" i="1" s="1"/>
  <c r="CH218" i="1"/>
  <c r="CH52" i="1"/>
  <c r="CH39" i="1"/>
  <c r="CG39" i="1"/>
  <c r="CH41" i="1"/>
  <c r="CG52" i="1"/>
  <c r="CK54" i="1" s="1"/>
  <c r="CJ198" i="1" l="1"/>
  <c r="CN16" i="1"/>
  <c r="CK129" i="1"/>
  <c r="CK138" i="1"/>
  <c r="Y73" i="1"/>
  <c r="Y77" i="1" s="1"/>
  <c r="Z67" i="1"/>
  <c r="Y266" i="1"/>
  <c r="Y67" i="1"/>
  <c r="Y66" i="1"/>
  <c r="Z77" i="1"/>
  <c r="Z79" i="1"/>
  <c r="CK64" i="1"/>
  <c r="CK65" i="1"/>
  <c r="CL64" i="1"/>
  <c r="CL65" i="1"/>
  <c r="CK169" i="1"/>
  <c r="CL57" i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CL280" i="1"/>
  <c r="AB162" i="1"/>
  <c r="CK229" i="1"/>
  <c r="CL229" i="1"/>
  <c r="CK279" i="1"/>
  <c r="CK280" i="1" s="1"/>
  <c r="CJ23" i="1"/>
  <c r="CK55" i="1"/>
  <c r="CJ55" i="1"/>
  <c r="CL258" i="1"/>
  <c r="CL142" i="1"/>
  <c r="CK142" i="1"/>
  <c r="CK258" i="1"/>
  <c r="CL54" i="1"/>
  <c r="CK177" i="1"/>
  <c r="CK180" i="1" s="1"/>
  <c r="CL228" i="1" s="1"/>
  <c r="CL230" i="1" s="1"/>
  <c r="CK214" i="1"/>
  <c r="CK218" i="1" s="1"/>
  <c r="CJ53" i="1"/>
  <c r="CJ58" i="1"/>
  <c r="CJ62" i="1" s="1"/>
  <c r="CH23" i="1"/>
  <c r="CG23" i="1"/>
  <c r="DA20" i="1"/>
  <c r="CZ20" i="1"/>
  <c r="CI17" i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I23" i="1"/>
  <c r="CI22" i="1" s="1"/>
  <c r="X91" i="1"/>
  <c r="X93" i="1" s="1"/>
  <c r="X225" i="1"/>
  <c r="X227" i="1" s="1"/>
  <c r="X77" i="1"/>
  <c r="CM51" i="1"/>
  <c r="CJ138" i="1"/>
  <c r="CJ129" i="1"/>
  <c r="CH138" i="1"/>
  <c r="CH141" i="1" s="1"/>
  <c r="CI137" i="1"/>
  <c r="CH137" i="1"/>
  <c r="CH140" i="1" s="1"/>
  <c r="CI138" i="1"/>
  <c r="CJ137" i="1"/>
  <c r="CJ128" i="1"/>
  <c r="CN212" i="1"/>
  <c r="CM238" i="1"/>
  <c r="CM278" i="1"/>
  <c r="CN171" i="1"/>
  <c r="CN234" i="1" s="1"/>
  <c r="CN159" i="1"/>
  <c r="CO154" i="1"/>
  <c r="CY164" i="1"/>
  <c r="CZ164" i="1" s="1"/>
  <c r="DA164" i="1" s="1"/>
  <c r="DB164" i="1" s="1"/>
  <c r="AE164" i="1" s="1"/>
  <c r="AD164" i="1"/>
  <c r="CI214" i="1"/>
  <c r="CI177" i="1"/>
  <c r="CN215" i="1"/>
  <c r="CM217" i="1"/>
  <c r="CN211" i="1"/>
  <c r="CY147" i="1"/>
  <c r="CY195" i="1"/>
  <c r="Z225" i="1"/>
  <c r="Z227" i="1" s="1"/>
  <c r="Z231" i="1" s="1"/>
  <c r="Z245" i="1" s="1"/>
  <c r="Z239" i="1"/>
  <c r="Z237" i="1" s="1"/>
  <c r="Z91" i="1"/>
  <c r="CJ235" i="1"/>
  <c r="CJ233" i="1" s="1"/>
  <c r="CJ258" i="1"/>
  <c r="CJ142" i="1"/>
  <c r="CJ264" i="1"/>
  <c r="CJ265" i="1" s="1"/>
  <c r="CJ279" i="1"/>
  <c r="CJ280" i="1" s="1"/>
  <c r="CI58" i="1"/>
  <c r="CI279" i="1"/>
  <c r="CI280" i="1" s="1"/>
  <c r="CI264" i="1"/>
  <c r="CI265" i="1" s="1"/>
  <c r="CI53" i="1"/>
  <c r="CI55" i="1"/>
  <c r="CH264" i="1"/>
  <c r="CH265" i="1" s="1"/>
  <c r="CH53" i="1"/>
  <c r="CH279" i="1"/>
  <c r="CH58" i="1"/>
  <c r="CH62" i="1" s="1"/>
  <c r="CG53" i="1"/>
  <c r="CG58" i="1"/>
  <c r="CG62" i="1" s="1"/>
  <c r="CH55" i="1"/>
  <c r="CG264" i="1"/>
  <c r="CG265" i="1" s="1"/>
  <c r="Y79" i="1" l="1"/>
  <c r="CO16" i="1"/>
  <c r="Y239" i="1"/>
  <c r="Y237" i="1" s="1"/>
  <c r="Y91" i="1"/>
  <c r="Y93" i="1" s="1"/>
  <c r="Y225" i="1"/>
  <c r="Y227" i="1" s="1"/>
  <c r="Y231" i="1" s="1"/>
  <c r="Y245" i="1" s="1"/>
  <c r="CL68" i="1"/>
  <c r="CK73" i="1"/>
  <c r="CK266" i="1"/>
  <c r="CK66" i="1"/>
  <c r="CL66" i="1"/>
  <c r="CL266" i="1"/>
  <c r="CL73" i="1"/>
  <c r="CL235" i="1"/>
  <c r="CL233" i="1" s="1"/>
  <c r="CK235" i="1"/>
  <c r="CK233" i="1" s="1"/>
  <c r="AC162" i="1"/>
  <c r="CL143" i="1"/>
  <c r="CL144" i="1"/>
  <c r="CN23" i="1"/>
  <c r="CJ24" i="1"/>
  <c r="CJ22" i="1"/>
  <c r="CH24" i="1"/>
  <c r="CH22" i="1"/>
  <c r="CG22" i="1"/>
  <c r="CG24" i="1"/>
  <c r="CI62" i="1"/>
  <c r="CL80" i="1"/>
  <c r="CM213" i="1"/>
  <c r="CK228" i="1"/>
  <c r="CK230" i="1" s="1"/>
  <c r="CK189" i="1"/>
  <c r="CJ65" i="1"/>
  <c r="CK68" i="1" s="1"/>
  <c r="CJ64" i="1"/>
  <c r="CM21" i="1"/>
  <c r="CM29" i="1"/>
  <c r="CI24" i="1"/>
  <c r="CM23" i="1"/>
  <c r="CQ23" i="1" s="1"/>
  <c r="CM129" i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CM128" i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P23" i="1"/>
  <c r="CO23" i="1"/>
  <c r="X94" i="1"/>
  <c r="X112" i="1" s="1"/>
  <c r="CN51" i="1"/>
  <c r="CM39" i="1"/>
  <c r="CP154" i="1"/>
  <c r="CO159" i="1"/>
  <c r="CO211" i="1"/>
  <c r="CN278" i="1"/>
  <c r="CN238" i="1"/>
  <c r="CO212" i="1"/>
  <c r="CO171" i="1"/>
  <c r="CN217" i="1"/>
  <c r="CO215" i="1"/>
  <c r="CZ195" i="1"/>
  <c r="CZ147" i="1"/>
  <c r="Z94" i="1"/>
  <c r="AA95" i="1" s="1"/>
  <c r="Z93" i="1"/>
  <c r="Z242" i="1"/>
  <c r="Z243" i="1" s="1"/>
  <c r="CM69" i="1"/>
  <c r="CN69" i="1" s="1"/>
  <c r="CO69" i="1" s="1"/>
  <c r="CP69" i="1" s="1"/>
  <c r="CQ69" i="1" s="1"/>
  <c r="CR69" i="1" s="1"/>
  <c r="CS69" i="1" s="1"/>
  <c r="CT69" i="1" s="1"/>
  <c r="CU69" i="1" s="1"/>
  <c r="CH65" i="1"/>
  <c r="CH64" i="1"/>
  <c r="CG65" i="1"/>
  <c r="CK67" i="1" s="1"/>
  <c r="CG64" i="1"/>
  <c r="CM70" i="1"/>
  <c r="CP16" i="1" l="1"/>
  <c r="CQ16" i="1" s="1"/>
  <c r="CR16" i="1"/>
  <c r="CS16" i="1" s="1"/>
  <c r="CT16" i="1" s="1"/>
  <c r="CR23" i="1"/>
  <c r="CI65" i="1"/>
  <c r="CI64" i="1"/>
  <c r="CM64" i="1" s="1"/>
  <c r="CN64" i="1" s="1"/>
  <c r="CO51" i="1"/>
  <c r="Y242" i="1"/>
  <c r="Y243" i="1" s="1"/>
  <c r="Y94" i="1"/>
  <c r="Y95" i="1" s="1"/>
  <c r="CL259" i="1"/>
  <c r="AD162" i="1"/>
  <c r="CK149" i="1"/>
  <c r="CK150" i="1" s="1"/>
  <c r="CK77" i="1"/>
  <c r="CK91" i="1"/>
  <c r="CK225" i="1"/>
  <c r="CK227" i="1" s="1"/>
  <c r="CK231" i="1" s="1"/>
  <c r="CL239" i="1"/>
  <c r="CL237" i="1" s="1"/>
  <c r="CL77" i="1"/>
  <c r="CL225" i="1"/>
  <c r="CL227" i="1" s="1"/>
  <c r="CL231" i="1" s="1"/>
  <c r="CL245" i="1" s="1"/>
  <c r="CL91" i="1"/>
  <c r="CH73" i="1"/>
  <c r="CK259" i="1"/>
  <c r="CL67" i="1"/>
  <c r="CK245" i="1"/>
  <c r="CN213" i="1"/>
  <c r="CM214" i="1"/>
  <c r="CM218" i="1" s="1"/>
  <c r="CN29" i="1"/>
  <c r="CN21" i="1"/>
  <c r="CJ73" i="1"/>
  <c r="CJ66" i="1"/>
  <c r="CG73" i="1"/>
  <c r="CM24" i="1"/>
  <c r="CN24" i="1"/>
  <c r="CM18" i="1"/>
  <c r="CN18" i="1" s="1"/>
  <c r="CN17" i="1" s="1"/>
  <c r="CI73" i="1"/>
  <c r="CJ68" i="1"/>
  <c r="X111" i="1"/>
  <c r="X128" i="1" s="1"/>
  <c r="X110" i="1"/>
  <c r="X127" i="1" s="1"/>
  <c r="CT23" i="1"/>
  <c r="CU23" i="1"/>
  <c r="CV23" i="1"/>
  <c r="CS23" i="1"/>
  <c r="CP51" i="1"/>
  <c r="CN39" i="1"/>
  <c r="X129" i="1"/>
  <c r="CO217" i="1"/>
  <c r="CP215" i="1"/>
  <c r="CP171" i="1"/>
  <c r="CP234" i="1" s="1"/>
  <c r="CP212" i="1"/>
  <c r="CP211" i="1"/>
  <c r="CO278" i="1"/>
  <c r="CO238" i="1"/>
  <c r="CO234" i="1"/>
  <c r="CQ154" i="1"/>
  <c r="CP159" i="1"/>
  <c r="DA147" i="1"/>
  <c r="DA195" i="1"/>
  <c r="AB69" i="1"/>
  <c r="Z112" i="1"/>
  <c r="Z111" i="1"/>
  <c r="Z110" i="1"/>
  <c r="Y110" i="1"/>
  <c r="CJ259" i="1"/>
  <c r="CJ266" i="1"/>
  <c r="CI66" i="1"/>
  <c r="CI266" i="1"/>
  <c r="CI68" i="1"/>
  <c r="CG66" i="1"/>
  <c r="CG266" i="1"/>
  <c r="CH68" i="1"/>
  <c r="CH66" i="1"/>
  <c r="CH266" i="1"/>
  <c r="AC69" i="1"/>
  <c r="CV69" i="1"/>
  <c r="CW69" i="1" s="1"/>
  <c r="CX69" i="1" s="1"/>
  <c r="CY69" i="1" s="1"/>
  <c r="AB59" i="1"/>
  <c r="CN70" i="1"/>
  <c r="CO70" i="1" s="1"/>
  <c r="CP70" i="1" s="1"/>
  <c r="CQ70" i="1" s="1"/>
  <c r="AD49" i="1"/>
  <c r="AX26" i="3"/>
  <c r="AT32" i="3"/>
  <c r="R5" i="6" a="1"/>
  <c r="AV41" i="3"/>
  <c r="AS14" i="3"/>
  <c r="AX13" i="3"/>
  <c r="AV15" i="3"/>
  <c r="AY6" i="6" a="1"/>
  <c r="AW15" i="3"/>
  <c r="AX8" i="3"/>
  <c r="AV7" i="3"/>
  <c r="AX15" i="3"/>
  <c r="AX45" i="3"/>
  <c r="AI5" i="6" a="1"/>
  <c r="AF23" i="3"/>
  <c r="Z5" i="6" a="1"/>
  <c r="AV9" i="3"/>
  <c r="AX34" i="3"/>
  <c r="AY5" i="3"/>
  <c r="AS23" i="3"/>
  <c r="AZ39" i="3"/>
  <c r="AL6" i="6" a="1"/>
  <c r="T6" i="6" a="1"/>
  <c r="AZ17" i="3"/>
  <c r="AZ14" i="3"/>
  <c r="AT30" i="3"/>
  <c r="AV6" i="6" a="1"/>
  <c r="AT39" i="3"/>
  <c r="AT18" i="3"/>
  <c r="AF11" i="3"/>
  <c r="AY27" i="3"/>
  <c r="AZ27" i="3"/>
  <c r="AW5" i="3"/>
  <c r="AY32" i="3"/>
  <c r="AX40" i="3"/>
  <c r="AW31" i="3"/>
  <c r="AZ8" i="3"/>
  <c r="AT45" i="3"/>
  <c r="AV35" i="3"/>
  <c r="AF16" i="3"/>
  <c r="AW35" i="3"/>
  <c r="AX36" i="3"/>
  <c r="AX6" i="3"/>
  <c r="H5" i="6" a="1"/>
  <c r="AW46" i="3"/>
  <c r="AU15" i="3"/>
  <c r="AX24" i="3"/>
  <c r="AU26" i="3"/>
  <c r="AT5" i="6" a="1"/>
  <c r="AC5" i="6" a="1"/>
  <c r="AX20" i="3"/>
  <c r="AZ32" i="3"/>
  <c r="AZ9" i="3"/>
  <c r="AW66" i="3"/>
  <c r="G6" i="6" a="1"/>
  <c r="AS41" i="3"/>
  <c r="AW24" i="3"/>
  <c r="AS12" i="3"/>
  <c r="AW18" i="3"/>
  <c r="AX12" i="3"/>
  <c r="AX25" i="3"/>
  <c r="AT13" i="3"/>
  <c r="S6" i="6" a="1"/>
  <c r="AW86" i="3"/>
  <c r="AU6" i="6" a="1"/>
  <c r="AZ21" i="3"/>
  <c r="AV23" i="3"/>
  <c r="AV18" i="3"/>
  <c r="AK5" i="6" a="1"/>
  <c r="AY46" i="3"/>
  <c r="AF41" i="3"/>
  <c r="AN6" i="6" a="1"/>
  <c r="AT37" i="3"/>
  <c r="AU32" i="3"/>
  <c r="AY34" i="3"/>
  <c r="AY23" i="3"/>
  <c r="AY31" i="3"/>
  <c r="J5" i="6" a="1"/>
  <c r="AG5" i="6" a="1"/>
  <c r="AU18" i="3"/>
  <c r="I5" i="6" a="1"/>
  <c r="AW11" i="3"/>
  <c r="AF5" i="3"/>
  <c r="AV39" i="3"/>
  <c r="AU8" i="3"/>
  <c r="AV30" i="3"/>
  <c r="AU7" i="3"/>
  <c r="AT10" i="3"/>
  <c r="AS5" i="3"/>
  <c r="AS8" i="3"/>
  <c r="AS9" i="3"/>
  <c r="AF29" i="3"/>
  <c r="AS79" i="3"/>
  <c r="AZ5" i="3"/>
  <c r="AU9" i="3"/>
  <c r="AV22" i="3"/>
  <c r="AS62" i="3"/>
  <c r="AZ58" i="3"/>
  <c r="AZ90" i="3"/>
  <c r="AZ80" i="3"/>
  <c r="AX37" i="3"/>
  <c r="C6" i="6" a="1"/>
  <c r="AV16" i="3"/>
  <c r="AS11" i="3"/>
  <c r="AY6" i="3"/>
  <c r="AF30" i="3"/>
  <c r="AZ30" i="3"/>
  <c r="AS35" i="3"/>
  <c r="T5" i="6" a="1"/>
  <c r="AU19" i="3"/>
  <c r="AZ41" i="3"/>
  <c r="N6" i="6" a="1"/>
  <c r="AY22" i="3"/>
  <c r="AX9" i="3"/>
  <c r="F46" i="3"/>
  <c r="AS7" i="3"/>
  <c r="AY13" i="3"/>
  <c r="AZ25" i="3"/>
  <c r="AX5" i="6" a="1"/>
  <c r="AF15" i="3"/>
  <c r="AX39" i="3"/>
  <c r="AZ24" i="3"/>
  <c r="AJ5" i="6" a="1"/>
  <c r="AY45" i="3"/>
  <c r="AW8" i="3"/>
  <c r="AS69" i="3"/>
  <c r="AY39" i="3"/>
  <c r="AS25" i="3"/>
  <c r="AT11" i="3"/>
  <c r="G5" i="6" a="1"/>
  <c r="AS85" i="3"/>
  <c r="AS55" i="3"/>
  <c r="AZ54" i="3"/>
  <c r="AZ69" i="3"/>
  <c r="AV20" i="3"/>
  <c r="AV36" i="3"/>
  <c r="AS6" i="3"/>
  <c r="AW21" i="3"/>
  <c r="AS20" i="3"/>
  <c r="AF7" i="3"/>
  <c r="AV11" i="3"/>
  <c r="AW38" i="3"/>
  <c r="AV31" i="3"/>
  <c r="J6" i="6" a="1"/>
  <c r="AS10" i="3"/>
  <c r="AT36" i="3"/>
  <c r="AY17" i="3"/>
  <c r="AS38" i="3"/>
  <c r="AS17" i="3"/>
  <c r="AU45" i="3"/>
  <c r="AW23" i="3"/>
  <c r="AW36" i="3"/>
  <c r="AV29" i="3"/>
  <c r="AT21" i="3"/>
  <c r="AV27" i="3"/>
  <c r="AY12" i="3"/>
  <c r="AF21" i="3"/>
  <c r="AN5" i="6" a="1"/>
  <c r="AZ28" i="3"/>
  <c r="AX14" i="3"/>
  <c r="AF40" i="3"/>
  <c r="AT8" i="3"/>
  <c r="AF18" i="3"/>
  <c r="AS80" i="3"/>
  <c r="AS63" i="3"/>
  <c r="AZ66" i="3"/>
  <c r="AZ50" i="3"/>
  <c r="AX32" i="3"/>
  <c r="AU20" i="3"/>
  <c r="AS24" i="3"/>
  <c r="AS27" i="3"/>
  <c r="AZ45" i="3"/>
  <c r="AF46" i="3"/>
  <c r="AF12" i="3"/>
  <c r="AU25" i="3"/>
  <c r="R6" i="6" a="1"/>
  <c r="AV25" i="3"/>
  <c r="AY26" i="3"/>
  <c r="AY9" i="3"/>
  <c r="AZ33" i="3"/>
  <c r="AX10" i="3"/>
  <c r="AX42" i="3"/>
  <c r="AQ6" i="6" a="1"/>
  <c r="AH6" i="6" a="1"/>
  <c r="P6" i="6" a="1"/>
  <c r="AZ40" i="3"/>
  <c r="AU14" i="3"/>
  <c r="AY21" i="3"/>
  <c r="AZ6" i="3"/>
  <c r="AU46" i="3"/>
  <c r="AV12" i="3"/>
  <c r="AT12" i="3"/>
  <c r="AW45" i="3"/>
  <c r="Z6" i="6" a="1"/>
  <c r="AS33" i="3"/>
  <c r="L6" i="6" a="1"/>
  <c r="AZ63" i="3"/>
  <c r="AT6" i="3"/>
  <c r="AZ34" i="3"/>
  <c r="AF33" i="3"/>
  <c r="AU16" i="3"/>
  <c r="AP6" i="3"/>
  <c r="K5" i="6" a="1"/>
  <c r="AF39" i="3"/>
  <c r="AX11" i="3"/>
  <c r="AW10" i="3"/>
  <c r="AV5" i="3"/>
  <c r="N5" i="6" a="1"/>
  <c r="L5" i="6" a="1"/>
  <c r="AS31" i="3"/>
  <c r="AT46" i="3"/>
  <c r="AW37" i="3"/>
  <c r="AW27" i="3"/>
  <c r="AQ5" i="6" a="1"/>
  <c r="F45" i="3"/>
  <c r="AW13" i="3"/>
  <c r="AV91" i="3"/>
  <c r="AT40" i="3"/>
  <c r="AZ35" i="3"/>
  <c r="AG6" i="6" a="1"/>
  <c r="AF25" i="3"/>
  <c r="AW14" i="3"/>
  <c r="AF8" i="3"/>
  <c r="AZ64" i="3"/>
  <c r="AZ65" i="3"/>
  <c r="AY11" i="3"/>
  <c r="AW40" i="3"/>
  <c r="AZ76" i="3"/>
  <c r="AV56" i="3"/>
  <c r="AF68" i="3"/>
  <c r="AF81" i="3"/>
  <c r="AS78" i="3"/>
  <c r="AS92" i="3"/>
  <c r="AZ72" i="3"/>
  <c r="AZ75" i="3"/>
  <c r="AZ84" i="3"/>
  <c r="AZ29" i="3"/>
  <c r="AU40" i="3"/>
  <c r="AF5" i="6" a="1"/>
  <c r="W6" i="6" a="1"/>
  <c r="AZ11" i="3"/>
  <c r="AT15" i="3"/>
  <c r="V6" i="6" a="1"/>
  <c r="AU24" i="3"/>
  <c r="AF14" i="3"/>
  <c r="P5" i="6" a="1"/>
  <c r="AY10" i="3"/>
  <c r="AS36" i="3"/>
  <c r="AU41" i="3"/>
  <c r="AZ20" i="3"/>
  <c r="S5" i="6" a="1"/>
  <c r="AX18" i="3"/>
  <c r="AU36" i="3"/>
  <c r="AV45" i="3"/>
  <c r="AR5" i="3"/>
  <c r="AV55" i="3"/>
  <c r="AZ19" i="3"/>
  <c r="AV83" i="3"/>
  <c r="AD5" i="6" a="1"/>
  <c r="C5" i="6" a="1"/>
  <c r="AT16" i="3"/>
  <c r="AY24" i="3"/>
  <c r="AV86" i="3"/>
  <c r="AF92" i="3"/>
  <c r="AF88" i="3"/>
  <c r="AS89" i="3"/>
  <c r="AS65" i="3"/>
  <c r="AZ96" i="3"/>
  <c r="AZ77" i="3"/>
  <c r="AZ73" i="3"/>
  <c r="AP6" i="6" a="1"/>
  <c r="AX28" i="3"/>
  <c r="AX16" i="3"/>
  <c r="AZ23" i="3"/>
  <c r="AW34" i="3"/>
  <c r="AY18" i="3"/>
  <c r="AZ26" i="3"/>
  <c r="C5" i="3"/>
  <c r="AY8" i="3"/>
  <c r="K6" i="6" a="1"/>
  <c r="E5" i="6" a="1"/>
  <c r="D6" i="6" a="1"/>
  <c r="AZ42" i="3"/>
  <c r="AW32" i="3"/>
  <c r="AW17" i="3"/>
  <c r="AP5" i="3"/>
  <c r="AS29" i="3"/>
  <c r="AZ37" i="3"/>
  <c r="AF17" i="3"/>
  <c r="AS28" i="3"/>
  <c r="AS34" i="3"/>
  <c r="AS46" i="3"/>
  <c r="AY20" i="3"/>
  <c r="H6" i="6" a="1"/>
  <c r="C74" i="3"/>
  <c r="AT24" i="3"/>
  <c r="AX33" i="3"/>
  <c r="AS15" i="3"/>
  <c r="AV63" i="3"/>
  <c r="AY28" i="3"/>
  <c r="AA6" i="6" a="1"/>
  <c r="AV96" i="3"/>
  <c r="AF19" i="3"/>
  <c r="AX31" i="3"/>
  <c r="AV5" i="6" a="1"/>
  <c r="AT6" i="6" a="1"/>
  <c r="AY19" i="3"/>
  <c r="AV13" i="3"/>
  <c r="V5" i="6" a="1"/>
  <c r="AU13" i="3"/>
  <c r="AU6" i="3"/>
  <c r="C57" i="3"/>
  <c r="AZ38" i="3"/>
  <c r="AV71" i="3"/>
  <c r="AS22" i="3"/>
  <c r="AF28" i="3"/>
  <c r="AX29" i="3"/>
  <c r="AV33" i="3"/>
  <c r="AS18" i="3"/>
  <c r="AS13" i="3"/>
  <c r="AY37" i="3"/>
  <c r="AY36" i="3"/>
  <c r="AB5" i="3"/>
  <c r="AP5" i="6" a="1"/>
  <c r="AF37" i="3"/>
  <c r="AX17" i="3"/>
  <c r="AS84" i="3"/>
  <c r="M5" i="6" a="1"/>
  <c r="AF96" i="3"/>
  <c r="AS70" i="3"/>
  <c r="I6" i="6" a="1"/>
  <c r="AZ92" i="3"/>
  <c r="C95" i="3"/>
  <c r="AT33" i="3"/>
  <c r="AF47" i="3"/>
  <c r="AU35" i="3"/>
  <c r="AF31" i="3"/>
  <c r="AW6" i="3"/>
  <c r="AV65" i="3"/>
  <c r="AV75" i="3"/>
  <c r="AF76" i="3"/>
  <c r="AF59" i="3"/>
  <c r="AS74" i="3"/>
  <c r="AS87" i="3"/>
  <c r="AZ82" i="3"/>
  <c r="AZ78" i="3"/>
  <c r="AT35" i="3"/>
  <c r="AU22" i="3"/>
  <c r="AH5" i="6" a="1"/>
  <c r="AD6" i="6" a="1"/>
  <c r="AU21" i="3"/>
  <c r="AZ22" i="3"/>
  <c r="AF20" i="3"/>
  <c r="AU31" i="3"/>
  <c r="AV26" i="3"/>
  <c r="AV17" i="3"/>
  <c r="AZ16" i="3"/>
  <c r="AF36" i="3"/>
  <c r="AT22" i="3"/>
  <c r="AW7" i="3"/>
  <c r="AE6" i="6" a="1"/>
  <c r="AZ36" i="3"/>
  <c r="AX19" i="3"/>
  <c r="AF26" i="3"/>
  <c r="AW30" i="3"/>
  <c r="AX23" i="3"/>
  <c r="AY40" i="3"/>
  <c r="AY15" i="3"/>
  <c r="AU10" i="3"/>
  <c r="AV88" i="3"/>
  <c r="AR5" i="6" a="1"/>
  <c r="AO5" i="6" a="1"/>
  <c r="AU37" i="3"/>
  <c r="AP7" i="3"/>
  <c r="AV37" i="3"/>
  <c r="AV67" i="3"/>
  <c r="AS26" i="3"/>
  <c r="AX21" i="3"/>
  <c r="AU12" i="3"/>
  <c r="AU27" i="3"/>
  <c r="E6" i="6" a="1"/>
  <c r="AS71" i="3"/>
  <c r="AS88" i="3"/>
  <c r="AV38" i="3"/>
  <c r="C59" i="3"/>
  <c r="Y6" i="6" a="1"/>
  <c r="AR6" i="6" a="1"/>
  <c r="X5" i="6" a="1"/>
  <c r="AF77" i="3"/>
  <c r="AS75" i="3"/>
  <c r="AS94" i="3"/>
  <c r="AZ49" i="3"/>
  <c r="AZ97" i="3"/>
  <c r="M6" i="6" a="1"/>
  <c r="AW6" i="6" a="1"/>
  <c r="AF27" i="3"/>
  <c r="AV21" i="3"/>
  <c r="AJ6" i="6" a="1"/>
  <c r="AF22" i="3"/>
  <c r="AW20" i="3"/>
  <c r="AE5" i="6" a="1"/>
  <c r="AF35" i="3"/>
  <c r="AW25" i="3"/>
  <c r="AX22" i="3"/>
  <c r="AL5" i="6" a="1"/>
  <c r="AZ13" i="3"/>
  <c r="AT26" i="3"/>
  <c r="AV34" i="3"/>
  <c r="AS42" i="3"/>
  <c r="AF6" i="6" a="1"/>
  <c r="AS39" i="3"/>
  <c r="AW93" i="3"/>
  <c r="AW19" i="3"/>
  <c r="AY30" i="3"/>
  <c r="AU38" i="3"/>
  <c r="AS32" i="3"/>
  <c r="AT28" i="3"/>
  <c r="AV79" i="3"/>
  <c r="AV97" i="3"/>
  <c r="AW16" i="3"/>
  <c r="AS40" i="3"/>
  <c r="AW79" i="3"/>
  <c r="AF84" i="3"/>
  <c r="AS76" i="3"/>
  <c r="AF89" i="3"/>
  <c r="AS72" i="3"/>
  <c r="AF55" i="3"/>
  <c r="AW68" i="3"/>
  <c r="C72" i="3"/>
  <c r="C91" i="3"/>
  <c r="AW77" i="3"/>
  <c r="AF82" i="3"/>
  <c r="AS56" i="3"/>
  <c r="AS93" i="3"/>
  <c r="AZ56" i="3"/>
  <c r="AZ61" i="3"/>
  <c r="AZ87" i="3"/>
  <c r="AT27" i="3"/>
  <c r="AZ31" i="3"/>
  <c r="AC6" i="6" a="1"/>
  <c r="AV8" i="3"/>
  <c r="AY25" i="3"/>
  <c r="AX6" i="6" a="1"/>
  <c r="AX30" i="3"/>
  <c r="AX7" i="3"/>
  <c r="AT31" i="3"/>
  <c r="AF10" i="3"/>
  <c r="AV6" i="3"/>
  <c r="C90" i="3"/>
  <c r="AT23" i="3"/>
  <c r="AS16" i="3"/>
  <c r="AX5" i="3"/>
  <c r="AW9" i="3"/>
  <c r="AZ12" i="3"/>
  <c r="AW28" i="3"/>
  <c r="AU28" i="3"/>
  <c r="AV84" i="3"/>
  <c r="AV54" i="3"/>
  <c r="AW84" i="3"/>
  <c r="AS19" i="3"/>
  <c r="AU39" i="3"/>
  <c r="AS45" i="3"/>
  <c r="AF9" i="3"/>
  <c r="AX47" i="3"/>
  <c r="O5" i="6" a="1"/>
  <c r="AW33" i="3"/>
  <c r="AF66" i="3"/>
  <c r="AX77" i="3"/>
  <c r="AT20" i="3"/>
  <c r="AF80" i="3"/>
  <c r="AK6" i="6" a="1"/>
  <c r="AV57" i="3"/>
  <c r="AY5" i="6" a="1"/>
  <c r="AS5" i="6" a="1"/>
  <c r="AF56" i="3"/>
  <c r="AV46" i="3"/>
  <c r="AA5" i="6" a="1"/>
  <c r="AS21" i="3"/>
  <c r="AX80" i="3"/>
  <c r="AV64" i="3"/>
  <c r="AW69" i="3"/>
  <c r="AF85" i="3"/>
  <c r="AF83" i="3"/>
  <c r="AS54" i="3"/>
  <c r="AS48" i="3"/>
  <c r="AZ59" i="3"/>
  <c r="AZ83" i="3"/>
  <c r="AZ62" i="3"/>
  <c r="AM5" i="6" a="1"/>
  <c r="AT34" i="3"/>
  <c r="AR6" i="3"/>
  <c r="AB6" i="6" a="1"/>
  <c r="AY7" i="3"/>
  <c r="AT29" i="3"/>
  <c r="AO6" i="6" a="1"/>
  <c r="AT19" i="3"/>
  <c r="AS37" i="3"/>
  <c r="AV42" i="3"/>
  <c r="AZ7" i="3"/>
  <c r="AX38" i="3"/>
  <c r="AV48" i="3"/>
  <c r="AU34" i="3"/>
  <c r="AV50" i="3"/>
  <c r="AF13" i="3"/>
  <c r="C77" i="3"/>
  <c r="Q6" i="6" a="1"/>
  <c r="AW12" i="3"/>
  <c r="AV32" i="3"/>
  <c r="AY14" i="3"/>
  <c r="AZ10" i="3"/>
  <c r="AV24" i="3"/>
  <c r="AT9" i="3"/>
  <c r="W5" i="6" a="1"/>
  <c r="AV47" i="3"/>
  <c r="C94" i="3"/>
  <c r="AW81" i="3"/>
  <c r="AZ46" i="3"/>
  <c r="C85" i="3"/>
  <c r="AX46" i="3"/>
  <c r="AU5" i="3"/>
  <c r="AZ18" i="3"/>
  <c r="AW74" i="3"/>
  <c r="AF70" i="3"/>
  <c r="AW56" i="3"/>
  <c r="AW70" i="3"/>
  <c r="AF61" i="3"/>
  <c r="AF91" i="3"/>
  <c r="AS96" i="3"/>
  <c r="AZ88" i="3"/>
  <c r="AZ94" i="3"/>
  <c r="AU64" i="3"/>
  <c r="AU95" i="3"/>
  <c r="AF42" i="3"/>
  <c r="AV28" i="3"/>
  <c r="AM6" i="6" a="1"/>
  <c r="AW42" i="3"/>
  <c r="AS30" i="3"/>
  <c r="C54" i="3"/>
  <c r="D5" i="6" a="1"/>
  <c r="AF45" i="3"/>
  <c r="AW39" i="3"/>
  <c r="C73" i="3"/>
  <c r="AV62" i="3"/>
  <c r="AY41" i="3"/>
  <c r="AY38" i="3"/>
  <c r="AR7" i="3"/>
  <c r="AU33" i="3"/>
  <c r="AT41" i="3"/>
  <c r="AU23" i="3"/>
  <c r="AW5" i="6" a="1"/>
  <c r="AZ15" i="3"/>
  <c r="U5" i="6" a="1"/>
  <c r="AU30" i="3"/>
  <c r="AT42" i="3"/>
  <c r="AX41" i="3"/>
  <c r="AV85" i="3"/>
  <c r="AF6" i="3"/>
  <c r="AW29" i="3"/>
  <c r="AV61" i="3"/>
  <c r="AT7" i="3"/>
  <c r="AU42" i="3"/>
  <c r="AF97" i="3"/>
  <c r="AF24" i="3"/>
  <c r="C67" i="3"/>
  <c r="AF38" i="3"/>
  <c r="AV72" i="3"/>
  <c r="AX93" i="3"/>
  <c r="AW48" i="3"/>
  <c r="AF69" i="3"/>
  <c r="AF71" i="3"/>
  <c r="AS60" i="3"/>
  <c r="AS68" i="3"/>
  <c r="AZ70" i="3"/>
  <c r="AU88" i="3"/>
  <c r="AW26" i="3"/>
  <c r="Q5" i="6" a="1"/>
  <c r="AB5" i="6" a="1"/>
  <c r="O6" i="6" a="1"/>
  <c r="AX27" i="3"/>
  <c r="AT38" i="3"/>
  <c r="AS6" i="6" a="1"/>
  <c r="AI6" i="6" a="1"/>
  <c r="Y5" i="6" a="1"/>
  <c r="AT5" i="3"/>
  <c r="AW41" i="3"/>
  <c r="AT14" i="3"/>
  <c r="AY42" i="3"/>
  <c r="AY35" i="3"/>
  <c r="AU11" i="3"/>
  <c r="AT17" i="3"/>
  <c r="AF32" i="3"/>
  <c r="AX35" i="3"/>
  <c r="U6" i="6" a="1"/>
  <c r="AV92" i="3"/>
  <c r="AF34" i="3"/>
  <c r="AU29" i="3"/>
  <c r="C80" i="3"/>
  <c r="AU17" i="3"/>
  <c r="AY16" i="3"/>
  <c r="F5" i="6" a="1"/>
  <c r="AV19" i="3"/>
  <c r="AW72" i="3"/>
  <c r="AV59" i="3"/>
  <c r="AV82" i="3"/>
  <c r="AY33" i="3"/>
  <c r="AX86" i="3"/>
  <c r="AW75" i="3"/>
  <c r="AT25" i="3"/>
  <c r="AV66" i="3"/>
  <c r="AW83" i="3"/>
  <c r="AV14" i="3"/>
  <c r="F6" i="6" a="1"/>
  <c r="AV40" i="3"/>
  <c r="X6" i="6" a="1"/>
  <c r="AS97" i="3"/>
  <c r="AT69" i="3"/>
  <c r="AW22" i="3"/>
  <c r="AS59" i="3"/>
  <c r="AU5" i="6" a="1"/>
  <c r="AS73" i="3"/>
  <c r="C68" i="3"/>
  <c r="AV93" i="3"/>
  <c r="AX49" i="3"/>
  <c r="AF79" i="3"/>
  <c r="AF86" i="3"/>
  <c r="AS61" i="3"/>
  <c r="AS86" i="3"/>
  <c r="AZ93" i="3"/>
  <c r="AZ48" i="3"/>
  <c r="AU84" i="3"/>
  <c r="EL13" i="4" a="1"/>
  <c r="EM16" i="4" a="1"/>
  <c r="EN15" i="4" a="1"/>
  <c r="EW11" i="4" a="1"/>
  <c r="EV9" i="4" a="1"/>
  <c r="EU5" i="4" a="1"/>
  <c r="EW12" i="4" a="1"/>
  <c r="EW13" i="4" a="1"/>
  <c r="EU8" i="4" a="1"/>
  <c r="EW5" i="4" a="1"/>
  <c r="EL14" i="4" a="1"/>
  <c r="EV8" i="4" a="1"/>
  <c r="EU9" i="4" a="1"/>
  <c r="EN14" i="4" a="1"/>
  <c r="ES15" i="4" a="1"/>
  <c r="ET8" i="4" a="1"/>
  <c r="C6" i="4" a="1"/>
  <c r="EP13" i="4" a="1"/>
  <c r="EM15" i="4" a="1"/>
  <c r="EW7" i="4" a="1"/>
  <c r="EM12" i="4" a="1"/>
  <c r="EU14" i="4" a="1"/>
  <c r="ER6" i="4" a="1"/>
  <c r="EQ14" i="4" a="1"/>
  <c r="EQ7" i="4" a="1"/>
  <c r="EL8" i="4" a="1"/>
  <c r="EP5" i="4" a="1"/>
  <c r="EP15" i="4" a="1"/>
  <c r="ER15" i="4" a="1"/>
  <c r="EP6" i="4" a="1"/>
  <c r="ES6" i="4" a="1"/>
  <c r="EL11" i="4" a="1"/>
  <c r="EN9" i="4" a="1"/>
  <c r="ET7" i="4" a="1"/>
  <c r="EP12" i="4" a="1"/>
  <c r="ER12" i="4" a="1"/>
  <c r="EW15" i="4" a="1"/>
  <c r="ES12" i="4" a="1"/>
  <c r="EO15" i="4" a="1"/>
  <c r="EV5" i="4" a="1"/>
  <c r="EM14" i="4" a="1"/>
  <c r="EO12" i="4" a="1"/>
  <c r="EM5" i="4" a="1"/>
  <c r="ES14" i="4" a="1"/>
  <c r="EN8" i="4" a="1"/>
  <c r="EU13" i="4" a="1"/>
  <c r="EU11" i="4" a="1"/>
  <c r="EL5" i="4" a="1"/>
  <c r="EV6" i="4" a="1"/>
  <c r="EP9" i="4" a="1"/>
  <c r="EQ13" i="4" a="1"/>
  <c r="EW14" i="4" a="1"/>
  <c r="ET12" i="4" a="1"/>
  <c r="EO8" i="4" a="1"/>
  <c r="EP16" i="4" a="1"/>
  <c r="EM11" i="4" a="1"/>
  <c r="EW8" i="4" a="1"/>
  <c r="EL16" i="4" a="1"/>
  <c r="EM8" i="4" a="1"/>
  <c r="EV7" i="4" a="1"/>
  <c r="ER16" i="4" a="1"/>
  <c r="ER8" i="4" a="1"/>
  <c r="ER13" i="4" a="1"/>
  <c r="EN12" i="4" a="1"/>
  <c r="EV11" i="4" a="1"/>
  <c r="EL9" i="4" a="1"/>
  <c r="EP14" i="4" a="1"/>
  <c r="EV16" i="4" a="1"/>
  <c r="EV15" i="4" a="1"/>
  <c r="EM7" i="4" a="1"/>
  <c r="EO5" i="4" a="1"/>
  <c r="ET14" i="4" a="1"/>
  <c r="EQ12" i="4" a="1"/>
  <c r="EV13" i="4" a="1"/>
  <c r="ES8" i="4" a="1"/>
  <c r="EU7" i="4" a="1"/>
  <c r="EP8" i="4" a="1"/>
  <c r="ET15" i="4" a="1"/>
  <c r="EO16" i="4" a="1"/>
  <c r="EW9" i="4" a="1"/>
  <c r="EU16" i="4" a="1"/>
  <c r="EV12" i="4" a="1"/>
  <c r="ES11" i="4" a="1"/>
  <c r="ES7" i="4" a="1"/>
  <c r="EU12" i="4" a="1"/>
  <c r="EU15" i="4" a="1"/>
  <c r="EL12" i="4" a="1"/>
  <c r="EW16" i="4" a="1"/>
  <c r="EU6" i="4" a="1"/>
  <c r="EN13" i="4" a="1"/>
  <c r="ET5" i="4" a="1"/>
  <c r="EP7" i="4" a="1"/>
  <c r="EO6" i="4" a="1"/>
  <c r="EN5" i="4" a="1"/>
  <c r="EO11" i="4" a="1"/>
  <c r="EP11" i="4" a="1"/>
  <c r="ES13" i="4" a="1"/>
  <c r="ER7" i="4" a="1"/>
  <c r="EM6" i="4" a="1"/>
  <c r="EN16" i="4" a="1"/>
  <c r="ER5" i="4" a="1"/>
  <c r="ET11" i="4" a="1"/>
  <c r="EL15" i="4" a="1"/>
  <c r="ER11" i="4" a="1"/>
  <c r="ET13" i="4" a="1"/>
  <c r="EO7" i="4" a="1"/>
  <c r="EO9" i="4" a="1"/>
  <c r="EL6" i="4" a="1"/>
  <c r="EO14" i="4" a="1"/>
  <c r="ER9" i="4" a="1"/>
  <c r="EQ15" i="4" a="1"/>
  <c r="EN11" i="4" a="1"/>
  <c r="ET9" i="4" a="1"/>
  <c r="EL7" i="4" a="1"/>
  <c r="EQ6" i="4" a="1"/>
  <c r="ER14" i="4" a="1"/>
  <c r="EM13" i="4" a="1"/>
  <c r="EQ5" i="4" a="1"/>
  <c r="EM9" i="4" a="1"/>
  <c r="EQ16" i="4" a="1"/>
  <c r="ET16" i="4" a="1"/>
  <c r="EN6" i="4" a="1"/>
  <c r="ES9" i="4" a="1"/>
  <c r="ET6" i="4" a="1"/>
  <c r="EQ9" i="4" a="1"/>
  <c r="EQ8" i="4" a="1"/>
  <c r="EV14" i="4" a="1"/>
  <c r="EQ11" i="4" a="1"/>
  <c r="EW6" i="4" a="1"/>
  <c r="EO13" i="4" a="1"/>
  <c r="EN7" i="4" a="1"/>
  <c r="ES16" i="4" a="1"/>
  <c r="ES5" i="4" a="1"/>
  <c r="C5" i="4" a="1"/>
  <c r="AF93" i="3"/>
  <c r="AF64" i="3"/>
  <c r="AF65" i="3"/>
  <c r="AF94" i="3"/>
  <c r="AF57" i="3"/>
  <c r="AF67" i="3"/>
  <c r="AS90" i="3"/>
  <c r="AS77" i="3"/>
  <c r="AS64" i="3"/>
  <c r="AS50" i="3"/>
  <c r="AS58" i="3"/>
  <c r="AZ74" i="3"/>
  <c r="AZ60" i="3"/>
  <c r="AZ55" i="3"/>
  <c r="AZ71" i="3"/>
  <c r="AZ89" i="3"/>
  <c r="AZ81" i="3"/>
  <c r="AV60" i="3"/>
  <c r="AV95" i="3"/>
  <c r="AV78" i="3"/>
  <c r="AV68" i="3"/>
  <c r="AV49" i="3"/>
  <c r="AV70" i="3"/>
  <c r="AV89" i="3"/>
  <c r="AV69" i="3"/>
  <c r="AV81" i="3"/>
  <c r="AV74" i="3"/>
  <c r="AV76" i="3"/>
  <c r="AV94" i="3"/>
  <c r="AV80" i="3"/>
  <c r="AV90" i="3"/>
  <c r="AV73" i="3"/>
  <c r="AV77" i="3"/>
  <c r="AV58" i="3"/>
  <c r="C81" i="3"/>
  <c r="C92" i="3"/>
  <c r="C50" i="3"/>
  <c r="C96" i="3"/>
  <c r="C71" i="3"/>
  <c r="C78" i="3"/>
  <c r="C89" i="3"/>
  <c r="C83" i="3"/>
  <c r="C55" i="3"/>
  <c r="C75" i="3"/>
  <c r="C86" i="3"/>
  <c r="C65" i="3"/>
  <c r="C69" i="3"/>
  <c r="AX50" i="3"/>
  <c r="AX85" i="3"/>
  <c r="AX64" i="3"/>
  <c r="AX87" i="3"/>
  <c r="AX83" i="3"/>
  <c r="AU59" i="3"/>
  <c r="AU87" i="3"/>
  <c r="AU49" i="3"/>
  <c r="AU79" i="3"/>
  <c r="AU90" i="3"/>
  <c r="AU74" i="3"/>
  <c r="AU55" i="3"/>
  <c r="AU80" i="3"/>
  <c r="AY59" i="3" l="1"/>
  <c r="AX74" i="3"/>
  <c r="C97" i="3"/>
  <c r="CQ51" i="1"/>
  <c r="AZ47" i="3"/>
  <c r="AS83" i="3"/>
  <c r="AF90" i="3"/>
  <c r="AS67" i="3"/>
  <c r="AS57" i="3"/>
  <c r="AZ68" i="3"/>
  <c r="AZ86" i="3"/>
  <c r="AF75" i="3"/>
  <c r="AZ95" i="3"/>
  <c r="AU62" i="3"/>
  <c r="AU57" i="3"/>
  <c r="C62" i="3"/>
  <c r="AU81" i="3"/>
  <c r="AU47" i="3"/>
  <c r="AT60" i="3"/>
  <c r="AT84" i="3"/>
  <c r="AU85" i="3"/>
  <c r="AT67" i="3"/>
  <c r="AT88" i="3"/>
  <c r="AT50" i="3"/>
  <c r="AT77" i="3"/>
  <c r="CR51" i="1"/>
  <c r="CO64" i="1"/>
  <c r="CP64" i="1" s="1"/>
  <c r="CQ64" i="1"/>
  <c r="CS51" i="1"/>
  <c r="AS66" i="3"/>
  <c r="AS95" i="3"/>
  <c r="AZ79" i="3"/>
  <c r="AZ91" i="3"/>
  <c r="AZ85" i="3"/>
  <c r="AV87" i="3"/>
  <c r="AX95" i="3"/>
  <c r="AU72" i="3"/>
  <c r="AU58" i="3"/>
  <c r="AT89" i="3"/>
  <c r="AX68" i="3"/>
  <c r="C58" i="3"/>
  <c r="AX92" i="3"/>
  <c r="AX90" i="3"/>
  <c r="AX60" i="3"/>
  <c r="AT81" i="3"/>
  <c r="AT72" i="3"/>
  <c r="AX65" i="3"/>
  <c r="AX84" i="3"/>
  <c r="AT76" i="3"/>
  <c r="AT68" i="3"/>
  <c r="AT83" i="3"/>
  <c r="AT95" i="3"/>
  <c r="Y111" i="1"/>
  <c r="Y128" i="1" s="1"/>
  <c r="Y112" i="1"/>
  <c r="Y129" i="1" s="1"/>
  <c r="Z95" i="1"/>
  <c r="C61" i="3"/>
  <c r="C63" i="3"/>
  <c r="C84" i="3"/>
  <c r="C76" i="3"/>
  <c r="C66" i="3"/>
  <c r="C64" i="3"/>
  <c r="C56" i="3"/>
  <c r="C93" i="3"/>
  <c r="C70" i="3"/>
  <c r="C82" i="3"/>
  <c r="C79" i="3"/>
  <c r="C87" i="3"/>
  <c r="C88" i="3"/>
  <c r="C60" i="3"/>
  <c r="AX96" i="3"/>
  <c r="AX89" i="3"/>
  <c r="CD185" i="1" s="1"/>
  <c r="AX59" i="3"/>
  <c r="AX61" i="3"/>
  <c r="AX91" i="3"/>
  <c r="CD186" i="1" s="1"/>
  <c r="CE186" i="1" s="1"/>
  <c r="AX72" i="3"/>
  <c r="CD166" i="1" s="1"/>
  <c r="CE166" i="1" s="1"/>
  <c r="AX71" i="3"/>
  <c r="AX94" i="3"/>
  <c r="AX57" i="3"/>
  <c r="CD148" i="1" s="1"/>
  <c r="CE148" i="1" s="1"/>
  <c r="AX66" i="3"/>
  <c r="CD183" i="1" s="1"/>
  <c r="CE183" i="1" s="1"/>
  <c r="AX70" i="3"/>
  <c r="CD164" i="1" s="1"/>
  <c r="AX63" i="3"/>
  <c r="CD155" i="1" s="1"/>
  <c r="CE155" i="1" s="1"/>
  <c r="AX73" i="3"/>
  <c r="AX56" i="3"/>
  <c r="CD147" i="1" s="1"/>
  <c r="CE147" i="1" s="1"/>
  <c r="AX69" i="3"/>
  <c r="CD163" i="1" s="1"/>
  <c r="AX78" i="3"/>
  <c r="CD173" i="1" s="1"/>
  <c r="CE173" i="1" s="1"/>
  <c r="AX76" i="3"/>
  <c r="AX54" i="3"/>
  <c r="AX67" i="3"/>
  <c r="AX79" i="3"/>
  <c r="CD174" i="1" s="1"/>
  <c r="CE174" i="1" s="1"/>
  <c r="AX75" i="3"/>
  <c r="AX97" i="3"/>
  <c r="AX81" i="3"/>
  <c r="CD175" i="1" s="1"/>
  <c r="AX58" i="3"/>
  <c r="CD149" i="1" s="1"/>
  <c r="AX88" i="3"/>
  <c r="CD158" i="1" s="1"/>
  <c r="CE158" i="1" s="1"/>
  <c r="AX48" i="3"/>
  <c r="AX62" i="3"/>
  <c r="CD154" i="1" s="1"/>
  <c r="CE154" i="1" s="1"/>
  <c r="AX55" i="3"/>
  <c r="AX82" i="3"/>
  <c r="CD176" i="1" s="1"/>
  <c r="AU77" i="3"/>
  <c r="AU96" i="3"/>
  <c r="AU86" i="3"/>
  <c r="AU73" i="3"/>
  <c r="AU76" i="3"/>
  <c r="AU67" i="3"/>
  <c r="AU94" i="3"/>
  <c r="AU92" i="3"/>
  <c r="AU60" i="3"/>
  <c r="AU91" i="3"/>
  <c r="AU75" i="3"/>
  <c r="AU69" i="3"/>
  <c r="AU70" i="3"/>
  <c r="AU54" i="3"/>
  <c r="AU83" i="3"/>
  <c r="AU82" i="3"/>
  <c r="AU63" i="3"/>
  <c r="AU68" i="3"/>
  <c r="AU61" i="3"/>
  <c r="AU65" i="3"/>
  <c r="AU50" i="3"/>
  <c r="CA99" i="1" s="1"/>
  <c r="AU93" i="3"/>
  <c r="AU56" i="3"/>
  <c r="AU89" i="3"/>
  <c r="AU66" i="3"/>
  <c r="AU48" i="3"/>
  <c r="AU97" i="3"/>
  <c r="AU78" i="3"/>
  <c r="AU71" i="3"/>
  <c r="AT56" i="3"/>
  <c r="BZ147" i="1" s="1"/>
  <c r="CA147" i="1" s="1"/>
  <c r="AT94" i="3"/>
  <c r="AT75" i="3"/>
  <c r="AT49" i="3"/>
  <c r="BZ98" i="1" s="1"/>
  <c r="AT54" i="3"/>
  <c r="AT93" i="3"/>
  <c r="AT96" i="3"/>
  <c r="BZ195" i="1" s="1"/>
  <c r="CA195" i="1" s="1"/>
  <c r="AT71" i="3"/>
  <c r="AT64" i="3"/>
  <c r="BZ181" i="1" s="1"/>
  <c r="CA181" i="1" s="1"/>
  <c r="AT58" i="3"/>
  <c r="BZ149" i="1" s="1"/>
  <c r="AT92" i="3"/>
  <c r="BZ187" i="1" s="1"/>
  <c r="CA187" i="1" s="1"/>
  <c r="AT57" i="3"/>
  <c r="BZ148" i="1" s="1"/>
  <c r="CA148" i="1" s="1"/>
  <c r="AT65" i="3"/>
  <c r="BZ182" i="1" s="1"/>
  <c r="CA182" i="1" s="1"/>
  <c r="AT61" i="3"/>
  <c r="AT82" i="3"/>
  <c r="BZ176" i="1" s="1"/>
  <c r="AT80" i="3"/>
  <c r="BZ191" i="1" s="1"/>
  <c r="AT70" i="3"/>
  <c r="BZ164" i="1" s="1"/>
  <c r="AT48" i="3"/>
  <c r="AT87" i="3"/>
  <c r="BZ184" i="1" s="1"/>
  <c r="CA184" i="1" s="1"/>
  <c r="AT47" i="3"/>
  <c r="AT74" i="3"/>
  <c r="BZ168" i="1" s="1"/>
  <c r="CA168" i="1" s="1"/>
  <c r="AT90" i="3"/>
  <c r="AT66" i="3"/>
  <c r="BZ183" i="1" s="1"/>
  <c r="CA183" i="1" s="1"/>
  <c r="AT73" i="3"/>
  <c r="AT55" i="3"/>
  <c r="AT78" i="3"/>
  <c r="BZ173" i="1" s="1"/>
  <c r="CA173" i="1" s="1"/>
  <c r="AY58" i="3"/>
  <c r="AY93" i="3"/>
  <c r="AY54" i="3"/>
  <c r="AY55" i="3"/>
  <c r="AY88" i="3"/>
  <c r="AY66" i="3"/>
  <c r="AY81" i="3"/>
  <c r="AY82" i="3"/>
  <c r="AY50" i="3"/>
  <c r="CE99" i="1" s="1"/>
  <c r="AY60" i="3"/>
  <c r="AY83" i="3"/>
  <c r="AY97" i="3"/>
  <c r="AY95" i="3"/>
  <c r="CD196" i="1" s="1"/>
  <c r="CE196" i="1" s="1"/>
  <c r="AY47" i="3"/>
  <c r="AY48" i="3"/>
  <c r="AY84" i="3"/>
  <c r="AY87" i="3"/>
  <c r="AY70" i="3"/>
  <c r="AY74" i="3"/>
  <c r="AY89" i="3"/>
  <c r="AY62" i="3"/>
  <c r="AY72" i="3"/>
  <c r="AY96" i="3"/>
  <c r="AY94" i="3"/>
  <c r="AY69" i="3"/>
  <c r="AY65" i="3"/>
  <c r="AY76" i="3"/>
  <c r="AY77" i="3"/>
  <c r="AY71" i="3"/>
  <c r="AY78" i="3"/>
  <c r="AY73" i="3"/>
  <c r="AY92" i="3"/>
  <c r="AY79" i="3"/>
  <c r="AY90" i="3"/>
  <c r="AY85" i="3"/>
  <c r="AY67" i="3"/>
  <c r="AY49" i="3"/>
  <c r="CE98" i="1" s="1"/>
  <c r="AY61" i="3"/>
  <c r="AY57" i="3"/>
  <c r="AY86" i="3"/>
  <c r="AY68" i="3"/>
  <c r="AY80" i="3"/>
  <c r="AY75" i="3"/>
  <c r="AY63" i="3"/>
  <c r="AY64" i="3"/>
  <c r="AY91" i="3"/>
  <c r="AY56" i="3"/>
  <c r="AW49" i="3"/>
  <c r="CC98" i="1" s="1"/>
  <c r="AW85" i="3"/>
  <c r="AW47" i="3"/>
  <c r="AW67" i="3"/>
  <c r="AW58" i="3"/>
  <c r="AW63" i="3"/>
  <c r="AW57" i="3"/>
  <c r="AW80" i="3"/>
  <c r="AW89" i="3"/>
  <c r="AW90" i="3"/>
  <c r="AW96" i="3"/>
  <c r="AW95" i="3"/>
  <c r="CB196" i="1" s="1"/>
  <c r="CC196" i="1" s="1"/>
  <c r="AW64" i="3"/>
  <c r="AW91" i="3"/>
  <c r="AW76" i="3"/>
  <c r="AW71" i="3"/>
  <c r="AW94" i="3"/>
  <c r="AW54" i="3"/>
  <c r="AW50" i="3"/>
  <c r="CC99" i="1" s="1"/>
  <c r="AW97" i="3"/>
  <c r="AW88" i="3"/>
  <c r="AW65" i="3"/>
  <c r="AW55" i="3"/>
  <c r="AW82" i="3"/>
  <c r="AW59" i="3"/>
  <c r="AW78" i="3"/>
  <c r="AW92" i="3"/>
  <c r="AW87" i="3"/>
  <c r="AW60" i="3"/>
  <c r="AW73" i="3"/>
  <c r="AW62" i="3"/>
  <c r="AW61" i="3"/>
  <c r="AF72" i="3"/>
  <c r="BL166" i="1" s="1"/>
  <c r="BM166" i="1" s="1"/>
  <c r="AF63" i="3"/>
  <c r="BL155" i="1" s="1"/>
  <c r="BM155" i="1" s="1"/>
  <c r="AF58" i="3"/>
  <c r="BL149" i="1" s="1"/>
  <c r="AF73" i="3"/>
  <c r="AF54" i="3"/>
  <c r="AF49" i="3"/>
  <c r="BL98" i="1" s="1"/>
  <c r="AF62" i="3"/>
  <c r="BL154" i="1" s="1"/>
  <c r="BM154" i="1" s="1"/>
  <c r="AF95" i="3"/>
  <c r="AF78" i="3"/>
  <c r="BL173" i="1" s="1"/>
  <c r="BM173" i="1" s="1"/>
  <c r="AF74" i="3"/>
  <c r="BL168" i="1" s="1"/>
  <c r="BM168" i="1" s="1"/>
  <c r="AF60" i="3"/>
  <c r="BL152" i="1" s="1"/>
  <c r="BM152" i="1" s="1"/>
  <c r="AF87" i="3"/>
  <c r="BL184" i="1" s="1"/>
  <c r="BM184" i="1" s="1"/>
  <c r="CK160" i="1"/>
  <c r="CK80" i="1" s="1"/>
  <c r="CK239" i="1"/>
  <c r="CK237" i="1" s="1"/>
  <c r="CK242" i="1" s="1"/>
  <c r="CK117" i="1"/>
  <c r="CK79" i="1"/>
  <c r="CI149" i="1"/>
  <c r="CL79" i="1"/>
  <c r="AS91" i="3"/>
  <c r="AS82" i="3"/>
  <c r="AS81" i="3"/>
  <c r="AZ67" i="3"/>
  <c r="AZ57" i="3"/>
  <c r="CF148" i="1" s="1"/>
  <c r="CG148" i="1" s="1"/>
  <c r="AT59" i="3"/>
  <c r="AT91" i="3"/>
  <c r="BZ186" i="1" s="1"/>
  <c r="CA186" i="1" s="1"/>
  <c r="AT62" i="3"/>
  <c r="BZ154" i="1" s="1"/>
  <c r="CA154" i="1" s="1"/>
  <c r="AT86" i="3"/>
  <c r="AT79" i="3"/>
  <c r="BZ174" i="1" s="1"/>
  <c r="CA174" i="1" s="1"/>
  <c r="AT97" i="3"/>
  <c r="AT85" i="3"/>
  <c r="BZ179" i="1" s="1"/>
  <c r="CA179" i="1" s="1"/>
  <c r="AT63" i="3"/>
  <c r="BZ155" i="1" s="1"/>
  <c r="CA155" i="1" s="1"/>
  <c r="CO213" i="1"/>
  <c r="CN214" i="1"/>
  <c r="CN218" i="1" s="1"/>
  <c r="CN19" i="1"/>
  <c r="CM22" i="1"/>
  <c r="CM17" i="1"/>
  <c r="CN22" i="1"/>
  <c r="CO18" i="1"/>
  <c r="CO17" i="1" s="1"/>
  <c r="CM19" i="1"/>
  <c r="CO29" i="1"/>
  <c r="CO21" i="1"/>
  <c r="CO24" i="1"/>
  <c r="CE37" i="1"/>
  <c r="BZ37" i="1"/>
  <c r="CC37" i="1"/>
  <c r="BL37" i="1"/>
  <c r="CA37" i="1"/>
  <c r="CD37" i="1"/>
  <c r="CB37" i="1"/>
  <c r="BY37" i="1"/>
  <c r="CW23" i="1"/>
  <c r="CZ23" i="1"/>
  <c r="CY23" i="1"/>
  <c r="CX23" i="1"/>
  <c r="CH33" i="1"/>
  <c r="CH123" i="1"/>
  <c r="CH124" i="1" s="1"/>
  <c r="BY99" i="1"/>
  <c r="CF152" i="1"/>
  <c r="CG152" i="1" s="1"/>
  <c r="CF177" i="1"/>
  <c r="CG177" i="1" s="1"/>
  <c r="CF168" i="1"/>
  <c r="CG168" i="1" s="1"/>
  <c r="CF181" i="1"/>
  <c r="CG181" i="1" s="1"/>
  <c r="CF182" i="1"/>
  <c r="CG182" i="1" s="1"/>
  <c r="CF166" i="1"/>
  <c r="CG166" i="1" s="1"/>
  <c r="CF187" i="1"/>
  <c r="CG187" i="1" s="1"/>
  <c r="CF185" i="1"/>
  <c r="CF154" i="1"/>
  <c r="CG154" i="1" s="1"/>
  <c r="CF173" i="1"/>
  <c r="CG173" i="1" s="1"/>
  <c r="CF163" i="1"/>
  <c r="CF191" i="1"/>
  <c r="CF195" i="1"/>
  <c r="CG195" i="1" s="1"/>
  <c r="CF155" i="1"/>
  <c r="CG155" i="1" s="1"/>
  <c r="CF158" i="1"/>
  <c r="CG158" i="1" s="1"/>
  <c r="CF176" i="1"/>
  <c r="CF149" i="1"/>
  <c r="CG149" i="1" s="1"/>
  <c r="CF171" i="1"/>
  <c r="CG171" i="1" s="1"/>
  <c r="CH234" i="1" s="1"/>
  <c r="CF98" i="1"/>
  <c r="CF99" i="1"/>
  <c r="CF184" i="1"/>
  <c r="CG184" i="1" s="1"/>
  <c r="CF175" i="1"/>
  <c r="CF183" i="1"/>
  <c r="CG183" i="1" s="1"/>
  <c r="BZ163" i="1"/>
  <c r="CD171" i="1"/>
  <c r="CE171" i="1" s="1"/>
  <c r="CD179" i="1"/>
  <c r="CE179" i="1" s="1"/>
  <c r="CB179" i="1"/>
  <c r="CC179" i="1" s="1"/>
  <c r="CB163" i="1"/>
  <c r="CB185" i="1"/>
  <c r="CB149" i="1"/>
  <c r="CB99" i="1"/>
  <c r="CB195" i="1"/>
  <c r="CC195" i="1" s="1"/>
  <c r="AI99" i="1"/>
  <c r="AD7" i="6" s="1"/>
  <c r="JM16" i="4" s="1"/>
  <c r="CF70" i="1"/>
  <c r="BL176" i="1"/>
  <c r="BL195" i="1"/>
  <c r="BM195" i="1" s="1"/>
  <c r="BL175" i="1"/>
  <c r="BL163" i="1"/>
  <c r="CD184" i="1"/>
  <c r="CE184" i="1" s="1"/>
  <c r="CF164" i="1"/>
  <c r="BL162" i="1"/>
  <c r="BL182" i="1"/>
  <c r="BM182" i="1" s="1"/>
  <c r="BL164" i="1"/>
  <c r="BL181" i="1"/>
  <c r="BM181" i="1" s="1"/>
  <c r="BL186" i="1"/>
  <c r="BM186" i="1" s="1"/>
  <c r="CB175" i="1"/>
  <c r="CB211" i="1" s="1"/>
  <c r="CC211" i="1" s="1"/>
  <c r="CB162" i="1"/>
  <c r="CF147" i="1"/>
  <c r="CG147" i="1" s="1"/>
  <c r="BL148" i="1"/>
  <c r="BM148" i="1" s="1"/>
  <c r="CB148" i="1"/>
  <c r="CC148" i="1" s="1"/>
  <c r="BL183" i="1"/>
  <c r="BM183" i="1" s="1"/>
  <c r="BL174" i="1"/>
  <c r="BM174" i="1" s="1"/>
  <c r="BL179" i="1"/>
  <c r="BM179" i="1" s="1"/>
  <c r="BL187" i="1"/>
  <c r="BM187" i="1" s="1"/>
  <c r="AE7" i="6" s="1"/>
  <c r="BL191" i="1"/>
  <c r="BL147" i="1"/>
  <c r="BM147" i="1" s="1"/>
  <c r="BL192" i="1"/>
  <c r="BL158" i="1"/>
  <c r="BM158" i="1" s="1"/>
  <c r="BL177" i="1"/>
  <c r="BM177" i="1" s="1"/>
  <c r="BL171" i="1"/>
  <c r="BM171" i="1" s="1"/>
  <c r="CB174" i="1"/>
  <c r="CC174" i="1" s="1"/>
  <c r="JJ9" i="4" s="1"/>
  <c r="JK9" i="4" s="1"/>
  <c r="E7" i="6" s="1"/>
  <c r="O7" i="6" s="1"/>
  <c r="AL7" i="6" s="1"/>
  <c r="CF192" i="1"/>
  <c r="CF69" i="1"/>
  <c r="CB171" i="1"/>
  <c r="CC171" i="1" s="1"/>
  <c r="CB182" i="1"/>
  <c r="CC182" i="1" s="1"/>
  <c r="I7" i="6" s="1"/>
  <c r="AC7" i="6" s="1"/>
  <c r="CC69" i="1"/>
  <c r="AA7" i="6" s="1"/>
  <c r="AH7" i="6" s="1"/>
  <c r="H7" i="6" s="1"/>
  <c r="CE70" i="1"/>
  <c r="F7" i="6" s="1"/>
  <c r="CB176" i="1"/>
  <c r="CB212" i="1" s="1"/>
  <c r="CC212" i="1" s="1"/>
  <c r="AG7" i="6" s="1"/>
  <c r="CB158" i="1"/>
  <c r="CC158" i="1" s="1"/>
  <c r="CB98" i="1"/>
  <c r="CE226" i="1"/>
  <c r="AQ7" i="6" s="1"/>
  <c r="BL69" i="1"/>
  <c r="AV7" i="6" s="1"/>
  <c r="AS7" i="6" s="1"/>
  <c r="CF263" i="1"/>
  <c r="AO7" i="6" s="1"/>
  <c r="C7" i="6" s="1"/>
  <c r="S7" i="6" s="1"/>
  <c r="JL16" i="4" s="1"/>
  <c r="BL185" i="1"/>
  <c r="CB177" i="1"/>
  <c r="CC177" i="1" s="1"/>
  <c r="CB154" i="1"/>
  <c r="CC154" i="1" s="1"/>
  <c r="CB168" i="1"/>
  <c r="CC168" i="1" s="1"/>
  <c r="CD98" i="1"/>
  <c r="G7" i="6" s="1"/>
  <c r="JJ16" i="4" s="1"/>
  <c r="JM9" i="4" s="1"/>
  <c r="BY70" i="1"/>
  <c r="CD99" i="1"/>
  <c r="Y7" i="6" s="1"/>
  <c r="Z7" i="6" s="1"/>
  <c r="AT7" i="6" s="1"/>
  <c r="K7" i="6" s="1"/>
  <c r="AM7" i="6" s="1"/>
  <c r="CB164" i="1"/>
  <c r="BZ69" i="1"/>
  <c r="CB183" i="1"/>
  <c r="CC183" i="1" s="1"/>
  <c r="CA70" i="1"/>
  <c r="CB187" i="1"/>
  <c r="CC187" i="1" s="1"/>
  <c r="CB147" i="1"/>
  <c r="CC147" i="1" s="1"/>
  <c r="X7" i="6" s="1"/>
  <c r="AW7" i="6" s="1"/>
  <c r="AK7" i="6" s="1"/>
  <c r="AN7" i="6" s="1"/>
  <c r="CD69" i="1"/>
  <c r="CF90" i="1"/>
  <c r="CC90" i="1"/>
  <c r="CD191" i="1"/>
  <c r="U7" i="6" s="1"/>
  <c r="CB155" i="1"/>
  <c r="CC155" i="1" s="1"/>
  <c r="R7" i="6" s="1"/>
  <c r="CB181" i="1"/>
  <c r="CC181" i="1" s="1"/>
  <c r="CB192" i="1"/>
  <c r="CB263" i="1"/>
  <c r="CB191" i="1"/>
  <c r="J7" i="6" s="1"/>
  <c r="CD192" i="1"/>
  <c r="CA226" i="1"/>
  <c r="BZ196" i="1"/>
  <c r="CA196" i="1" s="1"/>
  <c r="CB226" i="1"/>
  <c r="CA98" i="1"/>
  <c r="CD181" i="1"/>
  <c r="CE181" i="1" s="1"/>
  <c r="BL226" i="1"/>
  <c r="M7" i="6" s="1"/>
  <c r="AR7" i="6" s="1"/>
  <c r="BZ70" i="1"/>
  <c r="BY69" i="1"/>
  <c r="AX7" i="6" s="1"/>
  <c r="CD226" i="1"/>
  <c r="CB152" i="1"/>
  <c r="CC152" i="1" s="1"/>
  <c r="CB186" i="1"/>
  <c r="CC186" i="1" s="1"/>
  <c r="CB173" i="1"/>
  <c r="CC173" i="1" s="1"/>
  <c r="N7" i="6" s="1"/>
  <c r="CB166" i="1"/>
  <c r="CC166" i="1" s="1"/>
  <c r="AB7" i="6" s="1"/>
  <c r="BL50" i="1"/>
  <c r="L7" i="6" s="1"/>
  <c r="BY50" i="1"/>
  <c r="AI7" i="6" s="1"/>
  <c r="BL70" i="1"/>
  <c r="JL9" i="4" s="1"/>
  <c r="CA69" i="1"/>
  <c r="BY226" i="1"/>
  <c r="CC70" i="1"/>
  <c r="Q7" i="6" s="1"/>
  <c r="AY7" i="6" s="1"/>
  <c r="CD70" i="1"/>
  <c r="W7" i="6" s="1"/>
  <c r="AF7" i="6" s="1"/>
  <c r="CE69" i="1"/>
  <c r="AJ7" i="6" s="1"/>
  <c r="AU7" i="6" s="1"/>
  <c r="P7" i="6" s="1"/>
  <c r="CB70" i="1"/>
  <c r="AP7" i="6" s="1"/>
  <c r="JK16" i="4" s="1"/>
  <c r="CC282" i="1"/>
  <c r="V7" i="6" s="1"/>
  <c r="CB69" i="1"/>
  <c r="T7" i="6" s="1"/>
  <c r="D7" i="6" s="1"/>
  <c r="CA281" i="1"/>
  <c r="CO39" i="1"/>
  <c r="CP39" i="1" s="1"/>
  <c r="CC263" i="1"/>
  <c r="CH276" i="1"/>
  <c r="Z127" i="1"/>
  <c r="Z128" i="1"/>
  <c r="Z129" i="1"/>
  <c r="Y127" i="1"/>
  <c r="CP278" i="1"/>
  <c r="CP238" i="1"/>
  <c r="CR154" i="1"/>
  <c r="CQ159" i="1"/>
  <c r="CQ211" i="1"/>
  <c r="CQ215" i="1"/>
  <c r="CP217" i="1"/>
  <c r="BZ226" i="1"/>
  <c r="CF226" i="1"/>
  <c r="CQ212" i="1"/>
  <c r="CQ171" i="1"/>
  <c r="CQ234" i="1" s="1"/>
  <c r="DB147" i="1"/>
  <c r="DB195" i="1"/>
  <c r="CF38" i="1"/>
  <c r="BZ281" i="1"/>
  <c r="CG33" i="1"/>
  <c r="CE282" i="1"/>
  <c r="CJ91" i="1"/>
  <c r="CJ225" i="1"/>
  <c r="CJ227" i="1" s="1"/>
  <c r="CJ77" i="1"/>
  <c r="CJ79" i="1"/>
  <c r="CI77" i="1"/>
  <c r="CI91" i="1"/>
  <c r="CL94" i="1" s="1"/>
  <c r="CI225" i="1"/>
  <c r="CI227" i="1" s="1"/>
  <c r="CH225" i="1"/>
  <c r="CH227" i="1" s="1"/>
  <c r="CH91" i="1"/>
  <c r="CK94" i="1" s="1"/>
  <c r="CH77" i="1"/>
  <c r="CG225" i="1"/>
  <c r="CG227" i="1" s="1"/>
  <c r="CG77" i="1"/>
  <c r="CG91" i="1"/>
  <c r="AD69" i="1"/>
  <c r="AB70" i="1"/>
  <c r="CZ69" i="1"/>
  <c r="DA69" i="1" s="1"/>
  <c r="DB69" i="1" s="1"/>
  <c r="AE69" i="1" s="1"/>
  <c r="AC59" i="1"/>
  <c r="CR70" i="1"/>
  <c r="CS70" i="1" s="1"/>
  <c r="CT70" i="1" s="1"/>
  <c r="CU70" i="1" s="1"/>
  <c r="CD168" i="1" l="1"/>
  <c r="CE168" i="1" s="1"/>
  <c r="CJ40" i="1"/>
  <c r="AA84" i="1"/>
  <c r="BZ158" i="1"/>
  <c r="CA158" i="1" s="1"/>
  <c r="BZ99" i="1"/>
  <c r="BZ177" i="1"/>
  <c r="CA177" i="1" s="1"/>
  <c r="BZ171" i="1"/>
  <c r="CA171" i="1" s="1"/>
  <c r="CF162" i="1"/>
  <c r="BZ152" i="1"/>
  <c r="CA152" i="1" s="1"/>
  <c r="CR64" i="1"/>
  <c r="CS64" i="1" s="1"/>
  <c r="CT64" i="1" s="1"/>
  <c r="CK192" i="1"/>
  <c r="CK193" i="1" s="1"/>
  <c r="CT51" i="1"/>
  <c r="BX196" i="1"/>
  <c r="BY196" i="1" s="1"/>
  <c r="CF179" i="1"/>
  <c r="CG179" i="1" s="1"/>
  <c r="BZ185" i="1"/>
  <c r="BZ192" i="1"/>
  <c r="CD177" i="1"/>
  <c r="CE177" i="1" s="1"/>
  <c r="CD195" i="1"/>
  <c r="CE195" i="1" s="1"/>
  <c r="CD182" i="1"/>
  <c r="CE182" i="1" s="1"/>
  <c r="CF186" i="1"/>
  <c r="CG186" i="1" s="1"/>
  <c r="CD162" i="1"/>
  <c r="CF174" i="1"/>
  <c r="CG174" i="1" s="1"/>
  <c r="BZ162" i="1"/>
  <c r="CB184" i="1"/>
  <c r="CC184" i="1" s="1"/>
  <c r="BZ166" i="1"/>
  <c r="CA166" i="1" s="1"/>
  <c r="BZ175" i="1"/>
  <c r="BZ211" i="1" s="1"/>
  <c r="CA211" i="1" s="1"/>
  <c r="CD152" i="1"/>
  <c r="CE152" i="1" s="1"/>
  <c r="CD187" i="1"/>
  <c r="CE187" i="1" s="1"/>
  <c r="CI150" i="1"/>
  <c r="CP18" i="1"/>
  <c r="CK119" i="1"/>
  <c r="CK120" i="1"/>
  <c r="CK121" i="1"/>
  <c r="CL112" i="1"/>
  <c r="CL111" i="1"/>
  <c r="CL110" i="1"/>
  <c r="CK112" i="1"/>
  <c r="CK111" i="1"/>
  <c r="CK110" i="1"/>
  <c r="CP213" i="1"/>
  <c r="CO214" i="1"/>
  <c r="CO218" i="1" s="1"/>
  <c r="CO19" i="1"/>
  <c r="CO22" i="1"/>
  <c r="CP21" i="1"/>
  <c r="CP29" i="1"/>
  <c r="CP24" i="1"/>
  <c r="JM8" i="4"/>
  <c r="JK14" i="4"/>
  <c r="JK21" i="4"/>
  <c r="CE102" i="1" s="1"/>
  <c r="JJ21" i="4"/>
  <c r="CD102" i="1" s="1"/>
  <c r="JJ14" i="4"/>
  <c r="JL15" i="4"/>
  <c r="JL14" i="4"/>
  <c r="JJ8" i="4"/>
  <c r="JM21" i="4"/>
  <c r="CG102" i="1" s="1"/>
  <c r="JJ15" i="4"/>
  <c r="JK7" i="4"/>
  <c r="JM14" i="4"/>
  <c r="JM7" i="4"/>
  <c r="JL8" i="4"/>
  <c r="JL7" i="4"/>
  <c r="CE234" i="1"/>
  <c r="CD234" i="1"/>
  <c r="CF18" i="1"/>
  <c r="CF19" i="1" s="1"/>
  <c r="CD193" i="1"/>
  <c r="CE241" i="1" s="1"/>
  <c r="BM234" i="1"/>
  <c r="DA23" i="1"/>
  <c r="DB23" i="1"/>
  <c r="BL193" i="1"/>
  <c r="BM241" i="1" s="1"/>
  <c r="BM159" i="1"/>
  <c r="CD123" i="1"/>
  <c r="BY51" i="1"/>
  <c r="BY90" i="1"/>
  <c r="CD281" i="1"/>
  <c r="CF34" i="1"/>
  <c r="CC234" i="1"/>
  <c r="CC226" i="1"/>
  <c r="CD150" i="1"/>
  <c r="BL90" i="1"/>
  <c r="CD282" i="1"/>
  <c r="BL150" i="1"/>
  <c r="CG150" i="1"/>
  <c r="CH239" i="1" s="1"/>
  <c r="AL90" i="1"/>
  <c r="CA90" i="1"/>
  <c r="CD90" i="1"/>
  <c r="CB50" i="1"/>
  <c r="CB51" i="1" s="1"/>
  <c r="CE50" i="1"/>
  <c r="BL165" i="1"/>
  <c r="BM165" i="1" s="1"/>
  <c r="BM169" i="1" s="1"/>
  <c r="BZ282" i="1"/>
  <c r="BL212" i="1"/>
  <c r="BM212" i="1" s="1"/>
  <c r="BZ150" i="1"/>
  <c r="BZ50" i="1"/>
  <c r="BZ90" i="1"/>
  <c r="CB165" i="1"/>
  <c r="CB169" i="1" s="1"/>
  <c r="BY38" i="1"/>
  <c r="CD212" i="1"/>
  <c r="CE212" i="1" s="1"/>
  <c r="BL215" i="1"/>
  <c r="BM215" i="1" s="1"/>
  <c r="CF150" i="1"/>
  <c r="CB193" i="1"/>
  <c r="CC241" i="1" s="1"/>
  <c r="CC159" i="1"/>
  <c r="CG159" i="1"/>
  <c r="CH238" i="1" s="1"/>
  <c r="CG234" i="1"/>
  <c r="CF193" i="1"/>
  <c r="CG241" i="1" s="1"/>
  <c r="CF159" i="1"/>
  <c r="CF234" i="1"/>
  <c r="BL159" i="1"/>
  <c r="BZ34" i="1"/>
  <c r="BZ212" i="1"/>
  <c r="CA212" i="1" s="1"/>
  <c r="BL38" i="1"/>
  <c r="BZ263" i="1"/>
  <c r="CE263" i="1"/>
  <c r="CF211" i="1"/>
  <c r="CG211" i="1" s="1"/>
  <c r="CG175" i="1" s="1"/>
  <c r="CC281" i="1"/>
  <c r="CE281" i="1"/>
  <c r="CE123" i="1"/>
  <c r="CF212" i="1"/>
  <c r="CG212" i="1" s="1"/>
  <c r="CG176" i="1" s="1"/>
  <c r="CB282" i="1"/>
  <c r="JK15" i="4"/>
  <c r="CC123" i="1"/>
  <c r="CC124" i="1" s="1"/>
  <c r="CD50" i="1"/>
  <c r="CD51" i="1" s="1"/>
  <c r="CA50" i="1"/>
  <c r="JK8" i="4"/>
  <c r="CF50" i="1"/>
  <c r="CF52" i="1" s="1"/>
  <c r="AA85" i="1" s="1"/>
  <c r="CC50" i="1"/>
  <c r="CC51" i="1" s="1"/>
  <c r="CB90" i="1"/>
  <c r="CE159" i="1"/>
  <c r="BL211" i="1"/>
  <c r="BM211" i="1" s="1"/>
  <c r="CF215" i="1"/>
  <c r="CG215" i="1" s="1"/>
  <c r="CG185" i="1" s="1"/>
  <c r="CB150" i="1"/>
  <c r="CB180" i="1"/>
  <c r="CB214" i="1" s="1"/>
  <c r="CB213" i="1" s="1"/>
  <c r="JM15" i="4"/>
  <c r="CB159" i="1"/>
  <c r="CF123" i="1"/>
  <c r="CF124" i="1" s="1"/>
  <c r="CI123" i="1"/>
  <c r="CI124" i="1" s="1"/>
  <c r="CI128" i="1" s="1"/>
  <c r="CF282" i="1"/>
  <c r="BL180" i="1"/>
  <c r="BL214" i="1" s="1"/>
  <c r="CB38" i="1"/>
  <c r="CG123" i="1"/>
  <c r="CG124" i="1" s="1"/>
  <c r="CD211" i="1"/>
  <c r="CE211" i="1" s="1"/>
  <c r="Y83" i="1"/>
  <c r="CD263" i="1"/>
  <c r="CD215" i="1"/>
  <c r="CE215" i="1" s="1"/>
  <c r="JJ7" i="4"/>
  <c r="JL21" i="4"/>
  <c r="CF102" i="1" s="1"/>
  <c r="CB215" i="1"/>
  <c r="CC215" i="1" s="1"/>
  <c r="CA282" i="1"/>
  <c r="CD159" i="1"/>
  <c r="CB123" i="1"/>
  <c r="CA263" i="1"/>
  <c r="CF281" i="1"/>
  <c r="CE90" i="1"/>
  <c r="BL188" i="1"/>
  <c r="BL217" i="1" s="1"/>
  <c r="CB281" i="1"/>
  <c r="CQ39" i="1"/>
  <c r="CH127" i="1"/>
  <c r="CH129" i="1"/>
  <c r="CH128" i="1"/>
  <c r="CC33" i="1"/>
  <c r="CD38" i="1"/>
  <c r="CS154" i="1"/>
  <c r="CR159" i="1"/>
  <c r="CR171" i="1"/>
  <c r="CR234" i="1" s="1"/>
  <c r="CQ238" i="1"/>
  <c r="CQ278" i="1"/>
  <c r="CR212" i="1"/>
  <c r="CQ217" i="1"/>
  <c r="CR215" i="1"/>
  <c r="CR211" i="1"/>
  <c r="AE162" i="1"/>
  <c r="CG41" i="1"/>
  <c r="CF39" i="1"/>
  <c r="CI257" i="1"/>
  <c r="CF33" i="1"/>
  <c r="CG34" i="1"/>
  <c r="CD34" i="1"/>
  <c r="CC38" i="1"/>
  <c r="CC18" i="1" s="1"/>
  <c r="CC19" i="1" s="1"/>
  <c r="CC34" i="1"/>
  <c r="CD257" i="1"/>
  <c r="CJ94" i="1"/>
  <c r="CJ110" i="1" s="1"/>
  <c r="CJ80" i="1"/>
  <c r="AC70" i="1"/>
  <c r="CV70" i="1"/>
  <c r="CW70" i="1" s="1"/>
  <c r="CX70" i="1" s="1"/>
  <c r="CY70" i="1" s="1"/>
  <c r="AD59" i="1"/>
  <c r="CK243" i="1" l="1"/>
  <c r="CA159" i="1"/>
  <c r="CA234" i="1"/>
  <c r="BZ159" i="1"/>
  <c r="CB234" i="1"/>
  <c r="CF165" i="1"/>
  <c r="CG165" i="1" s="1"/>
  <c r="CG188" i="1"/>
  <c r="CG217" i="1" s="1"/>
  <c r="CG216" i="1" s="1"/>
  <c r="CU51" i="1"/>
  <c r="CV51" i="1"/>
  <c r="CW51" i="1"/>
  <c r="CL241" i="1"/>
  <c r="CL242" i="1" s="1"/>
  <c r="CL243" i="1" s="1"/>
  <c r="CK277" i="1"/>
  <c r="CK197" i="1"/>
  <c r="CK200" i="1"/>
  <c r="CP19" i="1"/>
  <c r="CP17" i="1"/>
  <c r="CP22" i="1"/>
  <c r="CQ18" i="1"/>
  <c r="BZ165" i="1"/>
  <c r="CA165" i="1" s="1"/>
  <c r="CB57" i="1" s="1"/>
  <c r="BZ193" i="1"/>
  <c r="CA241" i="1" s="1"/>
  <c r="BZ188" i="1"/>
  <c r="BZ217" i="1" s="1"/>
  <c r="CD165" i="1"/>
  <c r="CD169" i="1" s="1"/>
  <c r="BZ215" i="1"/>
  <c r="CA215" i="1" s="1"/>
  <c r="CF180" i="1"/>
  <c r="CF214" i="1" s="1"/>
  <c r="CF188" i="1"/>
  <c r="CF217" i="1" s="1"/>
  <c r="CD180" i="1"/>
  <c r="CD214" i="1" s="1"/>
  <c r="CD188" i="1"/>
  <c r="CD217" i="1" s="1"/>
  <c r="BZ180" i="1"/>
  <c r="BZ214" i="1" s="1"/>
  <c r="CI160" i="1"/>
  <c r="CI117" i="1"/>
  <c r="CI239" i="1"/>
  <c r="CI237" i="1" s="1"/>
  <c r="CB188" i="1"/>
  <c r="CB217" i="1" s="1"/>
  <c r="CJ239" i="1"/>
  <c r="CJ237" i="1" s="1"/>
  <c r="JL19" i="4"/>
  <c r="CF103" i="1" s="1"/>
  <c r="CQ213" i="1"/>
  <c r="CP214" i="1"/>
  <c r="CP218" i="1" s="1"/>
  <c r="JM20" i="4"/>
  <c r="CG104" i="1" s="1"/>
  <c r="CQ29" i="1"/>
  <c r="CQ21" i="1"/>
  <c r="CQ24" i="1"/>
  <c r="CR29" i="1"/>
  <c r="CR21" i="1"/>
  <c r="CR24" i="1"/>
  <c r="CF23" i="1"/>
  <c r="CJ54" i="1"/>
  <c r="BZ160" i="1"/>
  <c r="JK19" i="4"/>
  <c r="CE103" i="1" s="1"/>
  <c r="CE137" i="1" s="1"/>
  <c r="JJ19" i="4"/>
  <c r="CD103" i="1" s="1"/>
  <c r="CD137" i="1" s="1"/>
  <c r="JJ20" i="4"/>
  <c r="CD104" i="1" s="1"/>
  <c r="CD138" i="1" s="1"/>
  <c r="CG127" i="1"/>
  <c r="JL20" i="4"/>
  <c r="CF104" i="1" s="1"/>
  <c r="CF138" i="1" s="1"/>
  <c r="JM19" i="4"/>
  <c r="CG103" i="1" s="1"/>
  <c r="CG137" i="1" s="1"/>
  <c r="JK20" i="4"/>
  <c r="CE104" i="1" s="1"/>
  <c r="CE138" i="1" s="1"/>
  <c r="CC57" i="1"/>
  <c r="BL117" i="1"/>
  <c r="BL169" i="1"/>
  <c r="BM238" i="1"/>
  <c r="CD238" i="1"/>
  <c r="CF17" i="1"/>
  <c r="CB39" i="1"/>
  <c r="CB18" i="1"/>
  <c r="CB19" i="1" s="1"/>
  <c r="BL39" i="1"/>
  <c r="BL18" i="1"/>
  <c r="BL19" i="1" s="1"/>
  <c r="CC17" i="1"/>
  <c r="CH40" i="1"/>
  <c r="CD18" i="1"/>
  <c r="CD19" i="1" s="1"/>
  <c r="BY39" i="1"/>
  <c r="BY18" i="1"/>
  <c r="BY19" i="1" s="1"/>
  <c r="CH237" i="1"/>
  <c r="CH278" i="1"/>
  <c r="CH280" i="1" s="1"/>
  <c r="CC165" i="1"/>
  <c r="CD57" i="1" s="1"/>
  <c r="CD117" i="1"/>
  <c r="CD119" i="1" s="1"/>
  <c r="CE185" i="1"/>
  <c r="CE188" i="1" s="1"/>
  <c r="CE217" i="1" s="1"/>
  <c r="CE216" i="1" s="1"/>
  <c r="CG160" i="1"/>
  <c r="CE38" i="1"/>
  <c r="CF257" i="1"/>
  <c r="CE176" i="1"/>
  <c r="CA34" i="1"/>
  <c r="CC257" i="1"/>
  <c r="CG117" i="1"/>
  <c r="CG119" i="1" s="1"/>
  <c r="CE257" i="1"/>
  <c r="CI33" i="1"/>
  <c r="CG257" i="1"/>
  <c r="Z83" i="1"/>
  <c r="CD33" i="1"/>
  <c r="BZ38" i="1"/>
  <c r="CE34" i="1"/>
  <c r="CE33" i="1"/>
  <c r="CH257" i="1"/>
  <c r="BZ51" i="1"/>
  <c r="BL218" i="1"/>
  <c r="CE175" i="1"/>
  <c r="CI258" i="1"/>
  <c r="CG55" i="1"/>
  <c r="CF58" i="1"/>
  <c r="CF62" i="1" s="1"/>
  <c r="CF65" i="1" s="1"/>
  <c r="CI142" i="1"/>
  <c r="CF264" i="1"/>
  <c r="CF265" i="1" s="1"/>
  <c r="CG279" i="1"/>
  <c r="CF53" i="1"/>
  <c r="CF51" i="1"/>
  <c r="BY52" i="1"/>
  <c r="BL52" i="1"/>
  <c r="CG239" i="1"/>
  <c r="CF127" i="1"/>
  <c r="CD124" i="1"/>
  <c r="CD127" i="1" s="1"/>
  <c r="CE51" i="1"/>
  <c r="CF200" i="1"/>
  <c r="CF139" i="1" s="1"/>
  <c r="CB124" i="1"/>
  <c r="CB52" i="1"/>
  <c r="CB117" i="1"/>
  <c r="CG180" i="1"/>
  <c r="CG214" i="1" s="1"/>
  <c r="CG213" i="1" s="1"/>
  <c r="BZ117" i="1"/>
  <c r="BL216" i="1"/>
  <c r="CI127" i="1"/>
  <c r="CE238" i="1"/>
  <c r="BL51" i="1"/>
  <c r="CD160" i="1"/>
  <c r="CD200" i="1"/>
  <c r="CD139" i="1" s="1"/>
  <c r="CE278" i="1"/>
  <c r="CF117" i="1"/>
  <c r="CF119" i="1" s="1"/>
  <c r="CB160" i="1"/>
  <c r="CB200" i="1"/>
  <c r="CB139" i="1" s="1"/>
  <c r="BL189" i="1"/>
  <c r="CA38" i="1"/>
  <c r="CB34" i="1"/>
  <c r="CA51" i="1"/>
  <c r="CI129" i="1"/>
  <c r="CF278" i="1"/>
  <c r="CG278" i="1"/>
  <c r="CG238" i="1"/>
  <c r="CH229" i="1"/>
  <c r="CF160" i="1"/>
  <c r="CF277" i="1"/>
  <c r="CF238" i="1"/>
  <c r="CC41" i="1"/>
  <c r="CB238" i="1"/>
  <c r="BL160" i="1"/>
  <c r="BL200" i="1"/>
  <c r="BL139" i="1" s="1"/>
  <c r="BL213" i="1"/>
  <c r="CC238" i="1"/>
  <c r="CF40" i="1"/>
  <c r="CE124" i="1"/>
  <c r="CR39" i="1"/>
  <c r="CS39" i="1" s="1"/>
  <c r="CH57" i="1"/>
  <c r="CG169" i="1"/>
  <c r="CD39" i="1"/>
  <c r="CD41" i="1"/>
  <c r="CD52" i="1"/>
  <c r="CS212" i="1"/>
  <c r="CR217" i="1"/>
  <c r="CS215" i="1"/>
  <c r="CS171" i="1"/>
  <c r="CS234" i="1" s="1"/>
  <c r="CS211" i="1"/>
  <c r="CR278" i="1"/>
  <c r="CR238" i="1"/>
  <c r="CT154" i="1"/>
  <c r="CS159" i="1"/>
  <c r="CC52" i="1"/>
  <c r="CC23" i="1" s="1"/>
  <c r="CC24" i="1" s="1"/>
  <c r="CC40" i="1"/>
  <c r="CC39" i="1"/>
  <c r="CG40" i="1"/>
  <c r="CJ111" i="1"/>
  <c r="CJ112" i="1"/>
  <c r="AD70" i="1"/>
  <c r="CZ70" i="1"/>
  <c r="DA70" i="1" s="1"/>
  <c r="DB70" i="1" s="1"/>
  <c r="AE59" i="1"/>
  <c r="AE49" i="1"/>
  <c r="X220" i="1"/>
  <c r="CF169" i="1" l="1"/>
  <c r="CG57" i="1"/>
  <c r="CA238" i="1"/>
  <c r="CG229" i="1"/>
  <c r="CB218" i="1"/>
  <c r="BZ216" i="1"/>
  <c r="CD213" i="1"/>
  <c r="CD189" i="1"/>
  <c r="CD197" i="1" s="1"/>
  <c r="CF218" i="1"/>
  <c r="CF189" i="1"/>
  <c r="CD216" i="1"/>
  <c r="CJ67" i="1"/>
  <c r="AA86" i="1"/>
  <c r="BZ200" i="1"/>
  <c r="BZ139" i="1" s="1"/>
  <c r="BZ218" i="1"/>
  <c r="BZ189" i="1"/>
  <c r="CK139" i="1"/>
  <c r="CL61" i="1"/>
  <c r="CK198" i="1"/>
  <c r="CK276" i="1"/>
  <c r="CA169" i="1"/>
  <c r="CB235" i="1" s="1"/>
  <c r="CB233" i="1" s="1"/>
  <c r="CR18" i="1"/>
  <c r="CS18" i="1" s="1"/>
  <c r="CQ19" i="1"/>
  <c r="CQ17" i="1"/>
  <c r="CQ22" i="1"/>
  <c r="CE57" i="1"/>
  <c r="CA57" i="1"/>
  <c r="BZ169" i="1"/>
  <c r="CE165" i="1"/>
  <c r="CE169" i="1" s="1"/>
  <c r="CF216" i="1"/>
  <c r="CB189" i="1"/>
  <c r="CB197" i="1" s="1"/>
  <c r="CF213" i="1"/>
  <c r="CB216" i="1"/>
  <c r="CD218" i="1"/>
  <c r="CI119" i="1"/>
  <c r="CI121" i="1"/>
  <c r="CI120" i="1"/>
  <c r="BZ213" i="1"/>
  <c r="CF128" i="1"/>
  <c r="CF137" i="1"/>
  <c r="CG138" i="1"/>
  <c r="CG129" i="1"/>
  <c r="CF24" i="1"/>
  <c r="CF22" i="1"/>
  <c r="CR213" i="1"/>
  <c r="CQ214" i="1"/>
  <c r="CQ218" i="1" s="1"/>
  <c r="CT21" i="1"/>
  <c r="CT29" i="1"/>
  <c r="CT24" i="1"/>
  <c r="CS29" i="1"/>
  <c r="CS21" i="1"/>
  <c r="CS24" i="1"/>
  <c r="CU16" i="1"/>
  <c r="CC169" i="1"/>
  <c r="CD235" i="1" s="1"/>
  <c r="CD233" i="1" s="1"/>
  <c r="CE128" i="1"/>
  <c r="CF129" i="1"/>
  <c r="CD120" i="1"/>
  <c r="CG128" i="1"/>
  <c r="CE180" i="1"/>
  <c r="CE214" i="1" s="1"/>
  <c r="CE213" i="1" s="1"/>
  <c r="CA61" i="1"/>
  <c r="BY17" i="1"/>
  <c r="BL58" i="1"/>
  <c r="BL62" i="1" s="1"/>
  <c r="BL65" i="1" s="1"/>
  <c r="BL73" i="1" s="1"/>
  <c r="BL225" i="1" s="1"/>
  <c r="BL227" i="1" s="1"/>
  <c r="BL23" i="1"/>
  <c r="BL24" i="1" s="1"/>
  <c r="CB17" i="1"/>
  <c r="CG61" i="1"/>
  <c r="BZ39" i="1"/>
  <c r="BZ18" i="1"/>
  <c r="BZ19" i="1" s="1"/>
  <c r="CF141" i="1"/>
  <c r="CD264" i="1"/>
  <c r="CD265" i="1" s="1"/>
  <c r="CD23" i="1"/>
  <c r="CD24" i="1" s="1"/>
  <c r="CD17" i="1"/>
  <c r="CD121" i="1"/>
  <c r="CC22" i="1"/>
  <c r="BY58" i="1"/>
  <c r="BY62" i="1" s="1"/>
  <c r="BY65" i="1" s="1"/>
  <c r="BY73" i="1" s="1"/>
  <c r="BY225" i="1" s="1"/>
  <c r="BY227" i="1" s="1"/>
  <c r="BY23" i="1"/>
  <c r="BY24" i="1" s="1"/>
  <c r="CB53" i="1"/>
  <c r="CB23" i="1"/>
  <c r="CB24" i="1" s="1"/>
  <c r="BL17" i="1"/>
  <c r="CB41" i="1"/>
  <c r="CA18" i="1"/>
  <c r="CA19" i="1" s="1"/>
  <c r="CI40" i="1"/>
  <c r="CE18" i="1"/>
  <c r="CE19" i="1" s="1"/>
  <c r="CF41" i="1"/>
  <c r="Z84" i="1"/>
  <c r="CE39" i="1"/>
  <c r="CE41" i="1"/>
  <c r="CE52" i="1"/>
  <c r="CE23" i="1" s="1"/>
  <c r="CE24" i="1" s="1"/>
  <c r="CD198" i="1"/>
  <c r="CF229" i="1"/>
  <c r="CE229" i="1"/>
  <c r="CF197" i="1"/>
  <c r="CF276" i="1" s="1"/>
  <c r="CF266" i="1"/>
  <c r="CF73" i="1"/>
  <c r="CI79" i="1" s="1"/>
  <c r="CE61" i="1"/>
  <c r="CC61" i="1"/>
  <c r="CD128" i="1"/>
  <c r="CE40" i="1"/>
  <c r="Y84" i="1"/>
  <c r="CF64" i="1"/>
  <c r="CI80" i="1"/>
  <c r="CF66" i="1"/>
  <c r="CG68" i="1"/>
  <c r="CI259" i="1"/>
  <c r="BL53" i="1"/>
  <c r="CA52" i="1"/>
  <c r="CA39" i="1"/>
  <c r="BY53" i="1"/>
  <c r="CG237" i="1"/>
  <c r="CG121" i="1"/>
  <c r="BZ41" i="1"/>
  <c r="CA41" i="1"/>
  <c r="CD40" i="1"/>
  <c r="BZ52" i="1"/>
  <c r="CG120" i="1"/>
  <c r="CG280" i="1"/>
  <c r="CB58" i="1"/>
  <c r="CB62" i="1" s="1"/>
  <c r="CB64" i="1" s="1"/>
  <c r="CF54" i="1"/>
  <c r="CB264" i="1"/>
  <c r="CB265" i="1" s="1"/>
  <c r="CG228" i="1"/>
  <c r="CG218" i="1"/>
  <c r="CH228" i="1"/>
  <c r="CH230" i="1" s="1"/>
  <c r="CH231" i="1" s="1"/>
  <c r="CG189" i="1"/>
  <c r="CD129" i="1"/>
  <c r="CF120" i="1"/>
  <c r="CF121" i="1"/>
  <c r="CE129" i="1"/>
  <c r="CE127" i="1"/>
  <c r="CD141" i="1"/>
  <c r="CT39" i="1"/>
  <c r="CU39" i="1" s="1"/>
  <c r="CD58" i="1"/>
  <c r="CD62" i="1" s="1"/>
  <c r="CD65" i="1" s="1"/>
  <c r="CD73" i="1" s="1"/>
  <c r="CX51" i="1"/>
  <c r="CH235" i="1"/>
  <c r="CH233" i="1" s="1"/>
  <c r="CH54" i="1"/>
  <c r="CD53" i="1"/>
  <c r="CD55" i="1"/>
  <c r="CT171" i="1"/>
  <c r="CT234" i="1" s="1"/>
  <c r="CS278" i="1"/>
  <c r="CS238" i="1"/>
  <c r="CT211" i="1"/>
  <c r="CS217" i="1"/>
  <c r="CT215" i="1"/>
  <c r="CU154" i="1"/>
  <c r="CT159" i="1"/>
  <c r="CD140" i="1"/>
  <c r="CT212" i="1"/>
  <c r="CC53" i="1"/>
  <c r="CC54" i="1"/>
  <c r="CG54" i="1"/>
  <c r="CC55" i="1"/>
  <c r="CC279" i="1"/>
  <c r="CD279" i="1"/>
  <c r="CC264" i="1"/>
  <c r="CC265" i="1" s="1"/>
  <c r="CC58" i="1"/>
  <c r="CC62" i="1" s="1"/>
  <c r="AE70" i="1"/>
  <c r="V263" i="1"/>
  <c r="W263" i="1"/>
  <c r="U263" i="1"/>
  <c r="CG235" i="1" l="1"/>
  <c r="CG233" i="1" s="1"/>
  <c r="CG230" i="1"/>
  <c r="CG231" i="1" s="1"/>
  <c r="CF235" i="1"/>
  <c r="CF233" i="1" s="1"/>
  <c r="CA235" i="1"/>
  <c r="CA233" i="1" s="1"/>
  <c r="CK141" i="1"/>
  <c r="CK144" i="1" s="1"/>
  <c r="CK140" i="1"/>
  <c r="CK143" i="1" s="1"/>
  <c r="CT18" i="1"/>
  <c r="CU18" i="1" s="1"/>
  <c r="CS22" i="1"/>
  <c r="CS17" i="1"/>
  <c r="CS19" i="1"/>
  <c r="CR22" i="1"/>
  <c r="CR19" i="1"/>
  <c r="CR17" i="1"/>
  <c r="CF57" i="1"/>
  <c r="BZ197" i="1"/>
  <c r="BZ198" i="1" s="1"/>
  <c r="CF140" i="1"/>
  <c r="CB198" i="1"/>
  <c r="CE235" i="1"/>
  <c r="CE233" i="1" s="1"/>
  <c r="CS213" i="1"/>
  <c r="CR214" i="1"/>
  <c r="CR218" i="1" s="1"/>
  <c r="CU21" i="1"/>
  <c r="CU29" i="1"/>
  <c r="CU24" i="1"/>
  <c r="CV16" i="1"/>
  <c r="CI54" i="1"/>
  <c r="CF228" i="1"/>
  <c r="CF230" i="1" s="1"/>
  <c r="CC235" i="1"/>
  <c r="CC233" i="1" s="1"/>
  <c r="CE218" i="1"/>
  <c r="CE189" i="1"/>
  <c r="CF142" i="1"/>
  <c r="CE228" i="1"/>
  <c r="CE230" i="1" s="1"/>
  <c r="CE279" i="1"/>
  <c r="CE280" i="1" s="1"/>
  <c r="CE53" i="1"/>
  <c r="CE142" i="1"/>
  <c r="CE54" i="1"/>
  <c r="CE258" i="1"/>
  <c r="CH258" i="1"/>
  <c r="CM121" i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E58" i="1"/>
  <c r="CH80" i="1" s="1"/>
  <c r="CF258" i="1"/>
  <c r="CF55" i="1"/>
  <c r="CH142" i="1"/>
  <c r="CH143" i="1" s="1"/>
  <c r="CG258" i="1"/>
  <c r="CG142" i="1"/>
  <c r="CF279" i="1"/>
  <c r="CF280" i="1" s="1"/>
  <c r="Z85" i="1"/>
  <c r="CE55" i="1"/>
  <c r="CE264" i="1"/>
  <c r="CE265" i="1" s="1"/>
  <c r="CF198" i="1"/>
  <c r="BL64" i="1"/>
  <c r="BL66" i="1"/>
  <c r="BL22" i="1"/>
  <c r="BY66" i="1"/>
  <c r="BY64" i="1"/>
  <c r="CD22" i="1"/>
  <c r="CA17" i="1"/>
  <c r="CB22" i="1"/>
  <c r="BZ53" i="1"/>
  <c r="BZ23" i="1"/>
  <c r="BZ24" i="1" s="1"/>
  <c r="CE22" i="1"/>
  <c r="CE17" i="1"/>
  <c r="CA264" i="1"/>
  <c r="CA265" i="1" s="1"/>
  <c r="CA23" i="1"/>
  <c r="CA24" i="1" s="1"/>
  <c r="BZ17" i="1"/>
  <c r="BY22" i="1"/>
  <c r="BL77" i="1"/>
  <c r="CA58" i="1"/>
  <c r="CA62" i="1" s="1"/>
  <c r="CA65" i="1" s="1"/>
  <c r="CA66" i="1" s="1"/>
  <c r="BL91" i="1"/>
  <c r="CF91" i="1"/>
  <c r="CI94" i="1" s="1"/>
  <c r="CI111" i="1" s="1"/>
  <c r="CD142" i="1"/>
  <c r="CD144" i="1" s="1"/>
  <c r="CF225" i="1"/>
  <c r="CF227" i="1" s="1"/>
  <c r="CF77" i="1"/>
  <c r="Y85" i="1"/>
  <c r="CB279" i="1"/>
  <c r="CB55" i="1"/>
  <c r="CC142" i="1"/>
  <c r="BZ264" i="1"/>
  <c r="BZ265" i="1" s="1"/>
  <c r="CD258" i="1"/>
  <c r="CD266" i="1"/>
  <c r="CD77" i="1"/>
  <c r="CA53" i="1"/>
  <c r="BZ55" i="1"/>
  <c r="CB65" i="1"/>
  <c r="CB142" i="1"/>
  <c r="CD54" i="1"/>
  <c r="CC258" i="1"/>
  <c r="CA279" i="1"/>
  <c r="BZ58" i="1"/>
  <c r="BZ62" i="1" s="1"/>
  <c r="BZ64" i="1" s="1"/>
  <c r="CA55" i="1"/>
  <c r="CH245" i="1"/>
  <c r="CU64" i="1"/>
  <c r="CD64" i="1"/>
  <c r="CD66" i="1"/>
  <c r="CH67" i="1"/>
  <c r="CV39" i="1"/>
  <c r="CY51" i="1"/>
  <c r="CZ51" i="1" s="1"/>
  <c r="CU211" i="1"/>
  <c r="CT278" i="1"/>
  <c r="CT238" i="1"/>
  <c r="CU159" i="1"/>
  <c r="CV154" i="1"/>
  <c r="CU212" i="1"/>
  <c r="CT217" i="1"/>
  <c r="CU215" i="1"/>
  <c r="CU171" i="1"/>
  <c r="CC65" i="1"/>
  <c r="CC73" i="1" s="1"/>
  <c r="CC64" i="1"/>
  <c r="BY77" i="1"/>
  <c r="BY91" i="1"/>
  <c r="AB182" i="1"/>
  <c r="CG245" i="1" l="1"/>
  <c r="CG242" i="1"/>
  <c r="CG192" i="1" s="1"/>
  <c r="CG193" i="1" s="1"/>
  <c r="CG243" i="1" s="1"/>
  <c r="CU22" i="1"/>
  <c r="CU19" i="1"/>
  <c r="CU17" i="1"/>
  <c r="CT22" i="1"/>
  <c r="CT19" i="1"/>
  <c r="CT17" i="1"/>
  <c r="CV18" i="1"/>
  <c r="CF143" i="1"/>
  <c r="CT213" i="1"/>
  <c r="CS214" i="1"/>
  <c r="CS218" i="1" s="1"/>
  <c r="CW16" i="1"/>
  <c r="CV29" i="1"/>
  <c r="CV21" i="1"/>
  <c r="CV24" i="1"/>
  <c r="CF144" i="1"/>
  <c r="CH144" i="1"/>
  <c r="CG80" i="1"/>
  <c r="CE62" i="1"/>
  <c r="CE64" i="1" s="1"/>
  <c r="CF80" i="1"/>
  <c r="CA266" i="1"/>
  <c r="CF231" i="1"/>
  <c r="CF245" i="1" s="1"/>
  <c r="BZ22" i="1"/>
  <c r="CA22" i="1"/>
  <c r="CB266" i="1"/>
  <c r="CB73" i="1"/>
  <c r="CB91" i="1" s="1"/>
  <c r="CA73" i="1"/>
  <c r="CA225" i="1" s="1"/>
  <c r="CA227" i="1" s="1"/>
  <c r="CI112" i="1"/>
  <c r="CI110" i="1"/>
  <c r="CD80" i="1"/>
  <c r="CD143" i="1"/>
  <c r="CA64" i="1"/>
  <c r="CB66" i="1"/>
  <c r="CF67" i="1"/>
  <c r="CB68" i="1"/>
  <c r="CB80" i="1"/>
  <c r="BZ65" i="1"/>
  <c r="CA68" i="1" s="1"/>
  <c r="CG200" i="1"/>
  <c r="CG139" i="1" s="1"/>
  <c r="CV64" i="1"/>
  <c r="CD91" i="1"/>
  <c r="CH241" i="1"/>
  <c r="CH242" i="1" s="1"/>
  <c r="CH243" i="1" s="1"/>
  <c r="CD225" i="1"/>
  <c r="CD227" i="1" s="1"/>
  <c r="CG277" i="1"/>
  <c r="CG197" i="1"/>
  <c r="CG198" i="1" s="1"/>
  <c r="DA51" i="1"/>
  <c r="DB51" i="1" s="1"/>
  <c r="CW39" i="1"/>
  <c r="CX39" i="1" s="1"/>
  <c r="CV171" i="1"/>
  <c r="CV159" i="1"/>
  <c r="CW154" i="1"/>
  <c r="CU238" i="1"/>
  <c r="CU278" i="1"/>
  <c r="CV211" i="1"/>
  <c r="CU217" i="1"/>
  <c r="CV215" i="1"/>
  <c r="CU234" i="1"/>
  <c r="CV212" i="1"/>
  <c r="CG67" i="1"/>
  <c r="CC67" i="1"/>
  <c r="CC266" i="1"/>
  <c r="Y86" i="1"/>
  <c r="CD259" i="1"/>
  <c r="CC68" i="1"/>
  <c r="CC66" i="1"/>
  <c r="CD68" i="1"/>
  <c r="AC182" i="1"/>
  <c r="CM89" i="1"/>
  <c r="CN89" i="1" s="1"/>
  <c r="CO89" i="1" s="1"/>
  <c r="CP89" i="1" s="1"/>
  <c r="CQ89" i="1" s="1"/>
  <c r="CR89" i="1" s="1"/>
  <c r="CS89" i="1" s="1"/>
  <c r="CT89" i="1" s="1"/>
  <c r="CU89" i="1" s="1"/>
  <c r="CV89" i="1" s="1"/>
  <c r="CW89" i="1" s="1"/>
  <c r="CX89" i="1" s="1"/>
  <c r="CY89" i="1" s="1"/>
  <c r="CZ89" i="1" s="1"/>
  <c r="DA89" i="1" s="1"/>
  <c r="DB89" i="1" s="1"/>
  <c r="CV22" i="1" l="1"/>
  <c r="CV19" i="1"/>
  <c r="CV17" i="1"/>
  <c r="CW18" i="1"/>
  <c r="CU213" i="1"/>
  <c r="CT214" i="1"/>
  <c r="CT218" i="1" s="1"/>
  <c r="CW29" i="1"/>
  <c r="CW21" i="1"/>
  <c r="CW24" i="1"/>
  <c r="CX16" i="1"/>
  <c r="CE65" i="1"/>
  <c r="CE73" i="1" s="1"/>
  <c r="CA149" i="1"/>
  <c r="CA150" i="1" s="1"/>
  <c r="CA160" i="1" s="1"/>
  <c r="CA77" i="1"/>
  <c r="CA91" i="1"/>
  <c r="CD67" i="1"/>
  <c r="BZ73" i="1"/>
  <c r="BZ68" i="1"/>
  <c r="BZ266" i="1"/>
  <c r="BZ66" i="1"/>
  <c r="CB77" i="1"/>
  <c r="CB225" i="1"/>
  <c r="CB227" i="1" s="1"/>
  <c r="CC259" i="1"/>
  <c r="CH61" i="1"/>
  <c r="CW64" i="1"/>
  <c r="CG276" i="1"/>
  <c r="CY39" i="1"/>
  <c r="CZ39" i="1" s="1"/>
  <c r="CX154" i="1"/>
  <c r="CW159" i="1"/>
  <c r="CG140" i="1"/>
  <c r="CG143" i="1" s="1"/>
  <c r="CG141" i="1"/>
  <c r="CG144" i="1" s="1"/>
  <c r="CW212" i="1"/>
  <c r="CW211" i="1"/>
  <c r="CV238" i="1"/>
  <c r="CV278" i="1"/>
  <c r="CW171" i="1"/>
  <c r="CW215" i="1"/>
  <c r="CV217" i="1"/>
  <c r="CV234" i="1"/>
  <c r="CC77" i="1"/>
  <c r="CC149" i="1"/>
  <c r="CC150" i="1" s="1"/>
  <c r="CC117" i="1" s="1"/>
  <c r="CC91" i="1"/>
  <c r="CC225" i="1"/>
  <c r="CC227" i="1" s="1"/>
  <c r="CD79" i="1"/>
  <c r="AE182" i="1"/>
  <c r="AD182" i="1"/>
  <c r="CX18" i="1" l="1"/>
  <c r="CY18" i="1" s="1"/>
  <c r="CZ18" i="1" s="1"/>
  <c r="CW22" i="1"/>
  <c r="CW19" i="1"/>
  <c r="CW17" i="1"/>
  <c r="CV213" i="1"/>
  <c r="CU214" i="1"/>
  <c r="CU218" i="1" s="1"/>
  <c r="CX21" i="1"/>
  <c r="CX29" i="1"/>
  <c r="CX24" i="1"/>
  <c r="CY16" i="1"/>
  <c r="CY17" i="1" s="1"/>
  <c r="CE67" i="1"/>
  <c r="CE259" i="1"/>
  <c r="CF259" i="1"/>
  <c r="CI67" i="1"/>
  <c r="Z86" i="1"/>
  <c r="CE66" i="1"/>
  <c r="CE68" i="1"/>
  <c r="CE266" i="1"/>
  <c r="CH259" i="1"/>
  <c r="CG259" i="1"/>
  <c r="CF68" i="1"/>
  <c r="CB239" i="1"/>
  <c r="CB237" i="1" s="1"/>
  <c r="CA117" i="1"/>
  <c r="CA239" i="1"/>
  <c r="CA237" i="1" s="1"/>
  <c r="CD94" i="1"/>
  <c r="CD110" i="1" s="1"/>
  <c r="BZ225" i="1"/>
  <c r="BZ227" i="1" s="1"/>
  <c r="BZ77" i="1"/>
  <c r="CB79" i="1"/>
  <c r="BZ91" i="1"/>
  <c r="CB94" i="1" s="1"/>
  <c r="CX64" i="1"/>
  <c r="CY64" i="1" s="1"/>
  <c r="CZ64" i="1" s="1"/>
  <c r="DA39" i="1"/>
  <c r="DB39" i="1" s="1"/>
  <c r="CX215" i="1"/>
  <c r="CW217" i="1"/>
  <c r="CX212" i="1"/>
  <c r="CX211" i="1"/>
  <c r="CX171" i="1"/>
  <c r="CW278" i="1"/>
  <c r="CW238" i="1"/>
  <c r="CY154" i="1"/>
  <c r="CX159" i="1"/>
  <c r="CW234" i="1"/>
  <c r="CC160" i="1"/>
  <c r="CC80" i="1" s="1"/>
  <c r="CC239" i="1"/>
  <c r="CC237" i="1" s="1"/>
  <c r="CD239" i="1"/>
  <c r="CD237" i="1" s="1"/>
  <c r="CC79" i="1"/>
  <c r="CE225" i="1"/>
  <c r="CE227" i="1" s="1"/>
  <c r="CE231" i="1" s="1"/>
  <c r="CE245" i="1" s="1"/>
  <c r="CE77" i="1"/>
  <c r="CG79" i="1"/>
  <c r="CE91" i="1"/>
  <c r="CH79" i="1"/>
  <c r="CE149" i="1"/>
  <c r="CE150" i="1" s="1"/>
  <c r="CE117" i="1" s="1"/>
  <c r="CF79" i="1"/>
  <c r="AB156" i="1"/>
  <c r="AB167" i="1"/>
  <c r="AB166" i="1"/>
  <c r="AB158" i="1"/>
  <c r="AB152" i="1"/>
  <c r="AB183" i="1"/>
  <c r="AB174" i="1"/>
  <c r="AB148" i="1"/>
  <c r="CZ22" i="1" l="1"/>
  <c r="CY22" i="1"/>
  <c r="DA18" i="1"/>
  <c r="DA22" i="1" s="1"/>
  <c r="CX22" i="1"/>
  <c r="CX17" i="1"/>
  <c r="CX19" i="1"/>
  <c r="CW213" i="1"/>
  <c r="CV214" i="1"/>
  <c r="CV218" i="1" s="1"/>
  <c r="CZ16" i="1"/>
  <c r="CY21" i="1"/>
  <c r="CY29" i="1"/>
  <c r="CY24" i="1"/>
  <c r="CY19" i="1"/>
  <c r="CD111" i="1"/>
  <c r="CD112" i="1"/>
  <c r="CC94" i="1"/>
  <c r="DA64" i="1"/>
  <c r="DB64" i="1" s="1"/>
  <c r="CE121" i="1"/>
  <c r="CE119" i="1"/>
  <c r="CE120" i="1"/>
  <c r="CX238" i="1"/>
  <c r="CX278" i="1"/>
  <c r="CY212" i="1"/>
  <c r="CZ154" i="1"/>
  <c r="CY159" i="1"/>
  <c r="CY211" i="1"/>
  <c r="CY171" i="1"/>
  <c r="CY234" i="1" s="1"/>
  <c r="CX234" i="1"/>
  <c r="CY215" i="1"/>
  <c r="CX217" i="1"/>
  <c r="CH94" i="1"/>
  <c r="CL95" i="1" s="1"/>
  <c r="CG94" i="1"/>
  <c r="CK95" i="1" s="1"/>
  <c r="CE94" i="1"/>
  <c r="CI95" i="1" s="1"/>
  <c r="CF94" i="1"/>
  <c r="CJ95" i="1" s="1"/>
  <c r="CE160" i="1"/>
  <c r="CE80" i="1" s="1"/>
  <c r="CE239" i="1"/>
  <c r="CE237" i="1" s="1"/>
  <c r="CE242" i="1" s="1"/>
  <c r="CE79" i="1"/>
  <c r="CF239" i="1"/>
  <c r="CF237" i="1" s="1"/>
  <c r="AC167" i="1"/>
  <c r="AC156" i="1"/>
  <c r="AB196" i="1"/>
  <c r="AC152" i="1"/>
  <c r="AC183" i="1"/>
  <c r="AB179" i="1"/>
  <c r="AB186" i="1"/>
  <c r="AC174" i="1"/>
  <c r="AC158" i="1"/>
  <c r="AB187" i="1"/>
  <c r="AC148" i="1"/>
  <c r="AC166" i="1"/>
  <c r="DB18" i="1" l="1"/>
  <c r="DB22" i="1" s="1"/>
  <c r="CX213" i="1"/>
  <c r="CW214" i="1"/>
  <c r="CW218" i="1" s="1"/>
  <c r="CZ29" i="1"/>
  <c r="CZ21" i="1"/>
  <c r="CZ24" i="1"/>
  <c r="CZ17" i="1"/>
  <c r="CZ19" i="1"/>
  <c r="DA16" i="1"/>
  <c r="CG95" i="1"/>
  <c r="CH111" i="1"/>
  <c r="CH95" i="1"/>
  <c r="CF95" i="1"/>
  <c r="CH112" i="1"/>
  <c r="DA154" i="1"/>
  <c r="CZ159" i="1"/>
  <c r="CZ171" i="1"/>
  <c r="CZ234" i="1" s="1"/>
  <c r="CY278" i="1"/>
  <c r="CY238" i="1"/>
  <c r="CY217" i="1"/>
  <c r="CZ215" i="1"/>
  <c r="CZ212" i="1"/>
  <c r="CZ211" i="1"/>
  <c r="CG110" i="1"/>
  <c r="CG111" i="1"/>
  <c r="CG112" i="1"/>
  <c r="CH110" i="1"/>
  <c r="CF112" i="1"/>
  <c r="CF110" i="1"/>
  <c r="CF111" i="1"/>
  <c r="CE112" i="1"/>
  <c r="CE110" i="1"/>
  <c r="CE111" i="1"/>
  <c r="CE192" i="1"/>
  <c r="CE193" i="1" s="1"/>
  <c r="CE243" i="1" s="1"/>
  <c r="B50" i="1"/>
  <c r="AE167" i="1"/>
  <c r="AD167" i="1"/>
  <c r="AE156" i="1"/>
  <c r="AD156" i="1"/>
  <c r="AC196" i="1"/>
  <c r="AE183" i="1"/>
  <c r="AD183" i="1"/>
  <c r="AE174" i="1"/>
  <c r="AD174" i="1"/>
  <c r="AD148" i="1"/>
  <c r="AE148" i="1"/>
  <c r="AC186" i="1"/>
  <c r="AE158" i="1"/>
  <c r="AD158" i="1"/>
  <c r="AE166" i="1"/>
  <c r="AD166" i="1"/>
  <c r="AC187" i="1"/>
  <c r="AC179" i="1"/>
  <c r="AE152" i="1"/>
  <c r="AD152" i="1"/>
  <c r="CY213" i="1" l="1"/>
  <c r="CX214" i="1"/>
  <c r="CX218" i="1" s="1"/>
  <c r="DB16" i="1"/>
  <c r="DA29" i="1"/>
  <c r="DA21" i="1"/>
  <c r="DA24" i="1"/>
  <c r="DA17" i="1"/>
  <c r="DA19" i="1"/>
  <c r="DA211" i="1"/>
  <c r="DA212" i="1"/>
  <c r="DA171" i="1"/>
  <c r="DB171" i="1" s="1"/>
  <c r="DB234" i="1" s="1"/>
  <c r="CZ217" i="1"/>
  <c r="DA215" i="1"/>
  <c r="CZ278" i="1"/>
  <c r="CZ238" i="1"/>
  <c r="DB154" i="1"/>
  <c r="DB159" i="1" s="1"/>
  <c r="DA159" i="1"/>
  <c r="CE200" i="1"/>
  <c r="CE197" i="1"/>
  <c r="CF241" i="1"/>
  <c r="CF242" i="1" s="1"/>
  <c r="CF243" i="1" s="1"/>
  <c r="CE277" i="1"/>
  <c r="C50" i="1"/>
  <c r="AE196" i="1"/>
  <c r="AD196" i="1"/>
  <c r="AE186" i="1"/>
  <c r="AD186" i="1"/>
  <c r="AE187" i="1"/>
  <c r="AD187" i="1"/>
  <c r="AE179" i="1"/>
  <c r="AD179" i="1"/>
  <c r="BY282" i="1"/>
  <c r="BY263" i="1"/>
  <c r="BY281" i="1"/>
  <c r="BL281" i="1"/>
  <c r="BL282" i="1"/>
  <c r="CZ213" i="1" l="1"/>
  <c r="CY214" i="1"/>
  <c r="CY218" i="1" s="1"/>
  <c r="DB29" i="1"/>
  <c r="DB21" i="1"/>
  <c r="DB24" i="1"/>
  <c r="DB17" i="1"/>
  <c r="DB19" i="1"/>
  <c r="DA234" i="1"/>
  <c r="DB238" i="1"/>
  <c r="DB278" i="1"/>
  <c r="DB212" i="1"/>
  <c r="DA278" i="1"/>
  <c r="DA238" i="1"/>
  <c r="CE139" i="1"/>
  <c r="CE141" i="1" s="1"/>
  <c r="CE144" i="1" s="1"/>
  <c r="CF61" i="1"/>
  <c r="DB211" i="1"/>
  <c r="DB215" i="1"/>
  <c r="DA217" i="1"/>
  <c r="CE198" i="1"/>
  <c r="CE276" i="1"/>
  <c r="D50" i="1"/>
  <c r="AB45" i="1"/>
  <c r="AB20" i="1" s="1"/>
  <c r="AA20" i="1"/>
  <c r="BM278" i="1"/>
  <c r="DA213" i="1" l="1"/>
  <c r="CZ214" i="1"/>
  <c r="CZ218" i="1" s="1"/>
  <c r="CE140" i="1"/>
  <c r="CE143" i="1" s="1"/>
  <c r="DB217" i="1"/>
  <c r="AC45" i="1"/>
  <c r="AC20" i="1" s="1"/>
  <c r="BZ279" i="1"/>
  <c r="BY264" i="1"/>
  <c r="BY265" i="1" s="1"/>
  <c r="DB213" i="1" l="1"/>
  <c r="DB214" i="1" s="1"/>
  <c r="DB218" i="1" s="1"/>
  <c r="DA214" i="1"/>
  <c r="DA218" i="1" s="1"/>
  <c r="AD45" i="1"/>
  <c r="AD20" i="1" s="1"/>
  <c r="BY266" i="1"/>
  <c r="AE45" i="1" l="1"/>
  <c r="AE20" i="1" s="1"/>
  <c r="R226" i="1" l="1"/>
  <c r="BD90" i="1"/>
  <c r="AL263" i="1"/>
  <c r="U226" i="1"/>
  <c r="G226" i="1"/>
  <c r="W226" i="1"/>
  <c r="O263" i="1"/>
  <c r="AK263" i="1"/>
  <c r="F263" i="1"/>
  <c r="T263" i="1"/>
  <c r="BO90" i="1"/>
  <c r="R263" i="1"/>
  <c r="N226" i="1"/>
  <c r="BG90" i="1"/>
  <c r="T226" i="1"/>
  <c r="V226" i="1"/>
  <c r="O226" i="1"/>
  <c r="M226" i="1"/>
  <c r="AS90" i="1"/>
  <c r="AM226" i="1"/>
  <c r="M263" i="1"/>
  <c r="F226" i="1"/>
  <c r="V281" i="1"/>
  <c r="AK50" i="1"/>
  <c r="H226" i="1"/>
  <c r="E226" i="1"/>
  <c r="Q226" i="1"/>
  <c r="P226" i="1"/>
  <c r="S226" i="1"/>
  <c r="AL281" i="1"/>
  <c r="BB90" i="1"/>
  <c r="AO90" i="1"/>
  <c r="AJ226" i="1"/>
  <c r="I226" i="1"/>
  <c r="J226" i="1"/>
  <c r="K226" i="1"/>
  <c r="BN90" i="1"/>
  <c r="BS90" i="1"/>
  <c r="BH90" i="1"/>
  <c r="L226" i="1"/>
  <c r="AR90" i="1"/>
  <c r="AW90" i="1"/>
  <c r="BM90" i="1"/>
  <c r="S263" i="1"/>
  <c r="CA123" i="1"/>
  <c r="CA124" i="1" s="1"/>
  <c r="BX263" i="1"/>
  <c r="E263" i="1"/>
  <c r="L263" i="1"/>
  <c r="BW90" i="1"/>
  <c r="G215" i="1"/>
  <c r="AK226" i="1"/>
  <c r="P263" i="1"/>
  <c r="AL226" i="1"/>
  <c r="BX90" i="1"/>
  <c r="G263" i="1"/>
  <c r="AQ90" i="1"/>
  <c r="N263" i="1"/>
  <c r="AJ57" i="1"/>
  <c r="J263" i="1"/>
  <c r="BE90" i="1"/>
  <c r="AJ263" i="1"/>
  <c r="CM33" i="1"/>
  <c r="AA16" i="1"/>
  <c r="D7" i="3"/>
  <c r="D27" i="3"/>
  <c r="D37" i="3"/>
  <c r="F41" i="3"/>
  <c r="O46" i="3"/>
  <c r="G22" i="3"/>
  <c r="AR60" i="3"/>
  <c r="I46" i="3"/>
  <c r="D25" i="3"/>
  <c r="E29" i="3"/>
  <c r="AM45" i="3"/>
  <c r="AP46" i="3"/>
  <c r="AD5" i="3"/>
  <c r="G8" i="3"/>
  <c r="Y46" i="3"/>
  <c r="D36" i="3"/>
  <c r="Y45" i="3"/>
  <c r="G19" i="3"/>
  <c r="AD85" i="3"/>
  <c r="K45" i="3"/>
  <c r="AR38" i="3"/>
  <c r="X45" i="3"/>
  <c r="AJ45" i="3"/>
  <c r="AD71" i="3"/>
  <c r="G7" i="3"/>
  <c r="AP45" i="3"/>
  <c r="F15" i="3"/>
  <c r="D12" i="3"/>
  <c r="AR92" i="3"/>
  <c r="AR73" i="3"/>
  <c r="F20" i="3"/>
  <c r="E33" i="3"/>
  <c r="C45" i="3"/>
  <c r="G45" i="3"/>
  <c r="AR96" i="3"/>
  <c r="N46" i="3"/>
  <c r="AR21" i="3"/>
  <c r="L45" i="3"/>
  <c r="E36" i="3"/>
  <c r="Q45" i="3"/>
  <c r="E8" i="3"/>
  <c r="AR9" i="3"/>
  <c r="AR45" i="3"/>
  <c r="AF50" i="3"/>
  <c r="F35" i="3"/>
  <c r="F25" i="3"/>
  <c r="AR78" i="3"/>
  <c r="E45" i="3"/>
  <c r="G26" i="3"/>
  <c r="AR25" i="3"/>
  <c r="AD12" i="3"/>
  <c r="AK46" i="3"/>
  <c r="E13" i="3"/>
  <c r="F42" i="3"/>
  <c r="AR81" i="3"/>
  <c r="F18" i="3"/>
  <c r="AR93" i="3"/>
  <c r="AR36" i="3"/>
  <c r="F30" i="3"/>
  <c r="AR59" i="3"/>
  <c r="AD14" i="3"/>
  <c r="E31" i="3"/>
  <c r="AR56" i="3"/>
  <c r="F21" i="3"/>
  <c r="AR8" i="3"/>
  <c r="AR20" i="3"/>
  <c r="AD91" i="3"/>
  <c r="U45" i="3"/>
  <c r="AD45" i="3"/>
  <c r="AN46" i="3"/>
  <c r="AD93" i="3"/>
  <c r="F16" i="3"/>
  <c r="AR41" i="3"/>
  <c r="D28" i="3"/>
  <c r="G31" i="3"/>
  <c r="P46" i="3"/>
  <c r="AR16" i="3"/>
  <c r="F23" i="3"/>
  <c r="D42" i="3"/>
  <c r="E9" i="3"/>
  <c r="AR88" i="3"/>
  <c r="F26" i="3"/>
  <c r="O45" i="3"/>
  <c r="E37" i="3"/>
  <c r="AN45" i="3"/>
  <c r="E32" i="3"/>
  <c r="U46" i="3"/>
  <c r="F24" i="3"/>
  <c r="E5" i="3"/>
  <c r="AR82" i="3"/>
  <c r="AR84" i="3"/>
  <c r="AR72" i="3"/>
  <c r="E46" i="3"/>
  <c r="F5" i="3"/>
  <c r="E75" i="3"/>
  <c r="G6" i="3"/>
  <c r="F56" i="3"/>
  <c r="AR42" i="3"/>
  <c r="D31" i="3"/>
  <c r="AD17" i="3"/>
  <c r="D38" i="3"/>
  <c r="G13" i="3"/>
  <c r="AG45" i="3"/>
  <c r="E22" i="3"/>
  <c r="G10" i="3"/>
  <c r="E39" i="3"/>
  <c r="AD77" i="3"/>
  <c r="D41" i="3"/>
  <c r="E78" i="3"/>
  <c r="C46" i="3"/>
  <c r="F9" i="3"/>
  <c r="F47" i="3"/>
  <c r="E92" i="3"/>
  <c r="F75" i="3"/>
  <c r="E28" i="3"/>
  <c r="F73" i="3"/>
  <c r="E21" i="3"/>
  <c r="T45" i="3"/>
  <c r="F31" i="3"/>
  <c r="F50" i="3"/>
  <c r="F90" i="3"/>
  <c r="V46" i="3"/>
  <c r="D11" i="3"/>
  <c r="AR32" i="3"/>
  <c r="AR67" i="3"/>
  <c r="AO45" i="3"/>
  <c r="AD90" i="3"/>
  <c r="D22" i="3"/>
  <c r="F34" i="3"/>
  <c r="AR31" i="3"/>
  <c r="E35" i="3"/>
  <c r="F13" i="3"/>
  <c r="AR70" i="3"/>
  <c r="F10" i="3"/>
  <c r="AD11" i="3"/>
  <c r="G46" i="3"/>
  <c r="AA46" i="3"/>
  <c r="AL46" i="3"/>
  <c r="F36" i="3"/>
  <c r="D33" i="3"/>
  <c r="AR80" i="3"/>
  <c r="D32" i="3"/>
  <c r="Z45" i="3"/>
  <c r="AR61" i="3"/>
  <c r="G11" i="3"/>
  <c r="AL45" i="3"/>
  <c r="F37" i="3"/>
  <c r="G30" i="3"/>
  <c r="AR94" i="3"/>
  <c r="D18" i="3"/>
  <c r="AR10" i="3"/>
  <c r="AR79" i="3"/>
  <c r="E11" i="3"/>
  <c r="G27" i="3"/>
  <c r="P45" i="3"/>
  <c r="F29" i="3"/>
  <c r="F11" i="3"/>
  <c r="AD46" i="3"/>
  <c r="AR57" i="3"/>
  <c r="R45" i="3"/>
  <c r="G17" i="3"/>
  <c r="D10" i="3"/>
  <c r="AR58" i="3"/>
  <c r="AR97" i="3"/>
  <c r="AD7" i="3"/>
  <c r="E42" i="3"/>
  <c r="G14" i="3"/>
  <c r="W45" i="3"/>
  <c r="AR22" i="3"/>
  <c r="AB46" i="3"/>
  <c r="AR76" i="3"/>
  <c r="AR75" i="3"/>
  <c r="D26" i="3"/>
  <c r="AS47" i="3"/>
  <c r="D5" i="3"/>
  <c r="AR68" i="3"/>
  <c r="AI46" i="3"/>
  <c r="AR65" i="3"/>
  <c r="F33" i="3"/>
  <c r="G16" i="3"/>
  <c r="D92" i="3"/>
  <c r="D9" i="3"/>
  <c r="T46" i="3"/>
  <c r="AH45" i="3"/>
  <c r="AR30" i="3"/>
  <c r="AD13" i="3"/>
  <c r="D29" i="3"/>
  <c r="AR86" i="3"/>
  <c r="V45" i="3"/>
  <c r="F27" i="3"/>
  <c r="F8" i="3"/>
  <c r="AR46" i="3"/>
  <c r="F38" i="3"/>
  <c r="E25" i="3"/>
  <c r="D34" i="3"/>
  <c r="D39" i="3"/>
  <c r="G28" i="3"/>
  <c r="E15" i="3"/>
  <c r="D45" i="3"/>
  <c r="G24" i="3"/>
  <c r="D6" i="3"/>
  <c r="F14" i="3"/>
  <c r="D13" i="3"/>
  <c r="E23" i="3"/>
  <c r="E30" i="3"/>
  <c r="E19" i="3"/>
  <c r="M45" i="3"/>
  <c r="E40" i="3"/>
  <c r="E26" i="3"/>
  <c r="D96" i="3"/>
  <c r="AR66" i="3"/>
  <c r="F19" i="3"/>
  <c r="D94" i="3"/>
  <c r="G12" i="3"/>
  <c r="AR24" i="3"/>
  <c r="AR33" i="3"/>
  <c r="AD15" i="3"/>
  <c r="AD6" i="3"/>
  <c r="X46" i="3"/>
  <c r="AR48" i="3"/>
  <c r="AR27" i="3"/>
  <c r="AC46" i="3"/>
  <c r="AR64" i="3"/>
  <c r="AG46" i="3"/>
  <c r="AR15" i="3"/>
  <c r="D54" i="3"/>
  <c r="D19" i="3"/>
  <c r="E41" i="3"/>
  <c r="D73" i="3"/>
  <c r="D35" i="3"/>
  <c r="S45" i="3"/>
  <c r="H46" i="3"/>
  <c r="AE46" i="3"/>
  <c r="E14" i="3"/>
  <c r="G18" i="3"/>
  <c r="D90" i="3"/>
  <c r="D97" i="3"/>
  <c r="AR91" i="3"/>
  <c r="D93" i="3"/>
  <c r="AR37" i="3"/>
  <c r="D17" i="3"/>
  <c r="D75" i="3"/>
  <c r="AQ46" i="3"/>
  <c r="F28" i="3"/>
  <c r="J46" i="3"/>
  <c r="AF48" i="3"/>
  <c r="D23" i="3"/>
  <c r="E18" i="3"/>
  <c r="AR85" i="3"/>
  <c r="AA45" i="3"/>
  <c r="G29" i="3"/>
  <c r="E6" i="3"/>
  <c r="D62" i="3"/>
  <c r="D84" i="3"/>
  <c r="D67" i="3"/>
  <c r="F12" i="3"/>
  <c r="AR87" i="3"/>
  <c r="F17" i="3"/>
  <c r="S46" i="3"/>
  <c r="AR11" i="3"/>
  <c r="AD16" i="3"/>
  <c r="AR34" i="3"/>
  <c r="AR12" i="3"/>
  <c r="F40" i="3"/>
  <c r="F7" i="3"/>
  <c r="AR28" i="3"/>
  <c r="AR83" i="3"/>
  <c r="G15" i="3"/>
  <c r="AM46" i="3"/>
  <c r="M46" i="3"/>
  <c r="AR23" i="3"/>
  <c r="D21" i="3"/>
  <c r="AO46" i="3"/>
  <c r="G5" i="3"/>
  <c r="AH46" i="3"/>
  <c r="AR49" i="3"/>
  <c r="D69" i="3"/>
  <c r="G61" i="3"/>
  <c r="G56" i="3"/>
  <c r="E34" i="3"/>
  <c r="AD8" i="3"/>
  <c r="D88" i="3"/>
  <c r="AR90" i="3"/>
  <c r="I45" i="3"/>
  <c r="R46" i="3"/>
  <c r="AR89" i="3"/>
  <c r="AR77" i="3"/>
  <c r="F39" i="3"/>
  <c r="AR95" i="3"/>
  <c r="AD10" i="3"/>
  <c r="AR54" i="3"/>
  <c r="AQ45" i="3"/>
  <c r="E24" i="3"/>
  <c r="AK45" i="3"/>
  <c r="AR14" i="3"/>
  <c r="AE45" i="3"/>
  <c r="AR35" i="3"/>
  <c r="AO6" i="3"/>
  <c r="D40" i="3"/>
  <c r="AR18" i="3"/>
  <c r="W46" i="3"/>
  <c r="F72" i="3"/>
  <c r="K46" i="3"/>
  <c r="L46" i="3"/>
  <c r="AR71" i="3"/>
  <c r="Z46" i="3"/>
  <c r="F22" i="3"/>
  <c r="G68" i="3"/>
  <c r="AR29" i="3"/>
  <c r="D85" i="3"/>
  <c r="G83" i="3"/>
  <c r="D30" i="3"/>
  <c r="E17" i="3"/>
  <c r="E12" i="3"/>
  <c r="AR50" i="3"/>
  <c r="F87" i="3"/>
  <c r="E7" i="3"/>
  <c r="G23" i="3"/>
  <c r="D58" i="3"/>
  <c r="G71" i="3"/>
  <c r="D83" i="3"/>
  <c r="F65" i="3"/>
  <c r="Q46" i="3"/>
  <c r="H45" i="3"/>
  <c r="E10" i="3"/>
  <c r="E16" i="3"/>
  <c r="AR74" i="3"/>
  <c r="AQ6" i="3"/>
  <c r="D82" i="3"/>
  <c r="G63" i="3"/>
  <c r="G76" i="3"/>
  <c r="F6" i="3"/>
  <c r="G57" i="3"/>
  <c r="J45" i="3"/>
  <c r="F61" i="3"/>
  <c r="AR13" i="3"/>
  <c r="D8" i="3"/>
  <c r="G21" i="3"/>
  <c r="AR47" i="3"/>
  <c r="G25" i="3"/>
  <c r="AB45" i="3"/>
  <c r="D14" i="3"/>
  <c r="E20" i="3"/>
  <c r="F55" i="3"/>
  <c r="F74" i="3"/>
  <c r="G9" i="3"/>
  <c r="D64" i="3"/>
  <c r="AR26" i="3"/>
  <c r="D20" i="3"/>
  <c r="AC45" i="3"/>
  <c r="D74" i="3"/>
  <c r="F84" i="3"/>
  <c r="AJ46" i="3"/>
  <c r="D24" i="3"/>
  <c r="E27" i="3"/>
  <c r="AD9" i="3"/>
  <c r="AD18" i="3"/>
  <c r="AR63" i="3"/>
  <c r="AR17" i="3"/>
  <c r="D46" i="3"/>
  <c r="AR69" i="3"/>
  <c r="D66" i="3"/>
  <c r="D15" i="3"/>
  <c r="D55" i="3"/>
  <c r="G59" i="3"/>
  <c r="AR19" i="3"/>
  <c r="AS49" i="3"/>
  <c r="AR55" i="3"/>
  <c r="AR39" i="3"/>
  <c r="AR62" i="3"/>
  <c r="G20" i="3"/>
  <c r="F32" i="3"/>
  <c r="D16" i="3"/>
  <c r="AR40" i="3"/>
  <c r="N45" i="3"/>
  <c r="AI45" i="3"/>
  <c r="F77" i="3"/>
  <c r="E38" i="3"/>
  <c r="G90" i="3"/>
  <c r="D78" i="3"/>
  <c r="G94" i="3"/>
  <c r="O8" i="4" a="1"/>
  <c r="L13" i="4" a="1"/>
  <c r="CH12" i="4" a="1"/>
  <c r="L12" i="4" a="1"/>
  <c r="W5" i="4" a="1"/>
  <c r="CP5" i="4" a="1"/>
  <c r="BT11" i="4" a="1"/>
  <c r="DD11" i="4" a="1"/>
  <c r="V9" i="4" a="1"/>
  <c r="BY12" i="4" a="1"/>
  <c r="BT14" i="4" a="1"/>
  <c r="AT16" i="4" a="1"/>
  <c r="AS15" i="4" a="1"/>
  <c r="EB16" i="4" a="1"/>
  <c r="BJ16" i="4" a="1"/>
  <c r="DY7" i="4" a="1"/>
  <c r="AH16" i="4" a="1"/>
  <c r="BY9" i="4" a="1"/>
  <c r="AN15" i="4" a="1"/>
  <c r="DT9" i="4" a="1"/>
  <c r="AE7" i="4" a="1"/>
  <c r="EA14" i="4" a="1"/>
  <c r="EA12" i="4" a="1"/>
  <c r="DN14" i="4" a="1"/>
  <c r="AM15" i="4" a="1"/>
  <c r="CU15" i="4" a="1"/>
  <c r="BL14" i="4" a="1"/>
  <c r="AQ7" i="4" a="1"/>
  <c r="DL5" i="4" a="1"/>
  <c r="BQ14" i="4" a="1"/>
  <c r="CY13" i="4" a="1"/>
  <c r="BV16" i="4" a="1"/>
  <c r="CW13" i="4" a="1"/>
  <c r="AC12" i="4" a="1"/>
  <c r="AS9" i="4" a="1"/>
  <c r="S12" i="4" a="1"/>
  <c r="DP12" i="4" a="1"/>
  <c r="AC5" i="4" a="1"/>
  <c r="DS7" i="4" a="1"/>
  <c r="AV5" i="4" a="1"/>
  <c r="DF5" i="4" a="1"/>
  <c r="C8" i="4" a="1"/>
  <c r="Z6" i="4" a="1"/>
  <c r="C15" i="4" a="1"/>
  <c r="AE8" i="4" a="1"/>
  <c r="BF8" i="4" a="1"/>
  <c r="AF6" i="4" a="1"/>
  <c r="DV13" i="4" a="1"/>
  <c r="DK11" i="4" a="1"/>
  <c r="BB13" i="4" a="1"/>
  <c r="EG8" i="4" a="1"/>
  <c r="EG15" i="4" a="1"/>
  <c r="AX14" i="4" a="1"/>
  <c r="AB13" i="4" a="1"/>
  <c r="CS8" i="4" a="1"/>
  <c r="J16" i="4" a="1"/>
  <c r="CV7" i="4" a="1"/>
  <c r="AU12" i="4" a="1"/>
  <c r="ED8" i="4" a="1"/>
  <c r="EF15" i="4" a="1"/>
  <c r="V5" i="4" a="1"/>
  <c r="DH15" i="4" a="1"/>
  <c r="BE7" i="4" a="1"/>
  <c r="BU9" i="4" a="1"/>
  <c r="AE13" i="4" a="1"/>
  <c r="DX7" i="4" a="1"/>
  <c r="K16" i="4" a="1"/>
  <c r="BD7" i="4" a="1"/>
  <c r="DO14" i="4" a="1"/>
  <c r="C16" i="4" a="1"/>
  <c r="AD7" i="4" a="1"/>
  <c r="K6" i="4" a="1"/>
  <c r="DY13" i="4" a="1"/>
  <c r="DM6" i="4" a="1"/>
  <c r="BA5" i="4" a="1"/>
  <c r="BL16" i="4" a="1"/>
  <c r="CZ14" i="4" a="1"/>
  <c r="DD13" i="4" a="1"/>
  <c r="DS15" i="4" a="1"/>
  <c r="CA12" i="4" a="1"/>
  <c r="H8" i="4" a="1"/>
  <c r="BY7" i="4" a="1"/>
  <c r="CT11" i="4" a="1"/>
  <c r="CV9" i="4" a="1"/>
  <c r="DE6" i="4" a="1"/>
  <c r="BY13" i="4" a="1"/>
  <c r="M16" i="4" a="1"/>
  <c r="AA6" i="4" a="1"/>
  <c r="DZ6" i="4" a="1"/>
  <c r="DY11" i="4" a="1"/>
  <c r="BV12" i="4" a="1"/>
  <c r="DW8" i="4" a="1"/>
  <c r="ED14" i="4" a="1"/>
  <c r="BE15" i="4" a="1"/>
  <c r="CP7" i="4" a="1"/>
  <c r="AY15" i="4" a="1"/>
  <c r="BI12" i="4" a="1"/>
  <c r="AI6" i="4" a="1"/>
  <c r="CR16" i="4" a="1"/>
  <c r="U7" i="4" a="1"/>
  <c r="DX14" i="4" a="1"/>
  <c r="DZ15" i="4" a="1"/>
  <c r="CQ11" i="4" a="1"/>
  <c r="AQ11" i="4" a="1"/>
  <c r="BX16" i="4" a="1"/>
  <c r="CT12" i="4" a="1"/>
  <c r="AB8" i="4" a="1"/>
  <c r="AI13" i="4" a="1"/>
  <c r="AU13" i="4" a="1"/>
  <c r="EE9" i="4" a="1"/>
  <c r="R12" i="4" a="1"/>
  <c r="DY6" i="4" a="1"/>
  <c r="EC16" i="4" a="1"/>
  <c r="DF12" i="4" a="1"/>
  <c r="CL6" i="4" a="1"/>
  <c r="DF8" i="4" a="1"/>
  <c r="CT15" i="4" a="1"/>
  <c r="AX15" i="4" a="1"/>
  <c r="DL12" i="4" a="1"/>
  <c r="BP14" i="4" a="1"/>
  <c r="Y16" i="4" a="1"/>
  <c r="CG14" i="4" a="1"/>
  <c r="BD11" i="4" a="1"/>
  <c r="U5" i="4" a="1"/>
  <c r="DU14" i="4" a="1"/>
  <c r="EJ5" i="4" a="1"/>
  <c r="CQ6" i="4" a="1"/>
  <c r="AE5" i="4" a="1"/>
  <c r="J8" i="4" a="1"/>
  <c r="AC16" i="4" a="1"/>
  <c r="DN9" i="4" a="1"/>
  <c r="DK14" i="4" a="1"/>
  <c r="AZ14" i="4" a="1"/>
  <c r="DF13" i="4" a="1"/>
  <c r="DH13" i="4" a="1"/>
  <c r="Y5" i="4" a="1"/>
  <c r="AU7" i="4" a="1"/>
  <c r="CG9" i="4" a="1"/>
  <c r="DN15" i="4" a="1"/>
  <c r="M12" i="4" a="1"/>
  <c r="CO7" i="4" a="1"/>
  <c r="P15" i="4" a="1"/>
  <c r="BJ7" i="4" a="1"/>
  <c r="CC15" i="4" a="1"/>
  <c r="D7" i="4" a="1"/>
  <c r="AJ7" i="4" a="1"/>
  <c r="BD16" i="4" a="1"/>
  <c r="CS11" i="4" a="1"/>
  <c r="CD6" i="4" a="1"/>
  <c r="BG12" i="4" a="1"/>
  <c r="BH8" i="4" a="1"/>
  <c r="J12" i="4" a="1"/>
  <c r="CV16" i="4" a="1"/>
  <c r="BG11" i="4" a="1"/>
  <c r="BV15" i="4" a="1"/>
  <c r="T16" i="4" a="1"/>
  <c r="BC11" i="4" a="1"/>
  <c r="CQ5" i="4" a="1"/>
  <c r="DR8" i="4" a="1"/>
  <c r="DX9" i="4" a="1"/>
  <c r="AI7" i="4" a="1"/>
  <c r="AO7" i="4" a="1"/>
  <c r="AR9" i="4" a="1"/>
  <c r="Z15" i="4" a="1"/>
  <c r="DA9" i="4" a="1"/>
  <c r="L11" i="4" a="1"/>
  <c r="AD11" i="4" a="1"/>
  <c r="BR9" i="4" a="1"/>
  <c r="W7" i="4" a="1"/>
  <c r="CV12" i="4" a="1"/>
  <c r="CF9" i="4" a="1"/>
  <c r="O11" i="4" a="1"/>
  <c r="CH8" i="4" a="1"/>
  <c r="BI6" i="4" a="1"/>
  <c r="R14" i="4" a="1"/>
  <c r="AL5" i="4" a="1"/>
  <c r="BV5" i="4" a="1"/>
  <c r="AA16" i="4" a="1"/>
  <c r="CP9" i="4" a="1"/>
  <c r="BX5" i="4" a="1"/>
  <c r="AM11" i="4" a="1"/>
  <c r="CT8" i="4" a="1"/>
  <c r="CN15" i="4" a="1"/>
  <c r="DL14" i="4" a="1"/>
  <c r="DL15" i="4" a="1"/>
  <c r="BR5" i="4" a="1"/>
  <c r="CY5" i="4" a="1"/>
  <c r="BB6" i="4" a="1"/>
  <c r="CI13" i="4" a="1"/>
  <c r="BK8" i="4" a="1"/>
  <c r="DI14" i="4" a="1"/>
  <c r="R16" i="4" a="1"/>
  <c r="BP11" i="4" a="1"/>
  <c r="H11" i="4" a="1"/>
  <c r="AL11" i="4" a="1"/>
  <c r="AD5" i="4" a="1"/>
  <c r="DO7" i="4" a="1"/>
  <c r="DA7" i="4" a="1"/>
  <c r="BR15" i="4" a="1"/>
  <c r="AO12" i="4" a="1"/>
  <c r="BJ14" i="4" a="1"/>
  <c r="CX8" i="4" a="1"/>
  <c r="CS13" i="4" a="1"/>
  <c r="DK8" i="4" a="1"/>
  <c r="CP13" i="4" a="1"/>
  <c r="BA6" i="4" a="1"/>
  <c r="CE16" i="4" a="1"/>
  <c r="BF7" i="4" a="1"/>
  <c r="AV16" i="4" a="1"/>
  <c r="DR16" i="4" a="1"/>
  <c r="AX12" i="4" a="1"/>
  <c r="DW13" i="4" a="1"/>
  <c r="AA8" i="4" a="1"/>
  <c r="BC15" i="4" a="1"/>
  <c r="C13" i="4" a="1"/>
  <c r="CV5" i="4" a="1"/>
  <c r="BX13" i="4" a="1"/>
  <c r="CL15" i="4" a="1"/>
  <c r="CO9" i="4" a="1"/>
  <c r="AL13" i="4" a="1"/>
  <c r="CO14" i="4" a="1"/>
  <c r="CF5" i="4" a="1"/>
  <c r="EI8" i="4" a="1"/>
  <c r="DA5" i="4" a="1"/>
  <c r="DP8" i="4" a="1"/>
  <c r="BU5" i="4" a="1"/>
  <c r="BS16" i="4" a="1"/>
  <c r="AE9" i="4" a="1"/>
  <c r="O13" i="4" a="1"/>
  <c r="S5" i="4" a="1"/>
  <c r="CB8" i="4" a="1"/>
  <c r="DS11" i="4" a="1"/>
  <c r="H9" i="4" a="1"/>
  <c r="DC5" i="4" a="1"/>
  <c r="AC13" i="4" a="1"/>
  <c r="AV15" i="4" a="1"/>
  <c r="BG16" i="4" a="1"/>
  <c r="T9" i="4" a="1"/>
  <c r="J7" i="4" a="1"/>
  <c r="DL6" i="4" a="1"/>
  <c r="AQ9" i="4" a="1"/>
  <c r="DU7" i="4" a="1"/>
  <c r="BI8" i="4" a="1"/>
  <c r="CD11" i="4" a="1"/>
  <c r="DM8" i="4" a="1"/>
  <c r="EC12" i="4" a="1"/>
  <c r="BU14" i="4" a="1"/>
  <c r="DD16" i="4" a="1"/>
  <c r="DU9" i="4" a="1"/>
  <c r="EA16" i="4" a="1"/>
  <c r="DI11" i="4" a="1"/>
  <c r="CI9" i="4" a="1"/>
  <c r="Z7" i="4" a="1"/>
  <c r="EI6" i="4" a="1"/>
  <c r="Z16" i="4" a="1"/>
  <c r="BE14" i="4" a="1"/>
  <c r="BL9" i="4" a="1"/>
  <c r="X15" i="4" a="1"/>
  <c r="T5" i="4" a="1"/>
  <c r="CN16" i="4" a="1"/>
  <c r="Q9" i="4" a="1"/>
  <c r="BS7" i="4" a="1"/>
  <c r="BD15" i="4" a="1"/>
  <c r="EF13" i="4" a="1"/>
  <c r="BQ15" i="4" a="1"/>
  <c r="K8" i="4" a="1"/>
  <c r="AM12" i="4" a="1"/>
  <c r="BS12" i="4" a="1"/>
  <c r="BK12" i="4" a="1"/>
  <c r="G5" i="4" a="1"/>
  <c r="BS13" i="4" a="1"/>
  <c r="DM15" i="4" a="1"/>
  <c r="AG7" i="4" a="1"/>
  <c r="CS14" i="4" a="1"/>
  <c r="DT8" i="4" a="1"/>
  <c r="DL11" i="4" a="1"/>
  <c r="AJ15" i="4" a="1"/>
  <c r="BW5" i="4" a="1"/>
  <c r="EI9" i="4" a="1"/>
  <c r="AS8" i="4" a="1"/>
  <c r="CJ16" i="4" a="1"/>
  <c r="BH6" i="4" a="1"/>
  <c r="W15" i="4" a="1"/>
  <c r="AE15" i="4" a="1"/>
  <c r="DO12" i="4" a="1"/>
  <c r="BL11" i="4" a="1"/>
  <c r="DG15" i="4" a="1"/>
  <c r="AI15" i="4" a="1"/>
  <c r="AM5" i="4" a="1"/>
  <c r="EC5" i="4" a="1"/>
  <c r="BS6" i="4" a="1"/>
  <c r="CS5" i="4" a="1"/>
  <c r="K13" i="4" a="1"/>
  <c r="DF6" i="4" a="1"/>
  <c r="DY15" i="4" a="1"/>
  <c r="AZ15" i="4" a="1"/>
  <c r="DO15" i="4" a="1"/>
  <c r="AN16" i="4" a="1"/>
  <c r="AK9" i="4" a="1"/>
  <c r="BI14" i="4" a="1"/>
  <c r="CH11" i="4" a="1"/>
  <c r="BI7" i="4" a="1"/>
  <c r="AO8" i="4" a="1"/>
  <c r="CW15" i="4" a="1"/>
  <c r="DH8" i="4" a="1"/>
  <c r="BG8" i="4" a="1"/>
  <c r="P9" i="4" a="1"/>
  <c r="BC8" i="4" a="1"/>
  <c r="K7" i="4" a="1"/>
  <c r="CF6" i="4" a="1"/>
  <c r="BO6" i="4" a="1"/>
  <c r="EE16" i="4" a="1"/>
  <c r="BL5" i="4" a="1"/>
  <c r="BF11" i="4" a="1"/>
  <c r="DO5" i="4" a="1"/>
  <c r="CL12" i="4" a="1"/>
  <c r="N13" i="4" a="1"/>
  <c r="AH8" i="4" a="1"/>
  <c r="G9" i="4" a="1"/>
  <c r="EE14" i="4" a="1"/>
  <c r="BO9" i="4" a="1"/>
  <c r="DI5" i="4" a="1"/>
  <c r="C9" i="4" a="1"/>
  <c r="CG16" i="4" a="1"/>
  <c r="CX15" i="4" a="1"/>
  <c r="CR14" i="4" a="1"/>
  <c r="CV11" i="4" a="1"/>
  <c r="CK16" i="4" a="1"/>
  <c r="Y12" i="4" a="1"/>
  <c r="CQ8" i="4" a="1"/>
  <c r="AT13" i="4" a="1"/>
  <c r="DK15" i="4" a="1"/>
  <c r="CK13" i="4" a="1"/>
  <c r="CQ7" i="4" a="1"/>
  <c r="DP7" i="4" a="1"/>
  <c r="AK12" i="4" a="1"/>
  <c r="AU6" i="4" a="1"/>
  <c r="EI15" i="4" a="1"/>
  <c r="DN11" i="4" a="1"/>
  <c r="AW14" i="4" a="1"/>
  <c r="AS6" i="4" a="1"/>
  <c r="BX15" i="4" a="1"/>
  <c r="DW14" i="4" a="1"/>
  <c r="J13" i="4" a="1"/>
  <c r="EF12" i="4" a="1"/>
  <c r="CI8" i="4" a="1"/>
  <c r="DM9" i="4" a="1"/>
  <c r="I11" i="4" a="1"/>
  <c r="DW6" i="4" a="1"/>
  <c r="X6" i="4" a="1"/>
  <c r="EB11" i="4" a="1"/>
  <c r="Z8" i="4" a="1"/>
  <c r="CB15" i="4" a="1"/>
  <c r="AO13" i="4" a="1"/>
  <c r="CH7" i="4" a="1"/>
  <c r="V6" i="4" a="1"/>
  <c r="AP12" i="4" a="1"/>
  <c r="BC12" i="4" a="1"/>
  <c r="DK5" i="4" a="1"/>
  <c r="CL16" i="4" a="1"/>
  <c r="CG8" i="4" a="1"/>
  <c r="BU6" i="4" a="1"/>
  <c r="CS9" i="4" a="1"/>
  <c r="AF13" i="4" a="1"/>
  <c r="EJ15" i="4" a="1"/>
  <c r="F16" i="4" a="1"/>
  <c r="BL12" i="4" a="1"/>
  <c r="DI8" i="4" a="1"/>
  <c r="CY15" i="4" a="1"/>
  <c r="BN11" i="4" a="1"/>
  <c r="BP6" i="4" a="1"/>
  <c r="AT15" i="4" a="1"/>
  <c r="DE9" i="4" a="1"/>
  <c r="EB14" i="4" a="1"/>
  <c r="Y6" i="4" a="1"/>
  <c r="AZ12" i="4" a="1"/>
  <c r="AN5" i="4" a="1"/>
  <c r="CI5" i="4" a="1"/>
  <c r="AB12" i="4" a="1"/>
  <c r="DD5" i="4" a="1"/>
  <c r="CC13" i="4" a="1"/>
  <c r="EI5" i="4" a="1"/>
  <c r="CM7" i="4" a="1"/>
  <c r="BM13" i="4" a="1"/>
  <c r="AK11" i="4" a="1"/>
  <c r="AR13" i="4" a="1"/>
  <c r="BV13" i="4" a="1"/>
  <c r="DU16" i="4" a="1"/>
  <c r="S14" i="4" a="1"/>
  <c r="AH6" i="4" a="1"/>
  <c r="BK9" i="4" a="1"/>
  <c r="CA14" i="4" a="1"/>
  <c r="DE12" i="4" a="1"/>
  <c r="AT14" i="4" a="1"/>
  <c r="CL8" i="4" a="1"/>
  <c r="CB9" i="4" a="1"/>
  <c r="CG6" i="4" a="1"/>
  <c r="T6" i="4" a="1"/>
  <c r="AZ6" i="4" a="1"/>
  <c r="CX14" i="4" a="1"/>
  <c r="AY6" i="4" a="1"/>
  <c r="AY13" i="4" a="1"/>
  <c r="AO6" i="4" a="1"/>
  <c r="CA7" i="4" a="1"/>
  <c r="DM7" i="4" a="1"/>
  <c r="AB11" i="4" a="1"/>
  <c r="CI16" i="4" a="1"/>
  <c r="AC15" i="4" a="1"/>
  <c r="BZ16" i="4" a="1"/>
  <c r="EH13" i="4" a="1"/>
  <c r="BR6" i="4" a="1"/>
  <c r="AF9" i="4" a="1"/>
  <c r="BP8" i="4" a="1"/>
  <c r="CP12" i="4" a="1"/>
  <c r="BC6" i="4" a="1"/>
  <c r="G8" i="4" a="1"/>
  <c r="Y13" i="4" a="1"/>
  <c r="P13" i="4" a="1"/>
  <c r="H16" i="4" a="1"/>
  <c r="DK13" i="4" a="1"/>
  <c r="EC11" i="4" a="1"/>
  <c r="BN6" i="4" a="1"/>
  <c r="EA13" i="4" a="1"/>
  <c r="BB16" i="4" a="1"/>
  <c r="CM6" i="4" a="1"/>
  <c r="BQ7" i="4" a="1"/>
  <c r="CE15" i="4" a="1"/>
  <c r="ED7" i="4" a="1"/>
  <c r="T12" i="4" a="1"/>
  <c r="DQ6" i="4" a="1"/>
  <c r="AR5" i="4" a="1"/>
  <c r="DI12" i="4" a="1"/>
  <c r="L15" i="4" a="1"/>
  <c r="CZ7" i="4" a="1"/>
  <c r="CQ15" i="4" a="1"/>
  <c r="M7" i="4" a="1"/>
  <c r="CH15" i="4" a="1"/>
  <c r="EI16" i="4" a="1"/>
  <c r="AR11" i="4" a="1"/>
  <c r="AP6" i="4" a="1"/>
  <c r="CD15" i="4" a="1"/>
  <c r="CH9" i="4" a="1"/>
  <c r="BA16" i="4" a="1"/>
  <c r="DY5" i="4" a="1"/>
  <c r="DN12" i="4" a="1"/>
  <c r="G15" i="4" a="1"/>
  <c r="DG11" i="4" a="1"/>
  <c r="DL13" i="4" a="1"/>
  <c r="S6" i="4" a="1"/>
  <c r="BG7" i="4" a="1"/>
  <c r="M11" i="4" a="1"/>
  <c r="DJ7" i="4" a="1"/>
  <c r="T7" i="4" a="1"/>
  <c r="EA6" i="4" a="1"/>
  <c r="CG11" i="4" a="1"/>
  <c r="AH13" i="4" a="1"/>
  <c r="DL8" i="4" a="1"/>
  <c r="CC9" i="4" a="1"/>
  <c r="CO11" i="4" a="1"/>
  <c r="CJ5" i="4" a="1"/>
  <c r="DT14" i="4" a="1"/>
  <c r="AZ9" i="4" a="1"/>
  <c r="AB6" i="4" a="1"/>
  <c r="CU5" i="4" a="1"/>
  <c r="EJ12" i="4" a="1"/>
  <c r="BF15" i="4" a="1"/>
  <c r="CD13" i="4" a="1"/>
  <c r="CL14" i="4" a="1"/>
  <c r="AQ5" i="4" a="1"/>
  <c r="AX9" i="4" a="1"/>
  <c r="BK7" i="4" a="1"/>
  <c r="EF6" i="4" a="1"/>
  <c r="CS16" i="4" a="1"/>
  <c r="CP16" i="4" a="1"/>
  <c r="DX12" i="4" a="1"/>
  <c r="BF13" i="4" a="1"/>
  <c r="CQ16" i="4" a="1"/>
  <c r="AL15" i="4" a="1"/>
  <c r="AT5" i="4" a="1"/>
  <c r="CI6" i="4" a="1"/>
  <c r="CM11" i="4" a="1"/>
  <c r="AR14" i="4" a="1"/>
  <c r="CR15" i="4" a="1"/>
  <c r="AF12" i="4" a="1"/>
  <c r="AK8" i="4" a="1"/>
  <c r="BA9" i="4" a="1"/>
  <c r="AP9" i="4" a="1"/>
  <c r="T13" i="4" a="1"/>
  <c r="DR13" i="4" a="1"/>
  <c r="AX5" i="4" a="1"/>
  <c r="EK6" i="4" a="1"/>
  <c r="AQ16" i="4" a="1"/>
  <c r="N14" i="4" a="1"/>
  <c r="BL13" i="4" a="1"/>
  <c r="DI16" i="4" a="1"/>
  <c r="DZ12" i="4" a="1"/>
  <c r="DY12" i="4" a="1"/>
  <c r="AG5" i="4" a="1"/>
  <c r="EA7" i="4" a="1"/>
  <c r="BZ7" i="4" a="1"/>
  <c r="CT9" i="4" a="1"/>
  <c r="DE13" i="4" a="1"/>
  <c r="AZ16" i="4" a="1"/>
  <c r="C14" i="4" a="1"/>
  <c r="EE12" i="4" a="1"/>
  <c r="EE13" i="4" a="1"/>
  <c r="BQ5" i="4" a="1"/>
  <c r="N11" i="4" a="1"/>
  <c r="BO14" i="4" a="1"/>
  <c r="CK12" i="4" a="1"/>
  <c r="I14" i="4" a="1"/>
  <c r="BO12" i="4" a="1"/>
  <c r="DF14" i="4" a="1"/>
  <c r="CG12" i="4" a="1"/>
  <c r="BG9" i="4" a="1"/>
  <c r="EE7" i="4" a="1"/>
  <c r="DU5" i="4" a="1"/>
  <c r="EG13" i="4" a="1"/>
  <c r="AX16" i="4" a="1"/>
  <c r="F12" i="4" a="1"/>
  <c r="BT6" i="4" a="1"/>
  <c r="BV6" i="4" a="1"/>
  <c r="BN5" i="4" a="1"/>
  <c r="DE16" i="4" a="1"/>
  <c r="DG8" i="4" a="1"/>
  <c r="AV6" i="4" a="1"/>
  <c r="D9" i="4" a="1"/>
  <c r="AS13" i="4" a="1"/>
  <c r="E12" i="4" a="1"/>
  <c r="DQ7" i="4" a="1"/>
  <c r="O14" i="4" a="1"/>
  <c r="BV9" i="4" a="1"/>
  <c r="AT12" i="4" a="1"/>
  <c r="AJ12" i="4" a="1"/>
  <c r="CD16" i="4" a="1"/>
  <c r="DX15" i="4" a="1"/>
  <c r="AN13" i="4" a="1"/>
  <c r="DE7" i="4" a="1"/>
  <c r="CX11" i="4" a="1"/>
  <c r="CW16" i="4" a="1"/>
  <c r="BW15" i="4" a="1"/>
  <c r="O12" i="4" a="1"/>
  <c r="DG6" i="4" a="1"/>
  <c r="DC13" i="4" a="1"/>
  <c r="CO13" i="4" a="1"/>
  <c r="AT7" i="4" a="1"/>
  <c r="BB14" i="4" a="1"/>
  <c r="S15" i="4" a="1"/>
  <c r="O15" i="4" a="1"/>
  <c r="BH7" i="4" a="1"/>
  <c r="E7" i="4" a="1"/>
  <c r="DE8" i="4" a="1"/>
  <c r="AU11" i="4" a="1"/>
  <c r="EA5" i="4" a="1"/>
  <c r="EC6" i="4" a="1"/>
  <c r="J6" i="4" a="1"/>
  <c r="CF11" i="4" a="1"/>
  <c r="EH5" i="4" a="1"/>
  <c r="T8" i="4" a="1"/>
  <c r="CZ11" i="4" a="1"/>
  <c r="BS15" i="4" a="1"/>
  <c r="AB15" i="4" a="1"/>
  <c r="EJ7" i="4" a="1"/>
  <c r="DD6" i="4" a="1"/>
  <c r="BQ6" i="4" a="1"/>
  <c r="DH12" i="4" a="1"/>
  <c r="DS12" i="4" a="1"/>
  <c r="DG14" i="4" a="1"/>
  <c r="DS5" i="4" a="1"/>
  <c r="AU16" i="4" a="1"/>
  <c r="BD12" i="4" a="1"/>
  <c r="BW8" i="4" a="1"/>
  <c r="BB15" i="4" a="1"/>
  <c r="BT9" i="4" a="1"/>
  <c r="CO12" i="4" a="1"/>
  <c r="DK7" i="4" a="1"/>
  <c r="AB5" i="4" a="1"/>
  <c r="AA15" i="4" a="1"/>
  <c r="CF14" i="4" a="1"/>
  <c r="BE6" i="4" a="1"/>
  <c r="EF16" i="4" a="1"/>
  <c r="EH14" i="4" a="1"/>
  <c r="U14" i="4" a="1"/>
  <c r="AL12" i="4" a="1"/>
  <c r="AW8" i="4" a="1"/>
  <c r="AA5" i="4" a="1"/>
  <c r="AO11" i="4" a="1"/>
  <c r="AB9" i="4" a="1"/>
  <c r="AK15" i="4" a="1"/>
  <c r="EC8" i="4" a="1"/>
  <c r="CL5" i="4" a="1"/>
  <c r="BH12" i="4" a="1"/>
  <c r="CC11" i="4" a="1"/>
  <c r="EC15" i="4" a="1"/>
  <c r="AE11" i="4" a="1"/>
  <c r="DJ14" i="4" a="1"/>
  <c r="DS9" i="4" a="1"/>
  <c r="CN11" i="4" a="1"/>
  <c r="Y15" i="4" a="1"/>
  <c r="AC11" i="4" a="1"/>
  <c r="DT6" i="4" a="1"/>
  <c r="AM7" i="4" a="1"/>
  <c r="CW7" i="4" a="1"/>
  <c r="D11" i="4" a="1"/>
  <c r="EA15" i="4" a="1"/>
  <c r="DU11" i="4" a="1"/>
  <c r="K12" i="4" a="1"/>
  <c r="G16" i="4" a="1"/>
  <c r="CB13" i="4" a="1"/>
  <c r="CH16" i="4" a="1"/>
  <c r="BV11" i="4" a="1"/>
  <c r="K5" i="4" a="1"/>
  <c r="CR11" i="4" a="1"/>
  <c r="AQ8" i="4" a="1"/>
  <c r="K9" i="4" a="1"/>
  <c r="DH6" i="4" a="1"/>
  <c r="DT13" i="4" a="1"/>
  <c r="EF9" i="4" a="1"/>
  <c r="EH16" i="4" a="1"/>
  <c r="Q5" i="4" a="1"/>
  <c r="ED16" i="4" a="1"/>
  <c r="D16" i="4" a="1"/>
  <c r="DS13" i="4" a="1"/>
  <c r="P7" i="4" a="1"/>
  <c r="DX8" i="4" a="1"/>
  <c r="AF5" i="4" a="1"/>
  <c r="DN13" i="4" a="1"/>
  <c r="BO5" i="4" a="1"/>
  <c r="AU5" i="4" a="1"/>
  <c r="BV7" i="4" a="1"/>
  <c r="AB16" i="4" a="1"/>
  <c r="CS7" i="4" a="1"/>
  <c r="BG13" i="4" a="1"/>
  <c r="EJ11" i="4" a="1"/>
  <c r="I12" i="4" a="1"/>
  <c r="CE9" i="4" a="1"/>
  <c r="DH14" i="4" a="1"/>
  <c r="CA15" i="4" a="1"/>
  <c r="DW12" i="4" a="1"/>
  <c r="BC7" i="4" a="1"/>
  <c r="CL11" i="4" a="1"/>
  <c r="I5" i="4" a="1"/>
  <c r="BI13" i="4" a="1"/>
  <c r="P12" i="4" a="1"/>
  <c r="EH15" i="4" a="1"/>
  <c r="DY16" i="4" a="1"/>
  <c r="CY14" i="4" a="1"/>
  <c r="BB5" i="4" a="1"/>
  <c r="AV8" i="4" a="1"/>
  <c r="D13" i="4" a="1"/>
  <c r="DM13" i="4" a="1"/>
  <c r="CV13" i="4" a="1"/>
  <c r="X16" i="4" a="1"/>
  <c r="CJ14" i="4" a="1"/>
  <c r="DN7" i="4" a="1"/>
  <c r="AY9" i="4" a="1"/>
  <c r="DJ13" i="4" a="1"/>
  <c r="CF12" i="4" a="1"/>
  <c r="DL7" i="4" a="1"/>
  <c r="E11" i="4" a="1"/>
  <c r="CX16" i="4" a="1"/>
  <c r="CU9" i="4" a="1"/>
  <c r="AR8" i="4" a="1"/>
  <c r="CW6" i="4" a="1"/>
  <c r="I16" i="4" a="1"/>
  <c r="CB16" i="4" a="1"/>
  <c r="DX11" i="4" a="1"/>
  <c r="ED11" i="4" a="1"/>
  <c r="AL7" i="4" a="1"/>
  <c r="DO8" i="4" a="1"/>
  <c r="BM14" i="4" a="1"/>
  <c r="AU8" i="4" a="1"/>
  <c r="Z12" i="4" a="1"/>
  <c r="CC8" i="4" a="1"/>
  <c r="AZ8" i="4" a="1"/>
  <c r="CR6" i="4" a="1"/>
  <c r="F9" i="4" a="1"/>
  <c r="CB11" i="4" a="1"/>
  <c r="DC12" i="4" a="1"/>
  <c r="BQ13" i="4" a="1"/>
  <c r="U6" i="4" a="1"/>
  <c r="AT9" i="4" a="1"/>
  <c r="AZ13" i="4" a="1"/>
  <c r="CR9" i="4" a="1"/>
  <c r="DG16" i="4" a="1"/>
  <c r="DP9" i="4" a="1"/>
  <c r="BU7" i="4" a="1"/>
  <c r="AT11" i="4" a="1"/>
  <c r="CX13" i="4" a="1"/>
  <c r="BU8" i="4" a="1"/>
  <c r="AR6" i="4" a="1"/>
  <c r="AO5" i="4" a="1"/>
  <c r="BD8" i="4" a="1"/>
  <c r="W14" i="4" a="1"/>
  <c r="DC8" i="4" a="1"/>
  <c r="U15" i="4" a="1"/>
  <c r="AG11" i="4" a="1"/>
  <c r="DJ12" i="4" a="1"/>
  <c r="AW13" i="4" a="1"/>
  <c r="BH9" i="4" a="1"/>
  <c r="AC8" i="4" a="1"/>
  <c r="N7" i="4" a="1"/>
  <c r="H5" i="4" a="1"/>
  <c r="DO13" i="4" a="1"/>
  <c r="DC15" i="4" a="1"/>
  <c r="CC12" i="4" a="1"/>
  <c r="D8" i="4" a="1"/>
  <c r="CB7" i="4" a="1"/>
  <c r="DO11" i="4" a="1"/>
  <c r="BC5" i="4" a="1"/>
  <c r="BD14" i="4" a="1"/>
  <c r="AE6" i="4" a="1"/>
  <c r="DH5" i="4" a="1"/>
  <c r="DX5" i="4" a="1"/>
  <c r="CY6" i="4" a="1"/>
  <c r="AJ8" i="4" a="1"/>
  <c r="DD15" i="4" a="1"/>
  <c r="DA14" i="4" a="1"/>
  <c r="CT16" i="4" a="1"/>
  <c r="V7" i="4" a="1"/>
  <c r="CK14" i="4" a="1"/>
  <c r="DG7" i="4" a="1"/>
  <c r="AG15" i="4" a="1"/>
  <c r="EH8" i="4" a="1"/>
  <c r="W9" i="4" a="1"/>
  <c r="DF15" i="4" a="1"/>
  <c r="AG14" i="4" a="1"/>
  <c r="BR13" i="4" a="1"/>
  <c r="ED13" i="4" a="1"/>
  <c r="W13" i="4" a="1"/>
  <c r="DQ12" i="4" a="1"/>
  <c r="BP9" i="4" a="1"/>
  <c r="BD9" i="4" a="1"/>
  <c r="CY16" i="4" a="1"/>
  <c r="CM13" i="4" a="1"/>
  <c r="DP16" i="4" a="1"/>
  <c r="AN11" i="4" a="1"/>
  <c r="DD7" i="4" a="1"/>
  <c r="BW13" i="4" a="1"/>
  <c r="BE16" i="4" a="1"/>
  <c r="BK14" i="4" a="1"/>
  <c r="T14" i="4" a="1"/>
  <c r="AM9" i="4" a="1"/>
  <c r="EF14" i="4" a="1"/>
  <c r="BX6" i="4" a="1"/>
  <c r="CA13" i="4" a="1"/>
  <c r="Q16" i="4" a="1"/>
  <c r="BB7" i="4" a="1"/>
  <c r="BS14" i="4" a="1"/>
  <c r="EH7" i="4" a="1"/>
  <c r="CT14" i="4" a="1"/>
  <c r="BE9" i="4" a="1"/>
  <c r="J15" i="4" a="1"/>
  <c r="BR14" i="4" a="1"/>
  <c r="CM5" i="4" a="1"/>
  <c r="I15" i="4" a="1"/>
  <c r="AI11" i="4" a="1"/>
  <c r="CB14" i="4" a="1"/>
  <c r="DN5" i="4" a="1"/>
  <c r="W11" i="4" a="1"/>
  <c r="F11" i="4" a="1"/>
  <c r="D5" i="4" a="1"/>
  <c r="AK6" i="4" a="1"/>
  <c r="CX12" i="4" a="1"/>
  <c r="BC14" i="4" a="1"/>
  <c r="CD9" i="4" a="1"/>
  <c r="P6" i="4" a="1"/>
  <c r="BP15" i="4" a="1"/>
  <c r="CF15" i="4" a="1"/>
  <c r="EJ6" i="4" a="1"/>
  <c r="CP14" i="4" a="1"/>
  <c r="CS6" i="4" a="1"/>
  <c r="F14" i="4" a="1"/>
  <c r="S16" i="4" a="1"/>
  <c r="CH14" i="4" a="1"/>
  <c r="CN8" i="4" a="1"/>
  <c r="CE11" i="4" a="1"/>
  <c r="G13" i="4" a="1"/>
  <c r="T11" i="4" a="1"/>
  <c r="BJ6" i="4" a="1"/>
  <c r="AS12" i="4" a="1"/>
  <c r="BT8" i="4" a="1"/>
  <c r="BA12" i="4" a="1"/>
  <c r="CK9" i="4" a="1"/>
  <c r="BQ11" i="4" a="1"/>
  <c r="CT6" i="4" a="1"/>
  <c r="DS16" i="4" a="1"/>
  <c r="E5" i="4" a="1"/>
  <c r="DJ8" i="4" a="1"/>
  <c r="EG12" i="4" a="1"/>
  <c r="CN5" i="4" a="1"/>
  <c r="CW12" i="4" a="1"/>
  <c r="CE14" i="4" a="1"/>
  <c r="BZ14" i="4" a="1"/>
  <c r="CF13" i="4" a="1"/>
  <c r="AP13" i="4" a="1"/>
  <c r="CT13" i="4" a="1"/>
  <c r="AV13" i="4" a="1"/>
  <c r="BQ12" i="4" a="1"/>
  <c r="DK16" i="4" a="1"/>
  <c r="AD15" i="4" a="1"/>
  <c r="CR7" i="4" a="1"/>
  <c r="DJ15" i="4" a="1"/>
  <c r="BJ15" i="4" a="1"/>
  <c r="F13" i="4" a="1"/>
  <c r="AF8" i="4" a="1"/>
  <c r="CN13" i="4" a="1"/>
  <c r="CH13" i="4" a="1"/>
  <c r="BT5" i="4" a="1"/>
  <c r="L16" i="4" a="1"/>
  <c r="EH6" i="4" a="1"/>
  <c r="BH11" i="4" a="1"/>
  <c r="V16" i="4" a="1"/>
  <c r="AK14" i="4" a="1"/>
  <c r="AY12" i="4" a="1"/>
  <c r="DO16" i="4" a="1"/>
  <c r="AJ13" i="4" a="1"/>
  <c r="X12" i="4" a="1"/>
  <c r="BL7" i="4" a="1"/>
  <c r="BM16" i="4" a="1"/>
  <c r="BV8" i="4" a="1"/>
  <c r="EF8" i="4" a="1"/>
  <c r="BJ11" i="4" a="1"/>
  <c r="AL16" i="4" a="1"/>
  <c r="D14" i="4" a="1"/>
  <c r="DZ11" i="4" a="1"/>
  <c r="DR11" i="4" a="1"/>
  <c r="EH11" i="4" a="1"/>
  <c r="BS5" i="4" a="1"/>
  <c r="CE12" i="4" a="1"/>
  <c r="DW9" i="4" a="1"/>
  <c r="F6" i="4" a="1"/>
  <c r="BE13" i="4" a="1"/>
  <c r="AJ16" i="4" a="1"/>
  <c r="DH11" i="4" a="1"/>
  <c r="BN12" i="4" a="1"/>
  <c r="BT15" i="4" a="1"/>
  <c r="G12" i="4" a="1"/>
  <c r="DP6" i="4" a="1"/>
  <c r="DQ14" i="4" a="1"/>
  <c r="BK15" i="4" a="1"/>
  <c r="DK6" i="4" a="1"/>
  <c r="DU15" i="4" a="1"/>
  <c r="BL8" i="4" a="1"/>
  <c r="AJ5" i="4" a="1"/>
  <c r="AF15" i="4" a="1"/>
  <c r="AX8" i="4" a="1"/>
  <c r="CY12" i="4" a="1"/>
  <c r="CO5" i="4" a="1"/>
  <c r="AO14" i="4" a="1"/>
  <c r="BM11" i="4" a="1"/>
  <c r="AN6" i="4" a="1"/>
  <c r="C12" i="4" a="1"/>
  <c r="EK15" i="4" a="1"/>
  <c r="DV15" i="4" a="1"/>
  <c r="CC5" i="4" a="1"/>
  <c r="AH7" i="4" a="1"/>
  <c r="CM12" i="4" a="1"/>
  <c r="BK11" i="4" a="1"/>
  <c r="F7" i="4" a="1"/>
  <c r="EB7" i="4" a="1"/>
  <c r="EH9" i="4" a="1"/>
  <c r="EK7" i="4" a="1"/>
  <c r="S7" i="4" a="1"/>
  <c r="BR11" i="4" a="1"/>
  <c r="V12" i="4" a="1"/>
  <c r="BT7" i="4" a="1"/>
  <c r="CP8" i="4" a="1"/>
  <c r="I9" i="4" a="1"/>
  <c r="Z13" i="4" a="1"/>
  <c r="CD5" i="4" a="1"/>
  <c r="DU8" i="4" a="1"/>
  <c r="Z9" i="4" a="1"/>
  <c r="DY8" i="4" a="1"/>
  <c r="DB15" i="4" a="1"/>
  <c r="H6" i="4" a="1"/>
  <c r="EG9" i="4" a="1"/>
  <c r="AM6" i="4" a="1"/>
  <c r="DN6" i="4" a="1"/>
  <c r="BA8" i="4" a="1"/>
  <c r="BI16" i="4" a="1"/>
  <c r="BX8" i="4" a="1"/>
  <c r="BF9" i="4" a="1"/>
  <c r="Q12" i="4" a="1"/>
  <c r="DG9" i="4" a="1"/>
  <c r="DN8" i="4" a="1"/>
  <c r="DI6" i="4" a="1"/>
  <c r="EJ14" i="4" a="1"/>
  <c r="CE13" i="4" a="1"/>
  <c r="AO9" i="4" a="1"/>
  <c r="CB6" i="4" a="1"/>
  <c r="CB5" i="4" a="1"/>
  <c r="CY7" i="4" a="1"/>
  <c r="BY15" i="4" a="1"/>
  <c r="CJ11" i="4" a="1"/>
  <c r="BT12" i="4" a="1"/>
  <c r="DQ15" i="4" a="1"/>
  <c r="CS12" i="4" a="1"/>
  <c r="BW12" i="4" a="1"/>
  <c r="T15" i="4" a="1"/>
  <c r="EI12" i="4" a="1"/>
  <c r="CJ8" i="4" a="1"/>
  <c r="BG6" i="4" a="1"/>
  <c r="AW12" i="4" a="1"/>
  <c r="DA11" i="4" a="1"/>
  <c r="BP7" i="4" a="1"/>
  <c r="AY16" i="4" a="1"/>
  <c r="BY11" i="4" a="1"/>
  <c r="Y14" i="4" a="1"/>
  <c r="DE15" i="4" a="1"/>
  <c r="DT12" i="4" a="1"/>
  <c r="DF9" i="4" a="1"/>
  <c r="W16" i="4" a="1"/>
  <c r="L5" i="4" a="1"/>
  <c r="DP13" i="4" a="1"/>
  <c r="BY5" i="4" a="1"/>
  <c r="EG11" i="4" a="1"/>
  <c r="CU11" i="4" a="1"/>
  <c r="DI9" i="4" a="1"/>
  <c r="CA9" i="4" a="1"/>
  <c r="BN15" i="4" a="1"/>
  <c r="DM11" i="4" a="1"/>
  <c r="BF6" i="4" a="1"/>
  <c r="S8" i="4" a="1"/>
  <c r="AY7" i="4" a="1"/>
  <c r="CK11" i="4" a="1"/>
  <c r="CN14" i="4" a="1"/>
  <c r="CG15" i="4" a="1"/>
  <c r="CL9" i="4" a="1"/>
  <c r="AS5" i="4" a="1"/>
  <c r="EB13" i="4" a="1"/>
  <c r="DV5" i="4" a="1"/>
  <c r="BK5" i="4" a="1"/>
  <c r="CI7" i="4" a="1"/>
  <c r="BH5" i="4" a="1"/>
  <c r="CM8" i="4" a="1"/>
  <c r="BZ5" i="4" a="1"/>
  <c r="CA5" i="4" a="1"/>
  <c r="BJ8" i="4" a="1"/>
  <c r="BR12" i="4" a="1"/>
  <c r="AW15" i="4" a="1"/>
  <c r="AO15" i="4" a="1"/>
  <c r="BN16" i="4" a="1"/>
  <c r="CG5" i="4" a="1"/>
  <c r="CZ16" i="4" a="1"/>
  <c r="CQ14" i="4" a="1"/>
  <c r="X14" i="4" a="1"/>
  <c r="CU14" i="4" a="1"/>
  <c r="AC14" i="4" a="1"/>
  <c r="DD9" i="4" a="1"/>
  <c r="BB8" i="4" a="1"/>
  <c r="CF16" i="4" a="1"/>
  <c r="DR15" i="4" a="1"/>
  <c r="I7" i="4" a="1"/>
  <c r="X13" i="4" a="1"/>
  <c r="CL7" i="4" a="1"/>
  <c r="L9" i="4" a="1"/>
  <c r="BW7" i="4" a="1"/>
  <c r="EB6" i="4" a="1"/>
  <c r="BY8" i="4" a="1"/>
  <c r="DC11" i="4" a="1"/>
  <c r="CU16" i="4" a="1"/>
  <c r="BP16" i="4" a="1"/>
  <c r="I13" i="4" a="1"/>
  <c r="R13" i="4" a="1"/>
  <c r="CN12" i="4" a="1"/>
  <c r="J5" i="4" a="1"/>
  <c r="R8" i="4" a="1"/>
  <c r="DC6" i="4" a="1"/>
  <c r="EG5" i="4" a="1"/>
  <c r="AD6" i="4" a="1"/>
  <c r="DT16" i="4" a="1"/>
  <c r="CK6" i="4" a="1"/>
  <c r="AD14" i="4" a="1"/>
  <c r="AD9" i="4" a="1"/>
  <c r="P11" i="4" a="1"/>
  <c r="CT7" i="4" a="1"/>
  <c r="O9" i="4" a="1"/>
  <c r="L6" i="4" a="1"/>
  <c r="AQ6" i="4" a="1"/>
  <c r="DT7" i="4" a="1"/>
  <c r="DI15" i="4" a="1"/>
  <c r="BX11" i="4" a="1"/>
  <c r="DH16" i="4" a="1"/>
  <c r="AF16" i="4" a="1"/>
  <c r="CV8" i="4" a="1"/>
  <c r="DJ6" i="4" a="1"/>
  <c r="BX7" i="4" a="1"/>
  <c r="CL13" i="4" a="1"/>
  <c r="CU7" i="4" a="1"/>
  <c r="CF7" i="4" a="1"/>
  <c r="CP6" i="4" a="1"/>
  <c r="CQ12" i="4" a="1"/>
  <c r="AH12" i="4" a="1"/>
  <c r="CE6" i="4" a="1"/>
  <c r="AI12" i="4" a="1"/>
  <c r="EF7" i="4" a="1"/>
  <c r="BW9" i="4" a="1"/>
  <c r="CJ12" i="4" a="1"/>
  <c r="BQ16" i="4" a="1"/>
  <c r="EA9" i="4" a="1"/>
  <c r="E13" i="4" a="1"/>
  <c r="BZ8" i="4" a="1"/>
  <c r="AP8" i="4" a="1"/>
  <c r="DV8" i="4" a="1"/>
  <c r="CB12" i="4" a="1"/>
  <c r="BE8" i="4" a="1"/>
  <c r="AX7" i="4" a="1"/>
  <c r="DF7" i="4" a="1"/>
  <c r="E16" i="4" a="1"/>
  <c r="AG6" i="4" a="1"/>
  <c r="BZ6" i="4" a="1"/>
  <c r="AW16" i="4" a="1"/>
  <c r="AA9" i="4" a="1"/>
  <c r="BR16" i="4" a="1"/>
  <c r="AV14" i="4" a="1"/>
  <c r="DM16" i="4" a="1"/>
  <c r="AJ11" i="4" a="1"/>
  <c r="BO11" i="4" a="1"/>
  <c r="BU12" i="4" a="1"/>
  <c r="DB16" i="4" a="1"/>
  <c r="DJ9" i="4" a="1"/>
  <c r="CY8" i="4" a="1"/>
  <c r="BD5" i="4" a="1"/>
  <c r="AX6" i="4" a="1"/>
  <c r="AM14" i="4" a="1"/>
  <c r="CD8" i="4" a="1"/>
  <c r="EE15" i="4" a="1"/>
  <c r="M5" i="4" a="1"/>
  <c r="BW6" i="4" a="1"/>
  <c r="BC13" i="4" a="1"/>
  <c r="DU6" i="4" a="1"/>
  <c r="CM15" i="4" a="1"/>
  <c r="DR7" i="4" a="1"/>
  <c r="O6" i="4" a="1"/>
  <c r="DB11" i="4" a="1"/>
  <c r="AG8" i="4" a="1"/>
  <c r="CS15" i="4" a="1"/>
  <c r="DE5" i="4" a="1"/>
  <c r="CV6" i="4" a="1"/>
  <c r="R5" i="4" a="1"/>
  <c r="DT15" i="4" a="1"/>
  <c r="BU13" i="4" a="1"/>
  <c r="EJ13" i="4" a="1"/>
  <c r="BK16" i="4" a="1"/>
  <c r="N9" i="4" a="1"/>
  <c r="DQ16" i="4" a="1"/>
  <c r="EE5" i="4" a="1"/>
  <c r="N15" i="4" a="1"/>
  <c r="DZ13" i="4" a="1"/>
  <c r="S13" i="4" a="1"/>
  <c r="CH6" i="4" a="1"/>
  <c r="DB6" i="4" a="1"/>
  <c r="BB9" i="4" a="1"/>
  <c r="M15" i="4" a="1"/>
  <c r="CJ15" i="4" a="1"/>
  <c r="BE11" i="4" a="1"/>
  <c r="Y8" i="4" a="1"/>
  <c r="Q6" i="4" a="1"/>
  <c r="CU6" i="4" a="1"/>
  <c r="C11" i="4" a="1"/>
  <c r="Y9" i="4" a="1"/>
  <c r="AM16" i="4" a="1"/>
  <c r="CO6" i="4" a="1"/>
  <c r="ED15" i="4" a="1"/>
  <c r="W8" i="4" a="1"/>
  <c r="E9" i="4" a="1"/>
  <c r="AY5" i="4" a="1"/>
  <c r="DM12" i="4" a="1"/>
  <c r="DV14" i="4" a="1"/>
  <c r="AK7" i="4" a="1"/>
  <c r="EK11" i="4" a="1"/>
  <c r="BP12" i="4" a="1"/>
  <c r="BK6" i="4" a="1"/>
  <c r="AM13" i="4" a="1"/>
  <c r="S9" i="4" a="1"/>
  <c r="R15" i="4" a="1"/>
  <c r="AH11" i="4" a="1"/>
  <c r="BY16" i="4" a="1"/>
  <c r="EJ8" i="4" a="1"/>
  <c r="AL9" i="4" a="1"/>
  <c r="K14" i="4" a="1"/>
  <c r="AC9" i="4" a="1"/>
  <c r="CG7" i="4" a="1"/>
  <c r="AN7" i="4" a="1"/>
  <c r="BD6" i="4" a="1"/>
  <c r="V8" i="4" a="1"/>
  <c r="H15" i="4" a="1"/>
  <c r="DU12" i="4" a="1"/>
  <c r="H14" i="4" a="1"/>
  <c r="BY14" i="4" a="1"/>
  <c r="AU15" i="4" a="1"/>
  <c r="P14" i="4" a="1"/>
  <c r="G7" i="4" a="1"/>
  <c r="AD13" i="4" a="1"/>
  <c r="CC14" i="4" a="1"/>
  <c r="CM16" i="4" a="1"/>
  <c r="DW16" i="4" a="1"/>
  <c r="H7" i="4" a="1"/>
  <c r="BV14" i="4" a="1"/>
  <c r="Z5" i="4" a="1"/>
  <c r="AI14" i="4" a="1"/>
  <c r="DC9" i="4" a="1"/>
  <c r="BN8" i="4" a="1"/>
  <c r="DR9" i="4" a="1"/>
  <c r="CK8" i="4" a="1"/>
  <c r="W6" i="4" a="1"/>
  <c r="EJ9" i="4" a="1"/>
  <c r="AY8" i="4" a="1"/>
  <c r="EG6" i="4" a="1"/>
  <c r="X11" i="4" a="1"/>
  <c r="AA11" i="4" a="1"/>
  <c r="I6" i="4" a="1"/>
  <c r="BA13" i="4" a="1"/>
  <c r="AZ5" i="4" a="1"/>
  <c r="W12" i="4" a="1"/>
  <c r="O16" i="4" a="1"/>
  <c r="AA13" i="4" a="1"/>
  <c r="Z14" i="4" a="1"/>
  <c r="ED9" i="4" a="1"/>
  <c r="AC6" i="4" a="1"/>
  <c r="AH5" i="4" a="1"/>
  <c r="AI9" i="4" a="1"/>
  <c r="DZ7" i="4" a="1"/>
  <c r="DA6" i="4" a="1"/>
  <c r="DL16" i="4" a="1"/>
  <c r="DZ9" i="4" a="1"/>
  <c r="CU12" i="4" a="1"/>
  <c r="BA11" i="4" a="1"/>
  <c r="CK5" i="4" a="1"/>
  <c r="BZ13" i="4" a="1"/>
  <c r="BG14" i="4" a="1"/>
  <c r="DA15" i="4" a="1"/>
  <c r="AK16" i="4" a="1"/>
  <c r="BI11" i="4" a="1"/>
  <c r="BJ9" i="4" a="1"/>
  <c r="DX6" i="4" a="1"/>
  <c r="K11" i="4" a="1"/>
  <c r="AU9" i="4" a="1"/>
  <c r="AX13" i="4" a="1"/>
  <c r="CJ13" i="4" a="1"/>
  <c r="DP15" i="4" a="1"/>
  <c r="CI14" i="4" a="1"/>
  <c r="DV9" i="4" a="1"/>
  <c r="BZ11" i="4" a="1"/>
  <c r="CR5" i="4" a="1"/>
  <c r="O7" i="4" a="1"/>
  <c r="AW6" i="4" a="1"/>
  <c r="BM8" i="4" a="1"/>
  <c r="Q15" i="4" a="1"/>
  <c r="CU13" i="4" a="1"/>
  <c r="AY11" i="4" a="1"/>
  <c r="CR12" i="4" a="1"/>
  <c r="EF11" i="4" a="1"/>
  <c r="CA16" i="4" a="1"/>
  <c r="EK9" i="4" a="1"/>
  <c r="DC16" i="4" a="1"/>
  <c r="EI13" i="4" a="1"/>
  <c r="BA15" i="4" a="1"/>
  <c r="E15" i="4" a="1"/>
  <c r="BM6" i="4" a="1"/>
  <c r="AH9" i="4" a="1"/>
  <c r="CO16" i="4" a="1"/>
  <c r="BU16" i="4" a="1"/>
  <c r="DZ14" i="4" a="1"/>
  <c r="M8" i="4" a="1"/>
  <c r="DW7" i="4" a="1"/>
  <c r="BL15" i="4" a="1"/>
  <c r="AB14" i="4" a="1"/>
  <c r="BO15" i="4" a="1"/>
  <c r="AP11" i="4" a="1"/>
  <c r="DJ5" i="4" a="1"/>
  <c r="V13" i="4" a="1"/>
  <c r="CT5" i="4" a="1"/>
  <c r="O5" i="4" a="1"/>
  <c r="R7" i="4" a="1"/>
  <c r="AZ11" i="4" a="1"/>
  <c r="Y7" i="4" a="1"/>
  <c r="DQ13" i="4" a="1"/>
  <c r="Q11" i="4" a="1"/>
  <c r="Q7" i="4" a="1"/>
  <c r="AA14" i="4" a="1"/>
  <c r="AM8" i="4" a="1"/>
  <c r="CR13" i="4" a="1"/>
  <c r="DO9" i="4" a="1"/>
  <c r="CA8" i="4" a="1"/>
  <c r="EB9" i="4" a="1"/>
  <c r="DP5" i="4" a="1"/>
  <c r="AF11" i="4" a="1"/>
  <c r="BU15" i="4" a="1"/>
  <c r="BJ12" i="4" a="1"/>
  <c r="AR12" i="4" a="1"/>
  <c r="CJ9" i="4" a="1"/>
  <c r="AO16" i="4" a="1"/>
  <c r="BN13" i="4" a="1"/>
  <c r="AQ12" i="4" a="1"/>
  <c r="AV7" i="4" a="1"/>
  <c r="EK14" i="4" a="1"/>
  <c r="BI5" i="4" a="1"/>
  <c r="AD8" i="4" a="1"/>
  <c r="DC7" i="4" a="1"/>
  <c r="DM5" i="4" a="1"/>
  <c r="DA8" i="4" a="1"/>
  <c r="AE14" i="4" a="1"/>
  <c r="AL6" i="4" a="1"/>
  <c r="CZ5" i="4" a="1"/>
  <c r="BS11" i="4" a="1"/>
  <c r="J14" i="4" a="1"/>
  <c r="BM7" i="4" a="1"/>
  <c r="BO16" i="4" a="1"/>
  <c r="DY9" i="4" a="1"/>
  <c r="BX9" i="4" a="1"/>
  <c r="Q13" i="4" a="1"/>
  <c r="BX12" i="4" a="1"/>
  <c r="BA7" i="4" a="1"/>
  <c r="DJ11" i="4" a="1"/>
  <c r="X5" i="4" a="1"/>
  <c r="CI15" i="4" a="1"/>
  <c r="CZ13" i="4" a="1"/>
  <c r="R6" i="4" a="1"/>
  <c r="BE5" i="4" a="1"/>
  <c r="AS7" i="4" a="1"/>
  <c r="DY14" i="4" a="1"/>
  <c r="CD12" i="4" a="1"/>
  <c r="U16" i="4" a="1"/>
  <c r="EE8" i="4" a="1"/>
  <c r="AR16" i="4" a="1"/>
  <c r="CW14" i="4" a="1"/>
  <c r="CA6" i="4" a="1"/>
  <c r="AE12" i="4" a="1"/>
  <c r="G11" i="4" a="1"/>
  <c r="DD12" i="4" a="1"/>
  <c r="CQ13" i="4" a="1"/>
  <c r="DU13" i="4" a="1"/>
  <c r="BI9" i="4" a="1"/>
  <c r="Q8" i="4" a="1"/>
  <c r="CW11" i="4" a="1"/>
  <c r="DH7" i="4" a="1"/>
  <c r="BW11" i="4" a="1"/>
  <c r="BZ9" i="4" a="1"/>
  <c r="EA11" i="4" a="1"/>
  <c r="ED6" i="4" a="1"/>
  <c r="DD8" i="4" a="1"/>
  <c r="AK5" i="4" a="1"/>
  <c r="H13" i="4" a="1"/>
  <c r="CG13" i="4" a="1"/>
  <c r="BQ8" i="4" a="1"/>
  <c r="AP16" i="4" a="1"/>
  <c r="EI11" i="4" a="1"/>
  <c r="X8" i="4" a="1"/>
  <c r="N5" i="4" a="1"/>
  <c r="DV11" i="4" a="1"/>
  <c r="L8" i="4" a="1"/>
  <c r="BY6" i="4" a="1"/>
  <c r="BN14" i="4" a="1"/>
  <c r="BM5" i="4" a="1"/>
  <c r="AW5" i="4" a="1"/>
  <c r="E14" i="4" a="1"/>
  <c r="EB12" i="4" a="1"/>
  <c r="BJ13" i="4" a="1"/>
  <c r="C7" i="4" a="1"/>
  <c r="BT13" i="4" a="1"/>
  <c r="EI14" i="4" a="1"/>
  <c r="AN9" i="4" a="1"/>
  <c r="ED5" i="4" a="1"/>
  <c r="CO8" i="4" a="1"/>
  <c r="CR8" i="4" a="1"/>
  <c r="DP14" i="4" a="1"/>
  <c r="DG13" i="4" a="1"/>
  <c r="DR14" i="4" a="1"/>
  <c r="BB11" i="4" a="1"/>
  <c r="BF5" i="4" a="1"/>
  <c r="H12" i="4" a="1"/>
  <c r="DT5" i="4" a="1"/>
  <c r="AI16" i="4" a="1"/>
  <c r="CY11" i="4" a="1"/>
  <c r="BZ15" i="4" a="1"/>
  <c r="CE7" i="4" a="1"/>
  <c r="CZ12" i="4" a="1"/>
  <c r="DW15" i="4" a="1"/>
  <c r="AP15" i="4" a="1"/>
  <c r="R9" i="4" a="1"/>
  <c r="DV7" i="4" a="1"/>
  <c r="BI15" i="4" a="1"/>
  <c r="DR5" i="4" a="1"/>
  <c r="D6" i="4" a="1"/>
  <c r="EK12" i="4" a="1"/>
  <c r="AD16" i="4" a="1"/>
  <c r="DN16" i="4" a="1"/>
  <c r="DZ5" i="4" a="1"/>
  <c r="AX11" i="4" a="1"/>
  <c r="EB8" i="4" a="1"/>
  <c r="F15" i="4" a="1"/>
  <c r="BS9" i="4" a="1"/>
  <c r="AT8" i="4" a="1"/>
  <c r="N6" i="4" a="1"/>
  <c r="DL9" i="4" a="1"/>
  <c r="DF16" i="4" a="1"/>
  <c r="BB12" i="4" a="1"/>
  <c r="EC9" i="4" a="1"/>
  <c r="CC16" i="4" a="1"/>
  <c r="ED12" i="4" a="1"/>
  <c r="EK5" i="4" a="1"/>
  <c r="DS14" i="4" a="1"/>
  <c r="AG9" i="4" a="1"/>
  <c r="AG12" i="4" a="1"/>
  <c r="CN7" i="4" a="1"/>
  <c r="CU8" i="4" a="1"/>
  <c r="CJ7" i="4" a="1"/>
  <c r="AR7" i="4" a="1"/>
  <c r="AS11" i="4" a="1"/>
  <c r="J11" i="4" a="1"/>
  <c r="CP15" i="4" a="1"/>
  <c r="CE8" i="4" a="1"/>
  <c r="EB5" i="4" a="1"/>
  <c r="CW9" i="4" a="1"/>
  <c r="CI11" i="4" a="1"/>
  <c r="Z11" i="4" a="1"/>
  <c r="CV15" i="4" a="1"/>
  <c r="AR15" i="4" a="1"/>
  <c r="DW5" i="4" a="1"/>
  <c r="EK16" i="4" a="1"/>
  <c r="CJ6" i="4" a="1"/>
  <c r="DW11" i="4" a="1"/>
  <c r="BH16" i="4" a="1"/>
  <c r="AN14" i="4" a="1"/>
  <c r="G6" i="4" a="1"/>
  <c r="DJ16" i="4" a="1"/>
  <c r="CW5" i="4" a="1"/>
  <c r="DR12" i="4" a="1"/>
  <c r="BG15" i="4" a="1"/>
  <c r="CK7" i="4" a="1"/>
  <c r="AC7" i="4" a="1"/>
  <c r="CF8" i="4" a="1"/>
  <c r="DG12" i="4" a="1"/>
  <c r="U11" i="4" a="1"/>
  <c r="R11" i="4" a="1"/>
  <c r="AL8" i="4" a="1"/>
  <c r="BM12" i="4" a="1"/>
  <c r="DV12" i="4" a="1"/>
  <c r="AV9" i="4" a="1"/>
  <c r="DQ9" i="4" a="1"/>
  <c r="EG7" i="4" a="1"/>
  <c r="N12" i="4" a="1"/>
  <c r="EC14" i="4" a="1"/>
  <c r="D15" i="4" a="1"/>
  <c r="AQ14" i="4" a="1"/>
  <c r="AJ6" i="4" a="1"/>
  <c r="F5" i="4" a="1"/>
  <c r="AP7" i="4" a="1"/>
  <c r="AF7" i="4" a="1"/>
  <c r="BH14" i="4" a="1"/>
  <c r="EC13" i="4" a="1"/>
  <c r="CN9" i="4" a="1"/>
  <c r="U12" i="4" a="1"/>
  <c r="CE5" i="4" a="1"/>
  <c r="EJ16" i="4" a="1"/>
  <c r="EE6" i="4" a="1"/>
  <c r="AQ13" i="4" a="1"/>
  <c r="CX9" i="4" a="1"/>
  <c r="AH15" i="4" a="1"/>
  <c r="AI5" i="4" a="1"/>
  <c r="DC14" i="4" a="1"/>
  <c r="DQ8" i="4" a="1"/>
  <c r="AQ15" i="4" a="1"/>
  <c r="AG16" i="4" a="1"/>
  <c r="DB5" i="4" a="1"/>
  <c r="BN7" i="4" a="1"/>
  <c r="S11" i="4" a="1"/>
  <c r="DV16" i="4" a="1"/>
  <c r="DA12" i="4" a="1"/>
  <c r="DO6" i="4" a="1"/>
  <c r="AF14" i="4" a="1"/>
  <c r="DI13" i="4" a="1"/>
  <c r="BO7" i="4" a="1"/>
  <c r="DS8" i="4" a="1"/>
  <c r="BQ9" i="4" a="1"/>
  <c r="CC6" i="4" a="1"/>
  <c r="BH15" i="4" a="1"/>
  <c r="CD14" i="4" a="1"/>
  <c r="BA14" i="4" a="1"/>
  <c r="CX7" i="4" a="1"/>
  <c r="EK8" i="4" a="1"/>
  <c r="DE14" i="4" a="1"/>
  <c r="BG5" i="4" a="1"/>
  <c r="DZ16" i="4" a="1"/>
  <c r="P16" i="4" a="1"/>
  <c r="CQ9" i="4" a="1"/>
  <c r="DX16" i="4" a="1"/>
  <c r="AP5" i="4" a="1"/>
  <c r="Q14" i="4" a="1"/>
  <c r="V11" i="4" a="1"/>
  <c r="CM14" i="4" a="1"/>
  <c r="AS16" i="4" a="1"/>
  <c r="DB9" i="4" a="1"/>
  <c r="AT6" i="4" a="1"/>
  <c r="E8" i="4" a="1"/>
  <c r="L14" i="4" a="1"/>
  <c r="BC9" i="4" a="1"/>
  <c r="BP5" i="4" a="1"/>
  <c r="CW8" i="4" a="1"/>
  <c r="DB13" i="4" a="1"/>
  <c r="BR8" i="4" a="1"/>
  <c r="BN9" i="4" a="1"/>
  <c r="BC16" i="4" a="1"/>
  <c r="CH5" i="4" a="1"/>
  <c r="BH13" i="4" a="1"/>
  <c r="AS14" i="4" a="1"/>
  <c r="U13" i="4" a="1"/>
  <c r="BM15" i="4" a="1"/>
  <c r="BX14" i="4" a="1"/>
  <c r="L7" i="4" a="1"/>
  <c r="CX5" i="4" a="1"/>
  <c r="M9" i="4" a="1"/>
  <c r="BD13" i="4" a="1"/>
  <c r="CO15" i="4" a="1"/>
  <c r="BO13" i="4" a="1"/>
  <c r="BF14" i="4" a="1"/>
  <c r="EC7" i="4" a="1"/>
  <c r="AK13" i="4" a="1"/>
  <c r="CP11" i="4" a="1"/>
  <c r="DA16" i="4" a="1"/>
  <c r="DB14" i="4" a="1"/>
  <c r="DQ5" i="4" a="1"/>
  <c r="BW16" i="4" a="1"/>
  <c r="N16" i="4" a="1"/>
  <c r="P8" i="4" a="1"/>
  <c r="DG5" i="4" a="1"/>
  <c r="P5" i="4" a="1"/>
  <c r="BF16" i="4" a="1"/>
  <c r="DH9" i="4" a="1"/>
  <c r="AA12" i="4" a="1"/>
  <c r="AY14" i="4" a="1"/>
  <c r="AW7" i="4" a="1"/>
  <c r="DK12" i="4" a="1"/>
  <c r="BR7" i="4" a="1"/>
  <c r="BF12" i="4" a="1"/>
  <c r="AW9" i="4" a="1"/>
  <c r="M13" i="4" a="1"/>
  <c r="AG13" i="4" a="1"/>
  <c r="X7" i="4" a="1"/>
  <c r="BO8" i="4" a="1"/>
  <c r="BK13" i="4" a="1"/>
  <c r="BU11" i="4" a="1"/>
  <c r="CZ9" i="4" a="1"/>
  <c r="CZ8" i="4" a="1"/>
  <c r="DA13" i="4" a="1"/>
  <c r="AI8" i="4" a="1"/>
  <c r="CZ15" i="4" a="1"/>
  <c r="DM14" i="4" a="1"/>
  <c r="BW14" i="4" a="1"/>
  <c r="CV14" i="4" a="1"/>
  <c r="EH12" i="4" a="1"/>
  <c r="CD7" i="4" a="1"/>
  <c r="AN8" i="4" a="1"/>
  <c r="BL6" i="4" a="1"/>
  <c r="X9" i="4" a="1"/>
  <c r="CY9" i="4" a="1"/>
  <c r="AP14" i="4" a="1"/>
  <c r="DI7" i="4" a="1"/>
  <c r="AE16" i="4" a="1"/>
  <c r="CX6" i="4" a="1"/>
  <c r="M6" i="4" a="1"/>
  <c r="DZ8" i="4" a="1"/>
  <c r="BZ12" i="4" a="1"/>
  <c r="BP13" i="4" a="1"/>
  <c r="BT16" i="4" a="1"/>
  <c r="EA8" i="4" a="1"/>
  <c r="EG14" i="4" a="1"/>
  <c r="EK13" i="4" a="1"/>
  <c r="V14" i="4" a="1"/>
  <c r="AD12" i="4" a="1"/>
  <c r="DR6" i="4" a="1"/>
  <c r="BE12" i="4" a="1"/>
  <c r="D12" i="4" a="1"/>
  <c r="EB15" i="4" a="1"/>
  <c r="EE11" i="4" a="1"/>
  <c r="I8" i="4" a="1"/>
  <c r="U8" i="4" a="1"/>
  <c r="DB7" i="4" a="1"/>
  <c r="EG16" i="4" a="1"/>
  <c r="AH14" i="4" a="1"/>
  <c r="AV12" i="4" a="1"/>
  <c r="AJ14" i="4" a="1"/>
  <c r="EI7" i="4" a="1"/>
  <c r="DS6" i="4" a="1"/>
  <c r="DB12" i="4" a="1"/>
  <c r="Y11" i="4" a="1"/>
  <c r="EF5" i="4" a="1"/>
  <c r="DP11" i="4" a="1"/>
  <c r="U9" i="4" a="1"/>
  <c r="CK15" i="4" a="1"/>
  <c r="DV6" i="4" a="1"/>
  <c r="BS8" i="4" a="1"/>
  <c r="DE11" i="4" a="1"/>
  <c r="DF11" i="4" a="1"/>
  <c r="DT11" i="4" a="1"/>
  <c r="DX13" i="4" a="1"/>
  <c r="AV11" i="4" a="1"/>
  <c r="CA11" i="4" a="1"/>
  <c r="AL14" i="4" a="1"/>
  <c r="AB7" i="4" a="1"/>
  <c r="AU14" i="4" a="1"/>
  <c r="CI12" i="4" a="1"/>
  <c r="AJ9" i="4" a="1"/>
  <c r="DK9" i="4" a="1"/>
  <c r="BM9" i="4" a="1"/>
  <c r="DQ11" i="4" a="1"/>
  <c r="CM9" i="4" a="1"/>
  <c r="M14" i="4" a="1"/>
  <c r="AW11" i="4" a="1"/>
  <c r="AZ7" i="4" a="1"/>
  <c r="N8" i="4" a="1"/>
  <c r="DB8" i="4" a="1"/>
  <c r="AA7" i="4" a="1"/>
  <c r="V15" i="4" a="1"/>
  <c r="CZ6" i="4" a="1"/>
  <c r="K15" i="4" a="1"/>
  <c r="F8" i="4" a="1"/>
  <c r="G14" i="4" a="1"/>
  <c r="CN6" i="4" a="1"/>
  <c r="J9" i="4" a="1"/>
  <c r="BJ5" i="4" a="1"/>
  <c r="DD14" i="4" a="1"/>
  <c r="CC7" i="4" a="1"/>
  <c r="E6" i="4" a="1"/>
  <c r="AN12" i="4" a="1"/>
  <c r="E68" i="3"/>
  <c r="E90" i="3"/>
  <c r="E87" i="3"/>
  <c r="E86" i="3"/>
  <c r="E94" i="3"/>
  <c r="E89" i="3"/>
  <c r="E59" i="3"/>
  <c r="E81" i="3"/>
  <c r="E73" i="3"/>
  <c r="E88" i="3"/>
  <c r="F79" i="3"/>
  <c r="F76" i="3"/>
  <c r="F58" i="3"/>
  <c r="F66" i="3"/>
  <c r="F63" i="3"/>
  <c r="F57" i="3"/>
  <c r="F81" i="3"/>
  <c r="F94" i="3"/>
  <c r="F49" i="3"/>
  <c r="F71" i="3"/>
  <c r="F92" i="3"/>
  <c r="D77" i="3"/>
  <c r="D57" i="3"/>
  <c r="D72" i="3"/>
  <c r="D71" i="3"/>
  <c r="D61" i="3"/>
  <c r="D59" i="3"/>
  <c r="D79" i="3"/>
  <c r="D76" i="3"/>
  <c r="D65" i="3"/>
  <c r="D56" i="3"/>
  <c r="D60" i="3"/>
  <c r="D80" i="3"/>
  <c r="D63" i="3"/>
  <c r="D95" i="3"/>
  <c r="D91" i="3"/>
  <c r="D89" i="3"/>
  <c r="D70" i="3"/>
  <c r="D81" i="3"/>
  <c r="D87" i="3"/>
  <c r="D86" i="3"/>
  <c r="D68" i="3"/>
  <c r="G67" i="3"/>
  <c r="G55" i="3"/>
  <c r="G96" i="3"/>
  <c r="G60" i="3"/>
  <c r="G80" i="3"/>
  <c r="G54" i="3"/>
  <c r="G66" i="3"/>
  <c r="G95" i="3"/>
  <c r="G64" i="3"/>
  <c r="G62" i="3"/>
  <c r="G58" i="3"/>
  <c r="G86" i="3"/>
  <c r="G78" i="3"/>
  <c r="G87" i="3"/>
  <c r="G77" i="3"/>
  <c r="G89" i="3"/>
  <c r="G65" i="3"/>
  <c r="G97" i="3"/>
  <c r="G82" i="3"/>
  <c r="G84" i="3"/>
  <c r="G75" i="3"/>
  <c r="G92" i="3"/>
  <c r="G70" i="3"/>
  <c r="G73" i="3"/>
  <c r="G79" i="3"/>
  <c r="G93" i="3"/>
  <c r="G91" i="3"/>
  <c r="G88" i="3"/>
  <c r="G74" i="3"/>
  <c r="G72" i="3"/>
  <c r="G85" i="3"/>
  <c r="G69" i="3"/>
  <c r="G81" i="3"/>
  <c r="H20" i="2"/>
  <c r="K10" i="2"/>
  <c r="O21" i="2"/>
  <c r="G18" i="2"/>
  <c r="Q7" i="2"/>
  <c r="Q5" i="2"/>
  <c r="P21" i="2"/>
  <c r="X28" i="2"/>
  <c r="S9" i="2"/>
  <c r="S11" i="2"/>
  <c r="H25" i="2"/>
  <c r="S22" i="2"/>
  <c r="K33" i="2"/>
  <c r="Q34" i="2"/>
  <c r="T7" i="2"/>
  <c r="F89" i="2"/>
  <c r="H8" i="2"/>
  <c r="K17" i="2"/>
  <c r="W35" i="2"/>
  <c r="F31" i="2"/>
  <c r="K5" i="2"/>
  <c r="E21" i="2"/>
  <c r="N33" i="2"/>
  <c r="S26" i="2"/>
  <c r="S7" i="2"/>
  <c r="T36" i="2"/>
  <c r="P28" i="2"/>
  <c r="O16" i="2"/>
  <c r="W14" i="2"/>
  <c r="J21" i="2"/>
  <c r="N24" i="2"/>
  <c r="E15" i="2"/>
  <c r="O24" i="2"/>
  <c r="W9" i="2"/>
  <c r="W21" i="2"/>
  <c r="M27" i="2"/>
  <c r="L8" i="2"/>
  <c r="O29" i="2"/>
  <c r="X20" i="2"/>
  <c r="L24" i="2"/>
  <c r="W15" i="2"/>
  <c r="G11" i="2"/>
  <c r="E30" i="2"/>
  <c r="C18" i="2"/>
  <c r="R5" i="2"/>
  <c r="W25" i="2"/>
  <c r="X34" i="2"/>
  <c r="F34" i="2"/>
  <c r="U10" i="2"/>
  <c r="X14" i="2"/>
  <c r="Q23" i="2"/>
  <c r="K9" i="2"/>
  <c r="J16" i="2"/>
  <c r="W33" i="2"/>
  <c r="D35" i="2"/>
  <c r="G32" i="2"/>
  <c r="P6" i="2"/>
  <c r="T26" i="2"/>
  <c r="T28" i="2"/>
  <c r="M26" i="2"/>
  <c r="G24" i="2"/>
  <c r="H7" i="2"/>
  <c r="T12" i="2"/>
  <c r="O10" i="2"/>
  <c r="C10" i="2"/>
  <c r="R31" i="2"/>
  <c r="F9" i="2"/>
  <c r="D47" i="2"/>
  <c r="F10" i="2"/>
  <c r="S15" i="2"/>
  <c r="L36" i="2"/>
  <c r="U5" i="2"/>
  <c r="P8" i="2"/>
  <c r="I10" i="2"/>
  <c r="D29" i="2"/>
  <c r="Q9" i="2"/>
  <c r="E14" i="2"/>
  <c r="E20" i="2"/>
  <c r="E11" i="2"/>
  <c r="U14" i="2"/>
  <c r="K23" i="2"/>
  <c r="K15" i="2"/>
  <c r="Q8" i="2"/>
  <c r="K28" i="2"/>
  <c r="F33" i="2"/>
  <c r="J27" i="2"/>
  <c r="X12" i="2"/>
  <c r="E32" i="2"/>
  <c r="H54" i="2"/>
  <c r="R24" i="2"/>
  <c r="N9" i="2"/>
  <c r="F24" i="2"/>
  <c r="U23" i="2"/>
  <c r="S62" i="2"/>
  <c r="K29" i="2"/>
  <c r="C24" i="2"/>
  <c r="X23" i="2"/>
  <c r="M35" i="2"/>
  <c r="S35" i="2"/>
  <c r="V18" i="2"/>
  <c r="X17" i="2"/>
  <c r="M11" i="2"/>
  <c r="L7" i="2"/>
  <c r="U32" i="2"/>
  <c r="L6" i="2"/>
  <c r="D21" i="2"/>
  <c r="U31" i="2"/>
  <c r="V10" i="2"/>
  <c r="R26" i="2"/>
  <c r="M25" i="2"/>
  <c r="K35" i="2"/>
  <c r="S16" i="2"/>
  <c r="D12" i="2"/>
  <c r="R36" i="2"/>
  <c r="R11" i="2"/>
  <c r="P29" i="2"/>
  <c r="H17" i="2"/>
  <c r="I28" i="2"/>
  <c r="M5" i="2"/>
  <c r="H5" i="2"/>
  <c r="G16" i="2"/>
  <c r="H14" i="2"/>
  <c r="R30" i="2"/>
  <c r="I23" i="2"/>
  <c r="R25" i="2"/>
  <c r="O30" i="2"/>
  <c r="P26" i="2"/>
  <c r="R15" i="2"/>
  <c r="G28" i="2"/>
  <c r="O8" i="2"/>
  <c r="P36" i="2"/>
  <c r="R10" i="2"/>
  <c r="Q20" i="2"/>
  <c r="H16" i="2"/>
  <c r="S18" i="2"/>
  <c r="E26" i="2"/>
  <c r="C8" i="2"/>
  <c r="P31" i="2"/>
  <c r="K18" i="2"/>
  <c r="X19" i="2"/>
  <c r="T16" i="2"/>
  <c r="W70" i="2"/>
  <c r="I12" i="2"/>
  <c r="W7" i="2"/>
  <c r="E12" i="2"/>
  <c r="L30" i="2"/>
  <c r="V28" i="2"/>
  <c r="S30" i="2"/>
  <c r="I14" i="2"/>
  <c r="C13" i="2"/>
  <c r="I18" i="2"/>
  <c r="N34" i="2"/>
  <c r="E29" i="2"/>
  <c r="H29" i="2"/>
  <c r="W18" i="2"/>
  <c r="I25" i="2"/>
  <c r="K36" i="2"/>
  <c r="O20" i="2"/>
  <c r="C31" i="2"/>
  <c r="J34" i="2"/>
  <c r="L15" i="2"/>
  <c r="Q31" i="2"/>
  <c r="M23" i="2"/>
  <c r="W29" i="2"/>
  <c r="O31" i="2"/>
  <c r="K32" i="2"/>
  <c r="O32" i="2"/>
  <c r="F12" i="2"/>
  <c r="S8" i="2"/>
  <c r="X21" i="2"/>
  <c r="W26" i="2"/>
  <c r="K11" i="2"/>
  <c r="I9" i="2"/>
  <c r="S20" i="2"/>
  <c r="G35" i="2"/>
  <c r="K30" i="2"/>
  <c r="K13" i="2"/>
  <c r="H10" i="2"/>
  <c r="Q46" i="2"/>
  <c r="J9" i="2"/>
  <c r="T32" i="2"/>
  <c r="R19" i="2"/>
  <c r="F16" i="2"/>
  <c r="W32" i="2"/>
  <c r="I32" i="2"/>
  <c r="C17" i="2"/>
  <c r="F15" i="2"/>
  <c r="I5" i="2"/>
  <c r="V23" i="2"/>
  <c r="X7" i="2"/>
  <c r="P11" i="2"/>
  <c r="W12" i="2"/>
  <c r="V11" i="2"/>
  <c r="H33" i="2"/>
  <c r="M8" i="2"/>
  <c r="U26" i="2"/>
  <c r="T21" i="2"/>
  <c r="C19" i="2"/>
  <c r="R13" i="2"/>
  <c r="R54" i="2"/>
  <c r="H9" i="2"/>
  <c r="H49" i="2"/>
  <c r="W46" i="2"/>
  <c r="E23" i="2"/>
  <c r="O33" i="2"/>
  <c r="D30" i="2"/>
  <c r="G22" i="2"/>
  <c r="M36" i="2"/>
  <c r="O28" i="2"/>
  <c r="D10" i="2"/>
  <c r="M19" i="2"/>
  <c r="E33" i="2"/>
  <c r="D9" i="2"/>
  <c r="X29" i="2"/>
  <c r="D33" i="2"/>
  <c r="J6" i="2"/>
  <c r="N17" i="2"/>
  <c r="J24" i="2"/>
  <c r="X92" i="2"/>
  <c r="R28" i="2"/>
  <c r="C14" i="2"/>
  <c r="J15" i="2"/>
  <c r="S5" i="2"/>
  <c r="M15" i="2"/>
  <c r="U34" i="2"/>
  <c r="Q78" i="2"/>
  <c r="K12" i="2"/>
  <c r="G9" i="2"/>
  <c r="M9" i="2"/>
  <c r="D18" i="2"/>
  <c r="I13" i="2"/>
  <c r="V25" i="2"/>
  <c r="I33" i="2"/>
  <c r="M22" i="2"/>
  <c r="F35" i="2"/>
  <c r="P33" i="2"/>
  <c r="L27" i="2"/>
  <c r="N30" i="2"/>
  <c r="V36" i="2"/>
  <c r="H36" i="2"/>
  <c r="N19" i="2"/>
  <c r="M10" i="2"/>
  <c r="T20" i="2"/>
  <c r="Q22" i="2"/>
  <c r="D28" i="2"/>
  <c r="F7" i="2"/>
  <c r="D11" i="2"/>
  <c r="D7" i="2"/>
  <c r="T30" i="2"/>
  <c r="H28" i="2"/>
  <c r="N28" i="2"/>
  <c r="P25" i="2"/>
  <c r="F8" i="2"/>
  <c r="O5" i="2"/>
  <c r="N16" i="2"/>
  <c r="F17" i="2"/>
  <c r="R32" i="2"/>
  <c r="Q36" i="2"/>
  <c r="U25" i="2"/>
  <c r="T13" i="2"/>
  <c r="V17" i="2"/>
  <c r="W13" i="2"/>
  <c r="O9" i="2"/>
  <c r="P15" i="2"/>
  <c r="D6" i="2"/>
  <c r="G31" i="2"/>
  <c r="C29" i="2"/>
  <c r="X36" i="2"/>
  <c r="U9" i="2"/>
  <c r="X13" i="2"/>
  <c r="E7" i="2"/>
  <c r="M20" i="2"/>
  <c r="S27" i="2"/>
  <c r="F21" i="2"/>
  <c r="U7" i="2"/>
  <c r="Q54" i="2"/>
  <c r="O34" i="2"/>
  <c r="N20" i="2"/>
  <c r="F75" i="2"/>
  <c r="C7" i="2"/>
  <c r="H35" i="2"/>
  <c r="V33" i="2"/>
  <c r="T24" i="2"/>
  <c r="K16" i="2"/>
  <c r="M32" i="2"/>
  <c r="G34" i="2"/>
  <c r="C33" i="2"/>
  <c r="O7" i="2"/>
  <c r="X26" i="2"/>
  <c r="R20" i="2"/>
  <c r="S19" i="2"/>
  <c r="M17" i="2"/>
  <c r="C27" i="2"/>
  <c r="T18" i="2"/>
  <c r="H26" i="2"/>
  <c r="U33" i="2"/>
  <c r="W30" i="2"/>
  <c r="L32" i="2"/>
  <c r="G19" i="2"/>
  <c r="P34" i="2"/>
  <c r="W27" i="2"/>
  <c r="D36" i="2"/>
  <c r="M13" i="2"/>
  <c r="X16" i="2"/>
  <c r="R35" i="2"/>
  <c r="E8" i="2"/>
  <c r="N10" i="2"/>
  <c r="S21" i="2"/>
  <c r="T34" i="2"/>
  <c r="N36" i="2"/>
  <c r="F5" i="2"/>
  <c r="C30" i="2"/>
  <c r="T17" i="2"/>
  <c r="F28" i="2"/>
  <c r="P12" i="2"/>
  <c r="G6" i="2"/>
  <c r="W31" i="2"/>
  <c r="J17" i="2"/>
  <c r="X9" i="2"/>
  <c r="U22" i="2"/>
  <c r="I15" i="2"/>
  <c r="X22" i="2"/>
  <c r="V21" i="2"/>
  <c r="K20" i="2"/>
  <c r="E35" i="2"/>
  <c r="H11" i="2"/>
  <c r="J14" i="2"/>
  <c r="O36" i="2"/>
  <c r="W34" i="2"/>
  <c r="I30" i="2"/>
  <c r="G14" i="2"/>
  <c r="D26" i="2"/>
  <c r="E9" i="2"/>
  <c r="X33" i="2"/>
  <c r="Q17" i="2"/>
  <c r="T33" i="2"/>
  <c r="N14" i="2"/>
  <c r="P30" i="2"/>
  <c r="U20" i="2"/>
  <c r="F23" i="2"/>
  <c r="I8" i="2"/>
  <c r="Q30" i="2"/>
  <c r="W20" i="2"/>
  <c r="E25" i="2"/>
  <c r="P24" i="2"/>
  <c r="K31" i="2"/>
  <c r="L14" i="2"/>
  <c r="E17" i="2"/>
  <c r="I29" i="2"/>
  <c r="M12" i="2"/>
  <c r="C26" i="2"/>
  <c r="D31" i="2"/>
  <c r="U12" i="2"/>
  <c r="I7" i="2"/>
  <c r="I26" i="2"/>
  <c r="S32" i="2"/>
  <c r="N29" i="2"/>
  <c r="U24" i="2"/>
  <c r="S28" i="2"/>
  <c r="G23" i="2"/>
  <c r="L9" i="2"/>
  <c r="J25" i="2"/>
  <c r="G10" i="2"/>
  <c r="U29" i="2"/>
  <c r="I27" i="2"/>
  <c r="U27" i="2"/>
  <c r="I22" i="2"/>
  <c r="O19" i="2"/>
  <c r="Q25" i="2"/>
  <c r="P32" i="2"/>
  <c r="J28" i="2"/>
  <c r="V22" i="2"/>
  <c r="F36" i="2"/>
  <c r="E45" i="2"/>
  <c r="P17" i="2"/>
  <c r="K26" i="2"/>
  <c r="M16" i="2"/>
  <c r="D27" i="2"/>
  <c r="U8" i="2"/>
  <c r="X5" i="2"/>
  <c r="J13" i="2"/>
  <c r="Q26" i="2"/>
  <c r="M29" i="2"/>
  <c r="T9" i="2"/>
  <c r="K6" i="2"/>
  <c r="G13" i="2"/>
  <c r="Q33" i="2"/>
  <c r="X63" i="2"/>
  <c r="J7" i="2"/>
  <c r="G5" i="2"/>
  <c r="I6" i="2"/>
  <c r="S6" i="2"/>
  <c r="C59" i="2"/>
  <c r="O12" i="2"/>
  <c r="P18" i="2"/>
  <c r="S13" i="2"/>
  <c r="K21" i="2"/>
  <c r="S24" i="2"/>
  <c r="V32" i="2"/>
  <c r="L10" i="2"/>
  <c r="J18" i="2"/>
  <c r="N15" i="2"/>
  <c r="Q6" i="2"/>
  <c r="V27" i="2"/>
  <c r="T25" i="2"/>
  <c r="U11" i="2"/>
  <c r="G12" i="2"/>
  <c r="C35" i="2"/>
  <c r="D14" i="2"/>
  <c r="U36" i="2"/>
  <c r="C9" i="2"/>
  <c r="N7" i="2"/>
  <c r="P19" i="2"/>
  <c r="F18" i="2"/>
  <c r="O26" i="2"/>
  <c r="D15" i="2"/>
  <c r="F20" i="2"/>
  <c r="G25" i="2"/>
  <c r="R12" i="2"/>
  <c r="U35" i="2"/>
  <c r="Q15" i="2"/>
  <c r="W36" i="2"/>
  <c r="I17" i="2"/>
  <c r="J32" i="2"/>
  <c r="N18" i="2"/>
  <c r="D20" i="2"/>
  <c r="N21" i="2"/>
  <c r="I24" i="2"/>
  <c r="M30" i="2"/>
  <c r="P5" i="2"/>
  <c r="H24" i="2"/>
  <c r="D32" i="2"/>
  <c r="S25" i="2"/>
  <c r="Q55" i="2"/>
  <c r="V34" i="2"/>
  <c r="D22" i="2"/>
  <c r="N26" i="2"/>
  <c r="L12" i="2"/>
  <c r="F26" i="2"/>
  <c r="C65" i="2"/>
  <c r="X10" i="2"/>
  <c r="C34" i="2"/>
  <c r="Q57" i="2"/>
  <c r="C28" i="2"/>
  <c r="Q28" i="2"/>
  <c r="O13" i="2"/>
  <c r="C12" i="2"/>
  <c r="U16" i="2"/>
  <c r="M7" i="2"/>
  <c r="P27" i="2"/>
  <c r="K59" i="2"/>
  <c r="R16" i="2"/>
  <c r="H30" i="2"/>
  <c r="G30" i="2"/>
  <c r="V24" i="2"/>
  <c r="F27" i="2"/>
  <c r="E16" i="2"/>
  <c r="P20" i="2"/>
  <c r="G29" i="2"/>
  <c r="J23" i="2"/>
  <c r="C25" i="2"/>
  <c r="M6" i="2"/>
  <c r="P22" i="2"/>
  <c r="R6" i="2"/>
  <c r="T11" i="2"/>
  <c r="J22" i="2"/>
  <c r="S29" i="2"/>
  <c r="G26" i="2"/>
  <c r="H18" i="2"/>
  <c r="Q14" i="2"/>
  <c r="E28" i="2"/>
  <c r="Q56" i="2"/>
  <c r="P13" i="2"/>
  <c r="W10" i="2"/>
  <c r="V14" i="2"/>
  <c r="E36" i="2"/>
  <c r="Q12" i="2"/>
  <c r="V19" i="2"/>
  <c r="L20" i="2"/>
  <c r="C15" i="2"/>
  <c r="S36" i="2"/>
  <c r="O27" i="2"/>
  <c r="O18" i="2"/>
  <c r="V30" i="2"/>
  <c r="V8" i="2"/>
  <c r="Q35" i="2"/>
  <c r="Q10" i="2"/>
  <c r="G36" i="2"/>
  <c r="R21" i="2"/>
  <c r="V7" i="2"/>
  <c r="E6" i="2"/>
  <c r="H31" i="2"/>
  <c r="O35" i="2"/>
  <c r="Q19" i="2"/>
  <c r="J12" i="2"/>
  <c r="P16" i="2"/>
  <c r="X35" i="2"/>
  <c r="T22" i="2"/>
  <c r="V26" i="2"/>
  <c r="P10" i="2"/>
  <c r="T23" i="2"/>
  <c r="N31" i="2"/>
  <c r="T27" i="2"/>
  <c r="J8" i="2"/>
  <c r="R17" i="2"/>
  <c r="N12" i="2"/>
  <c r="O23" i="2"/>
  <c r="G21" i="2"/>
  <c r="V35" i="2"/>
  <c r="J31" i="2"/>
  <c r="T29" i="2"/>
  <c r="I31" i="2"/>
  <c r="X25" i="2"/>
  <c r="J33" i="2"/>
  <c r="E19" i="2"/>
  <c r="V31" i="2"/>
  <c r="U21" i="2"/>
  <c r="E22" i="2"/>
  <c r="V13" i="2"/>
  <c r="T19" i="2"/>
  <c r="H32" i="2"/>
  <c r="J29" i="2"/>
  <c r="L29" i="2"/>
  <c r="T8" i="2"/>
  <c r="C16" i="2"/>
  <c r="I35" i="2"/>
  <c r="M28" i="2"/>
  <c r="F32" i="2"/>
  <c r="N25" i="2"/>
  <c r="F13" i="2"/>
  <c r="V12" i="2"/>
  <c r="L16" i="2"/>
  <c r="G27" i="2"/>
  <c r="M24" i="2"/>
  <c r="W5" i="2"/>
  <c r="K24" i="2"/>
  <c r="E18" i="2"/>
  <c r="F19" i="2"/>
  <c r="F29" i="2"/>
  <c r="L28" i="2"/>
  <c r="U30" i="2"/>
  <c r="Q11" i="2"/>
  <c r="M31" i="2"/>
  <c r="Q58" i="2"/>
  <c r="K27" i="2"/>
  <c r="J20" i="2"/>
  <c r="R27" i="2"/>
  <c r="L22" i="2"/>
  <c r="U28" i="2"/>
  <c r="W28" i="2"/>
  <c r="O6" i="2"/>
  <c r="X27" i="2"/>
  <c r="J10" i="2"/>
  <c r="R18" i="2"/>
  <c r="D34" i="2"/>
  <c r="E5" i="2"/>
  <c r="Q69" i="2"/>
  <c r="U15" i="2"/>
  <c r="C6" i="2"/>
  <c r="T6" i="2"/>
  <c r="F22" i="2"/>
  <c r="U13" i="2"/>
  <c r="L26" i="2"/>
  <c r="K25" i="2"/>
  <c r="V16" i="2"/>
  <c r="X30" i="2"/>
  <c r="X18" i="2"/>
  <c r="D5" i="2"/>
  <c r="C36" i="2"/>
  <c r="L21" i="2"/>
  <c r="N5" i="2"/>
  <c r="F14" i="2"/>
  <c r="R33" i="2"/>
  <c r="H99" i="2"/>
  <c r="W17" i="2"/>
  <c r="P23" i="2"/>
  <c r="S31" i="2"/>
  <c r="I16" i="2"/>
  <c r="H12" i="2"/>
  <c r="I21" i="2"/>
  <c r="L17" i="2"/>
  <c r="C20" i="2"/>
  <c r="K34" i="2"/>
  <c r="J26" i="2"/>
  <c r="X31" i="2"/>
  <c r="W19" i="2"/>
  <c r="M34" i="2"/>
  <c r="Q29" i="2"/>
  <c r="R9" i="2"/>
  <c r="S14" i="2"/>
  <c r="G8" i="2"/>
  <c r="J36" i="2"/>
  <c r="L19" i="2"/>
  <c r="T35" i="2"/>
  <c r="R29" i="2"/>
  <c r="H6" i="2"/>
  <c r="G15" i="2"/>
  <c r="W11" i="2"/>
  <c r="X32" i="2"/>
  <c r="O22" i="2"/>
  <c r="D25" i="2"/>
  <c r="Q18" i="2"/>
  <c r="E24" i="2"/>
  <c r="Q27" i="2"/>
  <c r="N13" i="2"/>
  <c r="S12" i="2"/>
  <c r="P7" i="2"/>
  <c r="N22" i="2"/>
  <c r="U6" i="2"/>
  <c r="W23" i="2"/>
  <c r="Q16" i="2"/>
  <c r="K43" i="2"/>
  <c r="S10" i="2"/>
  <c r="W74" i="2"/>
  <c r="G20" i="2"/>
  <c r="P14" i="2"/>
  <c r="O25" i="2"/>
  <c r="L5" i="2"/>
  <c r="X15" i="2"/>
  <c r="Q13" i="2"/>
  <c r="M21" i="2"/>
  <c r="V5" i="2"/>
  <c r="U18" i="2"/>
  <c r="G17" i="2"/>
  <c r="R34" i="2"/>
  <c r="K87" i="2"/>
  <c r="N8" i="2"/>
  <c r="L23" i="2"/>
  <c r="Q21" i="2"/>
  <c r="H19" i="2"/>
  <c r="J19" i="2"/>
  <c r="U19" i="2"/>
  <c r="M18" i="2"/>
  <c r="E10" i="2"/>
  <c r="L31" i="2"/>
  <c r="K22" i="2"/>
  <c r="N6" i="2"/>
  <c r="W24" i="2"/>
  <c r="Q59" i="2"/>
  <c r="L35" i="2"/>
  <c r="N35" i="2"/>
  <c r="S23" i="2"/>
  <c r="R14" i="2"/>
  <c r="F6" i="2"/>
  <c r="X24" i="2"/>
  <c r="F30" i="2"/>
  <c r="D17" i="2"/>
  <c r="H22" i="2"/>
  <c r="N11" i="2"/>
  <c r="O14" i="2"/>
  <c r="I19" i="2"/>
  <c r="D24" i="2"/>
  <c r="L13" i="2"/>
  <c r="M14" i="2"/>
  <c r="I11" i="2"/>
  <c r="N27" i="2"/>
  <c r="D13" i="2"/>
  <c r="L11" i="2"/>
  <c r="T5" i="2"/>
  <c r="O11" i="2"/>
  <c r="J11" i="2"/>
  <c r="K7" i="2"/>
  <c r="F11" i="2"/>
  <c r="J30" i="2"/>
  <c r="O17" i="2"/>
  <c r="E13" i="2"/>
  <c r="H23" i="2"/>
  <c r="I36" i="2"/>
  <c r="N32" i="2"/>
  <c r="S17" i="2"/>
  <c r="C22" i="2"/>
  <c r="V20" i="2"/>
  <c r="N23" i="2"/>
  <c r="O15" i="2"/>
  <c r="L33" i="2"/>
  <c r="S34" i="2"/>
  <c r="E27" i="2"/>
  <c r="V9" i="2"/>
  <c r="X66" i="2"/>
  <c r="W22" i="2"/>
  <c r="T31" i="2"/>
  <c r="P35" i="2"/>
  <c r="S33" i="2"/>
  <c r="R7" i="2"/>
  <c r="W8" i="2"/>
  <c r="X8" i="2"/>
  <c r="R23" i="2"/>
  <c r="T10" i="2"/>
  <c r="P69" i="2"/>
  <c r="J35" i="2"/>
  <c r="D16" i="2"/>
  <c r="C23" i="2"/>
  <c r="D8" i="2"/>
  <c r="Q32" i="2"/>
  <c r="H27" i="2"/>
  <c r="I34" i="2"/>
  <c r="T15" i="2"/>
  <c r="Q24" i="2"/>
  <c r="K19" i="2"/>
  <c r="T14" i="2"/>
  <c r="E31" i="2"/>
  <c r="H34" i="2"/>
  <c r="H15" i="2"/>
  <c r="K8" i="2"/>
  <c r="U17" i="2"/>
  <c r="C32" i="2"/>
  <c r="C21" i="2"/>
  <c r="F25" i="2"/>
  <c r="V15" i="2"/>
  <c r="G33" i="2"/>
  <c r="I20" i="2"/>
  <c r="C11" i="2"/>
  <c r="R22" i="2"/>
  <c r="W16" i="2"/>
  <c r="L34" i="2"/>
  <c r="H13" i="2"/>
  <c r="X11" i="2"/>
  <c r="J5" i="2"/>
  <c r="X41" i="2"/>
  <c r="D23" i="2"/>
  <c r="V29" i="2"/>
  <c r="R8" i="2"/>
  <c r="L18" i="2"/>
  <c r="D19" i="2"/>
  <c r="M33" i="2"/>
  <c r="L25" i="2"/>
  <c r="H21" i="2"/>
  <c r="G7" i="2"/>
  <c r="E34" i="2"/>
  <c r="K14" i="2"/>
  <c r="P9" i="2"/>
  <c r="AD86" i="3" l="1"/>
  <c r="AD79" i="3"/>
  <c r="BJ174" i="1" s="1"/>
  <c r="BK174" i="1" s="1"/>
  <c r="AD61" i="3"/>
  <c r="AD74" i="3"/>
  <c r="BJ168" i="1" s="1"/>
  <c r="BK168" i="1" s="1"/>
  <c r="AD65" i="3"/>
  <c r="BJ182" i="1" s="1"/>
  <c r="BK182" i="1" s="1"/>
  <c r="AD59" i="3"/>
  <c r="AD89" i="3"/>
  <c r="BJ185" i="1" s="1"/>
  <c r="BJ215" i="1" s="1"/>
  <c r="BK215" i="1" s="1"/>
  <c r="AD69" i="3"/>
  <c r="BJ163" i="1" s="1"/>
  <c r="AD64" i="3"/>
  <c r="BJ181" i="1" s="1"/>
  <c r="BK181" i="1" s="1"/>
  <c r="AD92" i="3"/>
  <c r="BJ187" i="1" s="1"/>
  <c r="BK187" i="1" s="1"/>
  <c r="AD96" i="3"/>
  <c r="BJ195" i="1" s="1"/>
  <c r="BK195" i="1" s="1"/>
  <c r="AD70" i="3"/>
  <c r="BJ164" i="1" s="1"/>
  <c r="AD73" i="3"/>
  <c r="AD72" i="3"/>
  <c r="BJ166" i="1" s="1"/>
  <c r="BK166" i="1" s="1"/>
  <c r="AD97" i="3"/>
  <c r="AD84" i="3"/>
  <c r="BJ177" i="1" s="1"/>
  <c r="BK177" i="1" s="1"/>
  <c r="AD67" i="3"/>
  <c r="AD54" i="3"/>
  <c r="AD55" i="3"/>
  <c r="AD76" i="3"/>
  <c r="AD68" i="3"/>
  <c r="BJ162" i="1" s="1"/>
  <c r="AD95" i="3"/>
  <c r="AD62" i="3"/>
  <c r="BJ154" i="1" s="1"/>
  <c r="AD80" i="3"/>
  <c r="BJ191" i="1" s="1"/>
  <c r="AD78" i="3"/>
  <c r="BJ173" i="1" s="1"/>
  <c r="BK173" i="1" s="1"/>
  <c r="AD57" i="3"/>
  <c r="BJ148" i="1" s="1"/>
  <c r="BK148" i="1" s="1"/>
  <c r="AD87" i="3"/>
  <c r="BJ184" i="1" s="1"/>
  <c r="BK184" i="1" s="1"/>
  <c r="AD56" i="3"/>
  <c r="BJ147" i="1" s="1"/>
  <c r="BK147" i="1" s="1"/>
  <c r="AD58" i="3"/>
  <c r="BJ149" i="1" s="1"/>
  <c r="AD75" i="3"/>
  <c r="AD83" i="3"/>
  <c r="BJ192" i="1" s="1"/>
  <c r="AD88" i="3"/>
  <c r="BJ158" i="1" s="1"/>
  <c r="BK158" i="1" s="1"/>
  <c r="AD63" i="3"/>
  <c r="BJ155" i="1" s="1"/>
  <c r="BK155" i="1" s="1"/>
  <c r="AD60" i="3"/>
  <c r="BJ152" i="1" s="1"/>
  <c r="BK152" i="1" s="1"/>
  <c r="AD81" i="3"/>
  <c r="BJ175" i="1" s="1"/>
  <c r="BJ211" i="1" s="1"/>
  <c r="BK211" i="1" s="1"/>
  <c r="AD82" i="3"/>
  <c r="BJ176" i="1" s="1"/>
  <c r="BJ212" i="1" s="1"/>
  <c r="BK212" i="1" s="1"/>
  <c r="AD66" i="3"/>
  <c r="BJ183" i="1" s="1"/>
  <c r="BK183" i="1" s="1"/>
  <c r="AD94" i="3"/>
  <c r="E85" i="3"/>
  <c r="E74" i="3"/>
  <c r="E69" i="3"/>
  <c r="E79" i="3"/>
  <c r="E95" i="3"/>
  <c r="AJ196" i="1" s="1"/>
  <c r="AK196" i="1" s="1"/>
  <c r="E57" i="3"/>
  <c r="E76" i="3"/>
  <c r="E82" i="3"/>
  <c r="E97" i="3"/>
  <c r="E67" i="3"/>
  <c r="E93" i="3"/>
  <c r="E96" i="3"/>
  <c r="E71" i="3"/>
  <c r="E65" i="3"/>
  <c r="E66" i="3"/>
  <c r="E83" i="3"/>
  <c r="E70" i="3"/>
  <c r="E56" i="3"/>
  <c r="E54" i="3"/>
  <c r="E61" i="3"/>
  <c r="E64" i="3"/>
  <c r="E72" i="3"/>
  <c r="E80" i="3"/>
  <c r="E60" i="3"/>
  <c r="E91" i="3"/>
  <c r="E84" i="3"/>
  <c r="E55" i="3"/>
  <c r="E58" i="3"/>
  <c r="E77" i="3"/>
  <c r="E62" i="3"/>
  <c r="E63" i="3"/>
  <c r="F54" i="3"/>
  <c r="F89" i="3"/>
  <c r="AL185" i="1" s="1"/>
  <c r="AL215" i="1" s="1"/>
  <c r="AM215" i="1" s="1"/>
  <c r="F86" i="3"/>
  <c r="F91" i="3"/>
  <c r="AL186" i="1" s="1"/>
  <c r="AM186" i="1" s="1"/>
  <c r="F68" i="3"/>
  <c r="AL162" i="1" s="1"/>
  <c r="F59" i="3"/>
  <c r="F97" i="3"/>
  <c r="F82" i="3"/>
  <c r="AL176" i="1" s="1"/>
  <c r="F62" i="3"/>
  <c r="AL154" i="1" s="1"/>
  <c r="AM154" i="1" s="1"/>
  <c r="F67" i="3"/>
  <c r="F70" i="3"/>
  <c r="AL164" i="1" s="1"/>
  <c r="F88" i="3"/>
  <c r="AL158" i="1" s="1"/>
  <c r="AM158" i="1" s="1"/>
  <c r="F83" i="3"/>
  <c r="AL192" i="1" s="1"/>
  <c r="F60" i="3"/>
  <c r="AL152" i="1" s="1"/>
  <c r="AM152" i="1" s="1"/>
  <c r="F80" i="3"/>
  <c r="AL191" i="1" s="1"/>
  <c r="F93" i="3"/>
  <c r="F95" i="3"/>
  <c r="F78" i="3"/>
  <c r="AL173" i="1" s="1"/>
  <c r="AM173" i="1" s="1"/>
  <c r="F48" i="3"/>
  <c r="F69" i="3"/>
  <c r="AL163" i="1" s="1"/>
  <c r="F85" i="3"/>
  <c r="AL179" i="1" s="1"/>
  <c r="AM179" i="1" s="1"/>
  <c r="F64" i="3"/>
  <c r="AL181" i="1" s="1"/>
  <c r="AM181" i="1" s="1"/>
  <c r="F96" i="3"/>
  <c r="AL195" i="1" s="1"/>
  <c r="AM195" i="1" s="1"/>
  <c r="AL182" i="1"/>
  <c r="AM182" i="1" s="1"/>
  <c r="D63" i="1"/>
  <c r="HZ9" i="4" s="1"/>
  <c r="HR16" i="4" s="1"/>
  <c r="AJ192" i="1"/>
  <c r="AJ158" i="1"/>
  <c r="AK158" i="1" s="1"/>
  <c r="U69" i="1"/>
  <c r="AK70" i="1"/>
  <c r="AL155" i="1"/>
  <c r="AM155" i="1" s="1"/>
  <c r="BX181" i="1"/>
  <c r="BY181" i="1" s="1"/>
  <c r="IC16" i="4" s="1"/>
  <c r="W70" i="1"/>
  <c r="AJ70" i="1"/>
  <c r="AL69" i="1"/>
  <c r="J70" i="1"/>
  <c r="BX195" i="1"/>
  <c r="BY195" i="1" s="1"/>
  <c r="AL174" i="1"/>
  <c r="AM174" i="1" s="1"/>
  <c r="AK69" i="1"/>
  <c r="T69" i="1"/>
  <c r="JA16" i="4" s="1"/>
  <c r="AI196" i="1"/>
  <c r="AI228" i="1" s="1"/>
  <c r="AI230" i="1" s="1"/>
  <c r="O69" i="1"/>
  <c r="AL148" i="1"/>
  <c r="AM148" i="1" s="1"/>
  <c r="AL177" i="1"/>
  <c r="AM177" i="1" s="1"/>
  <c r="IW16" i="4" s="1"/>
  <c r="IV9" i="4" s="1"/>
  <c r="C60" i="1"/>
  <c r="ID9" i="4" s="1"/>
  <c r="IS16" i="4" s="1"/>
  <c r="B31" i="1"/>
  <c r="JC16" i="4" s="1"/>
  <c r="IK9" i="4" s="1"/>
  <c r="AJ37" i="1"/>
  <c r="AJ38" i="1" s="1"/>
  <c r="AJ18" i="1" s="1"/>
  <c r="AJ19" i="1" s="1"/>
  <c r="E31" i="1"/>
  <c r="E32" i="1" s="1"/>
  <c r="II16" i="4" s="1"/>
  <c r="AJ166" i="1"/>
  <c r="AK166" i="1" s="1"/>
  <c r="AJ173" i="1"/>
  <c r="AK173" i="1" s="1"/>
  <c r="K70" i="1"/>
  <c r="C42" i="1"/>
  <c r="HU9" i="4" s="1"/>
  <c r="D152" i="1"/>
  <c r="JI9" i="4" s="1"/>
  <c r="HW9" i="4" s="1"/>
  <c r="AJ186" i="1"/>
  <c r="AK186" i="1" s="1"/>
  <c r="AJ168" i="1"/>
  <c r="AK168" i="1" s="1"/>
  <c r="AJ155" i="1"/>
  <c r="AK155" i="1" s="1"/>
  <c r="HY9" i="4" s="1"/>
  <c r="AJ185" i="1"/>
  <c r="AJ215" i="1" s="1"/>
  <c r="AL175" i="1"/>
  <c r="AL211" i="1" s="1"/>
  <c r="AM211" i="1" s="1"/>
  <c r="AJ147" i="1"/>
  <c r="AK147" i="1" s="1"/>
  <c r="AJ149" i="1"/>
  <c r="AJ174" i="1"/>
  <c r="AK174" i="1" s="1"/>
  <c r="IH9" i="4" s="1"/>
  <c r="IR9" i="4" s="1"/>
  <c r="C43" i="1"/>
  <c r="T70" i="1"/>
  <c r="D60" i="1"/>
  <c r="Q31" i="1"/>
  <c r="Q32" i="1" s="1"/>
  <c r="Q16" i="1" s="1"/>
  <c r="Q21" i="1" s="1"/>
  <c r="C31" i="1"/>
  <c r="IY9" i="4" s="1"/>
  <c r="AJ171" i="1"/>
  <c r="AK171" i="1" s="1"/>
  <c r="O31" i="1"/>
  <c r="O32" i="1" s="1"/>
  <c r="O16" i="1" s="1"/>
  <c r="O21" i="1" s="1"/>
  <c r="AL99" i="1"/>
  <c r="JE9" i="4" s="1"/>
  <c r="AL171" i="1"/>
  <c r="AM171" i="1" s="1"/>
  <c r="AM234" i="1" s="1"/>
  <c r="BJ37" i="1"/>
  <c r="AM37" i="1"/>
  <c r="AM38" i="1" s="1"/>
  <c r="AM18" i="1" s="1"/>
  <c r="AM19" i="1" s="1"/>
  <c r="IO16" i="4" s="1"/>
  <c r="AJ164" i="1"/>
  <c r="D44" i="1"/>
  <c r="IJ9" i="4" s="1"/>
  <c r="BX187" i="1"/>
  <c r="BY187" i="1" s="1"/>
  <c r="BX164" i="1"/>
  <c r="B37" i="1"/>
  <c r="N31" i="1"/>
  <c r="N32" i="1" s="1"/>
  <c r="N16" i="1" s="1"/>
  <c r="N21" i="1" s="1"/>
  <c r="C37" i="1"/>
  <c r="JD9" i="4" s="1"/>
  <c r="H69" i="1"/>
  <c r="AL184" i="1"/>
  <c r="AM184" i="1" s="1"/>
  <c r="B72" i="1"/>
  <c r="AJ152" i="1"/>
  <c r="AK152" i="1" s="1"/>
  <c r="AJ175" i="1"/>
  <c r="AJ211" i="1" s="1"/>
  <c r="AJ177" i="1"/>
  <c r="AK177" i="1" s="1"/>
  <c r="IK16" i="4" s="1"/>
  <c r="BX183" i="1"/>
  <c r="BY183" i="1" s="1"/>
  <c r="JB9" i="4" s="1"/>
  <c r="IY16" i="4" s="1"/>
  <c r="IT9" i="4" s="1"/>
  <c r="BX148" i="1"/>
  <c r="BY148" i="1" s="1"/>
  <c r="IF9" i="4" s="1"/>
  <c r="IM9" i="4" s="1"/>
  <c r="IO9" i="4" s="1"/>
  <c r="BX186" i="1"/>
  <c r="BY186" i="1" s="1"/>
  <c r="BX99" i="1"/>
  <c r="AJ184" i="1"/>
  <c r="AK184" i="1" s="1"/>
  <c r="AJ181" i="1"/>
  <c r="AK181" i="1" s="1"/>
  <c r="S31" i="1"/>
  <c r="S32" i="1" s="1"/>
  <c r="S16" i="1" s="1"/>
  <c r="S21" i="1" s="1"/>
  <c r="HV9" i="4" s="1"/>
  <c r="HP9" i="4" s="1"/>
  <c r="IL9" i="4" s="1"/>
  <c r="AJ195" i="1"/>
  <c r="AK195" i="1" s="1"/>
  <c r="BJ186" i="1"/>
  <c r="BK186" i="1" s="1"/>
  <c r="AJ183" i="1"/>
  <c r="AK183" i="1" s="1"/>
  <c r="AL168" i="1"/>
  <c r="AM168" i="1" s="1"/>
  <c r="AJ176" i="1"/>
  <c r="AJ212" i="1" s="1"/>
  <c r="AL98" i="1"/>
  <c r="AJ179" i="1"/>
  <c r="AK179" i="1" s="1"/>
  <c r="AJ187" i="1"/>
  <c r="AK187" i="1" s="1"/>
  <c r="BX163" i="1"/>
  <c r="AJ191" i="1"/>
  <c r="L70" i="1"/>
  <c r="AJ182" i="1"/>
  <c r="AK182" i="1" s="1"/>
  <c r="AL183" i="1"/>
  <c r="AM183" i="1" s="1"/>
  <c r="AJ162" i="1"/>
  <c r="AJ163" i="1"/>
  <c r="AJ148" i="1"/>
  <c r="AK148" i="1" s="1"/>
  <c r="AJ154" i="1"/>
  <c r="AK154" i="1" s="1"/>
  <c r="JD16" i="4" s="1"/>
  <c r="AL196" i="1"/>
  <c r="AM196" i="1" s="1"/>
  <c r="I69" i="1"/>
  <c r="IG9" i="4" s="1"/>
  <c r="HZ16" i="4" s="1"/>
  <c r="W31" i="1"/>
  <c r="W32" i="1" s="1"/>
  <c r="W38" i="1" s="1"/>
  <c r="IZ16" i="4" s="1"/>
  <c r="HQ16" i="4" s="1"/>
  <c r="B70" i="1"/>
  <c r="BX175" i="1"/>
  <c r="BX211" i="1" s="1"/>
  <c r="BY211" i="1" s="1"/>
  <c r="F69" i="1"/>
  <c r="J31" i="1"/>
  <c r="J32" i="1" s="1"/>
  <c r="IU9" i="4" s="1"/>
  <c r="IV16" i="4" s="1"/>
  <c r="C29" i="1"/>
  <c r="AL37" i="1"/>
  <c r="AL38" i="1" s="1"/>
  <c r="AL18" i="1" s="1"/>
  <c r="AL19" i="1" s="1"/>
  <c r="IR16" i="4" s="1"/>
  <c r="IE9" i="4" s="1"/>
  <c r="BX168" i="1"/>
  <c r="BY168" i="1" s="1"/>
  <c r="B69" i="1"/>
  <c r="BJ179" i="1"/>
  <c r="BK179" i="1" s="1"/>
  <c r="D56" i="1"/>
  <c r="BX98" i="1"/>
  <c r="AL166" i="1"/>
  <c r="AM166" i="1" s="1"/>
  <c r="V69" i="1"/>
  <c r="C76" i="1"/>
  <c r="IB16" i="4" s="1"/>
  <c r="C44" i="1"/>
  <c r="IA9" i="4" s="1"/>
  <c r="HV16" i="4" s="1"/>
  <c r="HS16" i="4" s="1"/>
  <c r="BX182" i="1"/>
  <c r="BY182" i="1" s="1"/>
  <c r="IH16" i="4" s="1"/>
  <c r="JG9" i="4" s="1"/>
  <c r="C56" i="1"/>
  <c r="C226" i="1" s="1"/>
  <c r="HX16" i="4" s="1"/>
  <c r="D69" i="1"/>
  <c r="IG16" i="4" s="1"/>
  <c r="H31" i="1"/>
  <c r="H32" i="1" s="1"/>
  <c r="JA9" i="4" s="1"/>
  <c r="IF16" i="4" s="1"/>
  <c r="HS9" i="4" s="1"/>
  <c r="BX179" i="1"/>
  <c r="BY179" i="1" s="1"/>
  <c r="BJ171" i="1"/>
  <c r="BK171" i="1" s="1"/>
  <c r="BL234" i="1" s="1"/>
  <c r="JE16" i="4" s="1"/>
  <c r="N69" i="1"/>
  <c r="V70" i="1"/>
  <c r="BX70" i="1"/>
  <c r="AL187" i="1"/>
  <c r="AM187" i="1" s="1"/>
  <c r="HX9" i="4" s="1"/>
  <c r="C63" i="1"/>
  <c r="K31" i="1"/>
  <c r="K32" i="1" s="1"/>
  <c r="IS9" i="4" s="1"/>
  <c r="JB16" i="4" s="1"/>
  <c r="D35" i="1"/>
  <c r="IT16" i="4" s="1"/>
  <c r="BX162" i="1"/>
  <c r="G70" i="1"/>
  <c r="D46" i="1"/>
  <c r="BX191" i="1"/>
  <c r="D29" i="1"/>
  <c r="D263" i="1" s="1"/>
  <c r="ID16" i="4" s="1"/>
  <c r="BX155" i="1"/>
  <c r="BY155" i="1" s="1"/>
  <c r="AJ69" i="1"/>
  <c r="N70" i="1"/>
  <c r="B35" i="1"/>
  <c r="D42" i="1"/>
  <c r="H70" i="1"/>
  <c r="B59" i="1"/>
  <c r="BX69" i="1"/>
  <c r="AK37" i="1"/>
  <c r="AK38" i="1" s="1"/>
  <c r="AK18" i="1" s="1"/>
  <c r="AK19" i="1" s="1"/>
  <c r="D49" i="1"/>
  <c r="M69" i="1"/>
  <c r="G31" i="1"/>
  <c r="G32" i="1" s="1"/>
  <c r="IN16" i="4" s="1"/>
  <c r="I31" i="1"/>
  <c r="I32" i="1" s="1"/>
  <c r="I38" i="1" s="1"/>
  <c r="I39" i="1" s="1"/>
  <c r="JB7" i="4" s="1"/>
  <c r="IQ16" i="4" s="1"/>
  <c r="S69" i="1"/>
  <c r="B63" i="1"/>
  <c r="AL147" i="1"/>
  <c r="AM147" i="1" s="1"/>
  <c r="HT16" i="4" s="1"/>
  <c r="JI16" i="4" s="1"/>
  <c r="D45" i="1"/>
  <c r="HT9" i="4" s="1"/>
  <c r="BX147" i="1"/>
  <c r="BY147" i="1" s="1"/>
  <c r="B44" i="1"/>
  <c r="BX37" i="1"/>
  <c r="BX38" i="1" s="1"/>
  <c r="BX18" i="1" s="1"/>
  <c r="BX19" i="1" s="1"/>
  <c r="U31" i="1"/>
  <c r="U32" i="1" s="1"/>
  <c r="B42" i="1"/>
  <c r="IZ9" i="4" s="1"/>
  <c r="JG16" i="4" s="1"/>
  <c r="AL149" i="1"/>
  <c r="L69" i="1"/>
  <c r="D43" i="1"/>
  <c r="IU16" i="4" s="1"/>
  <c r="B45" i="1"/>
  <c r="JF9" i="4" s="1"/>
  <c r="J69" i="1"/>
  <c r="D59" i="1"/>
  <c r="C49" i="1"/>
  <c r="IE16" i="4" s="1"/>
  <c r="P69" i="1"/>
  <c r="BX152" i="1"/>
  <c r="BY152" i="1" s="1"/>
  <c r="P158" i="1"/>
  <c r="IN9" i="4" s="1"/>
  <c r="JH16" i="4" s="1"/>
  <c r="P70" i="1"/>
  <c r="T31" i="1"/>
  <c r="T32" i="1" s="1"/>
  <c r="T16" i="1" s="1"/>
  <c r="T21" i="1" s="1"/>
  <c r="K69" i="1"/>
  <c r="HW16" i="4" s="1"/>
  <c r="W69" i="1"/>
  <c r="HR9" i="4" s="1"/>
  <c r="R31" i="1"/>
  <c r="R32" i="1" s="1"/>
  <c r="R16" i="1" s="1"/>
  <c r="R21" i="1" s="1"/>
  <c r="C72" i="1"/>
  <c r="BX166" i="1"/>
  <c r="BY166" i="1" s="1"/>
  <c r="D37" i="1"/>
  <c r="E69" i="1"/>
  <c r="II9" i="4" s="1"/>
  <c r="IP9" i="4" s="1"/>
  <c r="BX177" i="1"/>
  <c r="BY177" i="1" s="1"/>
  <c r="C69" i="1"/>
  <c r="HQ9" i="4" s="1"/>
  <c r="M31" i="1"/>
  <c r="M32" i="1" s="1"/>
  <c r="M38" i="1" s="1"/>
  <c r="HY16" i="4" s="1"/>
  <c r="B46" i="1"/>
  <c r="BX176" i="1"/>
  <c r="BX212" i="1" s="1"/>
  <c r="BY212" i="1" s="1"/>
  <c r="BX154" i="1"/>
  <c r="BY154" i="1" s="1"/>
  <c r="IW9" i="4" s="1"/>
  <c r="BX174" i="1"/>
  <c r="BY174" i="1" s="1"/>
  <c r="BX171" i="1"/>
  <c r="BY171" i="1" s="1"/>
  <c r="BZ234" i="1" s="1"/>
  <c r="P31" i="1"/>
  <c r="P32" i="1" s="1"/>
  <c r="P16" i="1" s="1"/>
  <c r="P21" i="1" s="1"/>
  <c r="B43" i="1"/>
  <c r="C35" i="1"/>
  <c r="BX185" i="1"/>
  <c r="BX215" i="1" s="1"/>
  <c r="BY215" i="1" s="1"/>
  <c r="IP16" i="4" s="1"/>
  <c r="B29" i="1"/>
  <c r="B263" i="1" s="1"/>
  <c r="JC7" i="4" s="1"/>
  <c r="BX149" i="1"/>
  <c r="BY149" i="1" s="1"/>
  <c r="D70" i="1"/>
  <c r="IC9" i="4" s="1"/>
  <c r="IX9" i="4" s="1"/>
  <c r="IR8" i="4" s="1"/>
  <c r="Q69" i="1"/>
  <c r="B56" i="1"/>
  <c r="G69" i="1"/>
  <c r="BX192" i="1"/>
  <c r="JC9" i="4" s="1"/>
  <c r="D76" i="1"/>
  <c r="BX173" i="1"/>
  <c r="BY173" i="1" s="1"/>
  <c r="F31" i="1"/>
  <c r="F32" i="1" s="1"/>
  <c r="F38" i="1" s="1"/>
  <c r="D72" i="1"/>
  <c r="IJ16" i="4" s="1"/>
  <c r="F70" i="1"/>
  <c r="I70" i="1"/>
  <c r="IB9" i="4" s="1"/>
  <c r="D31" i="1"/>
  <c r="L31" i="1"/>
  <c r="L32" i="1" s="1"/>
  <c r="C46" i="1"/>
  <c r="B60" i="1"/>
  <c r="IQ9" i="4" s="1"/>
  <c r="BX184" i="1"/>
  <c r="BY184" i="1" s="1"/>
  <c r="IL16" i="4" s="1"/>
  <c r="JH9" i="4" s="1"/>
  <c r="U70" i="1"/>
  <c r="C45" i="1"/>
  <c r="S70" i="1"/>
  <c r="C154" i="1"/>
  <c r="IX16" i="4" s="1"/>
  <c r="O70" i="1"/>
  <c r="C70" i="1"/>
  <c r="E70" i="1"/>
  <c r="JF16" i="4" s="1"/>
  <c r="V31" i="1"/>
  <c r="V32" i="1" s="1"/>
  <c r="Q70" i="1"/>
  <c r="BX158" i="1"/>
  <c r="BY158" i="1" s="1"/>
  <c r="AL70" i="1"/>
  <c r="B76" i="1"/>
  <c r="R70" i="1"/>
  <c r="M70" i="1"/>
  <c r="R69" i="1"/>
  <c r="HP16" i="4" s="1"/>
  <c r="IM16" i="4" s="1"/>
  <c r="HU16" i="4" s="1"/>
  <c r="B49" i="1"/>
  <c r="C59" i="1"/>
  <c r="BY98" i="1"/>
  <c r="BL99" i="1"/>
  <c r="IH15" i="4" s="1"/>
  <c r="IA16" i="4" s="1"/>
  <c r="AA21" i="1"/>
  <c r="J50" i="1"/>
  <c r="I263" i="1"/>
  <c r="AN90" i="1"/>
  <c r="AJ50" i="1"/>
  <c r="AJ51" i="1" s="1"/>
  <c r="BF90" i="1"/>
  <c r="BQ90" i="1"/>
  <c r="BP90" i="1"/>
  <c r="W50" i="1"/>
  <c r="T50" i="1"/>
  <c r="M50" i="1"/>
  <c r="AT90" i="1"/>
  <c r="AI90" i="1"/>
  <c r="AU90" i="1"/>
  <c r="BJ90" i="1"/>
  <c r="AJ90" i="1"/>
  <c r="BX281" i="1"/>
  <c r="AM50" i="1"/>
  <c r="AL50" i="1"/>
  <c r="AL51" i="1" s="1"/>
  <c r="AP90" i="1"/>
  <c r="BX50" i="1"/>
  <c r="BX51" i="1" s="1"/>
  <c r="AZ90" i="1"/>
  <c r="AK90" i="1"/>
  <c r="V50" i="1"/>
  <c r="BK90" i="1"/>
  <c r="H50" i="1"/>
  <c r="U50" i="1"/>
  <c r="AM281" i="1"/>
  <c r="P50" i="1"/>
  <c r="G50" i="1"/>
  <c r="AY90" i="1"/>
  <c r="BC90" i="1"/>
  <c r="BR90" i="1"/>
  <c r="AM90" i="1"/>
  <c r="BA90" i="1"/>
  <c r="K50" i="1"/>
  <c r="BX282" i="1"/>
  <c r="BU90" i="1"/>
  <c r="O50" i="1"/>
  <c r="R50" i="1"/>
  <c r="I50" i="1"/>
  <c r="BJ50" i="1"/>
  <c r="S50" i="1"/>
  <c r="N50" i="1"/>
  <c r="BV90" i="1"/>
  <c r="P215" i="1"/>
  <c r="L50" i="1"/>
  <c r="F50" i="1"/>
  <c r="E50" i="1"/>
  <c r="Q50" i="1"/>
  <c r="Q263" i="1"/>
  <c r="AX90" i="1"/>
  <c r="Q215" i="1"/>
  <c r="BX226" i="1"/>
  <c r="AM123" i="1"/>
  <c r="K263" i="1"/>
  <c r="BT90" i="1"/>
  <c r="BI90" i="1"/>
  <c r="H263" i="1"/>
  <c r="AM282" i="1"/>
  <c r="AV90" i="1"/>
  <c r="AL282" i="1"/>
  <c r="CM123" i="1"/>
  <c r="BY34" i="1"/>
  <c r="CB33" i="1"/>
  <c r="CM263" i="1"/>
  <c r="CN33" i="1"/>
  <c r="CM32" i="1"/>
  <c r="BL263" i="1"/>
  <c r="BJ263" i="1"/>
  <c r="AM263" i="1"/>
  <c r="IU21" i="4" l="1"/>
  <c r="BO102" i="1" s="1"/>
  <c r="G38" i="1"/>
  <c r="IJ21" i="4"/>
  <c r="BD102" i="1" s="1"/>
  <c r="HZ21" i="4"/>
  <c r="AT102" i="1" s="1"/>
  <c r="IQ21" i="4"/>
  <c r="BK102" i="1" s="1"/>
  <c r="IF8" i="4"/>
  <c r="HV14" i="4"/>
  <c r="AJ150" i="1"/>
  <c r="JG14" i="4"/>
  <c r="IX7" i="4"/>
  <c r="JA21" i="4"/>
  <c r="BU102" i="1" s="1"/>
  <c r="IT14" i="4"/>
  <c r="IR7" i="4"/>
  <c r="JD15" i="4"/>
  <c r="IK21" i="4"/>
  <c r="BE102" i="1" s="1"/>
  <c r="J33" i="1"/>
  <c r="JI14" i="4"/>
  <c r="IG21" i="4"/>
  <c r="BA102" i="1" s="1"/>
  <c r="JE21" i="4"/>
  <c r="BY102" i="1" s="1"/>
  <c r="HP14" i="4"/>
  <c r="HZ14" i="4"/>
  <c r="IO7" i="4"/>
  <c r="HW14" i="4"/>
  <c r="IN21" i="4"/>
  <c r="BH102" i="1" s="1"/>
  <c r="IF15" i="4"/>
  <c r="IF20" i="4" s="1"/>
  <c r="AZ104" i="1" s="1"/>
  <c r="AZ138" i="1" s="1"/>
  <c r="IG15" i="4"/>
  <c r="HU15" i="4"/>
  <c r="JF14" i="4"/>
  <c r="L33" i="1"/>
  <c r="V33" i="1"/>
  <c r="HU21" i="4"/>
  <c r="AO102" i="1" s="1"/>
  <c r="JA7" i="4"/>
  <c r="IX14" i="4"/>
  <c r="IX19" i="4" s="1"/>
  <c r="BR103" i="1" s="1"/>
  <c r="BR137" i="1" s="1"/>
  <c r="U38" i="1"/>
  <c r="U16" i="1"/>
  <c r="U21" i="1" s="1"/>
  <c r="JD21" i="4"/>
  <c r="BX102" i="1" s="1"/>
  <c r="IA7" i="4"/>
  <c r="AI197" i="1"/>
  <c r="HW15" i="4"/>
  <c r="BJ165" i="1"/>
  <c r="BK165" i="1" s="1"/>
  <c r="BL57" i="1" s="1"/>
  <c r="AJ234" i="1"/>
  <c r="BY150" i="1"/>
  <c r="BY117" i="1" s="1"/>
  <c r="O38" i="1"/>
  <c r="O18" i="1" s="1"/>
  <c r="IL7" i="4"/>
  <c r="C32" i="1"/>
  <c r="C38" i="1" s="1"/>
  <c r="C39" i="1" s="1"/>
  <c r="AJ165" i="1"/>
  <c r="AK57" i="1" s="1"/>
  <c r="O33" i="1"/>
  <c r="AL165" i="1"/>
  <c r="AL169" i="1" s="1"/>
  <c r="K33" i="1"/>
  <c r="BJ169" i="1"/>
  <c r="AL193" i="1"/>
  <c r="AM241" i="1" s="1"/>
  <c r="AL234" i="1"/>
  <c r="BY234" i="1"/>
  <c r="BX165" i="1"/>
  <c r="BY57" i="1" s="1"/>
  <c r="BJ193" i="1"/>
  <c r="BK241" i="1" s="1"/>
  <c r="AM159" i="1"/>
  <c r="BK234" i="1"/>
  <c r="BY159" i="1"/>
  <c r="BZ238" i="1" s="1"/>
  <c r="J38" i="1"/>
  <c r="J39" i="1" s="1"/>
  <c r="AK159" i="1"/>
  <c r="L38" i="1"/>
  <c r="M40" i="1" s="1"/>
  <c r="D220" i="1"/>
  <c r="AL180" i="1"/>
  <c r="AL214" i="1" s="1"/>
  <c r="C263" i="1"/>
  <c r="AL159" i="1"/>
  <c r="BX193" i="1"/>
  <c r="BY241" i="1" s="1"/>
  <c r="N38" i="1"/>
  <c r="N40" i="1" s="1"/>
  <c r="S38" i="1"/>
  <c r="S18" i="1" s="1"/>
  <c r="S17" i="1" s="1"/>
  <c r="F33" i="1"/>
  <c r="BX188" i="1"/>
  <c r="BX217" i="1" s="1"/>
  <c r="BX216" i="1" s="1"/>
  <c r="BX150" i="1"/>
  <c r="BX117" i="1" s="1"/>
  <c r="D32" i="1"/>
  <c r="D51" i="1" s="1"/>
  <c r="I33" i="1"/>
  <c r="AJ193" i="1"/>
  <c r="AK241" i="1" s="1"/>
  <c r="N33" i="1"/>
  <c r="AK234" i="1"/>
  <c r="Q38" i="1"/>
  <c r="Q18" i="1" s="1"/>
  <c r="Q19" i="1" s="1"/>
  <c r="D282" i="1"/>
  <c r="IE21" i="4"/>
  <c r="AY102" i="1" s="1"/>
  <c r="HV7" i="4"/>
  <c r="IW21" i="4"/>
  <c r="BQ102" i="1" s="1"/>
  <c r="HQ21" i="4"/>
  <c r="AK102" i="1" s="1"/>
  <c r="HS15" i="4"/>
  <c r="JG21" i="4"/>
  <c r="CA102" i="1" s="1"/>
  <c r="CA119" i="1" s="1"/>
  <c r="IT15" i="4"/>
  <c r="IJ7" i="4"/>
  <c r="HS21" i="4"/>
  <c r="AM102" i="1" s="1"/>
  <c r="JA8" i="4"/>
  <c r="JI8" i="4"/>
  <c r="HP21" i="4"/>
  <c r="AJ102" i="1" s="1"/>
  <c r="IS21" i="4"/>
  <c r="BM102" i="1" s="1"/>
  <c r="ID7" i="4"/>
  <c r="JF8" i="4"/>
  <c r="JD8" i="4"/>
  <c r="IV15" i="4"/>
  <c r="HV21" i="4"/>
  <c r="AP102" i="1" s="1"/>
  <c r="IR21" i="4"/>
  <c r="BL102" i="1" s="1"/>
  <c r="BL119" i="1" s="1"/>
  <c r="HX15" i="4"/>
  <c r="HQ14" i="4"/>
  <c r="HT8" i="4"/>
  <c r="HP8" i="4"/>
  <c r="IV14" i="4"/>
  <c r="IV7" i="4"/>
  <c r="IK14" i="4"/>
  <c r="JH7" i="4"/>
  <c r="HW7" i="4"/>
  <c r="IT8" i="4"/>
  <c r="IO14" i="4"/>
  <c r="IE15" i="4"/>
  <c r="IU15" i="4"/>
  <c r="JD14" i="4"/>
  <c r="HY7" i="4"/>
  <c r="IA14" i="4"/>
  <c r="HW21" i="4"/>
  <c r="AQ102" i="1" s="1"/>
  <c r="IM15" i="4"/>
  <c r="IF21" i="4"/>
  <c r="AZ102" i="1" s="1"/>
  <c r="JF21" i="4"/>
  <c r="BZ102" i="1" s="1"/>
  <c r="BZ119" i="1" s="1"/>
  <c r="JF7" i="4"/>
  <c r="IQ7" i="4"/>
  <c r="IC8" i="4"/>
  <c r="IP7" i="4"/>
  <c r="JE15" i="4"/>
  <c r="JI21" i="4"/>
  <c r="CC102" i="1" s="1"/>
  <c r="IH21" i="4"/>
  <c r="BB102" i="1" s="1"/>
  <c r="IE7" i="4"/>
  <c r="IB8" i="4"/>
  <c r="IG7" i="4"/>
  <c r="JE8" i="4"/>
  <c r="IE8" i="4"/>
  <c r="IT21" i="4"/>
  <c r="BN102" i="1" s="1"/>
  <c r="HR14" i="4"/>
  <c r="IA21" i="4"/>
  <c r="AU102" i="1" s="1"/>
  <c r="II7" i="4"/>
  <c r="IK15" i="4"/>
  <c r="IZ14" i="4"/>
  <c r="HV15" i="4"/>
  <c r="IR14" i="4"/>
  <c r="JA15" i="4"/>
  <c r="IU7" i="4"/>
  <c r="IO15" i="4"/>
  <c r="IW7" i="4"/>
  <c r="IM7" i="4"/>
  <c r="HU8" i="4"/>
  <c r="IK7" i="4"/>
  <c r="HX8" i="4"/>
  <c r="IQ15" i="4"/>
  <c r="HR21" i="4"/>
  <c r="AL102" i="1" s="1"/>
  <c r="JC15" i="4"/>
  <c r="IU14" i="4"/>
  <c r="ID14" i="4"/>
  <c r="IX15" i="4"/>
  <c r="JH15" i="4"/>
  <c r="HX7" i="4"/>
  <c r="IN15" i="4"/>
  <c r="HY21" i="4"/>
  <c r="AS102" i="1" s="1"/>
  <c r="HX14" i="4"/>
  <c r="HY8" i="4"/>
  <c r="JE7" i="4"/>
  <c r="IP14" i="4"/>
  <c r="JG15" i="4"/>
  <c r="IU8" i="4"/>
  <c r="ID21" i="4"/>
  <c r="AX102" i="1" s="1"/>
  <c r="HP15" i="4"/>
  <c r="IX8" i="4"/>
  <c r="HY15" i="4"/>
  <c r="IJ15" i="4"/>
  <c r="HP7" i="4"/>
  <c r="IB7" i="4"/>
  <c r="HR15" i="4"/>
  <c r="IN8" i="4"/>
  <c r="IY7" i="4"/>
  <c r="IS15" i="4"/>
  <c r="JB14" i="4"/>
  <c r="JB19" i="4" s="1"/>
  <c r="BV103" i="1" s="1"/>
  <c r="BV137" i="1" s="1"/>
  <c r="HQ15" i="4"/>
  <c r="IC14" i="4"/>
  <c r="IY15" i="4"/>
  <c r="JC21" i="4"/>
  <c r="BW102" i="1" s="1"/>
  <c r="IS8" i="4"/>
  <c r="JE14" i="4"/>
  <c r="JD7" i="4"/>
  <c r="IY8" i="4"/>
  <c r="II15" i="4"/>
  <c r="IW15" i="4"/>
  <c r="ID15" i="4"/>
  <c r="H33" i="1"/>
  <c r="IF14" i="4"/>
  <c r="IH8" i="4"/>
  <c r="IH20" i="4" s="1"/>
  <c r="BB104" i="1" s="1"/>
  <c r="BB138" i="1" s="1"/>
  <c r="H38" i="1"/>
  <c r="H40" i="1" s="1"/>
  <c r="M33" i="1"/>
  <c r="IC15" i="4"/>
  <c r="AJ188" i="1"/>
  <c r="IP8" i="4"/>
  <c r="IX21" i="4"/>
  <c r="BR102" i="1" s="1"/>
  <c r="JI7" i="4"/>
  <c r="HZ15" i="4"/>
  <c r="IO8" i="4"/>
  <c r="BX159" i="1"/>
  <c r="P33" i="1"/>
  <c r="AL150" i="1"/>
  <c r="AL117" i="1" s="1"/>
  <c r="IV8" i="4"/>
  <c r="P38" i="1"/>
  <c r="P18" i="1" s="1"/>
  <c r="P17" i="1" s="1"/>
  <c r="IM8" i="4"/>
  <c r="BX180" i="1"/>
  <c r="BX214" i="1" s="1"/>
  <c r="BX213" i="1" s="1"/>
  <c r="IJ14" i="4"/>
  <c r="JB21" i="4"/>
  <c r="BV102" i="1" s="1"/>
  <c r="W51" i="1"/>
  <c r="JB15" i="4"/>
  <c r="HU14" i="4"/>
  <c r="HT14" i="4"/>
  <c r="E38" i="1"/>
  <c r="E39" i="1" s="1"/>
  <c r="II14" i="4"/>
  <c r="JI15" i="4"/>
  <c r="IV21" i="4"/>
  <c r="BP102" i="1" s="1"/>
  <c r="IL15" i="4"/>
  <c r="D281" i="1"/>
  <c r="II21" i="4"/>
  <c r="BC102" i="1" s="1"/>
  <c r="U33" i="1"/>
  <c r="IH7" i="4"/>
  <c r="JC14" i="4"/>
  <c r="JC19" i="4" s="1"/>
  <c r="BW103" i="1" s="1"/>
  <c r="BW137" i="1" s="1"/>
  <c r="IY21" i="4"/>
  <c r="BS102" i="1" s="1"/>
  <c r="HS7" i="4"/>
  <c r="II8" i="4"/>
  <c r="IA15" i="4"/>
  <c r="JG8" i="4"/>
  <c r="HU7" i="4"/>
  <c r="IZ15" i="4"/>
  <c r="HX21" i="4"/>
  <c r="AR102" i="1" s="1"/>
  <c r="IB14" i="4"/>
  <c r="IH14" i="4"/>
  <c r="IK8" i="4"/>
  <c r="IF7" i="4"/>
  <c r="D226" i="1"/>
  <c r="JC8" i="4"/>
  <c r="IN7" i="4"/>
  <c r="IG14" i="4"/>
  <c r="IG8" i="4"/>
  <c r="IO21" i="4"/>
  <c r="BI102" i="1" s="1"/>
  <c r="AJ159" i="1"/>
  <c r="IP21" i="4"/>
  <c r="BJ102" i="1" s="1"/>
  <c r="HZ8" i="4"/>
  <c r="IZ21" i="4"/>
  <c r="BT102" i="1" s="1"/>
  <c r="HZ7" i="4"/>
  <c r="HY14" i="4"/>
  <c r="IL8" i="4"/>
  <c r="IW14" i="4"/>
  <c r="R38" i="1"/>
  <c r="R18" i="1" s="1"/>
  <c r="R17" i="1" s="1"/>
  <c r="HR7" i="4"/>
  <c r="IL21" i="4"/>
  <c r="BF102" i="1" s="1"/>
  <c r="IB15" i="4"/>
  <c r="IB21" i="4"/>
  <c r="AV102" i="1" s="1"/>
  <c r="HS14" i="4"/>
  <c r="IZ8" i="4"/>
  <c r="JG7" i="4"/>
  <c r="IW8" i="4"/>
  <c r="HQ8" i="4"/>
  <c r="IY14" i="4"/>
  <c r="ID8" i="4"/>
  <c r="HS8" i="4"/>
  <c r="HW8" i="4"/>
  <c r="IC7" i="4"/>
  <c r="IS7" i="4"/>
  <c r="BJ150" i="1"/>
  <c r="BJ117" i="1" s="1"/>
  <c r="B32" i="1"/>
  <c r="JA14" i="4"/>
  <c r="JH14" i="4"/>
  <c r="HQ7" i="4"/>
  <c r="HT7" i="4"/>
  <c r="JF15" i="4"/>
  <c r="IL14" i="4"/>
  <c r="IP15" i="4"/>
  <c r="IZ7" i="4"/>
  <c r="IM21" i="4"/>
  <c r="BG102" i="1" s="1"/>
  <c r="IJ8" i="4"/>
  <c r="JB8" i="4"/>
  <c r="IR15" i="4"/>
  <c r="IR20" i="4" s="1"/>
  <c r="BL104" i="1" s="1"/>
  <c r="IC21" i="4"/>
  <c r="AW102" i="1" s="1"/>
  <c r="AJ180" i="1"/>
  <c r="AJ228" i="1" s="1"/>
  <c r="AL212" i="1"/>
  <c r="AM212" i="1" s="1"/>
  <c r="V51" i="1"/>
  <c r="HT15" i="4"/>
  <c r="IN14" i="4"/>
  <c r="JH21" i="4"/>
  <c r="CB102" i="1" s="1"/>
  <c r="HT21" i="4"/>
  <c r="AN102" i="1" s="1"/>
  <c r="IQ14" i="4"/>
  <c r="IQ8" i="4"/>
  <c r="BJ159" i="1"/>
  <c r="BK154" i="1"/>
  <c r="BK159" i="1" s="1"/>
  <c r="IS14" i="4"/>
  <c r="AL188" i="1"/>
  <c r="AL217" i="1" s="1"/>
  <c r="AL216" i="1" s="1"/>
  <c r="T38" i="1"/>
  <c r="T18" i="1" s="1"/>
  <c r="T19" i="1" s="1"/>
  <c r="BJ180" i="1"/>
  <c r="BJ214" i="1" s="1"/>
  <c r="BJ213" i="1" s="1"/>
  <c r="BJ188" i="1"/>
  <c r="BJ217" i="1" s="1"/>
  <c r="BJ216" i="1" s="1"/>
  <c r="HR8" i="4"/>
  <c r="IM14" i="4"/>
  <c r="IA8" i="4"/>
  <c r="HV8" i="4"/>
  <c r="JH8" i="4"/>
  <c r="IT7" i="4"/>
  <c r="IE14" i="4"/>
  <c r="W33" i="1"/>
  <c r="W18" i="1"/>
  <c r="W39" i="1"/>
  <c r="X40" i="1"/>
  <c r="X33" i="1"/>
  <c r="W16" i="1"/>
  <c r="V38" i="1"/>
  <c r="V18" i="1" s="1"/>
  <c r="V16" i="1"/>
  <c r="AK17" i="1"/>
  <c r="BX17" i="1"/>
  <c r="AL17" i="1"/>
  <c r="AJ17" i="1"/>
  <c r="AM17" i="1"/>
  <c r="W52" i="1"/>
  <c r="Q33" i="1"/>
  <c r="R33" i="1"/>
  <c r="AM124" i="1"/>
  <c r="AK51" i="1"/>
  <c r="AL34" i="1"/>
  <c r="AK34" i="1"/>
  <c r="AM52" i="1"/>
  <c r="AM58" i="1" s="1"/>
  <c r="AM62" i="1" s="1"/>
  <c r="AM257" i="1"/>
  <c r="AM51" i="1"/>
  <c r="CN123" i="1"/>
  <c r="AM39" i="1"/>
  <c r="K38" i="1"/>
  <c r="S33" i="1"/>
  <c r="G33" i="1"/>
  <c r="T33" i="1"/>
  <c r="AM34" i="1"/>
  <c r="CM257" i="1"/>
  <c r="AL39" i="1"/>
  <c r="AL52" i="1"/>
  <c r="AL23" i="1" s="1"/>
  <c r="AL24" i="1" s="1"/>
  <c r="AM41" i="1"/>
  <c r="AJ39" i="1"/>
  <c r="AJ52" i="1"/>
  <c r="AJ23" i="1" s="1"/>
  <c r="AJ24" i="1" s="1"/>
  <c r="AK41" i="1"/>
  <c r="AK52" i="1"/>
  <c r="AK23" i="1" s="1"/>
  <c r="AK24" i="1" s="1"/>
  <c r="AK39" i="1"/>
  <c r="AL41" i="1"/>
  <c r="F39" i="1"/>
  <c r="CN263" i="1"/>
  <c r="CB40" i="1"/>
  <c r="BX52" i="1"/>
  <c r="BX23" i="1" s="1"/>
  <c r="BX24" i="1" s="1"/>
  <c r="BX39" i="1"/>
  <c r="BY41" i="1"/>
  <c r="M39" i="1"/>
  <c r="CM184" i="1"/>
  <c r="CM177" i="1"/>
  <c r="CM50" i="1"/>
  <c r="CM44" i="1" s="1"/>
  <c r="CM176" i="1"/>
  <c r="CM185" i="1"/>
  <c r="CM175" i="1"/>
  <c r="CO33" i="1"/>
  <c r="CN32" i="1"/>
  <c r="AB171" i="1"/>
  <c r="CM34" i="1"/>
  <c r="C282" i="1"/>
  <c r="C281" i="1"/>
  <c r="G39" i="1" l="1"/>
  <c r="G40" i="1"/>
  <c r="BY119" i="1"/>
  <c r="HV19" i="4"/>
  <c r="AP103" i="1" s="1"/>
  <c r="AP137" i="1" s="1"/>
  <c r="JD20" i="4"/>
  <c r="BX104" i="1" s="1"/>
  <c r="HW19" i="4"/>
  <c r="AQ103" i="1" s="1"/>
  <c r="AQ137" i="1" s="1"/>
  <c r="IO19" i="4"/>
  <c r="BI103" i="1" s="1"/>
  <c r="BI137" i="1" s="1"/>
  <c r="JI19" i="4"/>
  <c r="CC103" i="1" s="1"/>
  <c r="IG20" i="4"/>
  <c r="BA104" i="1" s="1"/>
  <c r="BA138" i="1" s="1"/>
  <c r="JG19" i="4"/>
  <c r="CA103" i="1" s="1"/>
  <c r="JA19" i="4"/>
  <c r="BU103" i="1" s="1"/>
  <c r="BU137" i="1" s="1"/>
  <c r="JF19" i="4"/>
  <c r="BZ103" i="1" s="1"/>
  <c r="HP19" i="4"/>
  <c r="AJ103" i="1" s="1"/>
  <c r="U39" i="1"/>
  <c r="U18" i="1"/>
  <c r="U19" i="1" s="1"/>
  <c r="BX119" i="1"/>
  <c r="IR19" i="4"/>
  <c r="BL103" i="1" s="1"/>
  <c r="HU20" i="4"/>
  <c r="AO104" i="1" s="1"/>
  <c r="AO138" i="1" s="1"/>
  <c r="HZ19" i="4"/>
  <c r="AT103" i="1" s="1"/>
  <c r="AT137" i="1" s="1"/>
  <c r="IT19" i="4"/>
  <c r="BN103" i="1" s="1"/>
  <c r="BN137" i="1" s="1"/>
  <c r="IA19" i="4"/>
  <c r="AU103" i="1" s="1"/>
  <c r="AU137" i="1" s="1"/>
  <c r="BZ239" i="1"/>
  <c r="S19" i="1"/>
  <c r="O39" i="1"/>
  <c r="IL19" i="4"/>
  <c r="BF103" i="1" s="1"/>
  <c r="BF137" i="1" s="1"/>
  <c r="Q17" i="1"/>
  <c r="HW20" i="4"/>
  <c r="AQ104" i="1" s="1"/>
  <c r="AQ138" i="1" s="1"/>
  <c r="P19" i="1"/>
  <c r="BX169" i="1"/>
  <c r="AM57" i="1"/>
  <c r="AK165" i="1"/>
  <c r="AK169" i="1" s="1"/>
  <c r="AL160" i="1"/>
  <c r="AM165" i="1"/>
  <c r="AM169" i="1" s="1"/>
  <c r="AM235" i="1" s="1"/>
  <c r="AM233" i="1" s="1"/>
  <c r="H39" i="1"/>
  <c r="AJ169" i="1"/>
  <c r="AJ235" i="1" s="1"/>
  <c r="AJ233" i="1" s="1"/>
  <c r="D33" i="1"/>
  <c r="L40" i="1"/>
  <c r="Q39" i="1"/>
  <c r="C33" i="1"/>
  <c r="J40" i="1"/>
  <c r="N18" i="1"/>
  <c r="N17" i="1" s="1"/>
  <c r="O40" i="1"/>
  <c r="BY160" i="1"/>
  <c r="BX200" i="1"/>
  <c r="BY61" i="1" s="1"/>
  <c r="P40" i="1"/>
  <c r="N39" i="1"/>
  <c r="P39" i="1"/>
  <c r="HS20" i="4"/>
  <c r="AM104" i="1" s="1"/>
  <c r="AM138" i="1" s="1"/>
  <c r="R19" i="1"/>
  <c r="BX160" i="1"/>
  <c r="I40" i="1"/>
  <c r="BY165" i="1"/>
  <c r="BJ200" i="1"/>
  <c r="BJ139" i="1" s="1"/>
  <c r="AJ200" i="1"/>
  <c r="AK61" i="1" s="1"/>
  <c r="Q40" i="1"/>
  <c r="AL200" i="1"/>
  <c r="AL139" i="1" s="1"/>
  <c r="L39" i="1"/>
  <c r="V52" i="1"/>
  <c r="V23" i="1" s="1"/>
  <c r="V22" i="1" s="1"/>
  <c r="BX218" i="1"/>
  <c r="AL238" i="1"/>
  <c r="T40" i="1"/>
  <c r="AL119" i="1"/>
  <c r="S39" i="1"/>
  <c r="BX189" i="1"/>
  <c r="D38" i="1"/>
  <c r="AM238" i="1"/>
  <c r="AL278" i="1"/>
  <c r="S40" i="1"/>
  <c r="BY239" i="1"/>
  <c r="AL277" i="1"/>
  <c r="CA127" i="1"/>
  <c r="IT20" i="4"/>
  <c r="BN104" i="1" s="1"/>
  <c r="BN138" i="1" s="1"/>
  <c r="IJ19" i="4"/>
  <c r="BD103" i="1" s="1"/>
  <c r="BD137" i="1" s="1"/>
  <c r="IV19" i="4"/>
  <c r="BP103" i="1" s="1"/>
  <c r="BP137" i="1" s="1"/>
  <c r="IZ19" i="4"/>
  <c r="BT103" i="1" s="1"/>
  <c r="BT137" i="1" s="1"/>
  <c r="JG20" i="4"/>
  <c r="CA104" i="1" s="1"/>
  <c r="CA129" i="1" s="1"/>
  <c r="IE20" i="4"/>
  <c r="AY104" i="1" s="1"/>
  <c r="AY138" i="1" s="1"/>
  <c r="HR20" i="4"/>
  <c r="AL104" i="1" s="1"/>
  <c r="AL138" i="1" s="1"/>
  <c r="JB20" i="4"/>
  <c r="BV104" i="1" s="1"/>
  <c r="BV138" i="1" s="1"/>
  <c r="HQ19" i="4"/>
  <c r="AK103" i="1" s="1"/>
  <c r="HX20" i="4"/>
  <c r="AR104" i="1" s="1"/>
  <c r="AR138" i="1" s="1"/>
  <c r="AM127" i="1"/>
  <c r="ID19" i="4"/>
  <c r="AX103" i="1" s="1"/>
  <c r="AX137" i="1" s="1"/>
  <c r="HZ20" i="4"/>
  <c r="AT104" i="1" s="1"/>
  <c r="AT138" i="1" s="1"/>
  <c r="HQ20" i="4"/>
  <c r="AK104" i="1" s="1"/>
  <c r="IW20" i="4"/>
  <c r="BQ104" i="1" s="1"/>
  <c r="BQ138" i="1" s="1"/>
  <c r="JE19" i="4"/>
  <c r="BY103" i="1" s="1"/>
  <c r="BY137" i="1" s="1"/>
  <c r="IQ19" i="4"/>
  <c r="BK103" i="1" s="1"/>
  <c r="BK137" i="1" s="1"/>
  <c r="IF19" i="4"/>
  <c r="AZ103" i="1" s="1"/>
  <c r="AZ137" i="1" s="1"/>
  <c r="JH20" i="4"/>
  <c r="CB104" i="1" s="1"/>
  <c r="CB129" i="1" s="1"/>
  <c r="IC19" i="4"/>
  <c r="AW103" i="1" s="1"/>
  <c r="AW137" i="1" s="1"/>
  <c r="IB19" i="4"/>
  <c r="AV103" i="1" s="1"/>
  <c r="AV137" i="1" s="1"/>
  <c r="JA20" i="4"/>
  <c r="BU104" i="1" s="1"/>
  <c r="BU138" i="1" s="1"/>
  <c r="JI20" i="4"/>
  <c r="CC104" i="1" s="1"/>
  <c r="CC121" i="1" s="1"/>
  <c r="IV20" i="4"/>
  <c r="BP104" i="1" s="1"/>
  <c r="BP138" i="1" s="1"/>
  <c r="IY20" i="4"/>
  <c r="BS104" i="1" s="1"/>
  <c r="BS138" i="1" s="1"/>
  <c r="IC20" i="4"/>
  <c r="AW104" i="1" s="1"/>
  <c r="AW138" i="1" s="1"/>
  <c r="II19" i="4"/>
  <c r="BC103" i="1" s="1"/>
  <c r="BC137" i="1" s="1"/>
  <c r="IY19" i="4"/>
  <c r="BS103" i="1" s="1"/>
  <c r="BS137" i="1" s="1"/>
  <c r="JE20" i="4"/>
  <c r="BY104" i="1" s="1"/>
  <c r="BY138" i="1" s="1"/>
  <c r="HT20" i="4"/>
  <c r="AN104" i="1" s="1"/>
  <c r="AN138" i="1" s="1"/>
  <c r="JC20" i="4"/>
  <c r="BW104" i="1" s="1"/>
  <c r="BW138" i="1" s="1"/>
  <c r="HP20" i="4"/>
  <c r="AJ104" i="1" s="1"/>
  <c r="IU20" i="4"/>
  <c r="BO104" i="1" s="1"/>
  <c r="BO138" i="1" s="1"/>
  <c r="HX19" i="4"/>
  <c r="AR103" i="1" s="1"/>
  <c r="AR137" i="1" s="1"/>
  <c r="IO20" i="4"/>
  <c r="BI104" i="1" s="1"/>
  <c r="BI138" i="1" s="1"/>
  <c r="IK19" i="4"/>
  <c r="BE103" i="1" s="1"/>
  <c r="BE137" i="1" s="1"/>
  <c r="IU19" i="4"/>
  <c r="BO103" i="1" s="1"/>
  <c r="BO137" i="1" s="1"/>
  <c r="IE19" i="4"/>
  <c r="AY103" i="1" s="1"/>
  <c r="AY137" i="1" s="1"/>
  <c r="IP20" i="4"/>
  <c r="BJ104" i="1" s="1"/>
  <c r="BJ138" i="1" s="1"/>
  <c r="JF20" i="4"/>
  <c r="BZ104" i="1" s="1"/>
  <c r="BZ121" i="1" s="1"/>
  <c r="IW19" i="4"/>
  <c r="BQ103" i="1" s="1"/>
  <c r="BQ137" i="1" s="1"/>
  <c r="IK20" i="4"/>
  <c r="BE104" i="1" s="1"/>
  <c r="BE138" i="1" s="1"/>
  <c r="II20" i="4"/>
  <c r="BC104" i="1" s="1"/>
  <c r="BC138" i="1" s="1"/>
  <c r="IX20" i="4"/>
  <c r="BR104" i="1" s="1"/>
  <c r="BR138" i="1" s="1"/>
  <c r="CC119" i="1"/>
  <c r="CC110" i="1"/>
  <c r="CC127" i="1"/>
  <c r="IQ20" i="4"/>
  <c r="BK104" i="1" s="1"/>
  <c r="BK138" i="1" s="1"/>
  <c r="IN20" i="4"/>
  <c r="BH104" i="1" s="1"/>
  <c r="BH138" i="1" s="1"/>
  <c r="HV20" i="4"/>
  <c r="AP104" i="1" s="1"/>
  <c r="AP138" i="1" s="1"/>
  <c r="IM20" i="4"/>
  <c r="BG104" i="1" s="1"/>
  <c r="BG138" i="1" s="1"/>
  <c r="HY19" i="4"/>
  <c r="AS103" i="1" s="1"/>
  <c r="AS137" i="1" s="1"/>
  <c r="IG19" i="4"/>
  <c r="BA103" i="1" s="1"/>
  <c r="BA137" i="1" s="1"/>
  <c r="IM19" i="4"/>
  <c r="BG103" i="1" s="1"/>
  <c r="BG137" i="1" s="1"/>
  <c r="IJ20" i="4"/>
  <c r="BD104" i="1" s="1"/>
  <c r="BD138" i="1" s="1"/>
  <c r="JH19" i="4"/>
  <c r="CB103" i="1" s="1"/>
  <c r="CB120" i="1" s="1"/>
  <c r="HR19" i="4"/>
  <c r="AL103" i="1" s="1"/>
  <c r="AL120" i="1" s="1"/>
  <c r="IP19" i="4"/>
  <c r="BJ103" i="1" s="1"/>
  <c r="BJ137" i="1" s="1"/>
  <c r="BJ119" i="1"/>
  <c r="ID20" i="4"/>
  <c r="AX104" i="1" s="1"/>
  <c r="AX138" i="1" s="1"/>
  <c r="IB20" i="4"/>
  <c r="AV104" i="1" s="1"/>
  <c r="AV138" i="1" s="1"/>
  <c r="JD19" i="4"/>
  <c r="BX103" i="1" s="1"/>
  <c r="BX137" i="1" s="1"/>
  <c r="HY20" i="4"/>
  <c r="AS104" i="1" s="1"/>
  <c r="AS138" i="1" s="1"/>
  <c r="V40" i="1"/>
  <c r="IS19" i="4"/>
  <c r="BM103" i="1" s="1"/>
  <c r="BM137" i="1" s="1"/>
  <c r="AL189" i="1"/>
  <c r="AL197" i="1" s="1"/>
  <c r="HT19" i="4"/>
  <c r="AN103" i="1" s="1"/>
  <c r="AN137" i="1" s="1"/>
  <c r="AJ189" i="1"/>
  <c r="HS19" i="4"/>
  <c r="AM103" i="1" s="1"/>
  <c r="AM137" i="1" s="1"/>
  <c r="BY238" i="1"/>
  <c r="F40" i="1"/>
  <c r="IZ20" i="4"/>
  <c r="BT104" i="1" s="1"/>
  <c r="BT138" i="1" s="1"/>
  <c r="AJ217" i="1"/>
  <c r="AJ229" i="1"/>
  <c r="AJ230" i="1" s="1"/>
  <c r="IL20" i="4"/>
  <c r="BF104" i="1" s="1"/>
  <c r="BF138" i="1" s="1"/>
  <c r="IS20" i="4"/>
  <c r="BM104" i="1" s="1"/>
  <c r="BM138" i="1" s="1"/>
  <c r="AL218" i="1"/>
  <c r="AL213" i="1"/>
  <c r="IA20" i="4"/>
  <c r="AU104" i="1" s="1"/>
  <c r="AU138" i="1" s="1"/>
  <c r="BL121" i="1"/>
  <c r="BL138" i="1"/>
  <c r="BL141" i="1" s="1"/>
  <c r="HU19" i="4"/>
  <c r="AO103" i="1" s="1"/>
  <c r="AO137" i="1" s="1"/>
  <c r="AK238" i="1"/>
  <c r="U40" i="1"/>
  <c r="T39" i="1"/>
  <c r="T17" i="1"/>
  <c r="IN19" i="4"/>
  <c r="BH103" i="1" s="1"/>
  <c r="BH137" i="1" s="1"/>
  <c r="AJ238" i="1"/>
  <c r="BK238" i="1"/>
  <c r="BL238" i="1"/>
  <c r="B51" i="1"/>
  <c r="B38" i="1"/>
  <c r="AJ214" i="1"/>
  <c r="V39" i="1"/>
  <c r="AI200" i="1"/>
  <c r="AJ61" i="1" s="1"/>
  <c r="BJ160" i="1"/>
  <c r="CB119" i="1"/>
  <c r="CB110" i="1"/>
  <c r="CB127" i="1"/>
  <c r="BJ218" i="1"/>
  <c r="R40" i="1"/>
  <c r="AJ160" i="1"/>
  <c r="AI198" i="1" s="1"/>
  <c r="R39" i="1"/>
  <c r="BJ189" i="1"/>
  <c r="IH19" i="4"/>
  <c r="BB103" i="1" s="1"/>
  <c r="BB137" i="1" s="1"/>
  <c r="V19" i="1"/>
  <c r="W53" i="1"/>
  <c r="W23" i="1"/>
  <c r="W24" i="1" s="1"/>
  <c r="W17" i="1"/>
  <c r="W21" i="1"/>
  <c r="W40" i="1"/>
  <c r="O19" i="1"/>
  <c r="O17" i="1"/>
  <c r="V17" i="1"/>
  <c r="V21" i="1"/>
  <c r="W19" i="1"/>
  <c r="AJ22" i="1"/>
  <c r="AM53" i="1"/>
  <c r="AM23" i="1"/>
  <c r="BX22" i="1"/>
  <c r="AL22" i="1"/>
  <c r="AK22" i="1"/>
  <c r="W58" i="1"/>
  <c r="W62" i="1" s="1"/>
  <c r="W65" i="1" s="1"/>
  <c r="W73" i="1" s="1"/>
  <c r="X279" i="1"/>
  <c r="X54" i="1"/>
  <c r="W142" i="1"/>
  <c r="W264" i="1"/>
  <c r="W265" i="1" s="1"/>
  <c r="BK169" i="1"/>
  <c r="BL235" i="1" s="1"/>
  <c r="BL233" i="1" s="1"/>
  <c r="K40" i="1"/>
  <c r="K39" i="1"/>
  <c r="CN257" i="1"/>
  <c r="CM188" i="1"/>
  <c r="CM229" i="1" s="1"/>
  <c r="CM180" i="1"/>
  <c r="CO123" i="1"/>
  <c r="AK264" i="1"/>
  <c r="AK265" i="1" s="1"/>
  <c r="AK58" i="1"/>
  <c r="AK62" i="1" s="1"/>
  <c r="AL55" i="1"/>
  <c r="AK53" i="1"/>
  <c r="AM64" i="1"/>
  <c r="AM65" i="1"/>
  <c r="AJ53" i="1"/>
  <c r="AJ58" i="1"/>
  <c r="AJ62" i="1" s="1"/>
  <c r="AM142" i="1"/>
  <c r="AK55" i="1"/>
  <c r="AJ264" i="1"/>
  <c r="AJ265" i="1" s="1"/>
  <c r="CO263" i="1"/>
  <c r="BX53" i="1"/>
  <c r="BX264" i="1"/>
  <c r="BX265" i="1" s="1"/>
  <c r="CA142" i="1"/>
  <c r="BX58" i="1"/>
  <c r="BY55" i="1"/>
  <c r="BY279" i="1"/>
  <c r="CB54" i="1"/>
  <c r="AM55" i="1"/>
  <c r="AL264" i="1"/>
  <c r="AL265" i="1" s="1"/>
  <c r="AL58" i="1"/>
  <c r="AL62" i="1" s="1"/>
  <c r="AL53" i="1"/>
  <c r="AL279" i="1"/>
  <c r="CN102" i="1"/>
  <c r="CN34" i="1"/>
  <c r="CN177" i="1"/>
  <c r="CN184" i="1"/>
  <c r="CN50" i="1"/>
  <c r="CN44" i="1" s="1"/>
  <c r="CN175" i="1"/>
  <c r="CN176" i="1"/>
  <c r="CN185" i="1"/>
  <c r="CO32" i="1"/>
  <c r="CP33" i="1"/>
  <c r="AB234" i="1"/>
  <c r="BY278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B282" i="1"/>
  <c r="V282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B28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C220" i="1"/>
  <c r="AL235" i="1" l="1"/>
  <c r="AL233" i="1" s="1"/>
  <c r="BZ237" i="1"/>
  <c r="U17" i="1"/>
  <c r="BX138" i="1"/>
  <c r="BX121" i="1"/>
  <c r="CC128" i="1"/>
  <c r="CC120" i="1"/>
  <c r="CC137" i="1"/>
  <c r="CC111" i="1"/>
  <c r="CA120" i="1"/>
  <c r="CA128" i="1"/>
  <c r="CA137" i="1"/>
  <c r="BZ120" i="1"/>
  <c r="BZ114" i="1"/>
  <c r="BZ137" i="1"/>
  <c r="BZ140" i="1" s="1"/>
  <c r="BL120" i="1"/>
  <c r="BL137" i="1"/>
  <c r="BL140" i="1" s="1"/>
  <c r="AK235" i="1"/>
  <c r="AK233" i="1" s="1"/>
  <c r="AM61" i="1"/>
  <c r="AL198" i="1"/>
  <c r="AL57" i="1"/>
  <c r="BX197" i="1"/>
  <c r="BX198" i="1" s="1"/>
  <c r="N19" i="1"/>
  <c r="AJ197" i="1"/>
  <c r="AJ198" i="1" s="1"/>
  <c r="V24" i="1"/>
  <c r="CB121" i="1"/>
  <c r="V264" i="1"/>
  <c r="V265" i="1" s="1"/>
  <c r="CB112" i="1"/>
  <c r="W54" i="1"/>
  <c r="AM129" i="1"/>
  <c r="BJ140" i="1"/>
  <c r="AL280" i="1"/>
  <c r="BX139" i="1"/>
  <c r="V58" i="1"/>
  <c r="V62" i="1" s="1"/>
  <c r="V65" i="1" s="1"/>
  <c r="V73" i="1" s="1"/>
  <c r="V53" i="1"/>
  <c r="BJ141" i="1"/>
  <c r="BY237" i="1"/>
  <c r="W22" i="1"/>
  <c r="AL141" i="1"/>
  <c r="V142" i="1"/>
  <c r="BY169" i="1"/>
  <c r="BZ57" i="1"/>
  <c r="D52" i="1"/>
  <c r="D39" i="1"/>
  <c r="D40" i="1"/>
  <c r="CB138" i="1"/>
  <c r="CB141" i="1" s="1"/>
  <c r="CB144" i="1" s="1"/>
  <c r="CA138" i="1"/>
  <c r="AL121" i="1"/>
  <c r="CA121" i="1"/>
  <c r="BY120" i="1"/>
  <c r="BX114" i="1"/>
  <c r="CC138" i="1"/>
  <c r="BY121" i="1"/>
  <c r="CC129" i="1"/>
  <c r="BY114" i="1"/>
  <c r="CC112" i="1"/>
  <c r="BZ138" i="1"/>
  <c r="BZ141" i="1" s="1"/>
  <c r="AL137" i="1"/>
  <c r="AL140" i="1" s="1"/>
  <c r="BJ121" i="1"/>
  <c r="BJ120" i="1"/>
  <c r="AM128" i="1"/>
  <c r="CB137" i="1"/>
  <c r="CB140" i="1" s="1"/>
  <c r="CB143" i="1" s="1"/>
  <c r="CB128" i="1"/>
  <c r="CB111" i="1"/>
  <c r="BX120" i="1"/>
  <c r="B39" i="1"/>
  <c r="B52" i="1"/>
  <c r="C40" i="1"/>
  <c r="W64" i="1"/>
  <c r="AM24" i="1"/>
  <c r="AM22" i="1"/>
  <c r="AM66" i="1"/>
  <c r="CP123" i="1"/>
  <c r="CO257" i="1"/>
  <c r="CM189" i="1"/>
  <c r="CM228" i="1"/>
  <c r="CM230" i="1" s="1"/>
  <c r="CN180" i="1"/>
  <c r="CN228" i="1" s="1"/>
  <c r="CN188" i="1"/>
  <c r="CN229" i="1" s="1"/>
  <c r="AL65" i="1"/>
  <c r="AL73" i="1" s="1"/>
  <c r="AL64" i="1"/>
  <c r="BX62" i="1"/>
  <c r="CA80" i="1"/>
  <c r="AK65" i="1"/>
  <c r="AK73" i="1" s="1"/>
  <c r="AK64" i="1"/>
  <c r="CP263" i="1"/>
  <c r="BY280" i="1"/>
  <c r="W266" i="1"/>
  <c r="W77" i="1"/>
  <c r="W66" i="1"/>
  <c r="X67" i="1"/>
  <c r="AJ65" i="1"/>
  <c r="AJ73" i="1" s="1"/>
  <c r="AJ64" i="1"/>
  <c r="CO102" i="1"/>
  <c r="CO34" i="1"/>
  <c r="CO177" i="1"/>
  <c r="CO184" i="1"/>
  <c r="CO50" i="1"/>
  <c r="CO44" i="1" s="1"/>
  <c r="CO176" i="1"/>
  <c r="CO175" i="1"/>
  <c r="CO185" i="1"/>
  <c r="AB29" i="1"/>
  <c r="AB32" i="1" s="1"/>
  <c r="AB16" i="1" s="1"/>
  <c r="CQ33" i="1"/>
  <c r="CP32" i="1"/>
  <c r="BZ278" i="1"/>
  <c r="BZ280" i="1" s="1"/>
  <c r="CM88" i="1"/>
  <c r="BX141" i="1" l="1"/>
  <c r="BX140" i="1"/>
  <c r="W67" i="1"/>
  <c r="V66" i="1"/>
  <c r="V64" i="1"/>
  <c r="BZ235" i="1"/>
  <c r="BZ233" i="1" s="1"/>
  <c r="BY235" i="1"/>
  <c r="BY233" i="1" s="1"/>
  <c r="D264" i="1"/>
  <c r="D265" i="1" s="1"/>
  <c r="D142" i="1"/>
  <c r="D53" i="1"/>
  <c r="D58" i="1"/>
  <c r="D62" i="1" s="1"/>
  <c r="B53" i="1"/>
  <c r="B142" i="1"/>
  <c r="AB21" i="1"/>
  <c r="CR33" i="1"/>
  <c r="CS33" i="1" s="1"/>
  <c r="CP257" i="1"/>
  <c r="CN189" i="1"/>
  <c r="CO180" i="1"/>
  <c r="CO228" i="1" s="1"/>
  <c r="CO188" i="1"/>
  <c r="CO229" i="1" s="1"/>
  <c r="CN230" i="1"/>
  <c r="BX65" i="1"/>
  <c r="BX73" i="1" s="1"/>
  <c r="BX64" i="1"/>
  <c r="AJ66" i="1"/>
  <c r="AJ266" i="1"/>
  <c r="AK68" i="1"/>
  <c r="CR263" i="1"/>
  <c r="AL68" i="1"/>
  <c r="AK66" i="1"/>
  <c r="AK266" i="1"/>
  <c r="AL66" i="1"/>
  <c r="AM68" i="1"/>
  <c r="AL266" i="1"/>
  <c r="CP102" i="1"/>
  <c r="CP34" i="1"/>
  <c r="CP184" i="1"/>
  <c r="CP177" i="1"/>
  <c r="AB177" i="1" s="1"/>
  <c r="CP50" i="1"/>
  <c r="CP44" i="1" s="1"/>
  <c r="AB46" i="1" s="1"/>
  <c r="CP176" i="1"/>
  <c r="CP175" i="1"/>
  <c r="CP185" i="1"/>
  <c r="AB83" i="1"/>
  <c r="AB220" i="1"/>
  <c r="CR32" i="1"/>
  <c r="AB89" i="1"/>
  <c r="AC89" i="1" s="1"/>
  <c r="AD89" i="1" s="1"/>
  <c r="AE89" i="1" s="1"/>
  <c r="CN88" i="1"/>
  <c r="CM90" i="1"/>
  <c r="CM124" i="1" s="1"/>
  <c r="CM127" i="1" s="1"/>
  <c r="AB88" i="1"/>
  <c r="CA278" i="1"/>
  <c r="CA280" i="1" s="1"/>
  <c r="BK278" i="1"/>
  <c r="AM278" i="1"/>
  <c r="BL278" i="1"/>
  <c r="D65" i="1" l="1"/>
  <c r="D64" i="1"/>
  <c r="CT33" i="1"/>
  <c r="CU33" i="1" s="1"/>
  <c r="CV33" i="1" s="1"/>
  <c r="AB44" i="1"/>
  <c r="AB50" i="1" s="1"/>
  <c r="AB51" i="1" s="1"/>
  <c r="CO230" i="1"/>
  <c r="CM56" i="1"/>
  <c r="CM282" i="1" s="1"/>
  <c r="CP180" i="1"/>
  <c r="CP228" i="1" s="1"/>
  <c r="CQ123" i="1"/>
  <c r="CR123" i="1"/>
  <c r="CO189" i="1"/>
  <c r="CQ263" i="1"/>
  <c r="AJ91" i="1"/>
  <c r="AJ77" i="1"/>
  <c r="AJ239" i="1"/>
  <c r="AJ237" i="1" s="1"/>
  <c r="AJ225" i="1"/>
  <c r="AJ227" i="1" s="1"/>
  <c r="AJ231" i="1" s="1"/>
  <c r="AJ245" i="1" s="1"/>
  <c r="AL225" i="1"/>
  <c r="AL227" i="1" s="1"/>
  <c r="AL77" i="1"/>
  <c r="AL91" i="1"/>
  <c r="AK149" i="1"/>
  <c r="AK150" i="1" s="1"/>
  <c r="AK225" i="1"/>
  <c r="AK227" i="1" s="1"/>
  <c r="AK91" i="1"/>
  <c r="AK77" i="1"/>
  <c r="CB67" i="1"/>
  <c r="BX66" i="1"/>
  <c r="BY68" i="1"/>
  <c r="BX266" i="1"/>
  <c r="AB102" i="1"/>
  <c r="CQ102" i="1"/>
  <c r="AB33" i="1"/>
  <c r="CP188" i="1"/>
  <c r="AB184" i="1"/>
  <c r="CR184" i="1"/>
  <c r="CR177" i="1"/>
  <c r="CR50" i="1"/>
  <c r="CR44" i="1" s="1"/>
  <c r="CR176" i="1"/>
  <c r="CR185" i="1"/>
  <c r="CR175" i="1"/>
  <c r="CT32" i="1"/>
  <c r="CT263" i="1"/>
  <c r="CQ32" i="1"/>
  <c r="CT123" i="1"/>
  <c r="AC29" i="1"/>
  <c r="AC88" i="1"/>
  <c r="AB90" i="1"/>
  <c r="AC171" i="1"/>
  <c r="CN90" i="1"/>
  <c r="CN124" i="1" s="1"/>
  <c r="CN127" i="1" s="1"/>
  <c r="CO88" i="1"/>
  <c r="CB278" i="1"/>
  <c r="CB280" i="1" s="1"/>
  <c r="W220" i="1"/>
  <c r="W281" i="1"/>
  <c r="W282" i="1"/>
  <c r="D266" i="1" l="1"/>
  <c r="D73" i="1"/>
  <c r="D66" i="1"/>
  <c r="AC220" i="1"/>
  <c r="AC32" i="1"/>
  <c r="AC16" i="1" s="1"/>
  <c r="CW33" i="1"/>
  <c r="CX33" i="1" s="1"/>
  <c r="CM226" i="1"/>
  <c r="CM163" i="1"/>
  <c r="CM165" i="1" s="1"/>
  <c r="CM169" i="1" s="1"/>
  <c r="CM235" i="1" s="1"/>
  <c r="CM233" i="1" s="1"/>
  <c r="CP189" i="1"/>
  <c r="CS32" i="1"/>
  <c r="CR188" i="1"/>
  <c r="CQ257" i="1"/>
  <c r="CR257" i="1"/>
  <c r="CR180" i="1"/>
  <c r="CS123" i="1"/>
  <c r="AJ242" i="1"/>
  <c r="AJ243" i="1" s="1"/>
  <c r="BX91" i="1"/>
  <c r="CA94" i="1" s="1"/>
  <c r="CE95" i="1" s="1"/>
  <c r="BX225" i="1"/>
  <c r="BX227" i="1" s="1"/>
  <c r="BX77" i="1"/>
  <c r="CA79" i="1"/>
  <c r="CV263" i="1"/>
  <c r="AL239" i="1"/>
  <c r="AL237" i="1" s="1"/>
  <c r="AK160" i="1"/>
  <c r="AK239" i="1"/>
  <c r="AK237" i="1" s="1"/>
  <c r="CS263" i="1"/>
  <c r="CR102" i="1"/>
  <c r="CR34" i="1"/>
  <c r="CQ184" i="1"/>
  <c r="CQ177" i="1"/>
  <c r="CQ50" i="1"/>
  <c r="CQ44" i="1" s="1"/>
  <c r="CQ175" i="1"/>
  <c r="CQ185" i="1"/>
  <c r="CQ176" i="1"/>
  <c r="CT184" i="1"/>
  <c r="CT177" i="1"/>
  <c r="AC177" i="1" s="1"/>
  <c r="CT50" i="1"/>
  <c r="CT44" i="1" s="1"/>
  <c r="CT175" i="1"/>
  <c r="CT176" i="1"/>
  <c r="CT185" i="1"/>
  <c r="CP229" i="1"/>
  <c r="CP230" i="1" s="1"/>
  <c r="AC234" i="1"/>
  <c r="AB181" i="1"/>
  <c r="AB147" i="1"/>
  <c r="CO90" i="1"/>
  <c r="CO124" i="1" s="1"/>
  <c r="CO127" i="1" s="1"/>
  <c r="CP88" i="1"/>
  <c r="AC90" i="1"/>
  <c r="AD88" i="1"/>
  <c r="CC278" i="1"/>
  <c r="CC280" i="1" s="1"/>
  <c r="CA257" i="1"/>
  <c r="AM279" i="1"/>
  <c r="AM280" i="1" s="1"/>
  <c r="AM264" i="1"/>
  <c r="AM265" i="1" s="1"/>
  <c r="AM258" i="1"/>
  <c r="D77" i="1" l="1"/>
  <c r="D225" i="1"/>
  <c r="D227" i="1" s="1"/>
  <c r="CY33" i="1"/>
  <c r="AC21" i="1"/>
  <c r="CT257" i="1"/>
  <c r="CS50" i="1"/>
  <c r="CS44" i="1" s="1"/>
  <c r="AC46" i="1" s="1"/>
  <c r="CS177" i="1"/>
  <c r="CS184" i="1"/>
  <c r="CW32" i="1"/>
  <c r="CT34" i="1"/>
  <c r="CS175" i="1"/>
  <c r="CS185" i="1"/>
  <c r="CN56" i="1"/>
  <c r="CN163" i="1" s="1"/>
  <c r="CN165" i="1" s="1"/>
  <c r="CN169" i="1" s="1"/>
  <c r="CN235" i="1" s="1"/>
  <c r="CN233" i="1" s="1"/>
  <c r="CS257" i="1"/>
  <c r="CS34" i="1"/>
  <c r="CS176" i="1"/>
  <c r="CT180" i="1"/>
  <c r="CR189" i="1"/>
  <c r="CQ180" i="1"/>
  <c r="CR228" i="1" s="1"/>
  <c r="CQ188" i="1"/>
  <c r="CR229" i="1" s="1"/>
  <c r="CS102" i="1"/>
  <c r="CT188" i="1"/>
  <c r="AC184" i="1"/>
  <c r="CV32" i="1"/>
  <c r="CQ34" i="1"/>
  <c r="AC33" i="1"/>
  <c r="AC83" i="1"/>
  <c r="AB195" i="1"/>
  <c r="AE88" i="1"/>
  <c r="AE90" i="1" s="1"/>
  <c r="AD90" i="1"/>
  <c r="CP90" i="1"/>
  <c r="CP124" i="1" s="1"/>
  <c r="CP127" i="1" s="1"/>
  <c r="CQ88" i="1"/>
  <c r="AC147" i="1"/>
  <c r="AC181" i="1"/>
  <c r="CD278" i="1"/>
  <c r="CD280" i="1" s="1"/>
  <c r="CB257" i="1"/>
  <c r="BQ1" i="1"/>
  <c r="BR1" i="1" s="1"/>
  <c r="BS1" i="1" s="1"/>
  <c r="BT1" i="1" s="1"/>
  <c r="CZ33" i="1" l="1"/>
  <c r="DA33" i="1"/>
  <c r="DB33" i="1" s="1"/>
  <c r="AC44" i="1"/>
  <c r="AC50" i="1" s="1"/>
  <c r="AC51" i="1" s="1"/>
  <c r="CS188" i="1"/>
  <c r="CS180" i="1"/>
  <c r="CO56" i="1"/>
  <c r="CO226" i="1" s="1"/>
  <c r="CN226" i="1"/>
  <c r="CN282" i="1"/>
  <c r="CR230" i="1"/>
  <c r="CQ229" i="1"/>
  <c r="CQ189" i="1"/>
  <c r="CQ228" i="1"/>
  <c r="CX123" i="1"/>
  <c r="CW123" i="1"/>
  <c r="CU123" i="1"/>
  <c r="CV123" i="1"/>
  <c r="AU226" i="1"/>
  <c r="BR263" i="1"/>
  <c r="BU226" i="1"/>
  <c r="AV226" i="1"/>
  <c r="BN57" i="1"/>
  <c r="S212" i="1"/>
  <c r="AT263" i="1"/>
  <c r="U215" i="1"/>
  <c r="BP226" i="1"/>
  <c r="BM263" i="1"/>
  <c r="BK57" i="1"/>
  <c r="K211" i="1"/>
  <c r="E215" i="1"/>
  <c r="BV226" i="1"/>
  <c r="AN226" i="1"/>
  <c r="BD226" i="1"/>
  <c r="F215" i="1"/>
  <c r="I215" i="1"/>
  <c r="K215" i="1"/>
  <c r="R212" i="1"/>
  <c r="J193" i="1"/>
  <c r="K241" i="1" s="1"/>
  <c r="AO263" i="1"/>
  <c r="F212" i="1"/>
  <c r="S211" i="1"/>
  <c r="M215" i="1"/>
  <c r="O215" i="1"/>
  <c r="I212" i="1"/>
  <c r="L215" i="1"/>
  <c r="H234" i="1"/>
  <c r="U211" i="1"/>
  <c r="F211" i="1"/>
  <c r="H212" i="1"/>
  <c r="O212" i="1"/>
  <c r="V211" i="1"/>
  <c r="BU263" i="1"/>
  <c r="L211" i="1"/>
  <c r="X234" i="1"/>
  <c r="BM57" i="1"/>
  <c r="AI57" i="1"/>
  <c r="AS281" i="1"/>
  <c r="AI215" i="1"/>
  <c r="R193" i="1"/>
  <c r="S241" i="1" s="1"/>
  <c r="H215" i="1"/>
  <c r="BF226" i="1"/>
  <c r="T212" i="1"/>
  <c r="AR226" i="1"/>
  <c r="J215" i="1"/>
  <c r="N234" i="1"/>
  <c r="Q211" i="1"/>
  <c r="P211" i="1"/>
  <c r="J234" i="1"/>
  <c r="G234" i="1"/>
  <c r="AV263" i="1"/>
  <c r="S215" i="1"/>
  <c r="BJ281" i="1"/>
  <c r="I211" i="1"/>
  <c r="AX226" i="1"/>
  <c r="U193" i="1"/>
  <c r="L234" i="1"/>
  <c r="L212" i="1"/>
  <c r="K212" i="1"/>
  <c r="I193" i="1"/>
  <c r="J241" i="1" s="1"/>
  <c r="J211" i="1"/>
  <c r="Q212" i="1"/>
  <c r="J212" i="1"/>
  <c r="O193" i="1"/>
  <c r="P241" i="1" s="1"/>
  <c r="H211" i="1"/>
  <c r="N211" i="1"/>
  <c r="T215" i="1"/>
  <c r="E211" i="1"/>
  <c r="BE226" i="1"/>
  <c r="BJ282" i="1"/>
  <c r="BI50" i="1"/>
  <c r="AW282" i="1"/>
  <c r="N212" i="1"/>
  <c r="T193" i="1"/>
  <c r="U241" i="1" s="1"/>
  <c r="E212" i="1"/>
  <c r="P212" i="1"/>
  <c r="E193" i="1"/>
  <c r="F241" i="1" s="1"/>
  <c r="V212" i="1"/>
  <c r="F234" i="1"/>
  <c r="R215" i="1"/>
  <c r="P193" i="1"/>
  <c r="Q241" i="1" s="1"/>
  <c r="BP50" i="1"/>
  <c r="R211" i="1"/>
  <c r="BR50" i="1"/>
  <c r="AP263" i="1"/>
  <c r="N215" i="1"/>
  <c r="U212" i="1"/>
  <c r="T211" i="1"/>
  <c r="AQ33" i="1"/>
  <c r="BT50" i="1"/>
  <c r="BQ281" i="1"/>
  <c r="BB50" i="1"/>
  <c r="AV281" i="1"/>
  <c r="G212" i="1"/>
  <c r="BN50" i="1"/>
  <c r="BO281" i="1"/>
  <c r="BF263" i="1"/>
  <c r="M211" i="1"/>
  <c r="G211" i="1"/>
  <c r="AP50" i="1"/>
  <c r="M212" i="1"/>
  <c r="V215" i="1"/>
  <c r="O211" i="1"/>
  <c r="CX32" i="1"/>
  <c r="CX34" i="1" s="1"/>
  <c r="CX263" i="1"/>
  <c r="CW263" i="1"/>
  <c r="CA112" i="1"/>
  <c r="CA111" i="1"/>
  <c r="BW114" i="1"/>
  <c r="CA110" i="1"/>
  <c r="CT102" i="1"/>
  <c r="BP263" i="1"/>
  <c r="BK263" i="1"/>
  <c r="BE263" i="1"/>
  <c r="BT263" i="1"/>
  <c r="AU263" i="1"/>
  <c r="BC263" i="1"/>
  <c r="AI214" i="1"/>
  <c r="AW263" i="1"/>
  <c r="AZ263" i="1"/>
  <c r="AW123" i="1"/>
  <c r="AW124" i="1" s="1"/>
  <c r="BN263" i="1"/>
  <c r="AY281" i="1"/>
  <c r="AX282" i="1"/>
  <c r="AX281" i="1"/>
  <c r="BT281" i="1"/>
  <c r="BC226" i="1"/>
  <c r="AT281" i="1"/>
  <c r="AP226" i="1"/>
  <c r="AI61" i="1"/>
  <c r="CW184" i="1"/>
  <c r="CW177" i="1"/>
  <c r="CW50" i="1"/>
  <c r="CW44" i="1" s="1"/>
  <c r="CW185" i="1"/>
  <c r="CW176" i="1"/>
  <c r="CW175" i="1"/>
  <c r="BC282" i="1"/>
  <c r="AO226" i="1"/>
  <c r="BW226" i="1"/>
  <c r="BO226" i="1"/>
  <c r="BA226" i="1"/>
  <c r="CT189" i="1"/>
  <c r="AT226" i="1"/>
  <c r="BM226" i="1"/>
  <c r="AZ226" i="1"/>
  <c r="BB226" i="1"/>
  <c r="CV184" i="1"/>
  <c r="CV177" i="1"/>
  <c r="CV50" i="1"/>
  <c r="CV44" i="1" s="1"/>
  <c r="CV175" i="1"/>
  <c r="CV176" i="1"/>
  <c r="CV185" i="1"/>
  <c r="BH226" i="1"/>
  <c r="AD29" i="1"/>
  <c r="CU263" i="1"/>
  <c r="BE281" i="1"/>
  <c r="AQ226" i="1"/>
  <c r="BR226" i="1"/>
  <c r="AT282" i="1"/>
  <c r="AI226" i="1"/>
  <c r="AI235" i="1"/>
  <c r="AI233" i="1" s="1"/>
  <c r="BI226" i="1"/>
  <c r="AX263" i="1"/>
  <c r="CU32" i="1"/>
  <c r="BN281" i="1"/>
  <c r="CZ263" i="1"/>
  <c r="BK281" i="1"/>
  <c r="AY263" i="1"/>
  <c r="BN226" i="1"/>
  <c r="BN282" i="1"/>
  <c r="AY226" i="1"/>
  <c r="AY282" i="1"/>
  <c r="CW34" i="1"/>
  <c r="AB168" i="1"/>
  <c r="AD181" i="1"/>
  <c r="AE181" i="1"/>
  <c r="AD147" i="1"/>
  <c r="AE147" i="1"/>
  <c r="CQ90" i="1"/>
  <c r="CQ124" i="1" s="1"/>
  <c r="CQ127" i="1" s="1"/>
  <c r="CR88" i="1"/>
  <c r="AC195" i="1"/>
  <c r="BU1" i="1"/>
  <c r="Q51" i="1"/>
  <c r="P51" i="1"/>
  <c r="O51" i="1"/>
  <c r="I51" i="1"/>
  <c r="H51" i="1"/>
  <c r="G51" i="1"/>
  <c r="U51" i="1"/>
  <c r="T51" i="1"/>
  <c r="S51" i="1"/>
  <c r="R51" i="1"/>
  <c r="N51" i="1"/>
  <c r="M51" i="1"/>
  <c r="L51" i="1"/>
  <c r="K51" i="1"/>
  <c r="J51" i="1"/>
  <c r="F51" i="1"/>
  <c r="E51" i="1"/>
  <c r="C51" i="1"/>
  <c r="I10" i="3"/>
  <c r="AJ41" i="3"/>
  <c r="Y13" i="3"/>
  <c r="AB96" i="3"/>
  <c r="AM9" i="3"/>
  <c r="K34" i="3"/>
  <c r="AQ42" i="3"/>
  <c r="C19" i="3"/>
  <c r="AL13" i="3"/>
  <c r="AA20" i="3"/>
  <c r="V40" i="3"/>
  <c r="P15" i="3"/>
  <c r="T35" i="3"/>
  <c r="O42" i="3"/>
  <c r="C40" i="3"/>
  <c r="AQ34" i="3"/>
  <c r="K25" i="3"/>
  <c r="AD30" i="3"/>
  <c r="AD50" i="3"/>
  <c r="AE22" i="3"/>
  <c r="AA39" i="3"/>
  <c r="R15" i="3"/>
  <c r="T24" i="3"/>
  <c r="Q41" i="3"/>
  <c r="AE39" i="3"/>
  <c r="C42" i="3"/>
  <c r="AQ20" i="3"/>
  <c r="Z7" i="3"/>
  <c r="P20" i="3"/>
  <c r="Y24" i="3"/>
  <c r="R42" i="3"/>
  <c r="G39" i="3"/>
  <c r="O9" i="3"/>
  <c r="AI41" i="3"/>
  <c r="P27" i="3"/>
  <c r="AB56" i="3"/>
  <c r="L27" i="3"/>
  <c r="AO12" i="3"/>
  <c r="AP68" i="3"/>
  <c r="J39" i="3"/>
  <c r="AM19" i="3"/>
  <c r="AG32" i="3"/>
  <c r="X37" i="3"/>
  <c r="AP90" i="3"/>
  <c r="W33" i="3"/>
  <c r="AN25" i="3"/>
  <c r="AP16" i="3"/>
  <c r="AM23" i="3"/>
  <c r="O17" i="3"/>
  <c r="AP26" i="3"/>
  <c r="R33" i="3"/>
  <c r="AL7" i="3"/>
  <c r="AP87" i="3"/>
  <c r="AN32" i="3"/>
  <c r="L40" i="3"/>
  <c r="X12" i="3"/>
  <c r="AH11" i="3"/>
  <c r="W32" i="3"/>
  <c r="AE26" i="3"/>
  <c r="AL9" i="3"/>
  <c r="P26" i="3"/>
  <c r="AB24" i="3"/>
  <c r="Q6" i="3"/>
  <c r="AB93" i="3"/>
  <c r="AH33" i="3"/>
  <c r="AC32" i="3"/>
  <c r="AE31" i="3"/>
  <c r="AI38" i="3"/>
  <c r="X16" i="3"/>
  <c r="AJ18" i="3"/>
  <c r="AM30" i="3"/>
  <c r="AI16" i="3"/>
  <c r="S32" i="3"/>
  <c r="S10" i="3"/>
  <c r="X33" i="3"/>
  <c r="AB77" i="3"/>
  <c r="I19" i="3"/>
  <c r="AD40" i="3"/>
  <c r="W37" i="3"/>
  <c r="AG41" i="3"/>
  <c r="U32" i="3"/>
  <c r="AG7" i="3"/>
  <c r="I32" i="3"/>
  <c r="AG30" i="3"/>
  <c r="AP96" i="3"/>
  <c r="AH40" i="3"/>
  <c r="W19" i="3"/>
  <c r="AL38" i="3"/>
  <c r="M15" i="3"/>
  <c r="AE35" i="3"/>
  <c r="G50" i="3"/>
  <c r="T32" i="3"/>
  <c r="I42" i="3"/>
  <c r="AB32" i="3"/>
  <c r="AB97" i="3"/>
  <c r="AE40" i="3"/>
  <c r="X10" i="3"/>
  <c r="Y34" i="3"/>
  <c r="I14" i="3"/>
  <c r="AJ28" i="3"/>
  <c r="AM10" i="3"/>
  <c r="AA10" i="3"/>
  <c r="M21" i="3"/>
  <c r="Y17" i="3"/>
  <c r="AA9" i="3"/>
  <c r="AH16" i="3"/>
  <c r="V29" i="3"/>
  <c r="AA13" i="3"/>
  <c r="AH25" i="3"/>
  <c r="O7" i="3"/>
  <c r="P6" i="3"/>
  <c r="AP9" i="3"/>
  <c r="AL24" i="3"/>
  <c r="AC17" i="3"/>
  <c r="AC25" i="3"/>
  <c r="AP76" i="3"/>
  <c r="T33" i="3"/>
  <c r="W35" i="3"/>
  <c r="AQ36" i="3"/>
  <c r="Q15" i="3"/>
  <c r="Q26" i="3"/>
  <c r="H15" i="3"/>
  <c r="L28" i="3"/>
  <c r="AL26" i="3"/>
  <c r="T42" i="3"/>
  <c r="AN16" i="3"/>
  <c r="Q29" i="3"/>
  <c r="AG33" i="3"/>
  <c r="I40" i="3"/>
  <c r="W21" i="3"/>
  <c r="X9" i="3"/>
  <c r="AP14" i="3"/>
  <c r="X26" i="3"/>
  <c r="AO42" i="3"/>
  <c r="M6" i="3"/>
  <c r="AP31" i="3"/>
  <c r="V13" i="3"/>
  <c r="M22" i="3"/>
  <c r="L24" i="3"/>
  <c r="AB41" i="3"/>
  <c r="AO27" i="3"/>
  <c r="AB29" i="3"/>
  <c r="J30" i="3"/>
  <c r="P34" i="3"/>
  <c r="AG24" i="3"/>
  <c r="AM27" i="3"/>
  <c r="O21" i="3"/>
  <c r="AL15" i="3"/>
  <c r="AB50" i="3"/>
  <c r="AI11" i="3"/>
  <c r="R12" i="3"/>
  <c r="AD47" i="3"/>
  <c r="I6" i="3"/>
  <c r="AB8" i="3"/>
  <c r="AM25" i="3"/>
  <c r="AQ33" i="3"/>
  <c r="AC21" i="3"/>
  <c r="AO33" i="3"/>
  <c r="V32" i="3"/>
  <c r="Y29" i="3"/>
  <c r="AA19" i="3"/>
  <c r="AB94" i="3"/>
  <c r="AB64" i="3"/>
  <c r="AK38" i="3"/>
  <c r="AQ41" i="3"/>
  <c r="AI5" i="3"/>
  <c r="S41" i="3"/>
  <c r="J41" i="3"/>
  <c r="AA6" i="3"/>
  <c r="P18" i="3"/>
  <c r="Q28" i="3"/>
  <c r="AO29" i="3"/>
  <c r="AH14" i="3"/>
  <c r="H10" i="3"/>
  <c r="AM33" i="3"/>
  <c r="AC41" i="3"/>
  <c r="AJ21" i="3"/>
  <c r="AP84" i="3"/>
  <c r="P42" i="3"/>
  <c r="AO9" i="3"/>
  <c r="AC15" i="3"/>
  <c r="AQ15" i="3"/>
  <c r="P19" i="3"/>
  <c r="H39" i="3"/>
  <c r="AQ8" i="3"/>
  <c r="H14" i="3"/>
  <c r="R41" i="3"/>
  <c r="V19" i="3"/>
  <c r="AP21" i="3"/>
  <c r="AL21" i="3"/>
  <c r="I11" i="3"/>
  <c r="AN35" i="3"/>
  <c r="AJ6" i="3"/>
  <c r="Y11" i="3"/>
  <c r="U27" i="3"/>
  <c r="AK16" i="3"/>
  <c r="AG5" i="3"/>
  <c r="AK39" i="3"/>
  <c r="AB74" i="3"/>
  <c r="W40" i="3"/>
  <c r="I38" i="3"/>
  <c r="L26" i="3"/>
  <c r="AI9" i="3"/>
  <c r="Q10" i="3"/>
  <c r="U29" i="3"/>
  <c r="AC18" i="3"/>
  <c r="N20" i="3"/>
  <c r="AP93" i="3"/>
  <c r="AJ14" i="3"/>
  <c r="J8" i="3"/>
  <c r="Q23" i="3"/>
  <c r="AJ33" i="3"/>
  <c r="AK10" i="3"/>
  <c r="AC24" i="3"/>
  <c r="T17" i="3"/>
  <c r="J10" i="3"/>
  <c r="AA42" i="3"/>
  <c r="AG71" i="3"/>
  <c r="T22" i="3"/>
  <c r="AH5" i="3"/>
  <c r="AH26" i="3"/>
  <c r="Z42" i="3"/>
  <c r="AD23" i="3"/>
  <c r="AI19" i="3"/>
  <c r="Z41" i="3"/>
  <c r="AK30" i="3"/>
  <c r="Q14" i="3"/>
  <c r="G36" i="3"/>
  <c r="AG31" i="3"/>
  <c r="AA28" i="3"/>
  <c r="AI96" i="3"/>
  <c r="S28" i="3"/>
  <c r="M40" i="3"/>
  <c r="AQ18" i="3"/>
  <c r="K26" i="3"/>
  <c r="AP65" i="3"/>
  <c r="Z32" i="3"/>
  <c r="W23" i="3"/>
  <c r="AI88" i="3"/>
  <c r="K20" i="3"/>
  <c r="AH82" i="3"/>
  <c r="AO26" i="3"/>
  <c r="C37" i="3"/>
  <c r="AO14" i="3"/>
  <c r="AQ37" i="3"/>
  <c r="AP27" i="3"/>
  <c r="Y36" i="3"/>
  <c r="AG69" i="3"/>
  <c r="AH62" i="3"/>
  <c r="AJ15" i="3"/>
  <c r="D50" i="3"/>
  <c r="AG42" i="3"/>
  <c r="AK37" i="3"/>
  <c r="X36" i="3"/>
  <c r="AG16" i="3"/>
  <c r="AI50" i="3"/>
  <c r="S33" i="3"/>
  <c r="W17" i="3"/>
  <c r="O14" i="3"/>
  <c r="AB49" i="3"/>
  <c r="C16" i="3"/>
  <c r="AP77" i="3"/>
  <c r="H24" i="3"/>
  <c r="AI63" i="3"/>
  <c r="AA30" i="3"/>
  <c r="C15" i="3"/>
  <c r="O10" i="3"/>
  <c r="M42" i="3"/>
  <c r="AJ17" i="3"/>
  <c r="N8" i="3"/>
  <c r="R39" i="3"/>
  <c r="L29" i="3"/>
  <c r="L16" i="3"/>
  <c r="K11" i="3"/>
  <c r="I20" i="3"/>
  <c r="M29" i="3"/>
  <c r="S5" i="3"/>
  <c r="AP75" i="3"/>
  <c r="U28" i="3"/>
  <c r="O20" i="3"/>
  <c r="H17" i="3"/>
  <c r="S15" i="3"/>
  <c r="L33" i="3"/>
  <c r="W36" i="3"/>
  <c r="AC28" i="3"/>
  <c r="AM20" i="3"/>
  <c r="AA16" i="3"/>
  <c r="J24" i="3"/>
  <c r="AM6" i="3"/>
  <c r="Z34" i="3"/>
  <c r="AI15" i="3"/>
  <c r="X40" i="3"/>
  <c r="AL8" i="3"/>
  <c r="Y41" i="3"/>
  <c r="AM40" i="3"/>
  <c r="AP48" i="3"/>
  <c r="AO34" i="3"/>
  <c r="S93" i="3"/>
  <c r="H28" i="3"/>
  <c r="AB26" i="3"/>
  <c r="Y19" i="3"/>
  <c r="T5" i="3"/>
  <c r="T70" i="3" s="1"/>
  <c r="S76" i="3"/>
  <c r="AJ42" i="3"/>
  <c r="L38" i="3"/>
  <c r="M26" i="3"/>
  <c r="AB61" i="3"/>
  <c r="S49" i="3"/>
  <c r="Y39" i="3"/>
  <c r="AG89" i="3"/>
  <c r="AL10" i="3"/>
  <c r="O39" i="3"/>
  <c r="AD22" i="3"/>
  <c r="M30" i="3"/>
  <c r="K5" i="3"/>
  <c r="U17" i="3"/>
  <c r="AG34" i="3"/>
  <c r="AP30" i="3"/>
  <c r="AL33" i="3"/>
  <c r="AE19" i="3"/>
  <c r="AP19" i="3"/>
  <c r="Y15" i="3"/>
  <c r="AH39" i="3"/>
  <c r="U23" i="3"/>
  <c r="U42" i="3"/>
  <c r="AE36" i="3"/>
  <c r="AO18" i="3"/>
  <c r="R28" i="3"/>
  <c r="C14" i="3"/>
  <c r="W25" i="3"/>
  <c r="M39" i="3"/>
  <c r="S16" i="3"/>
  <c r="L42" i="3"/>
  <c r="Q24" i="3"/>
  <c r="AI57" i="3"/>
  <c r="I7" i="3"/>
  <c r="Z6" i="3"/>
  <c r="L11" i="3"/>
  <c r="AB69" i="3"/>
  <c r="AB80" i="3"/>
  <c r="I21" i="3"/>
  <c r="W31" i="3"/>
  <c r="H34" i="3"/>
  <c r="AQ32" i="3"/>
  <c r="S11" i="3"/>
  <c r="AH32" i="3"/>
  <c r="Z37" i="3"/>
  <c r="AP63" i="3"/>
  <c r="AB83" i="3"/>
  <c r="AN30" i="3"/>
  <c r="AP8" i="3"/>
  <c r="AP74" i="3"/>
  <c r="AK29" i="3"/>
  <c r="AK7" i="3"/>
  <c r="AQ22" i="3"/>
  <c r="U24" i="3"/>
  <c r="AA36" i="3"/>
  <c r="N7" i="3"/>
  <c r="AJ10" i="3"/>
  <c r="AH7" i="3"/>
  <c r="J32" i="3"/>
  <c r="K6" i="3"/>
  <c r="AP50" i="3"/>
  <c r="AM15" i="3"/>
  <c r="S27" i="3"/>
  <c r="AB40" i="3"/>
  <c r="S36" i="3"/>
  <c r="O37" i="3"/>
  <c r="W14" i="3"/>
  <c r="O24" i="3"/>
  <c r="AC33" i="3"/>
  <c r="M11" i="3"/>
  <c r="AC26" i="3"/>
  <c r="AC40" i="3"/>
  <c r="W13" i="3"/>
  <c r="Q34" i="3"/>
  <c r="P9" i="3"/>
  <c r="AP49" i="3"/>
  <c r="AM16" i="3"/>
  <c r="H22" i="3"/>
  <c r="N27" i="3"/>
  <c r="AN34" i="3"/>
  <c r="AN37" i="3"/>
  <c r="W11" i="3"/>
  <c r="AI14" i="3"/>
  <c r="U18" i="3"/>
  <c r="G35" i="3"/>
  <c r="X6" i="3"/>
  <c r="R6" i="3"/>
  <c r="Y23" i="3"/>
  <c r="AJ27" i="3"/>
  <c r="AD33" i="3"/>
  <c r="C48" i="3"/>
  <c r="AI97" i="3"/>
  <c r="M7" i="3"/>
  <c r="V9" i="3"/>
  <c r="D48" i="3"/>
  <c r="AH34" i="3"/>
  <c r="AP67" i="3"/>
  <c r="AB35" i="3"/>
  <c r="I35" i="3"/>
  <c r="J14" i="3"/>
  <c r="P11" i="3"/>
  <c r="W18" i="3"/>
  <c r="I17" i="3"/>
  <c r="Y12" i="3"/>
  <c r="I9" i="3"/>
  <c r="Y7" i="3"/>
  <c r="Z38" i="3"/>
  <c r="AK17" i="3"/>
  <c r="V41" i="3"/>
  <c r="AD49" i="3"/>
  <c r="S6" i="3"/>
  <c r="T30" i="3"/>
  <c r="C8" i="3"/>
  <c r="W20" i="3"/>
  <c r="AD42" i="3"/>
  <c r="AJ5" i="3"/>
  <c r="J40" i="3"/>
  <c r="C10" i="3"/>
  <c r="AE25" i="3"/>
  <c r="AG70" i="3"/>
  <c r="AI21" i="3"/>
  <c r="R38" i="3"/>
  <c r="H27" i="3"/>
  <c r="AI33" i="3"/>
  <c r="L7" i="3"/>
  <c r="W6" i="3"/>
  <c r="G40" i="3"/>
  <c r="I26" i="3"/>
  <c r="U14" i="3"/>
  <c r="S62" i="3"/>
  <c r="AQ24" i="3"/>
  <c r="AI65" i="3"/>
  <c r="J28" i="3"/>
  <c r="N12" i="3"/>
  <c r="AN27" i="3"/>
  <c r="J7" i="3"/>
  <c r="AP89" i="3"/>
  <c r="L12" i="3"/>
  <c r="H8" i="3"/>
  <c r="Y26" i="3"/>
  <c r="AG63" i="3"/>
  <c r="K87" i="3"/>
  <c r="AJ49" i="3"/>
  <c r="T74" i="3"/>
  <c r="I5" i="3"/>
  <c r="V38" i="3"/>
  <c r="S55" i="3"/>
  <c r="W15" i="3"/>
  <c r="J37" i="3"/>
  <c r="L35" i="3"/>
  <c r="G48" i="3"/>
  <c r="Y14" i="3"/>
  <c r="AG80" i="3"/>
  <c r="X14" i="3"/>
  <c r="AJ58" i="3"/>
  <c r="K93" i="3"/>
  <c r="K15" i="3"/>
  <c r="AP34" i="3"/>
  <c r="X41" i="3"/>
  <c r="P7" i="3"/>
  <c r="I41" i="3"/>
  <c r="AJ39" i="3"/>
  <c r="AM8" i="3"/>
  <c r="AO11" i="3"/>
  <c r="O6" i="3"/>
  <c r="AB72" i="3"/>
  <c r="Q9" i="3"/>
  <c r="W41" i="3"/>
  <c r="H13" i="3"/>
  <c r="AN24" i="3"/>
  <c r="AD32" i="3"/>
  <c r="S58" i="3"/>
  <c r="C6" i="3"/>
  <c r="AE29" i="3"/>
  <c r="AJ24" i="3"/>
  <c r="P12" i="3"/>
  <c r="J25" i="3"/>
  <c r="O32" i="3"/>
  <c r="AM41" i="3"/>
  <c r="U7" i="3"/>
  <c r="AA33" i="3"/>
  <c r="M18" i="3"/>
  <c r="AA15" i="3"/>
  <c r="L8" i="3"/>
  <c r="O41" i="3"/>
  <c r="AP41" i="3"/>
  <c r="L14" i="3"/>
  <c r="AN23" i="3"/>
  <c r="S20" i="3"/>
  <c r="AB39" i="3"/>
  <c r="I36" i="3"/>
  <c r="AI6" i="3"/>
  <c r="AP79" i="3"/>
  <c r="S91" i="3"/>
  <c r="Y31" i="3"/>
  <c r="AI75" i="3"/>
  <c r="AI61" i="3"/>
  <c r="AM34" i="3"/>
  <c r="J35" i="3"/>
  <c r="K67" i="3"/>
  <c r="AE21" i="3"/>
  <c r="T69" i="3"/>
  <c r="AE20" i="3"/>
  <c r="N16" i="3"/>
  <c r="AI78" i="3"/>
  <c r="AJ94" i="3"/>
  <c r="I48" i="3"/>
  <c r="AE12" i="3"/>
  <c r="AN41" i="3"/>
  <c r="AH80" i="3"/>
  <c r="C41" i="3"/>
  <c r="T64" i="3"/>
  <c r="AB73" i="3"/>
  <c r="AG47" i="3"/>
  <c r="AJ79" i="3"/>
  <c r="S95" i="3"/>
  <c r="J21" i="3"/>
  <c r="T60" i="3"/>
  <c r="Z24" i="3"/>
  <c r="N37" i="3"/>
  <c r="L32" i="3"/>
  <c r="AL34" i="3"/>
  <c r="K69" i="3"/>
  <c r="C24" i="3"/>
  <c r="M24" i="3"/>
  <c r="AQ29" i="3"/>
  <c r="AP42" i="3"/>
  <c r="AJ96" i="3"/>
  <c r="I12" i="3"/>
  <c r="P28" i="3"/>
  <c r="T92" i="3"/>
  <c r="AH83" i="3"/>
  <c r="AI89" i="3"/>
  <c r="H23" i="3"/>
  <c r="N18" i="3"/>
  <c r="AJ68" i="3"/>
  <c r="AH78" i="3"/>
  <c r="AG92" i="3"/>
  <c r="M12" i="3"/>
  <c r="U12" i="3"/>
  <c r="Q21" i="3"/>
  <c r="X21" i="3"/>
  <c r="S79" i="3"/>
  <c r="AJ7" i="3"/>
  <c r="AG96" i="3"/>
  <c r="AG57" i="3"/>
  <c r="K92" i="3"/>
  <c r="AH47" i="3"/>
  <c r="AH42" i="3"/>
  <c r="Z22" i="3"/>
  <c r="W8" i="3"/>
  <c r="M27" i="3"/>
  <c r="I23" i="3"/>
  <c r="T20" i="3"/>
  <c r="R19" i="3"/>
  <c r="Z11" i="3"/>
  <c r="T23" i="3"/>
  <c r="K14" i="3"/>
  <c r="P37" i="3"/>
  <c r="Y40" i="3"/>
  <c r="V10" i="3"/>
  <c r="AG20" i="3"/>
  <c r="R16" i="3"/>
  <c r="Q20" i="3"/>
  <c r="M23" i="3"/>
  <c r="AD28" i="3"/>
  <c r="L39" i="3"/>
  <c r="AQ28" i="3"/>
  <c r="AP47" i="3"/>
  <c r="U9" i="3"/>
  <c r="Q37" i="3"/>
  <c r="W12" i="3"/>
  <c r="AH35" i="3"/>
  <c r="AI37" i="3"/>
  <c r="AJ26" i="3"/>
  <c r="AH21" i="3"/>
  <c r="AN38" i="3"/>
  <c r="W42" i="3"/>
  <c r="L20" i="3"/>
  <c r="R11" i="3"/>
  <c r="W28" i="3"/>
  <c r="J16" i="3"/>
  <c r="AI22" i="3"/>
  <c r="I33" i="3"/>
  <c r="AO41" i="3"/>
  <c r="AJ13" i="3"/>
  <c r="AB95" i="3"/>
  <c r="AM28" i="3"/>
  <c r="P31" i="3"/>
  <c r="AA29" i="3"/>
  <c r="AN19" i="3"/>
  <c r="AG11" i="3"/>
  <c r="I25" i="3"/>
  <c r="M10" i="3"/>
  <c r="AI32" i="3"/>
  <c r="L15" i="3"/>
  <c r="Z19" i="3"/>
  <c r="AB76" i="3"/>
  <c r="AA34" i="3"/>
  <c r="AB66" i="3"/>
  <c r="AP55" i="3"/>
  <c r="I15" i="3"/>
  <c r="V31" i="3"/>
  <c r="AC14" i="3"/>
  <c r="AP80" i="3"/>
  <c r="S21" i="3"/>
  <c r="O15" i="3"/>
  <c r="AO37" i="3"/>
  <c r="Q18" i="3"/>
  <c r="AB22" i="3"/>
  <c r="S31" i="3"/>
  <c r="P8" i="3"/>
  <c r="AI39" i="3"/>
  <c r="J18" i="3"/>
  <c r="R5" i="3"/>
  <c r="AB6" i="3"/>
  <c r="AA11" i="3"/>
  <c r="AG10" i="3"/>
  <c r="R37" i="3"/>
  <c r="N9" i="3"/>
  <c r="X11" i="3"/>
  <c r="K13" i="3"/>
  <c r="AA25" i="3"/>
  <c r="Q39" i="3"/>
  <c r="AG61" i="3"/>
  <c r="AH65" i="3"/>
  <c r="AL42" i="3"/>
  <c r="AG66" i="3"/>
  <c r="AG91" i="3"/>
  <c r="U21" i="3"/>
  <c r="V20" i="3"/>
  <c r="I37" i="3"/>
  <c r="M9" i="3"/>
  <c r="AK8" i="3"/>
  <c r="AB86" i="3"/>
  <c r="AD26" i="3"/>
  <c r="I27" i="3"/>
  <c r="AL16" i="3"/>
  <c r="AP39" i="3"/>
  <c r="AQ10" i="3"/>
  <c r="AO23" i="3"/>
  <c r="U35" i="3"/>
  <c r="AJ23" i="3"/>
  <c r="AE28" i="3"/>
  <c r="AI40" i="3"/>
  <c r="Y20" i="3"/>
  <c r="AL23" i="3"/>
  <c r="N15" i="3"/>
  <c r="AB25" i="3"/>
  <c r="AL6" i="3"/>
  <c r="Q13" i="3"/>
  <c r="S57" i="3"/>
  <c r="AH8" i="3"/>
  <c r="AJ59" i="3"/>
  <c r="AI93" i="3"/>
  <c r="Q36" i="3"/>
  <c r="AH85" i="3"/>
  <c r="Y10" i="3"/>
  <c r="T38" i="3"/>
  <c r="AK20" i="3"/>
  <c r="AA37" i="3"/>
  <c r="X8" i="3"/>
  <c r="AK41" i="3"/>
  <c r="AH76" i="3"/>
  <c r="AO28" i="3"/>
  <c r="U30" i="3"/>
  <c r="AL39" i="3"/>
  <c r="V17" i="3"/>
  <c r="AP60" i="3"/>
  <c r="AB63" i="3"/>
  <c r="C32" i="3"/>
  <c r="AD34" i="3"/>
  <c r="AO36" i="3"/>
  <c r="AO40" i="3"/>
  <c r="AP18" i="3"/>
  <c r="AE17" i="3"/>
  <c r="J6" i="3"/>
  <c r="AD48" i="3"/>
  <c r="Z30" i="3"/>
  <c r="AM12" i="3"/>
  <c r="G49" i="3"/>
  <c r="X15" i="3"/>
  <c r="C20" i="3"/>
  <c r="AH15" i="3"/>
  <c r="AN29" i="3"/>
  <c r="AH12" i="3"/>
  <c r="I16" i="3"/>
  <c r="AB21" i="3"/>
  <c r="C34" i="3"/>
  <c r="AH22" i="3"/>
  <c r="K27" i="3"/>
  <c r="AH10" i="3"/>
  <c r="S29" i="3"/>
  <c r="W27" i="3"/>
  <c r="AI83" i="3"/>
  <c r="AM42" i="3"/>
  <c r="K32" i="3"/>
  <c r="V16" i="3"/>
  <c r="C22" i="3"/>
  <c r="R22" i="3"/>
  <c r="AK24" i="3"/>
  <c r="K17" i="3"/>
  <c r="AJ36" i="3"/>
  <c r="Q17" i="3"/>
  <c r="Q38" i="3"/>
  <c r="Q31" i="3"/>
  <c r="AK27" i="3"/>
  <c r="R29" i="3"/>
  <c r="AO32" i="3"/>
  <c r="AH31" i="3"/>
  <c r="AD25" i="3"/>
  <c r="AB31" i="3"/>
  <c r="R36" i="3"/>
  <c r="AI54" i="3"/>
  <c r="Z16" i="3"/>
  <c r="H16" i="3"/>
  <c r="AB48" i="3"/>
  <c r="V6" i="3"/>
  <c r="G34" i="3"/>
  <c r="AE13" i="3"/>
  <c r="AI13" i="3"/>
  <c r="N41" i="3"/>
  <c r="AO22" i="3"/>
  <c r="I8" i="3"/>
  <c r="AJ22" i="3"/>
  <c r="AG9" i="3"/>
  <c r="K33" i="3"/>
  <c r="AQ23" i="3"/>
  <c r="L5" i="3"/>
  <c r="AG50" i="3"/>
  <c r="N21" i="3"/>
  <c r="X13" i="3"/>
  <c r="AP85" i="3"/>
  <c r="C17" i="3"/>
  <c r="X31" i="3"/>
  <c r="C26" i="3"/>
  <c r="T18" i="3"/>
  <c r="Z39" i="3"/>
  <c r="AP36" i="3"/>
  <c r="Z33" i="3"/>
  <c r="C47" i="3"/>
  <c r="P38" i="3"/>
  <c r="R30" i="3"/>
  <c r="Y38" i="3"/>
  <c r="I39" i="3"/>
  <c r="AP81" i="3"/>
  <c r="N13" i="3"/>
  <c r="P32" i="3"/>
  <c r="V36" i="3"/>
  <c r="T13" i="3"/>
  <c r="O35" i="3"/>
  <c r="AB82" i="3"/>
  <c r="Q8" i="3"/>
  <c r="AC31" i="3"/>
  <c r="C39" i="3"/>
  <c r="V7" i="3"/>
  <c r="AB30" i="3"/>
  <c r="N35" i="3"/>
  <c r="C36" i="3"/>
  <c r="N11" i="3"/>
  <c r="AP64" i="3"/>
  <c r="Q12" i="3"/>
  <c r="K19" i="3"/>
  <c r="T11" i="3"/>
  <c r="AN14" i="3"/>
  <c r="V37" i="3"/>
  <c r="Z5" i="3"/>
  <c r="O13" i="3"/>
  <c r="AE24" i="3"/>
  <c r="T31" i="3"/>
  <c r="AP62" i="3"/>
  <c r="AQ11" i="3"/>
  <c r="AI8" i="3"/>
  <c r="AB13" i="3"/>
  <c r="X22" i="3"/>
  <c r="AI7" i="3"/>
  <c r="E47" i="3"/>
  <c r="AI69" i="3"/>
  <c r="AE32" i="3"/>
  <c r="AB87" i="3"/>
  <c r="O5" i="3"/>
  <c r="N28" i="3"/>
  <c r="R35" i="3"/>
  <c r="AG65" i="3"/>
  <c r="AP40" i="3"/>
  <c r="V22" i="3"/>
  <c r="G38" i="3"/>
  <c r="J20" i="3"/>
  <c r="N24" i="3"/>
  <c r="J13" i="3"/>
  <c r="L19" i="3"/>
  <c r="AQ35" i="3"/>
  <c r="T16" i="3"/>
  <c r="R8" i="3"/>
  <c r="AM39" i="3"/>
  <c r="M37" i="3"/>
  <c r="AK15" i="3"/>
  <c r="AL31" i="3"/>
  <c r="Z87" i="3"/>
  <c r="T84" i="3"/>
  <c r="AI42" i="3"/>
  <c r="AB10" i="3"/>
  <c r="AJ88" i="3"/>
  <c r="K47" i="3"/>
  <c r="AI79" i="3"/>
  <c r="Q40" i="3"/>
  <c r="R9" i="3"/>
  <c r="AO7" i="3"/>
  <c r="U11" i="3"/>
  <c r="AC5" i="3"/>
  <c r="AG79" i="3"/>
  <c r="X29" i="3"/>
  <c r="AG49" i="3"/>
  <c r="AI86" i="3"/>
  <c r="L6" i="3"/>
  <c r="L58" i="3"/>
  <c r="AM11" i="3"/>
  <c r="X38" i="3"/>
  <c r="V23" i="3"/>
  <c r="P14" i="3"/>
  <c r="N32" i="3"/>
  <c r="K85" i="3"/>
  <c r="N40" i="3"/>
  <c r="AL14" i="3"/>
  <c r="S88" i="3"/>
  <c r="T88" i="3"/>
  <c r="AC54" i="3"/>
  <c r="K95" i="3"/>
  <c r="H26" i="3"/>
  <c r="O94" i="3"/>
  <c r="T54" i="3"/>
  <c r="M5" i="3"/>
  <c r="AC13" i="3"/>
  <c r="M28" i="3"/>
  <c r="P30" i="3"/>
  <c r="T72" i="3"/>
  <c r="AB16" i="3"/>
  <c r="L10" i="3"/>
  <c r="AH48" i="3"/>
  <c r="AB19" i="3"/>
  <c r="J17" i="3"/>
  <c r="AH6" i="3"/>
  <c r="M49" i="3"/>
  <c r="AH92" i="3"/>
  <c r="L36" i="3"/>
  <c r="W7" i="3"/>
  <c r="S83" i="3"/>
  <c r="AC82" i="3"/>
  <c r="Z63" i="3"/>
  <c r="AG48" i="3"/>
  <c r="K71" i="3"/>
  <c r="K54" i="3"/>
  <c r="AC97" i="3"/>
  <c r="M85" i="3"/>
  <c r="W9" i="3"/>
  <c r="V18" i="3"/>
  <c r="AG60" i="3"/>
  <c r="L93" i="3"/>
  <c r="AH86" i="3"/>
  <c r="V8" i="3"/>
  <c r="Y22" i="3"/>
  <c r="AC30" i="3"/>
  <c r="M35" i="3"/>
  <c r="T40" i="3"/>
  <c r="X42" i="3"/>
  <c r="AP66" i="3"/>
  <c r="AN5" i="3"/>
  <c r="L22" i="3"/>
  <c r="Z26" i="3"/>
  <c r="AI20" i="3"/>
  <c r="J31" i="3"/>
  <c r="AC16" i="3"/>
  <c r="X17" i="3"/>
  <c r="AG29" i="3"/>
  <c r="V27" i="3"/>
  <c r="O28" i="3"/>
  <c r="K41" i="3"/>
  <c r="Z35" i="3"/>
  <c r="K12" i="3"/>
  <c r="T9" i="3"/>
  <c r="R34" i="3"/>
  <c r="H38" i="3"/>
  <c r="AI68" i="3"/>
  <c r="AQ16" i="3"/>
  <c r="X32" i="3"/>
  <c r="AB81" i="3"/>
  <c r="AG13" i="3"/>
  <c r="AG75" i="3"/>
  <c r="H30" i="3"/>
  <c r="Z20" i="3"/>
  <c r="C18" i="3"/>
  <c r="H32" i="3"/>
  <c r="AJ81" i="3"/>
  <c r="I28" i="3"/>
  <c r="H41" i="3"/>
  <c r="AI18" i="3"/>
  <c r="U6" i="3"/>
  <c r="S63" i="3"/>
  <c r="H12" i="3"/>
  <c r="AG76" i="3"/>
  <c r="Z15" i="3"/>
  <c r="K59" i="3"/>
  <c r="AG86" i="3"/>
  <c r="P5" i="3"/>
  <c r="P56" i="3" s="1"/>
  <c r="AI71" i="3"/>
  <c r="AK21" i="3"/>
  <c r="S87" i="3"/>
  <c r="AH87" i="3"/>
  <c r="AE27" i="3"/>
  <c r="AG68" i="3"/>
  <c r="P57" i="3"/>
  <c r="P40" i="3"/>
  <c r="AI58" i="3"/>
  <c r="R76" i="3"/>
  <c r="M58" i="3"/>
  <c r="AI74" i="3"/>
  <c r="L57" i="3"/>
  <c r="T58" i="3"/>
  <c r="Y35" i="3"/>
  <c r="T56" i="3"/>
  <c r="M8" i="3"/>
  <c r="AC50" i="3"/>
  <c r="AG27" i="3"/>
  <c r="K58" i="3"/>
  <c r="P96" i="3"/>
  <c r="AE15" i="3"/>
  <c r="Z84" i="3"/>
  <c r="O58" i="3"/>
  <c r="L47" i="3"/>
  <c r="AC85" i="3"/>
  <c r="M71" i="3"/>
  <c r="M72" i="3"/>
  <c r="AB38" i="3"/>
  <c r="P13" i="3"/>
  <c r="AI12" i="3"/>
  <c r="S26" i="3"/>
  <c r="AP97" i="3"/>
  <c r="AB71" i="3"/>
  <c r="AJ31" i="3"/>
  <c r="AE37" i="3"/>
  <c r="P33" i="3"/>
  <c r="X7" i="3"/>
  <c r="AA22" i="3"/>
  <c r="Y42" i="3"/>
  <c r="W16" i="3"/>
  <c r="N39" i="3"/>
  <c r="AI35" i="3"/>
  <c r="AB85" i="3"/>
  <c r="R18" i="3"/>
  <c r="AM18" i="3"/>
  <c r="S73" i="3"/>
  <c r="AH36" i="3"/>
  <c r="AG6" i="3"/>
  <c r="Z8" i="3"/>
  <c r="K7" i="3"/>
  <c r="AH28" i="3"/>
  <c r="Q5" i="3"/>
  <c r="AE34" i="3"/>
  <c r="AO35" i="3"/>
  <c r="AM38" i="3"/>
  <c r="O19" i="3"/>
  <c r="L25" i="3"/>
  <c r="K18" i="3"/>
  <c r="AA14" i="3"/>
  <c r="AC9" i="3"/>
  <c r="C31" i="3"/>
  <c r="L96" i="3"/>
  <c r="T93" i="3"/>
  <c r="AJ70" i="3"/>
  <c r="AB27" i="3"/>
  <c r="AA41" i="3"/>
  <c r="P22" i="3"/>
  <c r="T14" i="3"/>
  <c r="AK18" i="3"/>
  <c r="AD35" i="3"/>
  <c r="AH38" i="3"/>
  <c r="AP70" i="3"/>
  <c r="K91" i="3"/>
  <c r="AA23" i="3"/>
  <c r="AK23" i="3"/>
  <c r="AP82" i="3"/>
  <c r="G33" i="3"/>
  <c r="AE11" i="3"/>
  <c r="Z9" i="3"/>
  <c r="U25" i="3"/>
  <c r="AC49" i="3"/>
  <c r="N38" i="3"/>
  <c r="AE8" i="3"/>
  <c r="R65" i="3"/>
  <c r="AJ40" i="3"/>
  <c r="Q48" i="3"/>
  <c r="N42" i="3"/>
  <c r="AQ9" i="3"/>
  <c r="M62" i="3"/>
  <c r="AJ77" i="3"/>
  <c r="AJ90" i="3"/>
  <c r="Z80" i="3"/>
  <c r="L50" i="3"/>
  <c r="AC91" i="3"/>
  <c r="M75" i="3"/>
  <c r="O38" i="3"/>
  <c r="AB28" i="3"/>
  <c r="AN13" i="3"/>
  <c r="AP25" i="3"/>
  <c r="AB67" i="3"/>
  <c r="AI30" i="3"/>
  <c r="AK9" i="3"/>
  <c r="AM35" i="3"/>
  <c r="AP73" i="3"/>
  <c r="K23" i="3"/>
  <c r="U41" i="3"/>
  <c r="U31" i="3"/>
  <c r="AJ16" i="3"/>
  <c r="AG14" i="3"/>
  <c r="X30" i="3"/>
  <c r="Q19" i="3"/>
  <c r="S38" i="3"/>
  <c r="AC34" i="3"/>
  <c r="AB78" i="3"/>
  <c r="L41" i="3"/>
  <c r="AA12" i="3"/>
  <c r="AH37" i="3"/>
  <c r="I34" i="3"/>
  <c r="R25" i="3"/>
  <c r="AP91" i="3"/>
  <c r="V25" i="3"/>
  <c r="L21" i="3"/>
  <c r="AO5" i="3"/>
  <c r="W39" i="3"/>
  <c r="N29" i="3"/>
  <c r="U26" i="3"/>
  <c r="C7" i="3"/>
  <c r="AM7" i="3"/>
  <c r="C13" i="3"/>
  <c r="AG93" i="3"/>
  <c r="J15" i="3"/>
  <c r="AA35" i="3"/>
  <c r="K42" i="3"/>
  <c r="M38" i="3"/>
  <c r="T29" i="3"/>
  <c r="Y30" i="3"/>
  <c r="Q65" i="3"/>
  <c r="AB59" i="3"/>
  <c r="AH30" i="3"/>
  <c r="P16" i="3"/>
  <c r="Z21" i="3"/>
  <c r="AH66" i="3"/>
  <c r="O12" i="3"/>
  <c r="AG19" i="3"/>
  <c r="AK14" i="3"/>
  <c r="AN39" i="3"/>
  <c r="U16" i="3"/>
  <c r="AG81" i="3"/>
  <c r="M32" i="3"/>
  <c r="S85" i="3"/>
  <c r="AN20" i="3"/>
  <c r="AA32" i="3"/>
  <c r="AO17" i="3"/>
  <c r="AG12" i="3"/>
  <c r="T86" i="3"/>
  <c r="AG74" i="3"/>
  <c r="AB15" i="3"/>
  <c r="AE41" i="3"/>
  <c r="Q16" i="3"/>
  <c r="Q30" i="3"/>
  <c r="AO19" i="3"/>
  <c r="AN36" i="3"/>
  <c r="AJ95" i="3"/>
  <c r="AG94" i="3"/>
  <c r="S60" i="3"/>
  <c r="Y37" i="3"/>
  <c r="Y27" i="3"/>
  <c r="AG58" i="3"/>
  <c r="K55" i="3"/>
  <c r="M88" i="3"/>
  <c r="AI48" i="3"/>
  <c r="AH19" i="3"/>
  <c r="AC23" i="3"/>
  <c r="K21" i="3"/>
  <c r="X23" i="3"/>
  <c r="V33" i="3"/>
  <c r="R17" i="3"/>
  <c r="AP56" i="3"/>
  <c r="AI29" i="3"/>
  <c r="S25" i="3"/>
  <c r="AN28" i="3"/>
  <c r="R20" i="3"/>
  <c r="C49" i="3"/>
  <c r="AC38" i="3"/>
  <c r="G32" i="3"/>
  <c r="W34" i="3"/>
  <c r="T37" i="3"/>
  <c r="AJ35" i="3"/>
  <c r="AP71" i="3"/>
  <c r="X27" i="3"/>
  <c r="AP88" i="3"/>
  <c r="N31" i="3"/>
  <c r="U37" i="3"/>
  <c r="Q33" i="3"/>
  <c r="J33" i="3"/>
  <c r="K70" i="3"/>
  <c r="L9" i="3"/>
  <c r="AI23" i="3"/>
  <c r="N30" i="3"/>
  <c r="S39" i="3"/>
  <c r="Z12" i="3"/>
  <c r="AQ14" i="3"/>
  <c r="S90" i="3"/>
  <c r="K22" i="3"/>
  <c r="K50" i="3"/>
  <c r="Z10" i="3"/>
  <c r="AP13" i="3"/>
  <c r="AE9" i="3"/>
  <c r="I30" i="3"/>
  <c r="AD41" i="3"/>
  <c r="O33" i="3"/>
  <c r="K89" i="3"/>
  <c r="AK36" i="3"/>
  <c r="K75" i="3"/>
  <c r="I13" i="3"/>
  <c r="AB7" i="3"/>
  <c r="K79" i="3"/>
  <c r="T76" i="3"/>
  <c r="K77" i="3"/>
  <c r="AH54" i="3"/>
  <c r="AI92" i="3"/>
  <c r="AJ61" i="3"/>
  <c r="J26" i="3"/>
  <c r="AI81" i="3"/>
  <c r="T95" i="3"/>
  <c r="U38" i="3"/>
  <c r="S48" i="3"/>
  <c r="S71" i="3"/>
  <c r="K81" i="3"/>
  <c r="T85" i="3"/>
  <c r="AH96" i="3"/>
  <c r="N6" i="3"/>
  <c r="AG78" i="3"/>
  <c r="K65" i="3"/>
  <c r="V14" i="3"/>
  <c r="H37" i="3"/>
  <c r="AO10" i="3"/>
  <c r="AE33" i="3"/>
  <c r="U5" i="3"/>
  <c r="C11" i="3"/>
  <c r="K38" i="3"/>
  <c r="U39" i="3"/>
  <c r="W26" i="3"/>
  <c r="AN15" i="3"/>
  <c r="AL30" i="3"/>
  <c r="AK12" i="3"/>
  <c r="AC29" i="3"/>
  <c r="T28" i="3"/>
  <c r="AO21" i="3"/>
  <c r="V11" i="3"/>
  <c r="V34" i="3"/>
  <c r="J22" i="3"/>
  <c r="AK6" i="3"/>
  <c r="N25" i="3"/>
  <c r="Z13" i="3"/>
  <c r="AG22" i="3"/>
  <c r="T15" i="3"/>
  <c r="AQ19" i="3"/>
  <c r="AJ30" i="3"/>
  <c r="AN42" i="3"/>
  <c r="AN12" i="3"/>
  <c r="AD24" i="3"/>
  <c r="AM5" i="3"/>
  <c r="AB79" i="3"/>
  <c r="Z25" i="3"/>
  <c r="AP32" i="3"/>
  <c r="I24" i="3"/>
  <c r="AK31" i="3"/>
  <c r="T10" i="3"/>
  <c r="AJ19" i="3"/>
  <c r="Z28" i="3"/>
  <c r="R21" i="3"/>
  <c r="M33" i="3"/>
  <c r="AG8" i="3"/>
  <c r="K10" i="3"/>
  <c r="AO38" i="3"/>
  <c r="AC35" i="3"/>
  <c r="AP23" i="3"/>
  <c r="R24" i="3"/>
  <c r="X20" i="3"/>
  <c r="K29" i="3"/>
  <c r="R13" i="3"/>
  <c r="S17" i="3"/>
  <c r="T7" i="3"/>
  <c r="X34" i="3"/>
  <c r="AP28" i="3"/>
  <c r="AB60" i="3"/>
  <c r="S68" i="3"/>
  <c r="I31" i="3"/>
  <c r="AK26" i="3"/>
  <c r="M41" i="3"/>
  <c r="Z36" i="3"/>
  <c r="AL32" i="3"/>
  <c r="AN40" i="3"/>
  <c r="AN21" i="3"/>
  <c r="AC12" i="3"/>
  <c r="AM67" i="3"/>
  <c r="H5" i="3"/>
  <c r="AL37" i="3"/>
  <c r="AQ17" i="3"/>
  <c r="AD31" i="3"/>
  <c r="J42" i="3"/>
  <c r="AQ26" i="3"/>
  <c r="U34" i="3"/>
  <c r="AN26" i="3"/>
  <c r="T39" i="3"/>
  <c r="N23" i="3"/>
  <c r="AP10" i="3"/>
  <c r="O22" i="3"/>
  <c r="AL11" i="3"/>
  <c r="H33" i="3"/>
  <c r="O34" i="3"/>
  <c r="O36" i="3"/>
  <c r="AI72" i="3"/>
  <c r="AG88" i="3"/>
  <c r="C23" i="3"/>
  <c r="AP86" i="3"/>
  <c r="S14" i="3"/>
  <c r="AJ80" i="3"/>
  <c r="U15" i="3"/>
  <c r="I71" i="3"/>
  <c r="K68" i="3"/>
  <c r="J34" i="3"/>
  <c r="AM50" i="3"/>
  <c r="AK35" i="3"/>
  <c r="R10" i="3"/>
  <c r="T48" i="3"/>
  <c r="S84" i="3"/>
  <c r="Y16" i="3"/>
  <c r="K48" i="3"/>
  <c r="AO24" i="3"/>
  <c r="AI64" i="3"/>
  <c r="K36" i="3"/>
  <c r="AH89" i="3"/>
  <c r="AH81" i="3"/>
  <c r="AB75" i="3"/>
  <c r="U20" i="3"/>
  <c r="C27" i="3"/>
  <c r="AH69" i="3"/>
  <c r="S9" i="3"/>
  <c r="K40" i="3"/>
  <c r="K60" i="3"/>
  <c r="AM29" i="3"/>
  <c r="AB68" i="3"/>
  <c r="H57" i="3"/>
  <c r="AB17" i="3"/>
  <c r="C12" i="3"/>
  <c r="AN18" i="3"/>
  <c r="Z14" i="3"/>
  <c r="AG83" i="3"/>
  <c r="AM64" i="3"/>
  <c r="AD38" i="3"/>
  <c r="AH93" i="3"/>
  <c r="P92" i="3"/>
  <c r="AJ74" i="3"/>
  <c r="H92" i="3"/>
  <c r="M13" i="3"/>
  <c r="P69" i="3"/>
  <c r="C33" i="3"/>
  <c r="K72" i="3"/>
  <c r="AK5" i="3"/>
  <c r="AK82" i="3" s="1"/>
  <c r="H29" i="3"/>
  <c r="H59" i="3"/>
  <c r="K90" i="3"/>
  <c r="G41" i="3"/>
  <c r="P64" i="3"/>
  <c r="AK93" i="3"/>
  <c r="AC64" i="3"/>
  <c r="AM60" i="3"/>
  <c r="H18" i="3"/>
  <c r="H94" i="3"/>
  <c r="U83" i="3"/>
  <c r="Y25" i="3"/>
  <c r="AB9" i="3"/>
  <c r="N17" i="3"/>
  <c r="T12" i="3"/>
  <c r="AJ25" i="3"/>
  <c r="N22" i="3"/>
  <c r="AC60" i="3"/>
  <c r="AI49" i="3"/>
  <c r="H89" i="3"/>
  <c r="T63" i="3"/>
  <c r="AH71" i="3"/>
  <c r="AC56" i="3"/>
  <c r="AK76" i="3"/>
  <c r="AA38" i="3"/>
  <c r="AK78" i="3"/>
  <c r="P60" i="3"/>
  <c r="AH57" i="3"/>
  <c r="H48" i="3"/>
  <c r="K49" i="3"/>
  <c r="AC47" i="3"/>
  <c r="P74" i="3"/>
  <c r="M84" i="3"/>
  <c r="AA31" i="3"/>
  <c r="AP59" i="3"/>
  <c r="Z23" i="3"/>
  <c r="C38" i="3"/>
  <c r="J11" i="3"/>
  <c r="Q27" i="3"/>
  <c r="AN31" i="3"/>
  <c r="AP83" i="3"/>
  <c r="V30" i="3"/>
  <c r="AQ31" i="3"/>
  <c r="AC8" i="3"/>
  <c r="S8" i="3"/>
  <c r="AH18" i="3"/>
  <c r="V42" i="3"/>
  <c r="AC10" i="3"/>
  <c r="U22" i="3"/>
  <c r="AQ25" i="3"/>
  <c r="AE14" i="3"/>
  <c r="AI24" i="3"/>
  <c r="AQ13" i="3"/>
  <c r="AP72" i="3"/>
  <c r="AD29" i="3"/>
  <c r="U10" i="3"/>
  <c r="AI94" i="3"/>
  <c r="N19" i="3"/>
  <c r="AB91" i="3"/>
  <c r="R31" i="3"/>
  <c r="P25" i="3"/>
  <c r="AH24" i="3"/>
  <c r="Y5" i="3"/>
  <c r="V5" i="3"/>
  <c r="AM24" i="3"/>
  <c r="L34" i="3"/>
  <c r="AP35" i="3"/>
  <c r="AL27" i="3"/>
  <c r="AJ38" i="3"/>
  <c r="AG38" i="3"/>
  <c r="V12" i="3"/>
  <c r="AG23" i="3"/>
  <c r="AK34" i="3"/>
  <c r="H69" i="3"/>
  <c r="AI85" i="3"/>
  <c r="T26" i="3"/>
  <c r="AJ8" i="3"/>
  <c r="P17" i="3"/>
  <c r="AG67" i="3"/>
  <c r="Y96" i="3"/>
  <c r="AJ29" i="3"/>
  <c r="K24" i="3"/>
  <c r="T77" i="3"/>
  <c r="T6" i="3"/>
  <c r="J5" i="3"/>
  <c r="J61" i="3" s="1"/>
  <c r="U85" i="3"/>
  <c r="AC19" i="3"/>
  <c r="C25" i="3"/>
  <c r="S40" i="3"/>
  <c r="J64" i="3"/>
  <c r="T80" i="3"/>
  <c r="AH49" i="3"/>
  <c r="AC59" i="3"/>
  <c r="AI27" i="3"/>
  <c r="J85" i="3"/>
  <c r="H63" i="3"/>
  <c r="M66" i="3"/>
  <c r="S80" i="3"/>
  <c r="T78" i="3"/>
  <c r="U13" i="3"/>
  <c r="AJ93" i="3"/>
  <c r="P90" i="3"/>
  <c r="V72" i="3"/>
  <c r="AJ9" i="3"/>
  <c r="H36" i="3"/>
  <c r="AI47" i="3"/>
  <c r="AH73" i="3"/>
  <c r="AG95" i="3"/>
  <c r="K66" i="3"/>
  <c r="AH74" i="3"/>
  <c r="P86" i="3"/>
  <c r="M90" i="3"/>
  <c r="H25" i="3"/>
  <c r="AL25" i="3"/>
  <c r="C21" i="3"/>
  <c r="AE16" i="3"/>
  <c r="AI95" i="3"/>
  <c r="S35" i="3"/>
  <c r="AB88" i="3"/>
  <c r="K31" i="3"/>
  <c r="H35" i="3"/>
  <c r="S42" i="3"/>
  <c r="C29" i="3"/>
  <c r="AG35" i="3"/>
  <c r="O29" i="3"/>
  <c r="W24" i="3"/>
  <c r="AM26" i="3"/>
  <c r="AD39" i="3"/>
  <c r="AI31" i="3"/>
  <c r="Q32" i="3"/>
  <c r="X19" i="3"/>
  <c r="S86" i="3"/>
  <c r="AD20" i="3"/>
  <c r="S96" i="3"/>
  <c r="M17" i="3"/>
  <c r="AC22" i="3"/>
  <c r="AO39" i="3"/>
  <c r="AI73" i="3"/>
  <c r="AB92" i="3"/>
  <c r="AD21" i="3"/>
  <c r="AL17" i="3"/>
  <c r="AQ12" i="3"/>
  <c r="AE5" i="3"/>
  <c r="AE59" i="3" s="1"/>
  <c r="AK11" i="3"/>
  <c r="P41" i="3"/>
  <c r="Y18" i="3"/>
  <c r="AJ37" i="3"/>
  <c r="I18" i="3"/>
  <c r="AN11" i="3"/>
  <c r="AJ48" i="3"/>
  <c r="V70" i="3"/>
  <c r="L30" i="3"/>
  <c r="T25" i="3"/>
  <c r="AL19" i="3"/>
  <c r="O11" i="3"/>
  <c r="AK40" i="3"/>
  <c r="K78" i="3"/>
  <c r="V71" i="3"/>
  <c r="AM59" i="3"/>
  <c r="T36" i="3"/>
  <c r="S7" i="3"/>
  <c r="AI59" i="3"/>
  <c r="S94" i="3"/>
  <c r="AJ56" i="3"/>
  <c r="H7" i="3"/>
  <c r="K80" i="3"/>
  <c r="S81" i="3"/>
  <c r="AJ12" i="3"/>
  <c r="Y64" i="3"/>
  <c r="AD19" i="3"/>
  <c r="H42" i="3"/>
  <c r="AQ40" i="3"/>
  <c r="AH60" i="3"/>
  <c r="R32" i="3"/>
  <c r="AC79" i="3"/>
  <c r="U94" i="3"/>
  <c r="T61" i="3"/>
  <c r="T59" i="3"/>
  <c r="J72" i="3"/>
  <c r="AB37" i="3"/>
  <c r="AJ54" i="3"/>
  <c r="AJ83" i="3"/>
  <c r="AH61" i="3"/>
  <c r="H81" i="3"/>
  <c r="D49" i="3"/>
  <c r="Y54" i="3"/>
  <c r="J80" i="3"/>
  <c r="AC70" i="3"/>
  <c r="AH88" i="3"/>
  <c r="AI28" i="3"/>
  <c r="AJ91" i="3"/>
  <c r="AK79" i="3"/>
  <c r="AJ78" i="3"/>
  <c r="M81" i="3"/>
  <c r="AK64" i="3"/>
  <c r="AG64" i="3"/>
  <c r="K94" i="3"/>
  <c r="AH50" i="3"/>
  <c r="J74" i="3"/>
  <c r="P75" i="3"/>
  <c r="M94" i="3"/>
  <c r="AH13" i="3"/>
  <c r="AP78" i="3"/>
  <c r="AB18" i="3"/>
  <c r="N33" i="3"/>
  <c r="AC7" i="3"/>
  <c r="J19" i="3"/>
  <c r="AL36" i="3"/>
  <c r="R14" i="3"/>
  <c r="O26" i="3"/>
  <c r="H11" i="3"/>
  <c r="X18" i="3"/>
  <c r="S19" i="3"/>
  <c r="H40" i="3"/>
  <c r="X35" i="3"/>
  <c r="K37" i="3"/>
  <c r="O30" i="3"/>
  <c r="AI26" i="3"/>
  <c r="AN33" i="3"/>
  <c r="S70" i="3"/>
  <c r="J23" i="3"/>
  <c r="X24" i="3"/>
  <c r="K16" i="3"/>
  <c r="AP37" i="3"/>
  <c r="AA5" i="3"/>
  <c r="O40" i="3"/>
  <c r="AP92" i="3"/>
  <c r="O16" i="3"/>
  <c r="AA27" i="3"/>
  <c r="M16" i="3"/>
  <c r="AB70" i="3"/>
  <c r="M14" i="3"/>
  <c r="AC11" i="3"/>
  <c r="Y91" i="3"/>
  <c r="M25" i="3"/>
  <c r="K39" i="3"/>
  <c r="AH64" i="3"/>
  <c r="L95" i="3"/>
  <c r="AG18" i="3"/>
  <c r="AG90" i="3"/>
  <c r="AH9" i="3"/>
  <c r="AE23" i="3"/>
  <c r="H62" i="3"/>
  <c r="AO20" i="3"/>
  <c r="AJ87" i="3"/>
  <c r="Y9" i="3"/>
  <c r="L81" i="3"/>
  <c r="C30" i="3"/>
  <c r="S18" i="3"/>
  <c r="AG40" i="3"/>
  <c r="H6" i="3"/>
  <c r="M19" i="3"/>
  <c r="V95" i="3"/>
  <c r="AA18" i="3"/>
  <c r="P23" i="3"/>
  <c r="S22" i="3"/>
  <c r="AO89" i="3"/>
  <c r="AB23" i="3"/>
  <c r="N36" i="3"/>
  <c r="Z29" i="3"/>
  <c r="L63" i="3"/>
  <c r="AK49" i="3"/>
  <c r="V55" i="3"/>
  <c r="S82" i="3"/>
  <c r="L69" i="3"/>
  <c r="U57" i="3"/>
  <c r="AG36" i="3"/>
  <c r="AH55" i="3"/>
  <c r="W30" i="3"/>
  <c r="T97" i="3"/>
  <c r="AH97" i="3"/>
  <c r="K64" i="3"/>
  <c r="K56" i="3"/>
  <c r="AM14" i="3"/>
  <c r="T68" i="3"/>
  <c r="Y69" i="3"/>
  <c r="U66" i="3"/>
  <c r="AC78" i="3"/>
  <c r="J55" i="3"/>
  <c r="P91" i="3"/>
  <c r="M77" i="3"/>
  <c r="J12" i="3"/>
  <c r="AL18" i="3"/>
  <c r="P39" i="3"/>
  <c r="L23" i="3"/>
  <c r="R27" i="3"/>
  <c r="U33" i="3"/>
  <c r="Z17" i="3"/>
  <c r="R23" i="3"/>
  <c r="AK28" i="3"/>
  <c r="N34" i="3"/>
  <c r="AO31" i="3"/>
  <c r="AL28" i="3"/>
  <c r="H9" i="3"/>
  <c r="E49" i="3"/>
  <c r="AE38" i="3"/>
  <c r="H20" i="3"/>
  <c r="Q7" i="3"/>
  <c r="AK33" i="3"/>
  <c r="AB14" i="3"/>
  <c r="AI36" i="3"/>
  <c r="V15" i="3"/>
  <c r="AI34" i="3"/>
  <c r="N14" i="3"/>
  <c r="O25" i="3"/>
  <c r="AM13" i="3"/>
  <c r="U36" i="3"/>
  <c r="Y32" i="3"/>
  <c r="H85" i="3"/>
  <c r="Z79" i="3"/>
  <c r="AP29" i="3"/>
  <c r="AA80" i="3"/>
  <c r="AO25" i="3"/>
  <c r="G37" i="3"/>
  <c r="AB11" i="3"/>
  <c r="Z31" i="3"/>
  <c r="C28" i="3"/>
  <c r="AD36" i="3"/>
  <c r="AE7" i="3"/>
  <c r="AG28" i="3"/>
  <c r="AM37" i="3"/>
  <c r="AE47" i="3"/>
  <c r="S69" i="3"/>
  <c r="Y84" i="3"/>
  <c r="U80" i="3"/>
  <c r="R26" i="3"/>
  <c r="AP24" i="3"/>
  <c r="V39" i="3"/>
  <c r="S89" i="3"/>
  <c r="R40" i="3"/>
  <c r="X25" i="3"/>
  <c r="AI62" i="3"/>
  <c r="L13" i="3"/>
  <c r="L83" i="3"/>
  <c r="Z68" i="3"/>
  <c r="AE6" i="3"/>
  <c r="AQ5" i="3"/>
  <c r="AQ75" i="3" s="1"/>
  <c r="K63" i="3"/>
  <c r="AJ89" i="3"/>
  <c r="U65" i="3"/>
  <c r="AE57" i="3"/>
  <c r="Y21" i="3"/>
  <c r="AE75" i="3"/>
  <c r="AC69" i="3"/>
  <c r="Q58" i="3"/>
  <c r="N26" i="3"/>
  <c r="AL12" i="3"/>
  <c r="AQ60" i="3"/>
  <c r="L80" i="3"/>
  <c r="T90" i="3"/>
  <c r="AQ38" i="3"/>
  <c r="AO91" i="3"/>
  <c r="AK77" i="3"/>
  <c r="S56" i="3"/>
  <c r="K97" i="3"/>
  <c r="V81" i="3"/>
  <c r="Y71" i="3"/>
  <c r="P50" i="3"/>
  <c r="AC86" i="3"/>
  <c r="AE77" i="3"/>
  <c r="Y60" i="3"/>
  <c r="AH72" i="3"/>
  <c r="AN8" i="3"/>
  <c r="AA26" i="3"/>
  <c r="AJ60" i="3"/>
  <c r="P35" i="3"/>
  <c r="AG55" i="3"/>
  <c r="AA90" i="3"/>
  <c r="L88" i="3"/>
  <c r="AQ94" i="3"/>
  <c r="P73" i="3"/>
  <c r="AK65" i="3"/>
  <c r="M96" i="3"/>
  <c r="W38" i="3"/>
  <c r="Y6" i="3"/>
  <c r="S13" i="3"/>
  <c r="AP95" i="3"/>
  <c r="AH27" i="3"/>
  <c r="AC39" i="3"/>
  <c r="AM31" i="3"/>
  <c r="T27" i="3"/>
  <c r="M31" i="3"/>
  <c r="O8" i="3"/>
  <c r="AB42" i="3"/>
  <c r="T21" i="3"/>
  <c r="Y28" i="3"/>
  <c r="AI25" i="3"/>
  <c r="AP54" i="3"/>
  <c r="E50" i="3"/>
  <c r="V21" i="3"/>
  <c r="X28" i="3"/>
  <c r="AM17" i="3"/>
  <c r="S24" i="3"/>
  <c r="AN22" i="3"/>
  <c r="AO16" i="3"/>
  <c r="Q42" i="3"/>
  <c r="AP94" i="3"/>
  <c r="S23" i="3"/>
  <c r="Z18" i="3"/>
  <c r="H84" i="3"/>
  <c r="Z50" i="3"/>
  <c r="E48" i="3"/>
  <c r="V35" i="3"/>
  <c r="S54" i="3"/>
  <c r="S78" i="3"/>
  <c r="S92" i="3"/>
  <c r="Q55" i="3"/>
  <c r="AC6" i="3"/>
  <c r="Q77" i="3"/>
  <c r="AG97" i="3"/>
  <c r="Y97" i="3"/>
  <c r="AO90" i="3"/>
  <c r="P97" i="3"/>
  <c r="AH56" i="3"/>
  <c r="T57" i="3"/>
  <c r="G47" i="3"/>
  <c r="AJ76" i="3"/>
  <c r="U97" i="3"/>
  <c r="H66" i="3"/>
  <c r="AC77" i="3"/>
  <c r="AC76" i="3"/>
  <c r="L97" i="3"/>
  <c r="AQ77" i="3"/>
  <c r="H65" i="3"/>
  <c r="K96" i="3"/>
  <c r="J97" i="3"/>
  <c r="M50" i="3"/>
  <c r="O27" i="3"/>
  <c r="AB57" i="3"/>
  <c r="J96" i="3"/>
  <c r="AA85" i="3"/>
  <c r="T96" i="3"/>
  <c r="AE93" i="3"/>
  <c r="AE87" i="3"/>
  <c r="Q25" i="3"/>
  <c r="V65" i="3"/>
  <c r="P71" i="3"/>
  <c r="AQ67" i="3"/>
  <c r="T94" i="3"/>
  <c r="J62" i="3"/>
  <c r="AA92" i="3"/>
  <c r="L75" i="3"/>
  <c r="P65" i="3"/>
  <c r="M95" i="3"/>
  <c r="AI91" i="3"/>
  <c r="T41" i="3"/>
  <c r="T34" i="3"/>
  <c r="AI56" i="3"/>
  <c r="AM95" i="3"/>
  <c r="AA76" i="3"/>
  <c r="AB33" i="3"/>
  <c r="T91" i="3"/>
  <c r="Y8" i="3"/>
  <c r="AC37" i="3"/>
  <c r="Y67" i="3"/>
  <c r="AO72" i="3"/>
  <c r="AO8" i="3"/>
  <c r="AC80" i="3"/>
  <c r="AK22" i="3"/>
  <c r="J36" i="3"/>
  <c r="AN9" i="3"/>
  <c r="S12" i="3"/>
  <c r="Y33" i="3"/>
  <c r="AQ27" i="3"/>
  <c r="AO30" i="3"/>
  <c r="K28" i="3"/>
  <c r="AJ11" i="3"/>
  <c r="AM22" i="3"/>
  <c r="AL41" i="3"/>
  <c r="S75" i="3"/>
  <c r="AM77" i="3"/>
  <c r="Y85" i="3"/>
  <c r="AI17" i="3"/>
  <c r="W22" i="3"/>
  <c r="T83" i="3"/>
  <c r="L55" i="3"/>
  <c r="AQ96" i="3"/>
  <c r="AJ20" i="3"/>
  <c r="AP69" i="3"/>
  <c r="AP20" i="3"/>
  <c r="Z81" i="3"/>
  <c r="H55" i="3"/>
  <c r="AJ32" i="3"/>
  <c r="AM88" i="3"/>
  <c r="AL35" i="3"/>
  <c r="P21" i="3"/>
  <c r="K9" i="3"/>
  <c r="L56" i="3"/>
  <c r="AO83" i="3"/>
  <c r="AC68" i="3"/>
  <c r="J83" i="3"/>
  <c r="S37" i="3"/>
  <c r="R7" i="3"/>
  <c r="AG37" i="3"/>
  <c r="Z73" i="3"/>
  <c r="AO74" i="3"/>
  <c r="AK96" i="3"/>
  <c r="AK13" i="3"/>
  <c r="AN6" i="3"/>
  <c r="AH17" i="3"/>
  <c r="AC36" i="3"/>
  <c r="Q35" i="3"/>
  <c r="S34" i="3"/>
  <c r="Z83" i="3"/>
  <c r="AB65" i="3"/>
  <c r="J9" i="3"/>
  <c r="Q50" i="3"/>
  <c r="AM94" i="3"/>
  <c r="Z74" i="3"/>
  <c r="AB62" i="3"/>
  <c r="M91" i="3"/>
  <c r="AG82" i="3"/>
  <c r="V56" i="3"/>
  <c r="AQ86" i="3"/>
  <c r="AN7" i="3"/>
  <c r="L17" i="3"/>
  <c r="AQ39" i="3"/>
  <c r="AK42" i="3"/>
  <c r="AD27" i="3"/>
  <c r="W29" i="3"/>
  <c r="S77" i="3"/>
  <c r="V28" i="3"/>
  <c r="AB58" i="3"/>
  <c r="Z40" i="3"/>
  <c r="H31" i="3"/>
  <c r="AP11" i="3"/>
  <c r="P36" i="3"/>
  <c r="AM56" i="3"/>
  <c r="U70" i="3"/>
  <c r="AL20" i="3"/>
  <c r="H82" i="3"/>
  <c r="L31" i="3"/>
  <c r="H79" i="3"/>
  <c r="AL40" i="3"/>
  <c r="AG25" i="3"/>
  <c r="P29" i="3"/>
  <c r="L54" i="3"/>
  <c r="AI67" i="3"/>
  <c r="AE67" i="3"/>
  <c r="O18" i="3"/>
  <c r="AG39" i="3"/>
  <c r="T79" i="3"/>
  <c r="AJ97" i="3"/>
  <c r="AQ57" i="3"/>
  <c r="J27" i="3"/>
  <c r="T65" i="3"/>
  <c r="K30" i="3"/>
  <c r="AQ48" i="3"/>
  <c r="AQ89" i="3"/>
  <c r="S65" i="3"/>
  <c r="U59" i="3"/>
  <c r="AG84" i="3"/>
  <c r="AH84" i="3"/>
  <c r="P24" i="3"/>
  <c r="M76" i="3"/>
  <c r="J48" i="3"/>
  <c r="J68" i="3"/>
  <c r="U48" i="3"/>
  <c r="P54" i="3"/>
  <c r="H56" i="3"/>
  <c r="K84" i="3"/>
  <c r="J58" i="3"/>
  <c r="M64" i="3"/>
  <c r="X5" i="3"/>
  <c r="AO15" i="3"/>
  <c r="AE30" i="3"/>
  <c r="H19" i="3"/>
  <c r="AH20" i="3"/>
  <c r="L37" i="3"/>
  <c r="AI87" i="3"/>
  <c r="AK25" i="3"/>
  <c r="U8" i="3"/>
  <c r="AA55" i="3"/>
  <c r="L18" i="3"/>
  <c r="AC27" i="3"/>
  <c r="Q70" i="3"/>
  <c r="AA8" i="3"/>
  <c r="AD37" i="3"/>
  <c r="Q11" i="3"/>
  <c r="AJ34" i="3"/>
  <c r="T89" i="3"/>
  <c r="U40" i="3"/>
  <c r="S30" i="3"/>
  <c r="D47" i="3"/>
  <c r="AM90" i="3"/>
  <c r="AL22" i="3"/>
  <c r="AH70" i="3"/>
  <c r="P10" i="3"/>
  <c r="AJ50" i="3"/>
  <c r="AE96" i="3"/>
  <c r="AQ30" i="3"/>
  <c r="K8" i="3"/>
  <c r="AK95" i="3"/>
  <c r="AK88" i="3"/>
  <c r="AP15" i="3"/>
  <c r="AQ71" i="3"/>
  <c r="AQ84" i="3"/>
  <c r="L84" i="3"/>
  <c r="AP12" i="3"/>
  <c r="AA79" i="3"/>
  <c r="L68" i="3"/>
  <c r="P59" i="3"/>
  <c r="M78" i="3"/>
  <c r="AP58" i="3"/>
  <c r="AL5" i="3"/>
  <c r="AB20" i="3"/>
  <c r="AB84" i="3"/>
  <c r="AC42" i="3"/>
  <c r="AQ21" i="3"/>
  <c r="AL29" i="3"/>
  <c r="AM21" i="3"/>
  <c r="W5" i="3"/>
  <c r="AG72" i="3"/>
  <c r="C35" i="3"/>
  <c r="AO95" i="3"/>
  <c r="AB12" i="3"/>
  <c r="AH58" i="3"/>
  <c r="AK32" i="3"/>
  <c r="AG21" i="3"/>
  <c r="AP17" i="3"/>
  <c r="AM82" i="3"/>
  <c r="L90" i="3"/>
  <c r="AI66" i="3"/>
  <c r="C4" i="3"/>
  <c r="Z27" i="3"/>
  <c r="G42" i="3"/>
  <c r="AO76" i="3"/>
  <c r="T62" i="3"/>
  <c r="AO13" i="3"/>
  <c r="N10" i="3"/>
  <c r="AA7" i="3"/>
  <c r="V26" i="3"/>
  <c r="I22" i="3"/>
  <c r="AG17" i="3"/>
  <c r="AA24" i="3"/>
  <c r="AI82" i="3"/>
  <c r="J29" i="3"/>
  <c r="N5" i="3"/>
  <c r="J38" i="3"/>
  <c r="AN10" i="3"/>
  <c r="AQ7" i="3"/>
  <c r="H21" i="3"/>
  <c r="V66" i="3"/>
  <c r="O31" i="3"/>
  <c r="AM32" i="3"/>
  <c r="AG15" i="3"/>
  <c r="AG56" i="3"/>
  <c r="Q82" i="3"/>
  <c r="T55" i="3"/>
  <c r="AK19" i="3"/>
  <c r="Q47" i="3"/>
  <c r="AP38" i="3"/>
  <c r="V24" i="3"/>
  <c r="P76" i="3"/>
  <c r="AJ84" i="3"/>
  <c r="J71" i="3"/>
  <c r="Z92" i="3"/>
  <c r="AA21" i="3"/>
  <c r="AI10" i="3"/>
  <c r="AI80" i="3"/>
  <c r="AB89" i="3"/>
  <c r="AH29" i="3"/>
  <c r="AE18" i="3"/>
  <c r="S97" i="3"/>
  <c r="K35" i="3"/>
  <c r="AB55" i="3"/>
  <c r="H87" i="3"/>
  <c r="AB47" i="3"/>
  <c r="L79" i="3"/>
  <c r="U19" i="3"/>
  <c r="Q78" i="3"/>
  <c r="AG26" i="3"/>
  <c r="H54" i="3"/>
  <c r="Q85" i="3"/>
  <c r="N63" i="3"/>
  <c r="N74" i="3"/>
  <c r="AH68" i="3"/>
  <c r="AO96" i="3"/>
  <c r="AE73" i="3"/>
  <c r="AM36" i="3"/>
  <c r="AB34" i="3"/>
  <c r="U81" i="3"/>
  <c r="AK75" i="3"/>
  <c r="AH23" i="3"/>
  <c r="AB36" i="3"/>
  <c r="M36" i="3"/>
  <c r="AE42" i="3"/>
  <c r="AN17" i="3"/>
  <c r="AE10" i="3"/>
  <c r="AP57" i="3"/>
  <c r="AP61" i="3"/>
  <c r="AP33" i="3"/>
  <c r="X39" i="3"/>
  <c r="K76" i="3"/>
  <c r="W10" i="3"/>
  <c r="AO85" i="3"/>
  <c r="T19" i="3"/>
  <c r="M20" i="3"/>
  <c r="Q81" i="3"/>
  <c r="U61" i="3"/>
  <c r="AI76" i="3"/>
  <c r="AG73" i="3"/>
  <c r="M34" i="3"/>
  <c r="AB90" i="3"/>
  <c r="Q22" i="3"/>
  <c r="C9" i="3"/>
  <c r="AP22" i="3"/>
  <c r="AA40" i="3"/>
  <c r="T8" i="3"/>
  <c r="AC20" i="3"/>
  <c r="AB54" i="3"/>
  <c r="O23" i="3"/>
  <c r="AH41" i="3"/>
  <c r="I29" i="3"/>
  <c r="AA17" i="3"/>
  <c r="AG77" i="3"/>
  <c r="AM92" i="3"/>
  <c r="AQ92" i="3"/>
  <c r="AC94" i="3"/>
  <c r="AK66" i="3"/>
  <c r="T82" i="3"/>
  <c r="M74" i="3"/>
  <c r="U55" i="3"/>
  <c r="AK73" i="3"/>
  <c r="AI70" i="3"/>
  <c r="AI77" i="3"/>
  <c r="AI84" i="3"/>
  <c r="AI60" i="3"/>
  <c r="AI55" i="3"/>
  <c r="AG54" i="3"/>
  <c r="AG87" i="3"/>
  <c r="AG85" i="3"/>
  <c r="AG59" i="3"/>
  <c r="AG62" i="3"/>
  <c r="AH59" i="3"/>
  <c r="AH90" i="3"/>
  <c r="AH75" i="3"/>
  <c r="AH67" i="3"/>
  <c r="AH95" i="3"/>
  <c r="AH91" i="3"/>
  <c r="AH77" i="3"/>
  <c r="AH79" i="3"/>
  <c r="AH63" i="3"/>
  <c r="AH94" i="3"/>
  <c r="S64" i="3"/>
  <c r="S72" i="3"/>
  <c r="S66" i="3"/>
  <c r="T66" i="3"/>
  <c r="T49" i="3"/>
  <c r="T73" i="3"/>
  <c r="T87" i="3"/>
  <c r="T71" i="3"/>
  <c r="T81" i="3"/>
  <c r="T50" i="3"/>
  <c r="K83" i="3"/>
  <c r="K88" i="3"/>
  <c r="K62" i="3"/>
  <c r="K61" i="3"/>
  <c r="K73" i="3"/>
  <c r="K57" i="3"/>
  <c r="AJ92" i="3"/>
  <c r="AJ63" i="3"/>
  <c r="AJ73" i="3"/>
  <c r="AJ86" i="3"/>
  <c r="AJ85" i="3"/>
  <c r="AJ64" i="3"/>
  <c r="AJ57" i="3"/>
  <c r="AJ66" i="3"/>
  <c r="AJ69" i="3"/>
  <c r="AJ47" i="3"/>
  <c r="AJ55" i="3"/>
  <c r="AJ67" i="3"/>
  <c r="L87" i="3"/>
  <c r="L86" i="3"/>
  <c r="L91" i="3"/>
  <c r="L65" i="3"/>
  <c r="L60" i="3"/>
  <c r="L94" i="3"/>
  <c r="L62" i="3"/>
  <c r="L82" i="3"/>
  <c r="L76" i="3"/>
  <c r="L61" i="3"/>
  <c r="L89" i="3"/>
  <c r="L49" i="3"/>
  <c r="L67" i="3"/>
  <c r="Z64" i="3"/>
  <c r="Z94" i="3"/>
  <c r="Z96" i="3"/>
  <c r="Z90" i="3"/>
  <c r="Z57" i="3"/>
  <c r="Z62" i="3"/>
  <c r="Z78" i="3"/>
  <c r="Z82" i="3"/>
  <c r="Z85" i="3"/>
  <c r="Z47" i="3"/>
  <c r="Z60" i="3"/>
  <c r="Z86" i="3"/>
  <c r="Z76" i="3"/>
  <c r="Z58" i="3"/>
  <c r="Z91" i="3"/>
  <c r="Z89" i="3"/>
  <c r="Z65" i="3"/>
  <c r="Z54" i="3"/>
  <c r="Z70" i="3"/>
  <c r="Z88" i="3"/>
  <c r="Z97" i="3"/>
  <c r="Z55" i="3"/>
  <c r="Z75" i="3"/>
  <c r="Z71" i="3"/>
  <c r="AC48" i="3"/>
  <c r="AC81" i="3"/>
  <c r="AC57" i="3"/>
  <c r="AC58" i="3"/>
  <c r="AC89" i="3"/>
  <c r="AC93" i="3"/>
  <c r="AC96" i="3"/>
  <c r="AC65" i="3"/>
  <c r="AC72" i="3"/>
  <c r="AC83" i="3"/>
  <c r="AC55" i="3"/>
  <c r="AC92" i="3"/>
  <c r="AC88" i="3"/>
  <c r="AC63" i="3"/>
  <c r="AC87" i="3"/>
  <c r="AC67" i="3"/>
  <c r="AC74" i="3"/>
  <c r="AC61" i="3"/>
  <c r="AC66" i="3"/>
  <c r="AC62" i="3"/>
  <c r="M67" i="3"/>
  <c r="M73" i="3"/>
  <c r="M70" i="3"/>
  <c r="M89" i="3"/>
  <c r="M63" i="3"/>
  <c r="M48" i="3"/>
  <c r="M59" i="3"/>
  <c r="M54" i="3"/>
  <c r="M79" i="3"/>
  <c r="M82" i="3"/>
  <c r="M93" i="3"/>
  <c r="M87" i="3"/>
  <c r="M69" i="3"/>
  <c r="M61" i="3"/>
  <c r="M60" i="3"/>
  <c r="M57" i="3"/>
  <c r="M55" i="3"/>
  <c r="M65" i="3"/>
  <c r="M47" i="3"/>
  <c r="M80" i="3"/>
  <c r="M56" i="3"/>
  <c r="P81" i="3"/>
  <c r="P95" i="3"/>
  <c r="P55" i="3"/>
  <c r="P47" i="3"/>
  <c r="P67" i="3"/>
  <c r="P82" i="3"/>
  <c r="P89" i="3"/>
  <c r="P79" i="3"/>
  <c r="P58" i="3"/>
  <c r="P48" i="3"/>
  <c r="P63" i="3"/>
  <c r="P88" i="3"/>
  <c r="P80" i="3"/>
  <c r="P49" i="3"/>
  <c r="P72" i="3"/>
  <c r="P77" i="3"/>
  <c r="P62" i="3"/>
  <c r="P84" i="3"/>
  <c r="P61" i="3"/>
  <c r="P87" i="3"/>
  <c r="P68" i="3"/>
  <c r="P66" i="3"/>
  <c r="P94" i="3"/>
  <c r="P85" i="3"/>
  <c r="P78" i="3"/>
  <c r="P70" i="3"/>
  <c r="Q54" i="3"/>
  <c r="Q62" i="3"/>
  <c r="Q91" i="3"/>
  <c r="Q93" i="3"/>
  <c r="Q61" i="3"/>
  <c r="Q79" i="3"/>
  <c r="Q89" i="3"/>
  <c r="Q76" i="3"/>
  <c r="Q56" i="3"/>
  <c r="Q49" i="3"/>
  <c r="Q60" i="3"/>
  <c r="Q88" i="3"/>
  <c r="Q73" i="3"/>
  <c r="Q86" i="3"/>
  <c r="Q66" i="3"/>
  <c r="Q97" i="3"/>
  <c r="Q72" i="3"/>
  <c r="Q83" i="3"/>
  <c r="Q68" i="3"/>
  <c r="Q94" i="3"/>
  <c r="Q87" i="3"/>
  <c r="Q59" i="3"/>
  <c r="Q57" i="3"/>
  <c r="Q64" i="3"/>
  <c r="Q63" i="3"/>
  <c r="Q80" i="3"/>
  <c r="Q69" i="3"/>
  <c r="Q95" i="3"/>
  <c r="Q75" i="3"/>
  <c r="AO75" i="3"/>
  <c r="AO60" i="3"/>
  <c r="AO82" i="3"/>
  <c r="AO73" i="3"/>
  <c r="AO92" i="3"/>
  <c r="AO63" i="3"/>
  <c r="AO50" i="3"/>
  <c r="AO65" i="3"/>
  <c r="AO64" i="3"/>
  <c r="AO59" i="3"/>
  <c r="AO47" i="3"/>
  <c r="AO93" i="3"/>
  <c r="AO67" i="3"/>
  <c r="AO77" i="3"/>
  <c r="AO68" i="3"/>
  <c r="AO71" i="3"/>
  <c r="AO55" i="3"/>
  <c r="AO88" i="3"/>
  <c r="AO94" i="3"/>
  <c r="AO69" i="3"/>
  <c r="AO81" i="3"/>
  <c r="AO78" i="3"/>
  <c r="AO66" i="3"/>
  <c r="AO79" i="3"/>
  <c r="U88" i="3"/>
  <c r="U56" i="3"/>
  <c r="U86" i="3"/>
  <c r="U71" i="3"/>
  <c r="U87" i="3"/>
  <c r="U50" i="3"/>
  <c r="U72" i="3"/>
  <c r="U73" i="3"/>
  <c r="U93" i="3"/>
  <c r="U69" i="3"/>
  <c r="U96" i="3"/>
  <c r="U64" i="3"/>
  <c r="U47" i="3"/>
  <c r="U67" i="3"/>
  <c r="U84" i="3"/>
  <c r="U58" i="3"/>
  <c r="U90" i="3"/>
  <c r="U78" i="3"/>
  <c r="U63" i="3"/>
  <c r="U82" i="3"/>
  <c r="U89" i="3"/>
  <c r="U62" i="3"/>
  <c r="U91" i="3"/>
  <c r="U68" i="3"/>
  <c r="U95" i="3"/>
  <c r="U49" i="3"/>
  <c r="U92" i="3"/>
  <c r="U74" i="3"/>
  <c r="U79" i="3"/>
  <c r="U76" i="3"/>
  <c r="U77" i="3"/>
  <c r="U75" i="3"/>
  <c r="U54" i="3"/>
  <c r="AM78" i="3"/>
  <c r="AM54" i="3"/>
  <c r="AM63" i="3"/>
  <c r="AM86" i="3"/>
  <c r="AM76" i="3"/>
  <c r="AM72" i="3"/>
  <c r="AM81" i="3"/>
  <c r="AM87" i="3"/>
  <c r="AM79" i="3"/>
  <c r="AM85" i="3"/>
  <c r="AM69" i="3"/>
  <c r="AM97" i="3"/>
  <c r="AM75" i="3"/>
  <c r="AM83" i="3"/>
  <c r="AM61" i="3"/>
  <c r="AM66" i="3"/>
  <c r="AM96" i="3"/>
  <c r="AM62" i="3"/>
  <c r="AM47" i="3"/>
  <c r="AM80" i="3"/>
  <c r="AM89" i="3"/>
  <c r="AM57" i="3"/>
  <c r="AM84" i="3"/>
  <c r="AM73" i="3"/>
  <c r="AM65" i="3"/>
  <c r="AM49" i="3"/>
  <c r="AM68" i="3"/>
  <c r="AM55" i="3"/>
  <c r="AM74" i="3"/>
  <c r="AM93" i="3"/>
  <c r="AM48" i="3"/>
  <c r="AM70" i="3"/>
  <c r="AM58" i="3"/>
  <c r="AM91" i="3"/>
  <c r="H58" i="3"/>
  <c r="H88" i="3"/>
  <c r="H61" i="3"/>
  <c r="H49" i="3"/>
  <c r="H60" i="3"/>
  <c r="H71" i="3"/>
  <c r="H90" i="3"/>
  <c r="H70" i="3"/>
  <c r="H74" i="3"/>
  <c r="H83" i="3"/>
  <c r="H67" i="3"/>
  <c r="H96" i="3"/>
  <c r="H80" i="3"/>
  <c r="H93" i="3"/>
  <c r="H68" i="3"/>
  <c r="H95" i="3"/>
  <c r="H50" i="3"/>
  <c r="H75" i="3"/>
  <c r="H97" i="3"/>
  <c r="H78" i="3"/>
  <c r="H72" i="3"/>
  <c r="H86" i="3"/>
  <c r="H73" i="3"/>
  <c r="H76" i="3"/>
  <c r="H64" i="3"/>
  <c r="H77" i="3"/>
  <c r="AK81" i="3"/>
  <c r="AK56" i="3"/>
  <c r="AK92" i="3"/>
  <c r="AK87" i="3"/>
  <c r="AK74" i="3"/>
  <c r="AK71" i="3"/>
  <c r="AK70" i="3"/>
  <c r="AK94" i="3"/>
  <c r="AK68" i="3"/>
  <c r="AK63" i="3"/>
  <c r="AK84" i="3"/>
  <c r="AK91" i="3"/>
  <c r="AK67" i="3"/>
  <c r="AK85" i="3"/>
  <c r="AK69" i="3"/>
  <c r="AK97" i="3"/>
  <c r="AK47" i="3"/>
  <c r="AK57" i="3"/>
  <c r="AK62" i="3"/>
  <c r="AK90" i="3"/>
  <c r="AK48" i="3"/>
  <c r="AK59" i="3"/>
  <c r="AK80" i="3"/>
  <c r="AK89" i="3"/>
  <c r="AK58" i="3"/>
  <c r="AK72" i="3"/>
  <c r="AK50" i="3"/>
  <c r="AK55" i="3"/>
  <c r="AK60" i="3"/>
  <c r="AK54" i="3"/>
  <c r="AK86" i="3"/>
  <c r="Y89" i="3"/>
  <c r="Y95" i="3"/>
  <c r="Y90" i="3"/>
  <c r="Y78" i="3"/>
  <c r="Y68" i="3"/>
  <c r="Y62" i="3"/>
  <c r="Y49" i="3"/>
  <c r="Y58" i="3"/>
  <c r="Y94" i="3"/>
  <c r="Y57" i="3"/>
  <c r="Y55" i="3"/>
  <c r="Y70" i="3"/>
  <c r="Y77" i="3"/>
  <c r="Y88" i="3"/>
  <c r="Y61" i="3"/>
  <c r="Y66" i="3"/>
  <c r="Y83" i="3"/>
  <c r="Y81" i="3"/>
  <c r="Y93" i="3"/>
  <c r="Y92" i="3"/>
  <c r="Y47" i="3"/>
  <c r="Y75" i="3"/>
  <c r="Y48" i="3"/>
  <c r="Y76" i="3"/>
  <c r="Y65" i="3"/>
  <c r="Y63" i="3"/>
  <c r="Y80" i="3"/>
  <c r="Y73" i="3"/>
  <c r="Y59" i="3"/>
  <c r="Y74" i="3"/>
  <c r="Y87" i="3"/>
  <c r="Y79" i="3"/>
  <c r="Y56" i="3"/>
  <c r="Y86" i="3"/>
  <c r="V89" i="3"/>
  <c r="V57" i="3"/>
  <c r="V88" i="3"/>
  <c r="V76" i="3"/>
  <c r="V84" i="3"/>
  <c r="V83" i="3"/>
  <c r="V68" i="3"/>
  <c r="V62" i="3"/>
  <c r="V91" i="3"/>
  <c r="V96" i="3"/>
  <c r="V78" i="3"/>
  <c r="V75" i="3"/>
  <c r="V97" i="3"/>
  <c r="V74" i="3"/>
  <c r="V61" i="3"/>
  <c r="V80" i="3"/>
  <c r="V87" i="3"/>
  <c r="V69" i="3"/>
  <c r="V82" i="3"/>
  <c r="V92" i="3"/>
  <c r="V64" i="3"/>
  <c r="V67" i="3"/>
  <c r="V47" i="3"/>
  <c r="V73" i="3"/>
  <c r="V90" i="3"/>
  <c r="V58" i="3"/>
  <c r="V54" i="3"/>
  <c r="V93" i="3"/>
  <c r="V85" i="3"/>
  <c r="V79" i="3"/>
  <c r="V60" i="3"/>
  <c r="V48" i="3"/>
  <c r="V49" i="3"/>
  <c r="V50" i="3"/>
  <c r="V77" i="3"/>
  <c r="V86" i="3"/>
  <c r="V63" i="3"/>
  <c r="J81" i="3"/>
  <c r="J59" i="3"/>
  <c r="J87" i="3"/>
  <c r="J88" i="3"/>
  <c r="J86" i="3"/>
  <c r="J56" i="3"/>
  <c r="J54" i="3"/>
  <c r="J47" i="3"/>
  <c r="J76" i="3"/>
  <c r="J95" i="3"/>
  <c r="J77" i="3"/>
  <c r="J89" i="3"/>
  <c r="J82" i="3"/>
  <c r="J69" i="3"/>
  <c r="J73" i="3"/>
  <c r="J79" i="3"/>
  <c r="J67" i="3"/>
  <c r="J57" i="3"/>
  <c r="J78" i="3"/>
  <c r="J60" i="3"/>
  <c r="J50" i="3"/>
  <c r="J93" i="3"/>
  <c r="J63" i="3"/>
  <c r="J65" i="3"/>
  <c r="J94" i="3"/>
  <c r="J92" i="3"/>
  <c r="J49" i="3"/>
  <c r="J90" i="3"/>
  <c r="J84" i="3"/>
  <c r="J75" i="3"/>
  <c r="J70" i="3"/>
  <c r="J91" i="3"/>
  <c r="AE72" i="3"/>
  <c r="AE60" i="3"/>
  <c r="AE82" i="3"/>
  <c r="AE78" i="3"/>
  <c r="AE84" i="3"/>
  <c r="AE76" i="3"/>
  <c r="AE69" i="3"/>
  <c r="AE68" i="3"/>
  <c r="AE86" i="3"/>
  <c r="AE91" i="3"/>
  <c r="AE81" i="3"/>
  <c r="AE56" i="3"/>
  <c r="AE88" i="3"/>
  <c r="AE80" i="3"/>
  <c r="AE48" i="3"/>
  <c r="AE58" i="3"/>
  <c r="AE74" i="3"/>
  <c r="AE71" i="3"/>
  <c r="AE49" i="3"/>
  <c r="AE62" i="3"/>
  <c r="AE85" i="3"/>
  <c r="AE79" i="3"/>
  <c r="AE89" i="3"/>
  <c r="AE95" i="3"/>
  <c r="AE92" i="3"/>
  <c r="AE50" i="3"/>
  <c r="AE83" i="3"/>
  <c r="AE61" i="3"/>
  <c r="AE63" i="3"/>
  <c r="AE70" i="3"/>
  <c r="AE65" i="3"/>
  <c r="AE66" i="3"/>
  <c r="AE90" i="3"/>
  <c r="AE94" i="3"/>
  <c r="AE54" i="3"/>
  <c r="AE97" i="3"/>
  <c r="AE64" i="3"/>
  <c r="AE55" i="3"/>
  <c r="AA61" i="3"/>
  <c r="AA81" i="3"/>
  <c r="AA95" i="3"/>
  <c r="AA70" i="3"/>
  <c r="AA88" i="3"/>
  <c r="AA65" i="3"/>
  <c r="AA94" i="3"/>
  <c r="AA96" i="3"/>
  <c r="AA83" i="3"/>
  <c r="AA63" i="3"/>
  <c r="AA48" i="3"/>
  <c r="AA77" i="3"/>
  <c r="AA47" i="3"/>
  <c r="AA97" i="3"/>
  <c r="AA74" i="3"/>
  <c r="AA58" i="3"/>
  <c r="AA72" i="3"/>
  <c r="AA87" i="3"/>
  <c r="AA69" i="3"/>
  <c r="AA84" i="3"/>
  <c r="AA54" i="3"/>
  <c r="AA78" i="3"/>
  <c r="AA56" i="3"/>
  <c r="AA93" i="3"/>
  <c r="AA91" i="3"/>
  <c r="AA71" i="3"/>
  <c r="AA66" i="3"/>
  <c r="AA50" i="3"/>
  <c r="AA67" i="3"/>
  <c r="AA62" i="3"/>
  <c r="AA75" i="3"/>
  <c r="AA60" i="3"/>
  <c r="AA64" i="3"/>
  <c r="AA49" i="3"/>
  <c r="AA73" i="3"/>
  <c r="AA68" i="3"/>
  <c r="AA59" i="3"/>
  <c r="AA89" i="3"/>
  <c r="AA82" i="3"/>
  <c r="AA86" i="3"/>
  <c r="AQ79" i="3"/>
  <c r="AQ83" i="3"/>
  <c r="AQ81" i="3"/>
  <c r="AQ69" i="3"/>
  <c r="AQ73" i="3"/>
  <c r="AQ91" i="3"/>
  <c r="AQ66" i="3"/>
  <c r="AQ87" i="3"/>
  <c r="AQ59" i="3"/>
  <c r="AQ90" i="3"/>
  <c r="AQ49" i="3"/>
  <c r="AQ63" i="3"/>
  <c r="AQ85" i="3"/>
  <c r="AQ74" i="3"/>
  <c r="AQ76" i="3"/>
  <c r="AQ97" i="3"/>
  <c r="AQ54" i="3"/>
  <c r="AQ47" i="3"/>
  <c r="AQ58" i="3"/>
  <c r="AQ61" i="3"/>
  <c r="AQ64" i="3"/>
  <c r="AQ72" i="3"/>
  <c r="AQ80" i="3"/>
  <c r="AQ70" i="3"/>
  <c r="AQ95" i="3"/>
  <c r="AQ78" i="3"/>
  <c r="AQ88" i="3"/>
  <c r="AQ50" i="3"/>
  <c r="AQ93" i="3"/>
  <c r="AQ82" i="3"/>
  <c r="AQ55" i="3"/>
  <c r="AQ68" i="3"/>
  <c r="AQ56" i="3"/>
  <c r="AQ62" i="3"/>
  <c r="AQ65" i="3"/>
  <c r="X78" i="3"/>
  <c r="X55" i="3"/>
  <c r="X69" i="3"/>
  <c r="X49" i="3"/>
  <c r="X72" i="3"/>
  <c r="X60" i="3"/>
  <c r="X79" i="3"/>
  <c r="X92" i="3"/>
  <c r="X73" i="3"/>
  <c r="X96" i="3"/>
  <c r="X97" i="3"/>
  <c r="X93" i="3"/>
  <c r="X88" i="3"/>
  <c r="X83" i="3"/>
  <c r="X71" i="3"/>
  <c r="X68" i="3"/>
  <c r="X54" i="3"/>
  <c r="X63" i="3"/>
  <c r="X89" i="3"/>
  <c r="X65" i="3"/>
  <c r="X84" i="3"/>
  <c r="X57" i="3"/>
  <c r="X62" i="3"/>
  <c r="X56" i="3"/>
  <c r="X61" i="3"/>
  <c r="X95" i="3"/>
  <c r="X70" i="3"/>
  <c r="X94" i="3"/>
  <c r="X91" i="3"/>
  <c r="X50" i="3"/>
  <c r="X75" i="3"/>
  <c r="X77" i="3"/>
  <c r="X87" i="3"/>
  <c r="X67" i="3"/>
  <c r="X76" i="3"/>
  <c r="X82" i="3"/>
  <c r="X47" i="3"/>
  <c r="X66" i="3"/>
  <c r="X48" i="3"/>
  <c r="X86" i="3"/>
  <c r="X64" i="3"/>
  <c r="X74" i="3"/>
  <c r="X58" i="3"/>
  <c r="X81" i="3"/>
  <c r="X90" i="3"/>
  <c r="X59" i="3"/>
  <c r="X80" i="3"/>
  <c r="AL85" i="3"/>
  <c r="AL58" i="3"/>
  <c r="AL60" i="3"/>
  <c r="AL61" i="3"/>
  <c r="AL50" i="3"/>
  <c r="AL72" i="3"/>
  <c r="AL84" i="3"/>
  <c r="AL95" i="3"/>
  <c r="AL86" i="3"/>
  <c r="AL77" i="3"/>
  <c r="AL82" i="3"/>
  <c r="AL69" i="3"/>
  <c r="AL48" i="3"/>
  <c r="AL64" i="3"/>
  <c r="AL87" i="3"/>
  <c r="AL83" i="3"/>
  <c r="AL91" i="3"/>
  <c r="AL66" i="3"/>
  <c r="AL89" i="3"/>
  <c r="AL67" i="3"/>
  <c r="AL70" i="3"/>
  <c r="AL57" i="3"/>
  <c r="AL94" i="3"/>
  <c r="AL81" i="3"/>
  <c r="AL92" i="3"/>
  <c r="AL96" i="3"/>
  <c r="AL76" i="3"/>
  <c r="AL78" i="3"/>
  <c r="AL90" i="3"/>
  <c r="AL93" i="3"/>
  <c r="AL75" i="3"/>
  <c r="AL63" i="3"/>
  <c r="AL49" i="3"/>
  <c r="AL80" i="3"/>
  <c r="AL73" i="3"/>
  <c r="AL59" i="3"/>
  <c r="AL47" i="3"/>
  <c r="AL74" i="3"/>
  <c r="AL68" i="3"/>
  <c r="AL79" i="3"/>
  <c r="AL88" i="3"/>
  <c r="AL54" i="3"/>
  <c r="AL56" i="3"/>
  <c r="AL71" i="3"/>
  <c r="AL65" i="3"/>
  <c r="W67" i="3"/>
  <c r="W81" i="3"/>
  <c r="W60" i="3"/>
  <c r="W78" i="3"/>
  <c r="W48" i="3"/>
  <c r="W54" i="3"/>
  <c r="W91" i="3"/>
  <c r="W94" i="3"/>
  <c r="W86" i="3"/>
  <c r="W87" i="3"/>
  <c r="W95" i="3"/>
  <c r="W62" i="3"/>
  <c r="W84" i="3"/>
  <c r="W73" i="3"/>
  <c r="W49" i="3"/>
  <c r="W64" i="3"/>
  <c r="W66" i="3"/>
  <c r="W79" i="3"/>
  <c r="W74" i="3"/>
  <c r="W88" i="3"/>
  <c r="W61" i="3"/>
  <c r="W70" i="3"/>
  <c r="W65" i="3"/>
  <c r="N65" i="3"/>
  <c r="N71" i="3"/>
  <c r="N88" i="3"/>
  <c r="N86" i="3"/>
  <c r="N70" i="3"/>
  <c r="N54" i="3"/>
  <c r="N75" i="3"/>
  <c r="N50" i="3"/>
  <c r="N47" i="3"/>
  <c r="N92" i="3"/>
  <c r="N62" i="3"/>
  <c r="N56" i="3"/>
  <c r="N84" i="3"/>
  <c r="N77" i="3"/>
  <c r="N93" i="3"/>
  <c r="N87" i="3"/>
  <c r="N61" i="3"/>
  <c r="N67" i="3"/>
  <c r="N57" i="3"/>
  <c r="N81" i="3"/>
  <c r="N72" i="3"/>
  <c r="N97" i="3"/>
  <c r="N83" i="3"/>
  <c r="N59" i="3"/>
  <c r="N55" i="3"/>
  <c r="N96" i="3"/>
  <c r="N48" i="3"/>
  <c r="N94" i="3"/>
  <c r="N89" i="3"/>
  <c r="N60" i="3"/>
  <c r="N82" i="3"/>
  <c r="N49" i="3"/>
  <c r="N69" i="3"/>
  <c r="N85" i="3"/>
  <c r="N64" i="3"/>
  <c r="N80" i="3"/>
  <c r="N91" i="3"/>
  <c r="N76" i="3"/>
  <c r="N66" i="3"/>
  <c r="N79" i="3"/>
  <c r="N95" i="3"/>
  <c r="N90" i="3"/>
  <c r="N73" i="3"/>
  <c r="N68" i="3"/>
  <c r="N58" i="3"/>
  <c r="J88" i="2"/>
  <c r="G40" i="2"/>
  <c r="L49" i="2"/>
  <c r="J42" i="2"/>
  <c r="O80" i="2"/>
  <c r="Q83" i="2"/>
  <c r="S112" i="2"/>
  <c r="V52" i="2"/>
  <c r="T58" i="2"/>
  <c r="T79" i="2"/>
  <c r="D111" i="2"/>
  <c r="H70" i="2"/>
  <c r="D74" i="2"/>
  <c r="J72" i="2"/>
  <c r="O61" i="2"/>
  <c r="X99" i="2"/>
  <c r="E80" i="2"/>
  <c r="W55" i="2"/>
  <c r="T87" i="2"/>
  <c r="P43" i="2"/>
  <c r="K84" i="2"/>
  <c r="K61" i="2"/>
  <c r="S78" i="2"/>
  <c r="H62" i="2"/>
  <c r="C67" i="2"/>
  <c r="F51" i="2"/>
  <c r="J78" i="2"/>
  <c r="J95" i="2"/>
  <c r="M83" i="2"/>
  <c r="Q108" i="2"/>
  <c r="O55" i="2"/>
  <c r="U52" i="2"/>
  <c r="G113" i="2"/>
  <c r="H66" i="2"/>
  <c r="X61" i="2"/>
  <c r="E82" i="2"/>
  <c r="S66" i="2"/>
  <c r="W50" i="2"/>
  <c r="P78" i="2"/>
  <c r="U72" i="2"/>
  <c r="C88" i="2"/>
  <c r="F93" i="2"/>
  <c r="P97" i="2"/>
  <c r="J83" i="2"/>
  <c r="X51" i="2"/>
  <c r="E63" i="2"/>
  <c r="U89" i="2"/>
  <c r="R111" i="2"/>
  <c r="K76" i="2"/>
  <c r="E72" i="2"/>
  <c r="R107" i="2"/>
  <c r="O79" i="2"/>
  <c r="I71" i="2"/>
  <c r="C74" i="2"/>
  <c r="S110" i="2"/>
  <c r="J54" i="2"/>
  <c r="L109" i="2"/>
  <c r="I45" i="2"/>
  <c r="R45" i="2"/>
  <c r="W96" i="2"/>
  <c r="N57" i="2"/>
  <c r="S48" i="2"/>
  <c r="P44" i="2"/>
  <c r="W71" i="2"/>
  <c r="T98" i="2"/>
  <c r="L97" i="2"/>
  <c r="I65" i="2"/>
  <c r="P58" i="2"/>
  <c r="P48" i="2"/>
  <c r="U99" i="2"/>
  <c r="N68" i="2"/>
  <c r="D110" i="2"/>
  <c r="N91" i="2"/>
  <c r="L90" i="2"/>
  <c r="V73" i="2"/>
  <c r="J81" i="2"/>
  <c r="C66" i="2"/>
  <c r="C62" i="2"/>
  <c r="O49" i="2"/>
  <c r="H48" i="2"/>
  <c r="M99" i="2"/>
  <c r="X74" i="2"/>
  <c r="T95" i="2"/>
  <c r="N42" i="2"/>
  <c r="G74" i="2"/>
  <c r="I91" i="2"/>
  <c r="J111" i="2"/>
  <c r="P50" i="2"/>
  <c r="W53" i="2"/>
  <c r="M113" i="2"/>
  <c r="E92" i="2"/>
  <c r="T85" i="2"/>
  <c r="T73" i="2"/>
  <c r="K60" i="2"/>
  <c r="C82" i="2"/>
  <c r="R62" i="2"/>
  <c r="U78" i="2"/>
  <c r="K40" i="2"/>
  <c r="N83" i="2"/>
  <c r="C87" i="2"/>
  <c r="F83" i="2"/>
  <c r="M95" i="2"/>
  <c r="D91" i="2"/>
  <c r="N113" i="2"/>
  <c r="Q72" i="2"/>
  <c r="R53" i="2"/>
  <c r="R75" i="2"/>
  <c r="F54" i="2"/>
  <c r="D50" i="2"/>
  <c r="H65" i="2"/>
  <c r="R78" i="2"/>
  <c r="L99" i="2"/>
  <c r="J48" i="2"/>
  <c r="U55" i="2"/>
  <c r="J65" i="2"/>
  <c r="C76" i="2"/>
  <c r="V90" i="2"/>
  <c r="U62" i="2"/>
  <c r="F84" i="2"/>
  <c r="U41" i="2"/>
  <c r="U50" i="2"/>
  <c r="L44" i="2"/>
  <c r="P62" i="2"/>
  <c r="V59" i="2"/>
  <c r="N51" i="2"/>
  <c r="X46" i="2"/>
  <c r="K52" i="2"/>
  <c r="V42" i="2"/>
  <c r="G48" i="2"/>
  <c r="L96" i="2"/>
  <c r="M98" i="2"/>
  <c r="J62" i="2"/>
  <c r="X87" i="2"/>
  <c r="C44" i="2"/>
  <c r="S72" i="2"/>
  <c r="H44" i="2"/>
  <c r="T59" i="2"/>
  <c r="V88" i="2"/>
  <c r="L71" i="2"/>
  <c r="O88" i="2"/>
  <c r="D43" i="2"/>
  <c r="E112" i="2"/>
  <c r="T112" i="2"/>
  <c r="P77" i="2"/>
  <c r="U42" i="2"/>
  <c r="C58" i="2"/>
  <c r="J55" i="2"/>
  <c r="K112" i="2"/>
  <c r="D51" i="2"/>
  <c r="O47" i="2"/>
  <c r="T67" i="2"/>
  <c r="I112" i="2"/>
  <c r="D66" i="2"/>
  <c r="S106" i="2"/>
  <c r="L69" i="2"/>
  <c r="G63" i="2"/>
  <c r="T77" i="2"/>
  <c r="L73" i="2"/>
  <c r="O41" i="2"/>
  <c r="W62" i="2"/>
  <c r="O42" i="2"/>
  <c r="F56" i="2"/>
  <c r="M75" i="2"/>
  <c r="G67" i="2"/>
  <c r="X107" i="2"/>
  <c r="O59" i="2"/>
  <c r="N90" i="2"/>
  <c r="J110" i="2"/>
  <c r="I63" i="2"/>
  <c r="J104" i="2"/>
  <c r="V110" i="2"/>
  <c r="V48" i="2"/>
  <c r="U91" i="2"/>
  <c r="X52" i="2"/>
  <c r="S67" i="2"/>
  <c r="K79" i="2"/>
  <c r="E88" i="2"/>
  <c r="R92" i="2"/>
  <c r="E65" i="2"/>
  <c r="W69" i="2"/>
  <c r="K67" i="2"/>
  <c r="G85" i="2"/>
  <c r="W94" i="2"/>
  <c r="K51" i="2"/>
  <c r="L60" i="2"/>
  <c r="W68" i="2"/>
  <c r="L78" i="2"/>
  <c r="L92" i="2"/>
  <c r="K75" i="2"/>
  <c r="E40" i="2"/>
  <c r="V109" i="2"/>
  <c r="M86" i="2"/>
  <c r="F43" i="2"/>
  <c r="W67" i="2"/>
  <c r="R97" i="2"/>
  <c r="X109" i="2"/>
  <c r="X68" i="2"/>
  <c r="H80" i="2"/>
  <c r="M96" i="2"/>
  <c r="F86" i="2"/>
  <c r="P51" i="2"/>
  <c r="I52" i="2"/>
  <c r="M67" i="2"/>
  <c r="M45" i="2"/>
  <c r="U80" i="2"/>
  <c r="F46" i="2"/>
  <c r="M104" i="2"/>
  <c r="P75" i="2"/>
  <c r="I72" i="2"/>
  <c r="M90" i="2"/>
  <c r="D87" i="2"/>
  <c r="P94" i="2"/>
  <c r="H76" i="2"/>
  <c r="Q109" i="2"/>
  <c r="D46" i="2"/>
  <c r="P42" i="2"/>
  <c r="L84" i="2"/>
  <c r="V86" i="2"/>
  <c r="P92" i="2"/>
  <c r="U98" i="2"/>
  <c r="X82" i="2"/>
  <c r="R58" i="2"/>
  <c r="V70" i="2"/>
  <c r="N98" i="2"/>
  <c r="N55" i="2"/>
  <c r="T65" i="2"/>
  <c r="X89" i="2"/>
  <c r="E48" i="2"/>
  <c r="D70" i="2"/>
  <c r="I47" i="2"/>
  <c r="U61" i="2"/>
  <c r="P57" i="2"/>
  <c r="X79" i="2"/>
  <c r="K82" i="2"/>
  <c r="H87" i="2"/>
  <c r="W97" i="2"/>
  <c r="Q64" i="2"/>
  <c r="J57" i="2"/>
  <c r="J74" i="2"/>
  <c r="C42" i="2"/>
  <c r="V77" i="2"/>
  <c r="O69" i="2"/>
  <c r="F73" i="2"/>
  <c r="S43" i="2"/>
  <c r="P84" i="2"/>
  <c r="Q68" i="2"/>
  <c r="L110" i="2"/>
  <c r="M85" i="2"/>
  <c r="O111" i="2"/>
  <c r="N92" i="2"/>
  <c r="D88" i="2"/>
  <c r="T40" i="2"/>
  <c r="H77" i="2"/>
  <c r="F67" i="2"/>
  <c r="R65" i="2"/>
  <c r="L87" i="2"/>
  <c r="V72" i="2"/>
  <c r="Q92" i="2"/>
  <c r="D108" i="2"/>
  <c r="Q95" i="2"/>
  <c r="I105" i="2"/>
  <c r="G50" i="2"/>
  <c r="N109" i="2"/>
  <c r="Q88" i="2"/>
  <c r="D40" i="2"/>
  <c r="L61" i="2"/>
  <c r="N85" i="2"/>
  <c r="U58" i="2"/>
  <c r="Q62" i="2"/>
  <c r="J99" i="2"/>
  <c r="G42" i="2"/>
  <c r="D75" i="2"/>
  <c r="C81" i="2"/>
  <c r="F57" i="2"/>
  <c r="U63" i="2"/>
  <c r="F99" i="2"/>
  <c r="X84" i="2"/>
  <c r="F113" i="2"/>
  <c r="D48" i="2"/>
  <c r="V78" i="2"/>
  <c r="G82" i="2"/>
  <c r="U113" i="2"/>
  <c r="N93" i="2"/>
  <c r="D95" i="2"/>
  <c r="O48" i="2"/>
  <c r="O113" i="2"/>
  <c r="K105" i="2"/>
  <c r="M87" i="2"/>
  <c r="F68" i="2"/>
  <c r="S77" i="2"/>
  <c r="E96" i="2"/>
  <c r="U104" i="2"/>
  <c r="T94" i="2"/>
  <c r="V112" i="2"/>
  <c r="J87" i="2"/>
  <c r="J56" i="2"/>
  <c r="I64" i="2"/>
  <c r="K63" i="2"/>
  <c r="K92" i="2"/>
  <c r="R110" i="2"/>
  <c r="D85" i="2"/>
  <c r="D45" i="2"/>
  <c r="X91" i="2"/>
  <c r="C75" i="2"/>
  <c r="G41" i="2"/>
  <c r="V98" i="2"/>
  <c r="M62" i="2"/>
  <c r="W109" i="2"/>
  <c r="N63" i="2"/>
  <c r="H104" i="2"/>
  <c r="I82" i="2"/>
  <c r="R96" i="2"/>
  <c r="S85" i="2"/>
  <c r="X75" i="2"/>
  <c r="J60" i="2"/>
  <c r="X111" i="2"/>
  <c r="I92" i="2"/>
  <c r="V82" i="2"/>
  <c r="V113" i="2"/>
  <c r="R42" i="2"/>
  <c r="S64" i="2"/>
  <c r="L79" i="2"/>
  <c r="K89" i="2"/>
  <c r="O105" i="2"/>
  <c r="T68" i="2"/>
  <c r="P64" i="2"/>
  <c r="C53" i="2"/>
  <c r="F66" i="2"/>
  <c r="L81" i="2"/>
  <c r="O43" i="2"/>
  <c r="T111" i="2"/>
  <c r="Q99" i="2"/>
  <c r="W110" i="2"/>
  <c r="U109" i="2"/>
  <c r="Q49" i="2"/>
  <c r="T53" i="2"/>
  <c r="E109" i="2"/>
  <c r="P113" i="2"/>
  <c r="J112" i="2"/>
  <c r="K96" i="2"/>
  <c r="O56" i="2"/>
  <c r="H105" i="2"/>
  <c r="R91" i="2"/>
  <c r="V74" i="2"/>
  <c r="P66" i="2"/>
  <c r="P47" i="2"/>
  <c r="R108" i="2"/>
  <c r="V41" i="2"/>
  <c r="O52" i="2"/>
  <c r="O72" i="2"/>
  <c r="I69" i="2"/>
  <c r="T96" i="2"/>
  <c r="D64" i="2"/>
  <c r="X78" i="2"/>
  <c r="T107" i="2"/>
  <c r="Q71" i="2"/>
  <c r="T76" i="2"/>
  <c r="M82" i="2"/>
  <c r="X104" i="2"/>
  <c r="K94" i="2"/>
  <c r="T69" i="2"/>
  <c r="F87" i="2"/>
  <c r="P105" i="2"/>
  <c r="O95" i="2"/>
  <c r="S68" i="2"/>
  <c r="L93" i="2"/>
  <c r="P85" i="2"/>
  <c r="Q85" i="2"/>
  <c r="R82" i="2"/>
  <c r="T83" i="2"/>
  <c r="K113" i="2"/>
  <c r="F70" i="2"/>
  <c r="U59" i="2"/>
  <c r="I93" i="2"/>
  <c r="F112" i="2"/>
  <c r="R98" i="2"/>
  <c r="V66" i="2"/>
  <c r="T82" i="2"/>
  <c r="C51" i="2"/>
  <c r="H53" i="2"/>
  <c r="R59" i="2"/>
  <c r="R50" i="2"/>
  <c r="R41" i="2"/>
  <c r="O54" i="2"/>
  <c r="H108" i="2"/>
  <c r="W98" i="2"/>
  <c r="V54" i="2"/>
  <c r="N81" i="2"/>
  <c r="V55" i="2"/>
  <c r="I43" i="2"/>
  <c r="U79" i="2"/>
  <c r="U84" i="2"/>
  <c r="O82" i="2"/>
  <c r="P52" i="2"/>
  <c r="R66" i="2"/>
  <c r="K48" i="2"/>
  <c r="P76" i="2"/>
  <c r="T84" i="2"/>
  <c r="F90" i="2"/>
  <c r="I104" i="2"/>
  <c r="C68" i="2"/>
  <c r="T60" i="2"/>
  <c r="H71" i="2"/>
  <c r="L48" i="2"/>
  <c r="N99" i="2"/>
  <c r="X65" i="2"/>
  <c r="U73" i="2"/>
  <c r="X105" i="2"/>
  <c r="V94" i="2"/>
  <c r="N84" i="2"/>
  <c r="D82" i="2"/>
  <c r="C106" i="2"/>
  <c r="F107" i="2"/>
  <c r="J64" i="2"/>
  <c r="V87" i="2"/>
  <c r="S107" i="2"/>
  <c r="T108" i="2"/>
  <c r="S76" i="2"/>
  <c r="X50" i="2"/>
  <c r="N86" i="2"/>
  <c r="Q76" i="2"/>
  <c r="E59" i="2"/>
  <c r="H111" i="2"/>
  <c r="C84" i="2"/>
  <c r="G66" i="2"/>
  <c r="M94" i="2"/>
  <c r="R44" i="2"/>
  <c r="S105" i="2"/>
  <c r="I50" i="2"/>
  <c r="J96" i="2"/>
  <c r="W104" i="2"/>
  <c r="F79" i="2"/>
  <c r="N107" i="2"/>
  <c r="K56" i="2"/>
  <c r="E79" i="2"/>
  <c r="W93" i="2"/>
  <c r="K46" i="2"/>
  <c r="E52" i="2"/>
  <c r="H50" i="2"/>
  <c r="M97" i="2"/>
  <c r="E91" i="2"/>
  <c r="M108" i="2"/>
  <c r="N62" i="2"/>
  <c r="W86" i="2"/>
  <c r="J76" i="2"/>
  <c r="I53" i="2"/>
  <c r="S88" i="2"/>
  <c r="N82" i="2"/>
  <c r="N88" i="2"/>
  <c r="D55" i="2"/>
  <c r="C40" i="2"/>
  <c r="P98" i="2"/>
  <c r="M88" i="2"/>
  <c r="P41" i="2"/>
  <c r="U54" i="2"/>
  <c r="I79" i="2"/>
  <c r="P80" i="2"/>
  <c r="S113" i="2"/>
  <c r="U106" i="2"/>
  <c r="F50" i="2"/>
  <c r="J79" i="2"/>
  <c r="E74" i="2"/>
  <c r="Q44" i="2"/>
  <c r="N97" i="2"/>
  <c r="S98" i="2"/>
  <c r="R56" i="2"/>
  <c r="M77" i="2"/>
  <c r="W108" i="2"/>
  <c r="T46" i="2"/>
  <c r="R88" i="2"/>
  <c r="C50" i="2"/>
  <c r="F92" i="2"/>
  <c r="S44" i="2"/>
  <c r="L57" i="2"/>
  <c r="P53" i="2"/>
  <c r="U85" i="2"/>
  <c r="P95" i="2"/>
  <c r="N67" i="2"/>
  <c r="Q65" i="2"/>
  <c r="M112" i="2"/>
  <c r="D59" i="2"/>
  <c r="U81" i="2"/>
  <c r="M111" i="2"/>
  <c r="G104" i="2"/>
  <c r="Q41" i="2"/>
  <c r="R76" i="2"/>
  <c r="H64" i="2"/>
  <c r="D109" i="2"/>
  <c r="W111" i="2"/>
  <c r="V49" i="2"/>
  <c r="L51" i="2"/>
  <c r="I41" i="2"/>
  <c r="Q79" i="2"/>
  <c r="D99" i="2"/>
  <c r="C96" i="2"/>
  <c r="M64" i="2"/>
  <c r="X88" i="2"/>
  <c r="U74" i="2"/>
  <c r="T113" i="2"/>
  <c r="O60" i="2"/>
  <c r="U69" i="2"/>
  <c r="L40" i="2"/>
  <c r="D98" i="2"/>
  <c r="C56" i="2"/>
  <c r="E98" i="2"/>
  <c r="S93" i="2"/>
  <c r="C49" i="2"/>
  <c r="X48" i="2"/>
  <c r="J67" i="2"/>
  <c r="R81" i="2"/>
  <c r="W61" i="2"/>
  <c r="H52" i="2"/>
  <c r="W84" i="2"/>
  <c r="X97" i="2"/>
  <c r="W79" i="2"/>
  <c r="V91" i="2"/>
  <c r="U53" i="2"/>
  <c r="S73" i="2"/>
  <c r="I57" i="2"/>
  <c r="K68" i="2"/>
  <c r="G96" i="2"/>
  <c r="M92" i="2"/>
  <c r="C105" i="2"/>
  <c r="I81" i="2"/>
  <c r="R46" i="2"/>
  <c r="G70" i="2"/>
  <c r="W47" i="2"/>
  <c r="E60" i="2"/>
  <c r="G109" i="2"/>
  <c r="Q45" i="2"/>
  <c r="K50" i="2"/>
  <c r="P96" i="2"/>
  <c r="M59" i="2"/>
  <c r="M89" i="2"/>
  <c r="H42" i="2"/>
  <c r="X93" i="2"/>
  <c r="L55" i="2"/>
  <c r="F55" i="2"/>
  <c r="W63" i="2"/>
  <c r="V64" i="2"/>
  <c r="U71" i="2"/>
  <c r="F109" i="2"/>
  <c r="S70" i="2"/>
  <c r="H84" i="2"/>
  <c r="D52" i="2"/>
  <c r="M105" i="2"/>
  <c r="U51" i="2"/>
  <c r="M76" i="2"/>
  <c r="M46" i="2"/>
  <c r="C46" i="2"/>
  <c r="Q67" i="2"/>
  <c r="I75" i="2"/>
  <c r="N72" i="2"/>
  <c r="G47" i="2"/>
  <c r="K57" i="2"/>
  <c r="X70" i="2"/>
  <c r="T97" i="2"/>
  <c r="X106" i="2"/>
  <c r="R72" i="2"/>
  <c r="F53" i="2"/>
  <c r="Q53" i="2"/>
  <c r="S82" i="2"/>
  <c r="N50" i="2"/>
  <c r="T62" i="2"/>
  <c r="C89" i="2"/>
  <c r="O74" i="2"/>
  <c r="D86" i="2"/>
  <c r="T70" i="2"/>
  <c r="R55" i="2"/>
  <c r="O87" i="2"/>
  <c r="K41" i="2"/>
  <c r="Q66" i="2"/>
  <c r="L67" i="2"/>
  <c r="N58" i="2"/>
  <c r="H47" i="2"/>
  <c r="M84" i="2"/>
  <c r="R86" i="2"/>
  <c r="I85" i="2"/>
  <c r="O86" i="2"/>
  <c r="R84" i="2"/>
  <c r="T43" i="2"/>
  <c r="G76" i="2"/>
  <c r="C104" i="2"/>
  <c r="U93" i="2"/>
  <c r="G61" i="2"/>
  <c r="T57" i="2"/>
  <c r="T51" i="2"/>
  <c r="H82" i="2"/>
  <c r="W81" i="2"/>
  <c r="D53" i="2"/>
  <c r="W40" i="2"/>
  <c r="E49" i="2"/>
  <c r="H56" i="2"/>
  <c r="T63" i="2"/>
  <c r="G55" i="2"/>
  <c r="X86" i="2"/>
  <c r="I94" i="2"/>
  <c r="E110" i="2"/>
  <c r="S49" i="2"/>
  <c r="V51" i="2"/>
  <c r="O71" i="2"/>
  <c r="M91" i="2"/>
  <c r="G97" i="2"/>
  <c r="T54" i="2"/>
  <c r="F82" i="2"/>
  <c r="V89" i="2"/>
  <c r="I51" i="2"/>
  <c r="L105" i="2"/>
  <c r="R63" i="2"/>
  <c r="R90" i="2"/>
  <c r="T48" i="2"/>
  <c r="N46" i="2"/>
  <c r="N56" i="2"/>
  <c r="P90" i="2"/>
  <c r="C54" i="2"/>
  <c r="F104" i="2"/>
  <c r="P60" i="2"/>
  <c r="N60" i="2"/>
  <c r="L108" i="2"/>
  <c r="L98" i="2"/>
  <c r="V68" i="2"/>
  <c r="I110" i="2"/>
  <c r="R47" i="2"/>
  <c r="N48" i="2"/>
  <c r="Q40" i="2"/>
  <c r="P89" i="2"/>
  <c r="E111" i="2"/>
  <c r="I111" i="2"/>
  <c r="X85" i="2"/>
  <c r="P112" i="2"/>
  <c r="U46" i="2"/>
  <c r="E95" i="2"/>
  <c r="E71" i="2"/>
  <c r="E108" i="2"/>
  <c r="M106" i="2"/>
  <c r="L77" i="2"/>
  <c r="G73" i="2"/>
  <c r="H98" i="2"/>
  <c r="L54" i="2"/>
  <c r="D54" i="2"/>
  <c r="S59" i="2"/>
  <c r="V62" i="2"/>
  <c r="G54" i="2"/>
  <c r="N52" i="2"/>
  <c r="U107" i="2"/>
  <c r="M54" i="2"/>
  <c r="D56" i="2"/>
  <c r="E93" i="2"/>
  <c r="U97" i="2"/>
  <c r="L52" i="2"/>
  <c r="X59" i="2"/>
  <c r="I76" i="2"/>
  <c r="N104" i="2"/>
  <c r="W44" i="2"/>
  <c r="Q74" i="2"/>
  <c r="O94" i="2"/>
  <c r="R73" i="2"/>
  <c r="F45" i="2"/>
  <c r="W76" i="2"/>
  <c r="K42" i="2"/>
  <c r="K49" i="2"/>
  <c r="G98" i="2"/>
  <c r="L70" i="2"/>
  <c r="T99" i="2"/>
  <c r="E70" i="2"/>
  <c r="K104" i="2"/>
  <c r="F48" i="2"/>
  <c r="U86" i="2"/>
  <c r="V99" i="2"/>
  <c r="G86" i="2"/>
  <c r="X44" i="2"/>
  <c r="F64" i="2"/>
  <c r="U87" i="2"/>
  <c r="O64" i="2"/>
  <c r="V60" i="2"/>
  <c r="M65" i="2"/>
  <c r="Q96" i="2"/>
  <c r="J52" i="2"/>
  <c r="H107" i="2"/>
  <c r="J89" i="2"/>
  <c r="D61" i="2"/>
  <c r="U48" i="2"/>
  <c r="T72" i="2"/>
  <c r="U82" i="2"/>
  <c r="L43" i="2"/>
  <c r="T89" i="2"/>
  <c r="Q86" i="2"/>
  <c r="R94" i="2"/>
  <c r="M69" i="2"/>
  <c r="G60" i="2"/>
  <c r="N70" i="2"/>
  <c r="H40" i="2"/>
  <c r="O83" i="2"/>
  <c r="P91" i="2"/>
  <c r="P104" i="2"/>
  <c r="H61" i="2"/>
  <c r="K90" i="2"/>
  <c r="G62" i="2"/>
  <c r="I46" i="2"/>
  <c r="J69" i="2"/>
  <c r="E77" i="2"/>
  <c r="I56" i="2"/>
  <c r="M56" i="2"/>
  <c r="M73" i="2"/>
  <c r="T50" i="2"/>
  <c r="O75" i="2"/>
  <c r="X69" i="2"/>
  <c r="T105" i="2"/>
  <c r="C72" i="2"/>
  <c r="X43" i="2"/>
  <c r="K80" i="2"/>
  <c r="C97" i="2"/>
  <c r="T104" i="2"/>
  <c r="N94" i="2"/>
  <c r="I49" i="2"/>
  <c r="W85" i="2"/>
  <c r="U45" i="2"/>
  <c r="N78" i="2"/>
  <c r="N71" i="2"/>
  <c r="J80" i="2"/>
  <c r="F88" i="2"/>
  <c r="S80" i="2"/>
  <c r="V63" i="2"/>
  <c r="N95" i="2"/>
  <c r="U94" i="2"/>
  <c r="O93" i="2"/>
  <c r="H43" i="2"/>
  <c r="E90" i="2"/>
  <c r="L46" i="2"/>
  <c r="G81" i="2"/>
  <c r="D69" i="2"/>
  <c r="K77" i="2"/>
  <c r="R51" i="2"/>
  <c r="X54" i="2"/>
  <c r="I42" i="2"/>
  <c r="L65" i="2"/>
  <c r="G53" i="2"/>
  <c r="S91" i="2"/>
  <c r="D62" i="2"/>
  <c r="F60" i="2"/>
  <c r="X96" i="2"/>
  <c r="G93" i="2"/>
  <c r="F94" i="2"/>
  <c r="R74" i="2"/>
  <c r="G110" i="2"/>
  <c r="G108" i="2"/>
  <c r="Q50" i="2"/>
  <c r="V61" i="2"/>
  <c r="T86" i="2"/>
  <c r="M93" i="2"/>
  <c r="J94" i="2"/>
  <c r="K70" i="2"/>
  <c r="K107" i="2"/>
  <c r="T45" i="2"/>
  <c r="P88" i="2"/>
  <c r="V92" i="2"/>
  <c r="S60" i="2"/>
  <c r="T109" i="2"/>
  <c r="Q93" i="2"/>
  <c r="O65" i="2"/>
  <c r="N45" i="2"/>
  <c r="M60" i="2"/>
  <c r="L63" i="2"/>
  <c r="G91" i="2"/>
  <c r="O76" i="2"/>
  <c r="F62" i="2"/>
  <c r="O104" i="2"/>
  <c r="C71" i="2"/>
  <c r="K69" i="2"/>
  <c r="G44" i="2"/>
  <c r="U43" i="2"/>
  <c r="P45" i="2"/>
  <c r="G84" i="2"/>
  <c r="L53" i="2"/>
  <c r="P83" i="2"/>
  <c r="Q77" i="2"/>
  <c r="F96" i="2"/>
  <c r="D67" i="2"/>
  <c r="C83" i="2"/>
  <c r="X113" i="2"/>
  <c r="F42" i="2"/>
  <c r="T88" i="2"/>
  <c r="N80" i="2"/>
  <c r="P59" i="2"/>
  <c r="D92" i="2"/>
  <c r="H46" i="2"/>
  <c r="N69" i="2"/>
  <c r="C85" i="2"/>
  <c r="O53" i="2"/>
  <c r="C80" i="2"/>
  <c r="C55" i="2"/>
  <c r="L72" i="2"/>
  <c r="F77" i="2"/>
  <c r="J75" i="2"/>
  <c r="E50" i="2"/>
  <c r="I86" i="2"/>
  <c r="L82" i="2"/>
  <c r="S58" i="2"/>
  <c r="U67" i="2"/>
  <c r="I73" i="2"/>
  <c r="E61" i="2"/>
  <c r="H67" i="2"/>
  <c r="E58" i="2"/>
  <c r="Q73" i="2"/>
  <c r="E73" i="2"/>
  <c r="N110" i="2"/>
  <c r="F63" i="2"/>
  <c r="K58" i="2"/>
  <c r="F47" i="2"/>
  <c r="D105" i="2"/>
  <c r="H45" i="2"/>
  <c r="H68" i="2"/>
  <c r="U95" i="2"/>
  <c r="D65" i="2"/>
  <c r="T55" i="2"/>
  <c r="Q87" i="2"/>
  <c r="Q43" i="2"/>
  <c r="C57" i="2"/>
  <c r="I48" i="2"/>
  <c r="T47" i="2"/>
  <c r="Q75" i="2"/>
  <c r="D72" i="2"/>
  <c r="W75" i="2"/>
  <c r="J45" i="2"/>
  <c r="S54" i="2"/>
  <c r="K47" i="2"/>
  <c r="U76" i="2"/>
  <c r="T52" i="2"/>
  <c r="G46" i="2"/>
  <c r="J47" i="2"/>
  <c r="W113" i="2"/>
  <c r="P87" i="2"/>
  <c r="K95" i="2"/>
  <c r="L104" i="2"/>
  <c r="X80" i="2"/>
  <c r="P56" i="2"/>
  <c r="R113" i="2"/>
  <c r="J91" i="2"/>
  <c r="Q61" i="2"/>
  <c r="H78" i="2"/>
  <c r="W49" i="2"/>
  <c r="T80" i="2"/>
  <c r="D113" i="2"/>
  <c r="Q70" i="2"/>
  <c r="G49" i="2"/>
  <c r="E55" i="2"/>
  <c r="O62" i="2"/>
  <c r="E78" i="2"/>
  <c r="O108" i="2"/>
  <c r="C98" i="2"/>
  <c r="W73" i="2"/>
  <c r="V96" i="2"/>
  <c r="U47" i="2"/>
  <c r="S87" i="2"/>
  <c r="L91" i="2"/>
  <c r="U64" i="2"/>
  <c r="U49" i="2"/>
  <c r="F59" i="2"/>
  <c r="J63" i="2"/>
  <c r="Q89" i="2"/>
  <c r="O63" i="2"/>
  <c r="T49" i="2"/>
  <c r="T106" i="2"/>
  <c r="O99" i="2"/>
  <c r="N77" i="2"/>
  <c r="S75" i="2"/>
  <c r="M72" i="2"/>
  <c r="Q90" i="2"/>
  <c r="G71" i="2"/>
  <c r="U83" i="2"/>
  <c r="D57" i="2"/>
  <c r="E66" i="2"/>
  <c r="S41" i="2"/>
  <c r="G106" i="2"/>
  <c r="O91" i="2"/>
  <c r="V80" i="2"/>
  <c r="M50" i="2"/>
  <c r="M61" i="2"/>
  <c r="C90" i="2"/>
  <c r="S42" i="2"/>
  <c r="C78" i="2"/>
  <c r="G88" i="2"/>
  <c r="T56" i="2"/>
  <c r="E106" i="2"/>
  <c r="O81" i="2"/>
  <c r="W83" i="2"/>
  <c r="F71" i="2"/>
  <c r="D78" i="2"/>
  <c r="W106" i="2"/>
  <c r="K54" i="2"/>
  <c r="O106" i="2"/>
  <c r="E42" i="2"/>
  <c r="I70" i="2"/>
  <c r="E62" i="2"/>
  <c r="F81" i="2"/>
  <c r="W43" i="2"/>
  <c r="U90" i="2"/>
  <c r="D84" i="2"/>
  <c r="D89" i="2"/>
  <c r="L113" i="2"/>
  <c r="X98" i="2"/>
  <c r="D68" i="2"/>
  <c r="E57" i="2"/>
  <c r="T74" i="2"/>
  <c r="N53" i="2"/>
  <c r="N54" i="2"/>
  <c r="C52" i="2"/>
  <c r="R70" i="2"/>
  <c r="G112" i="2"/>
  <c r="J77" i="2"/>
  <c r="K71" i="2"/>
  <c r="L80" i="2"/>
  <c r="I61" i="2"/>
  <c r="H109" i="2"/>
  <c r="M51" i="2"/>
  <c r="H58" i="2"/>
  <c r="Q81" i="2"/>
  <c r="L86" i="2"/>
  <c r="J46" i="2"/>
  <c r="V47" i="2"/>
  <c r="M48" i="2"/>
  <c r="N61" i="2"/>
  <c r="O67" i="2"/>
  <c r="R60" i="2"/>
  <c r="O98" i="2"/>
  <c r="H112" i="2"/>
  <c r="M71" i="2"/>
  <c r="W105" i="2"/>
  <c r="R112" i="2"/>
  <c r="L83" i="2"/>
  <c r="P68" i="2"/>
  <c r="S90" i="2"/>
  <c r="N49" i="2"/>
  <c r="T61" i="2"/>
  <c r="V57" i="2"/>
  <c r="T93" i="2"/>
  <c r="K44" i="2"/>
  <c r="K65" i="2"/>
  <c r="R99" i="2"/>
  <c r="H86" i="2"/>
  <c r="M66" i="2"/>
  <c r="U60" i="2"/>
  <c r="X81" i="2"/>
  <c r="K106" i="2"/>
  <c r="R67" i="2"/>
  <c r="X77" i="2"/>
  <c r="G87" i="2"/>
  <c r="F52" i="2"/>
  <c r="W90" i="2"/>
  <c r="F49" i="2"/>
  <c r="D41" i="2"/>
  <c r="F65" i="2"/>
  <c r="H88" i="2"/>
  <c r="K99" i="2"/>
  <c r="G69" i="2"/>
  <c r="K64" i="2"/>
  <c r="G111" i="2"/>
  <c r="R85" i="2"/>
  <c r="V83" i="2"/>
  <c r="F91" i="2"/>
  <c r="M58" i="2"/>
  <c r="N105" i="2"/>
  <c r="D112" i="2"/>
  <c r="C61" i="2"/>
  <c r="L95" i="2"/>
  <c r="S46" i="2"/>
  <c r="S65" i="2"/>
  <c r="E107" i="2"/>
  <c r="R69" i="2"/>
  <c r="V58" i="2"/>
  <c r="F97" i="2"/>
  <c r="Q82" i="2"/>
  <c r="P55" i="2"/>
  <c r="S52" i="2"/>
  <c r="L58" i="2"/>
  <c r="C41" i="2"/>
  <c r="S83" i="2"/>
  <c r="I67" i="2"/>
  <c r="P107" i="2"/>
  <c r="J41" i="2"/>
  <c r="I58" i="2"/>
  <c r="G83" i="2"/>
  <c r="I99" i="2"/>
  <c r="S40" i="2"/>
  <c r="O66" i="2"/>
  <c r="T66" i="2"/>
  <c r="C109" i="2"/>
  <c r="M53" i="2"/>
  <c r="J59" i="2"/>
  <c r="G79" i="2"/>
  <c r="X55" i="2"/>
  <c r="S71" i="2"/>
  <c r="Q98" i="2"/>
  <c r="K111" i="2"/>
  <c r="H83" i="2"/>
  <c r="Q105" i="2"/>
  <c r="K72" i="2"/>
  <c r="M81" i="2"/>
  <c r="X57" i="2"/>
  <c r="E81" i="2"/>
  <c r="H57" i="2"/>
  <c r="Q97" i="2"/>
  <c r="O58" i="2"/>
  <c r="N112" i="2"/>
  <c r="L111" i="2"/>
  <c r="X60" i="2"/>
  <c r="J97" i="2"/>
  <c r="K110" i="2"/>
  <c r="R80" i="2"/>
  <c r="N79" i="2"/>
  <c r="J106" i="2"/>
  <c r="W65" i="2"/>
  <c r="E113" i="2"/>
  <c r="P74" i="2"/>
  <c r="I90" i="2"/>
  <c r="K74" i="2"/>
  <c r="K109" i="2"/>
  <c r="N41" i="2"/>
  <c r="H106" i="2"/>
  <c r="C93" i="2"/>
  <c r="F44" i="2"/>
  <c r="G68" i="2"/>
  <c r="X71" i="2"/>
  <c r="P109" i="2"/>
  <c r="D71" i="2"/>
  <c r="H75" i="2"/>
  <c r="I106" i="2"/>
  <c r="W78" i="2"/>
  <c r="F72" i="2"/>
  <c r="M47" i="2"/>
  <c r="D49" i="2"/>
  <c r="G89" i="2"/>
  <c r="G99" i="2"/>
  <c r="J58" i="2"/>
  <c r="E84" i="2"/>
  <c r="F69" i="2"/>
  <c r="R79" i="2"/>
  <c r="M79" i="2"/>
  <c r="X64" i="2"/>
  <c r="E94" i="2"/>
  <c r="E64" i="2"/>
  <c r="E86" i="2"/>
  <c r="P63" i="2"/>
  <c r="U111" i="2"/>
  <c r="M40" i="2"/>
  <c r="W56" i="2"/>
  <c r="L50" i="2"/>
  <c r="K91" i="2"/>
  <c r="G90" i="2"/>
  <c r="N108" i="2"/>
  <c r="V56" i="2"/>
  <c r="S97" i="2"/>
  <c r="G64" i="2"/>
  <c r="X45" i="2"/>
  <c r="O97" i="2"/>
  <c r="V79" i="2"/>
  <c r="T41" i="2"/>
  <c r="X90" i="2"/>
  <c r="P54" i="2"/>
  <c r="D83" i="2"/>
  <c r="J93" i="2"/>
  <c r="S45" i="2"/>
  <c r="S96" i="2"/>
  <c r="G56" i="2"/>
  <c r="M107" i="2"/>
  <c r="N64" i="2"/>
  <c r="L68" i="2"/>
  <c r="I98" i="2"/>
  <c r="V93" i="2"/>
  <c r="I74" i="2"/>
  <c r="O89" i="2"/>
  <c r="N65" i="2"/>
  <c r="R83" i="2"/>
  <c r="O110" i="2"/>
  <c r="F80" i="2"/>
  <c r="F41" i="2"/>
  <c r="X110" i="2"/>
  <c r="U40" i="2"/>
  <c r="T71" i="2"/>
  <c r="O70" i="2"/>
  <c r="H51" i="2"/>
  <c r="P82" i="2"/>
  <c r="X67" i="2"/>
  <c r="J51" i="2"/>
  <c r="C86" i="2"/>
  <c r="O68" i="2"/>
  <c r="E56" i="2"/>
  <c r="I108" i="2"/>
  <c r="U112" i="2"/>
  <c r="O57" i="2"/>
  <c r="O84" i="2"/>
  <c r="X108" i="2"/>
  <c r="J70" i="2"/>
  <c r="U108" i="2"/>
  <c r="R43" i="2"/>
  <c r="Q111" i="2"/>
  <c r="V40" i="2"/>
  <c r="J71" i="2"/>
  <c r="E68" i="2"/>
  <c r="G51" i="2"/>
  <c r="O92" i="2"/>
  <c r="Q51" i="2"/>
  <c r="W42" i="2"/>
  <c r="H60" i="2"/>
  <c r="O46" i="2"/>
  <c r="S109" i="2"/>
  <c r="N87" i="2"/>
  <c r="G94" i="2"/>
  <c r="C107" i="2"/>
  <c r="N43" i="2"/>
  <c r="F108" i="2"/>
  <c r="C79" i="2"/>
  <c r="L112" i="2"/>
  <c r="L74" i="2"/>
  <c r="L42" i="2"/>
  <c r="H97" i="2"/>
  <c r="K78" i="2"/>
  <c r="N76" i="2"/>
  <c r="N74" i="2"/>
  <c r="J92" i="2"/>
  <c r="H113" i="2"/>
  <c r="L62" i="2"/>
  <c r="W52" i="2"/>
  <c r="P93" i="2"/>
  <c r="H89" i="2"/>
  <c r="H81" i="2"/>
  <c r="M49" i="2"/>
  <c r="I113" i="2"/>
  <c r="O50" i="2"/>
  <c r="T90" i="2"/>
  <c r="W88" i="2"/>
  <c r="P79" i="2"/>
  <c r="C69" i="2"/>
  <c r="P86" i="2"/>
  <c r="F110" i="2"/>
  <c r="R52" i="2"/>
  <c r="N96" i="2"/>
  <c r="V45" i="2"/>
  <c r="E105" i="2"/>
  <c r="P73" i="2"/>
  <c r="G80" i="2"/>
  <c r="K45" i="2"/>
  <c r="X76" i="2"/>
  <c r="J40" i="2"/>
  <c r="I60" i="2"/>
  <c r="H90" i="2"/>
  <c r="I78" i="2"/>
  <c r="P49" i="2"/>
  <c r="W112" i="2"/>
  <c r="R106" i="2"/>
  <c r="L94" i="2"/>
  <c r="I55" i="2"/>
  <c r="I89" i="2"/>
  <c r="E41" i="2"/>
  <c r="W107" i="2"/>
  <c r="H79" i="2"/>
  <c r="P99" i="2"/>
  <c r="O90" i="2"/>
  <c r="Q60" i="2"/>
  <c r="P46" i="2"/>
  <c r="I77" i="2"/>
  <c r="V105" i="2"/>
  <c r="W77" i="2"/>
  <c r="L66" i="2"/>
  <c r="I107" i="2"/>
  <c r="T110" i="2"/>
  <c r="S84" i="2"/>
  <c r="D42" i="2"/>
  <c r="Q113" i="2"/>
  <c r="I84" i="2"/>
  <c r="N75" i="2"/>
  <c r="Q104" i="2"/>
  <c r="R68" i="2"/>
  <c r="S56" i="2"/>
  <c r="S92" i="2"/>
  <c r="M70" i="2"/>
  <c r="G72" i="2"/>
  <c r="H94" i="2"/>
  <c r="M74" i="2"/>
  <c r="U65" i="2"/>
  <c r="K108" i="2"/>
  <c r="O78" i="2"/>
  <c r="O109" i="2"/>
  <c r="R71" i="2"/>
  <c r="I62" i="2"/>
  <c r="W57" i="2"/>
  <c r="L88" i="2"/>
  <c r="M52" i="2"/>
  <c r="H110" i="2"/>
  <c r="I44" i="2"/>
  <c r="I59" i="2"/>
  <c r="W48" i="2"/>
  <c r="X56" i="2"/>
  <c r="M68" i="2"/>
  <c r="U44" i="2"/>
  <c r="P72" i="2"/>
  <c r="J82" i="2"/>
  <c r="V53" i="2"/>
  <c r="E85" i="2"/>
  <c r="H85" i="2"/>
  <c r="I97" i="2"/>
  <c r="D79" i="2"/>
  <c r="F98" i="2"/>
  <c r="X49" i="2"/>
  <c r="F76" i="2"/>
  <c r="V111" i="2"/>
  <c r="D90" i="2"/>
  <c r="V76" i="2"/>
  <c r="U56" i="2"/>
  <c r="G78" i="2"/>
  <c r="D80" i="2"/>
  <c r="N44" i="2"/>
  <c r="N106" i="2"/>
  <c r="M57" i="2"/>
  <c r="O77" i="2"/>
  <c r="O96" i="2"/>
  <c r="I87" i="2"/>
  <c r="C77" i="2"/>
  <c r="H41" i="2"/>
  <c r="H91" i="2"/>
  <c r="N47" i="2"/>
  <c r="J43" i="2"/>
  <c r="L59" i="2"/>
  <c r="O45" i="2"/>
  <c r="W51" i="2"/>
  <c r="W45" i="2"/>
  <c r="S104" i="2"/>
  <c r="P108" i="2"/>
  <c r="P71" i="2"/>
  <c r="J98" i="2"/>
  <c r="G107" i="2"/>
  <c r="T81" i="2"/>
  <c r="T92" i="2"/>
  <c r="G57" i="2"/>
  <c r="D107" i="2"/>
  <c r="J44" i="2"/>
  <c r="H55" i="2"/>
  <c r="W64" i="2"/>
  <c r="E83" i="2"/>
  <c r="M110" i="2"/>
  <c r="M63" i="2"/>
  <c r="R105" i="2"/>
  <c r="K86" i="2"/>
  <c r="I80" i="2"/>
  <c r="S99" i="2"/>
  <c r="P67" i="2"/>
  <c r="J90" i="2"/>
  <c r="J107" i="2"/>
  <c r="I66" i="2"/>
  <c r="C108" i="2"/>
  <c r="C110" i="2"/>
  <c r="H92" i="2"/>
  <c r="X94" i="2"/>
  <c r="J109" i="2"/>
  <c r="W92" i="2"/>
  <c r="G95" i="2"/>
  <c r="X73" i="2"/>
  <c r="J108" i="2"/>
  <c r="F106" i="2"/>
  <c r="V44" i="2"/>
  <c r="G105" i="2"/>
  <c r="V104" i="2"/>
  <c r="H69" i="2"/>
  <c r="R40" i="2"/>
  <c r="D97" i="2"/>
  <c r="P110" i="2"/>
  <c r="S79" i="2"/>
  <c r="P106" i="2"/>
  <c r="D94" i="2"/>
  <c r="V85" i="2"/>
  <c r="K55" i="2"/>
  <c r="W89" i="2"/>
  <c r="Q91" i="2"/>
  <c r="M41" i="2"/>
  <c r="E99" i="2"/>
  <c r="E75" i="2"/>
  <c r="W58" i="2"/>
  <c r="W80" i="2"/>
  <c r="D104" i="2"/>
  <c r="X83" i="2"/>
  <c r="R87" i="2"/>
  <c r="H59" i="2"/>
  <c r="H72" i="2"/>
  <c r="J50" i="2"/>
  <c r="C95" i="2"/>
  <c r="T91" i="2"/>
  <c r="F58" i="2"/>
  <c r="K81" i="2"/>
  <c r="L85" i="2"/>
  <c r="W82" i="2"/>
  <c r="S108" i="2"/>
  <c r="J53" i="2"/>
  <c r="K73" i="2"/>
  <c r="K98" i="2"/>
  <c r="H93" i="2"/>
  <c r="T44" i="2"/>
  <c r="F78" i="2"/>
  <c r="P111" i="2"/>
  <c r="Q107" i="2"/>
  <c r="X112" i="2"/>
  <c r="R48" i="2"/>
  <c r="U105" i="2"/>
  <c r="E97" i="2"/>
  <c r="E104" i="2"/>
  <c r="W41" i="2"/>
  <c r="E43" i="2"/>
  <c r="M78" i="2"/>
  <c r="H95" i="2"/>
  <c r="R109" i="2"/>
  <c r="K83" i="2"/>
  <c r="I109" i="2"/>
  <c r="J113" i="2"/>
  <c r="X42" i="2"/>
  <c r="L106" i="2"/>
  <c r="K97" i="2"/>
  <c r="P70" i="2"/>
  <c r="W99" i="2"/>
  <c r="C63" i="2"/>
  <c r="P61" i="2"/>
  <c r="X72" i="2"/>
  <c r="C94" i="2"/>
  <c r="G52" i="2"/>
  <c r="U92" i="2"/>
  <c r="E76" i="2"/>
  <c r="R93" i="2"/>
  <c r="I40" i="2"/>
  <c r="W54" i="2"/>
  <c r="R64" i="2"/>
  <c r="Q80" i="2"/>
  <c r="E89" i="2"/>
  <c r="M44" i="2"/>
  <c r="T42" i="2"/>
  <c r="J49" i="2"/>
  <c r="U68" i="2"/>
  <c r="K88" i="2"/>
  <c r="G59" i="2"/>
  <c r="W60" i="2"/>
  <c r="G92" i="2"/>
  <c r="V43" i="2"/>
  <c r="E67" i="2"/>
  <c r="R61" i="2"/>
  <c r="S53" i="2"/>
  <c r="D76" i="2"/>
  <c r="U77" i="2"/>
  <c r="L41" i="2"/>
  <c r="L75" i="2"/>
  <c r="X58" i="2"/>
  <c r="D58" i="2"/>
  <c r="Q110" i="2"/>
  <c r="J86" i="2"/>
  <c r="C47" i="2"/>
  <c r="G58" i="2"/>
  <c r="Q84" i="2"/>
  <c r="S81" i="2"/>
  <c r="N66" i="2"/>
  <c r="U57" i="2"/>
  <c r="I96" i="2"/>
  <c r="L107" i="2"/>
  <c r="F85" i="2"/>
  <c r="Q106" i="2"/>
  <c r="S47" i="2"/>
  <c r="L45" i="2"/>
  <c r="M109" i="2"/>
  <c r="L89" i="2"/>
  <c r="V108" i="2"/>
  <c r="K53" i="2"/>
  <c r="N59" i="2"/>
  <c r="P65" i="2"/>
  <c r="K66" i="2"/>
  <c r="C91" i="2"/>
  <c r="V95" i="2"/>
  <c r="E51" i="2"/>
  <c r="H96" i="2"/>
  <c r="L76" i="2"/>
  <c r="U88" i="2"/>
  <c r="R104" i="2"/>
  <c r="O73" i="2"/>
  <c r="S111" i="2"/>
  <c r="V81" i="2"/>
  <c r="I54" i="2"/>
  <c r="S94" i="2"/>
  <c r="P81" i="2"/>
  <c r="Q112" i="2"/>
  <c r="F105" i="2"/>
  <c r="V71" i="2"/>
  <c r="V69" i="2"/>
  <c r="W95" i="2"/>
  <c r="Q94" i="2"/>
  <c r="S95" i="2"/>
  <c r="F61" i="2"/>
  <c r="R77" i="2"/>
  <c r="T78" i="2"/>
  <c r="F111" i="2"/>
  <c r="R95" i="2"/>
  <c r="J66" i="2"/>
  <c r="F40" i="2"/>
  <c r="C99" i="2"/>
  <c r="D73" i="2"/>
  <c r="Q52" i="2"/>
  <c r="O40" i="2"/>
  <c r="O85" i="2"/>
  <c r="V84" i="2"/>
  <c r="O112" i="2"/>
  <c r="P40" i="2"/>
  <c r="J105" i="2"/>
  <c r="C60" i="2"/>
  <c r="K85" i="2"/>
  <c r="W59" i="2"/>
  <c r="M55" i="2"/>
  <c r="S55" i="2"/>
  <c r="N73" i="2"/>
  <c r="S61" i="2"/>
  <c r="D60" i="2"/>
  <c r="S69" i="2"/>
  <c r="D63" i="2"/>
  <c r="H73" i="2"/>
  <c r="V65" i="2"/>
  <c r="N89" i="2"/>
  <c r="E53" i="2"/>
  <c r="C64" i="2"/>
  <c r="X62" i="2"/>
  <c r="U96" i="2"/>
  <c r="X53" i="2"/>
  <c r="C45" i="2"/>
  <c r="M43" i="2"/>
  <c r="U110" i="2"/>
  <c r="G65" i="2"/>
  <c r="V97" i="2"/>
  <c r="J84" i="2"/>
  <c r="O51" i="2"/>
  <c r="R49" i="2"/>
  <c r="V46" i="2"/>
  <c r="S89" i="2"/>
  <c r="I83" i="2"/>
  <c r="G77" i="2"/>
  <c r="O44" i="2"/>
  <c r="E46" i="2"/>
  <c r="M42" i="2"/>
  <c r="W87" i="2"/>
  <c r="S74" i="2"/>
  <c r="E54" i="2"/>
  <c r="K93" i="2"/>
  <c r="I88" i="2"/>
  <c r="J85" i="2"/>
  <c r="V67" i="2"/>
  <c r="H74" i="2"/>
  <c r="G75" i="2"/>
  <c r="W91" i="2"/>
  <c r="S86" i="2"/>
  <c r="S63" i="2"/>
  <c r="J73" i="2"/>
  <c r="D93" i="2"/>
  <c r="J68" i="2"/>
  <c r="L64" i="2"/>
  <c r="N111" i="2"/>
  <c r="Q48" i="2"/>
  <c r="L56" i="2"/>
  <c r="T75" i="2"/>
  <c r="U75" i="2"/>
  <c r="R57" i="2"/>
  <c r="E44" i="2"/>
  <c r="V107" i="2"/>
  <c r="D77" i="2"/>
  <c r="X47" i="2"/>
  <c r="V106" i="2"/>
  <c r="K62" i="2"/>
  <c r="G45" i="2"/>
  <c r="E69" i="2"/>
  <c r="V75" i="2"/>
  <c r="C92" i="2"/>
  <c r="X95" i="2"/>
  <c r="I95" i="2"/>
  <c r="F95" i="2"/>
  <c r="G43" i="2"/>
  <c r="C48" i="2"/>
  <c r="D96" i="2"/>
  <c r="L47" i="2"/>
  <c r="E47" i="2"/>
  <c r="U66" i="2"/>
  <c r="S50" i="2"/>
  <c r="N40" i="2"/>
  <c r="Q63" i="2"/>
  <c r="I68" i="2"/>
  <c r="W72" i="2"/>
  <c r="D44" i="2"/>
  <c r="C43" i="2"/>
  <c r="U70" i="2"/>
  <c r="C73" i="2"/>
  <c r="S57" i="2"/>
  <c r="E87" i="2"/>
  <c r="Q47" i="2"/>
  <c r="R89" i="2"/>
  <c r="H63" i="2"/>
  <c r="F74" i="2"/>
  <c r="Q42" i="2"/>
  <c r="M80" i="2"/>
  <c r="D106" i="2"/>
  <c r="O107" i="2"/>
  <c r="C70" i="2"/>
  <c r="W66" i="2"/>
  <c r="J61" i="2"/>
  <c r="S51" i="2"/>
  <c r="X40" i="2"/>
  <c r="T64" i="2"/>
  <c r="V50" i="2"/>
  <c r="D81" i="2"/>
  <c r="I73" i="3" l="1"/>
  <c r="I89" i="3"/>
  <c r="I69" i="3"/>
  <c r="I67" i="3"/>
  <c r="I78" i="3"/>
  <c r="I87" i="3"/>
  <c r="I84" i="3"/>
  <c r="I60" i="3"/>
  <c r="I94" i="3"/>
  <c r="I80" i="3"/>
  <c r="I97" i="3"/>
  <c r="I54" i="3"/>
  <c r="I74" i="3"/>
  <c r="I93" i="3"/>
  <c r="I95" i="3"/>
  <c r="I76" i="3"/>
  <c r="I55" i="3"/>
  <c r="I47" i="3"/>
  <c r="I65" i="3"/>
  <c r="I50" i="3"/>
  <c r="I56" i="3"/>
  <c r="I66" i="3"/>
  <c r="I57" i="3"/>
  <c r="I86" i="3"/>
  <c r="I63" i="3"/>
  <c r="I81" i="3"/>
  <c r="I90" i="3"/>
  <c r="I96" i="3"/>
  <c r="I58" i="3"/>
  <c r="I61" i="3"/>
  <c r="I85" i="3"/>
  <c r="I82" i="3"/>
  <c r="I77" i="3"/>
  <c r="I91" i="3"/>
  <c r="I92" i="3"/>
  <c r="I72" i="3"/>
  <c r="I88" i="3"/>
  <c r="I49" i="3"/>
  <c r="I83" i="3"/>
  <c r="I62" i="3"/>
  <c r="I70" i="3"/>
  <c r="P93" i="3"/>
  <c r="AC84" i="3"/>
  <c r="P83" i="3"/>
  <c r="Z67" i="3"/>
  <c r="J66" i="3"/>
  <c r="N78" i="3"/>
  <c r="M68" i="3"/>
  <c r="AC95" i="3"/>
  <c r="M83" i="3"/>
  <c r="AM71" i="3"/>
  <c r="AL97" i="3"/>
  <c r="W97" i="3"/>
  <c r="Z48" i="3"/>
  <c r="AA57" i="3"/>
  <c r="AC75" i="3"/>
  <c r="AC90" i="3"/>
  <c r="U60" i="3"/>
  <c r="W59" i="3"/>
  <c r="W56" i="3"/>
  <c r="W92" i="3"/>
  <c r="W75" i="3"/>
  <c r="W76" i="3"/>
  <c r="W69" i="3"/>
  <c r="W96" i="3"/>
  <c r="W71" i="3"/>
  <c r="W50" i="3"/>
  <c r="W58" i="3"/>
  <c r="W57" i="3"/>
  <c r="AL55" i="3"/>
  <c r="AK83" i="3"/>
  <c r="AK61" i="3"/>
  <c r="W93" i="3"/>
  <c r="X85" i="3"/>
  <c r="W68" i="3"/>
  <c r="W55" i="3"/>
  <c r="W85" i="3"/>
  <c r="W89" i="3"/>
  <c r="W82" i="3"/>
  <c r="W83" i="3"/>
  <c r="W80" i="3"/>
  <c r="W72" i="3"/>
  <c r="W63" i="3"/>
  <c r="W47" i="3"/>
  <c r="W77" i="3"/>
  <c r="W90" i="3"/>
  <c r="S61" i="3"/>
  <c r="S74" i="3"/>
  <c r="S59" i="3"/>
  <c r="S67" i="3"/>
  <c r="S47" i="3"/>
  <c r="S50" i="3"/>
  <c r="AY99" i="1" s="1"/>
  <c r="K74" i="3"/>
  <c r="K82" i="3"/>
  <c r="K86" i="3"/>
  <c r="AJ72" i="3"/>
  <c r="BP166" i="1" s="1"/>
  <c r="BQ166" i="1" s="1"/>
  <c r="AJ75" i="3"/>
  <c r="AJ71" i="3"/>
  <c r="AJ65" i="3"/>
  <c r="BP182" i="1" s="1"/>
  <c r="BQ182" i="1" s="1"/>
  <c r="AJ82" i="3"/>
  <c r="BP176" i="1" s="1"/>
  <c r="BP212" i="1" s="1"/>
  <c r="BQ212" i="1" s="1"/>
  <c r="I68" i="3"/>
  <c r="I79" i="3"/>
  <c r="I75" i="3"/>
  <c r="R59" i="3"/>
  <c r="R47" i="3"/>
  <c r="R74" i="3"/>
  <c r="AX168" i="1" s="1"/>
  <c r="AY168" i="1" s="1"/>
  <c r="R69" i="3"/>
  <c r="AX163" i="1" s="1"/>
  <c r="R55" i="3"/>
  <c r="R68" i="3"/>
  <c r="AX162" i="1" s="1"/>
  <c r="R70" i="3"/>
  <c r="AX164" i="1" s="1"/>
  <c r="R58" i="3"/>
  <c r="AX149" i="1" s="1"/>
  <c r="R97" i="3"/>
  <c r="R54" i="3"/>
  <c r="R57" i="3"/>
  <c r="AX148" i="1" s="1"/>
  <c r="AY148" i="1" s="1"/>
  <c r="R91" i="3"/>
  <c r="AX186" i="1" s="1"/>
  <c r="AY186" i="1" s="1"/>
  <c r="R72" i="3"/>
  <c r="AX166" i="1" s="1"/>
  <c r="AY166" i="1" s="1"/>
  <c r="R66" i="3"/>
  <c r="AX183" i="1" s="1"/>
  <c r="AY183" i="1" s="1"/>
  <c r="R83" i="3"/>
  <c r="AX192" i="1" s="1"/>
  <c r="R48" i="3"/>
  <c r="R60" i="3"/>
  <c r="AX152" i="1" s="1"/>
  <c r="AY152" i="1" s="1"/>
  <c r="R85" i="3"/>
  <c r="AX179" i="1" s="1"/>
  <c r="AY179" i="1" s="1"/>
  <c r="R89" i="3"/>
  <c r="AX185" i="1" s="1"/>
  <c r="AX215" i="1" s="1"/>
  <c r="AY215" i="1" s="1"/>
  <c r="R63" i="3"/>
  <c r="AX155" i="1" s="1"/>
  <c r="AY155" i="1" s="1"/>
  <c r="R75" i="3"/>
  <c r="R79" i="3"/>
  <c r="AX174" i="1" s="1"/>
  <c r="AY174" i="1" s="1"/>
  <c r="R82" i="3"/>
  <c r="AX176" i="1" s="1"/>
  <c r="R50" i="3"/>
  <c r="AX99" i="1" s="1"/>
  <c r="R92" i="3"/>
  <c r="AX187" i="1" s="1"/>
  <c r="AY187" i="1" s="1"/>
  <c r="R88" i="3"/>
  <c r="AX158" i="1" s="1"/>
  <c r="AY158" i="1" s="1"/>
  <c r="R80" i="3"/>
  <c r="AX191" i="1" s="1"/>
  <c r="R56" i="3"/>
  <c r="AX147" i="1" s="1"/>
  <c r="AY147" i="1" s="1"/>
  <c r="R96" i="3"/>
  <c r="AX195" i="1" s="1"/>
  <c r="AY195" i="1" s="1"/>
  <c r="R67" i="3"/>
  <c r="R93" i="3"/>
  <c r="R94" i="3"/>
  <c r="R95" i="3"/>
  <c r="R90" i="3"/>
  <c r="R71" i="3"/>
  <c r="R64" i="3"/>
  <c r="AX181" i="1" s="1"/>
  <c r="AY181" i="1" s="1"/>
  <c r="R49" i="3"/>
  <c r="AX98" i="1" s="1"/>
  <c r="R61" i="3"/>
  <c r="R78" i="3"/>
  <c r="AX173" i="1" s="1"/>
  <c r="AY173" i="1" s="1"/>
  <c r="R81" i="3"/>
  <c r="AX175" i="1" s="1"/>
  <c r="AX211" i="1" s="1"/>
  <c r="AY211" i="1" s="1"/>
  <c r="R86" i="3"/>
  <c r="R87" i="3"/>
  <c r="AX184" i="1" s="1"/>
  <c r="AY184" i="1" s="1"/>
  <c r="R62" i="3"/>
  <c r="AX154" i="1" s="1"/>
  <c r="AY154" i="1" s="1"/>
  <c r="R84" i="3"/>
  <c r="AX177" i="1" s="1"/>
  <c r="AY177" i="1" s="1"/>
  <c r="R73" i="3"/>
  <c r="R77" i="3"/>
  <c r="AX171" i="1" s="1"/>
  <c r="AY171" i="1" s="1"/>
  <c r="L74" i="3"/>
  <c r="AR168" i="1" s="1"/>
  <c r="AS168" i="1" s="1"/>
  <c r="L92" i="3"/>
  <c r="AR187" i="1" s="1"/>
  <c r="AS187" i="1" s="1"/>
  <c r="L64" i="3"/>
  <c r="AR181" i="1" s="1"/>
  <c r="AS181" i="1" s="1"/>
  <c r="L85" i="3"/>
  <c r="AR179" i="1" s="1"/>
  <c r="AS179" i="1" s="1"/>
  <c r="L73" i="3"/>
  <c r="L78" i="3"/>
  <c r="AR173" i="1" s="1"/>
  <c r="AS173" i="1" s="1"/>
  <c r="L72" i="3"/>
  <c r="AR166" i="1" s="1"/>
  <c r="AS166" i="1" s="1"/>
  <c r="L48" i="3"/>
  <c r="L71" i="3"/>
  <c r="L70" i="3"/>
  <c r="AR164" i="1" s="1"/>
  <c r="L59" i="3"/>
  <c r="Z49" i="3"/>
  <c r="Z61" i="3"/>
  <c r="Z72" i="3"/>
  <c r="BF166" i="1" s="1"/>
  <c r="BG166" i="1" s="1"/>
  <c r="Z56" i="3"/>
  <c r="BF147" i="1" s="1"/>
  <c r="Z77" i="3"/>
  <c r="BF171" i="1" s="1"/>
  <c r="BG171" i="1" s="1"/>
  <c r="Z69" i="3"/>
  <c r="BF163" i="1" s="1"/>
  <c r="Z95" i="3"/>
  <c r="Z66" i="3"/>
  <c r="BF183" i="1" s="1"/>
  <c r="BG183" i="1" s="1"/>
  <c r="Z59" i="3"/>
  <c r="Z93" i="3"/>
  <c r="O92" i="3"/>
  <c r="O74" i="3"/>
  <c r="O65" i="3"/>
  <c r="O85" i="3"/>
  <c r="O70" i="3"/>
  <c r="O95" i="3"/>
  <c r="AT196" i="1" s="1"/>
  <c r="AU196" i="1" s="1"/>
  <c r="O56" i="3"/>
  <c r="O68" i="3"/>
  <c r="O79" i="3"/>
  <c r="O93" i="3"/>
  <c r="O75" i="3"/>
  <c r="O90" i="3"/>
  <c r="O64" i="3"/>
  <c r="O77" i="3"/>
  <c r="O57" i="3"/>
  <c r="O66" i="3"/>
  <c r="O63" i="3"/>
  <c r="O69" i="3"/>
  <c r="O78" i="3"/>
  <c r="O54" i="3"/>
  <c r="O73" i="3"/>
  <c r="O71" i="3"/>
  <c r="O47" i="3"/>
  <c r="O80" i="3"/>
  <c r="O72" i="3"/>
  <c r="O91" i="3"/>
  <c r="O67" i="3"/>
  <c r="O48" i="3"/>
  <c r="O76" i="3"/>
  <c r="O61" i="3"/>
  <c r="O49" i="3"/>
  <c r="AU98" i="1" s="1"/>
  <c r="O50" i="3"/>
  <c r="AU99" i="1" s="1"/>
  <c r="O96" i="3"/>
  <c r="O87" i="3"/>
  <c r="O84" i="3"/>
  <c r="O89" i="3"/>
  <c r="O60" i="3"/>
  <c r="O97" i="3"/>
  <c r="O81" i="3"/>
  <c r="O86" i="3"/>
  <c r="O55" i="3"/>
  <c r="O59" i="3"/>
  <c r="O62" i="3"/>
  <c r="O82" i="3"/>
  <c r="O83" i="3"/>
  <c r="O88" i="3"/>
  <c r="M86" i="3"/>
  <c r="M92" i="3"/>
  <c r="M97" i="3"/>
  <c r="AN62" i="3"/>
  <c r="BT154" i="1" s="1"/>
  <c r="BU154" i="1" s="1"/>
  <c r="AN88" i="3"/>
  <c r="BT158" i="1" s="1"/>
  <c r="BU158" i="1" s="1"/>
  <c r="AN70" i="3"/>
  <c r="BT164" i="1" s="1"/>
  <c r="AN76" i="3"/>
  <c r="AN56" i="3"/>
  <c r="BT147" i="1" s="1"/>
  <c r="BU147" i="1" s="1"/>
  <c r="AN59" i="3"/>
  <c r="AN69" i="3"/>
  <c r="BT163" i="1" s="1"/>
  <c r="AN48" i="3"/>
  <c r="AN72" i="3"/>
  <c r="BT166" i="1" s="1"/>
  <c r="BU166" i="1" s="1"/>
  <c r="AN95" i="3"/>
  <c r="AN82" i="3"/>
  <c r="BT176" i="1" s="1"/>
  <c r="BT212" i="1" s="1"/>
  <c r="BU212" i="1" s="1"/>
  <c r="AN85" i="3"/>
  <c r="BT179" i="1" s="1"/>
  <c r="BU179" i="1" s="1"/>
  <c r="AN47" i="3"/>
  <c r="AN63" i="3"/>
  <c r="BT155" i="1" s="1"/>
  <c r="BU155" i="1" s="1"/>
  <c r="AN93" i="3"/>
  <c r="AN64" i="3"/>
  <c r="BT181" i="1" s="1"/>
  <c r="BU181" i="1" s="1"/>
  <c r="AN50" i="3"/>
  <c r="BT99" i="1" s="1"/>
  <c r="AN89" i="3"/>
  <c r="BT185" i="1" s="1"/>
  <c r="BT215" i="1" s="1"/>
  <c r="BU215" i="1" s="1"/>
  <c r="AN80" i="3"/>
  <c r="BT191" i="1" s="1"/>
  <c r="AN77" i="3"/>
  <c r="BT171" i="1" s="1"/>
  <c r="BU171" i="1" s="1"/>
  <c r="AN55" i="3"/>
  <c r="AN54" i="3"/>
  <c r="AN92" i="3"/>
  <c r="BT187" i="1" s="1"/>
  <c r="BU187" i="1" s="1"/>
  <c r="AN58" i="3"/>
  <c r="BT149" i="1" s="1"/>
  <c r="AN49" i="3"/>
  <c r="BT98" i="1" s="1"/>
  <c r="AN65" i="3"/>
  <c r="BT182" i="1" s="1"/>
  <c r="BU182" i="1" s="1"/>
  <c r="AN61" i="3"/>
  <c r="AN83" i="3"/>
  <c r="BT192" i="1" s="1"/>
  <c r="AN67" i="3"/>
  <c r="AN81" i="3"/>
  <c r="BT175" i="1" s="1"/>
  <c r="BT211" i="1" s="1"/>
  <c r="BU211" i="1" s="1"/>
  <c r="AN73" i="3"/>
  <c r="AN94" i="3"/>
  <c r="AN97" i="3"/>
  <c r="AN79" i="3"/>
  <c r="BT174" i="1" s="1"/>
  <c r="BU174" i="1" s="1"/>
  <c r="AN90" i="3"/>
  <c r="AN57" i="3"/>
  <c r="BT148" i="1" s="1"/>
  <c r="BU148" i="1" s="1"/>
  <c r="AN86" i="3"/>
  <c r="AN84" i="3"/>
  <c r="BT177" i="1" s="1"/>
  <c r="BU177" i="1" s="1"/>
  <c r="AN68" i="3"/>
  <c r="BT162" i="1" s="1"/>
  <c r="AN87" i="3"/>
  <c r="BT184" i="1" s="1"/>
  <c r="BU184" i="1" s="1"/>
  <c r="AN96" i="3"/>
  <c r="BT195" i="1" s="1"/>
  <c r="BU195" i="1" s="1"/>
  <c r="AN75" i="3"/>
  <c r="AN71" i="3"/>
  <c r="AN74" i="3"/>
  <c r="BT168" i="1" s="1"/>
  <c r="BU168" i="1" s="1"/>
  <c r="AN60" i="3"/>
  <c r="BT152" i="1" s="1"/>
  <c r="BU152" i="1" s="1"/>
  <c r="AN91" i="3"/>
  <c r="BT186" i="1" s="1"/>
  <c r="BU186" i="1" s="1"/>
  <c r="Q92" i="3"/>
  <c r="Q96" i="3"/>
  <c r="Q71" i="3"/>
  <c r="Q90" i="3"/>
  <c r="Q84" i="3"/>
  <c r="Q74" i="3"/>
  <c r="Q67" i="3"/>
  <c r="AO61" i="3"/>
  <c r="AO70" i="3"/>
  <c r="AO80" i="3"/>
  <c r="AO87" i="3"/>
  <c r="AO56" i="3"/>
  <c r="AO57" i="3"/>
  <c r="AO58" i="3"/>
  <c r="AO48" i="3"/>
  <c r="AO62" i="3"/>
  <c r="AO49" i="3"/>
  <c r="BU98" i="1" s="1"/>
  <c r="AO97" i="3"/>
  <c r="AO86" i="3"/>
  <c r="AO84" i="3"/>
  <c r="AO54" i="3"/>
  <c r="T67" i="3"/>
  <c r="T47" i="3"/>
  <c r="I64" i="3"/>
  <c r="I59" i="3"/>
  <c r="L66" i="3"/>
  <c r="AR183" i="1" s="1"/>
  <c r="AS183" i="1" s="1"/>
  <c r="L77" i="3"/>
  <c r="AR171" i="1" s="1"/>
  <c r="AS171" i="1" s="1"/>
  <c r="AC73" i="3"/>
  <c r="AC71" i="3"/>
  <c r="AN78" i="3"/>
  <c r="BT173" i="1" s="1"/>
  <c r="BU173" i="1" s="1"/>
  <c r="AN66" i="3"/>
  <c r="BT183" i="1" s="1"/>
  <c r="BU183" i="1" s="1"/>
  <c r="H47" i="3"/>
  <c r="H91" i="3"/>
  <c r="AN186" i="1" s="1"/>
  <c r="AO186" i="1" s="1"/>
  <c r="Y82" i="3"/>
  <c r="Y72" i="3"/>
  <c r="V94" i="3"/>
  <c r="V59" i="3"/>
  <c r="AR196" i="1"/>
  <c r="AS196" i="1" s="1"/>
  <c r="AS99" i="1"/>
  <c r="AV186" i="1"/>
  <c r="AW186" i="1" s="1"/>
  <c r="AV168" i="1"/>
  <c r="AW168" i="1" s="1"/>
  <c r="AV184" i="1"/>
  <c r="AW184" i="1" s="1"/>
  <c r="AV155" i="1"/>
  <c r="AW155" i="1" s="1"/>
  <c r="AV179" i="1"/>
  <c r="AW179" i="1" s="1"/>
  <c r="AV175" i="1"/>
  <c r="AV211" i="1" s="1"/>
  <c r="AW211" i="1" s="1"/>
  <c r="AV182" i="1"/>
  <c r="AW182" i="1" s="1"/>
  <c r="AV176" i="1"/>
  <c r="AV212" i="1" s="1"/>
  <c r="AW212" i="1" s="1"/>
  <c r="AV158" i="1"/>
  <c r="AW158" i="1" s="1"/>
  <c r="AP185" i="1"/>
  <c r="AP215" i="1" s="1"/>
  <c r="AQ215" i="1" s="1"/>
  <c r="AP174" i="1"/>
  <c r="AQ174" i="1" s="1"/>
  <c r="AP149" i="1"/>
  <c r="AP187" i="1"/>
  <c r="AQ187" i="1" s="1"/>
  <c r="AP177" i="1"/>
  <c r="AQ177" i="1" s="1"/>
  <c r="AP158" i="1"/>
  <c r="AQ158" i="1" s="1"/>
  <c r="AP168" i="1"/>
  <c r="AQ168" i="1" s="1"/>
  <c r="BW99" i="1"/>
  <c r="BN99" i="1"/>
  <c r="BN154" i="1"/>
  <c r="BO154" i="1" s="1"/>
  <c r="BN168" i="1"/>
  <c r="BO168" i="1" s="1"/>
  <c r="AR162" i="1"/>
  <c r="AR184" i="1"/>
  <c r="AS184" i="1" s="1"/>
  <c r="AR182" i="1"/>
  <c r="AS182" i="1" s="1"/>
  <c r="AR154" i="1"/>
  <c r="AS154" i="1" s="1"/>
  <c r="AR158" i="1"/>
  <c r="AS158" i="1" s="1"/>
  <c r="AR99" i="1"/>
  <c r="AR152" i="1"/>
  <c r="AS152" i="1" s="1"/>
  <c r="AQ98" i="1"/>
  <c r="BB147" i="1"/>
  <c r="BC147" i="1" s="1"/>
  <c r="AN192" i="1"/>
  <c r="AN147" i="1"/>
  <c r="AO147" i="1" s="1"/>
  <c r="AN182" i="1"/>
  <c r="AO182" i="1" s="1"/>
  <c r="AN191" i="1"/>
  <c r="BL196" i="1"/>
  <c r="BM196" i="1" s="1"/>
  <c r="BF173" i="1"/>
  <c r="BG173" i="1" s="1"/>
  <c r="BF186" i="1"/>
  <c r="BG186" i="1" s="1"/>
  <c r="BF191" i="1"/>
  <c r="BF177" i="1"/>
  <c r="BG177" i="1" s="1"/>
  <c r="BF155" i="1"/>
  <c r="BG155" i="1" s="1"/>
  <c r="BF154" i="1"/>
  <c r="BG154" i="1" s="1"/>
  <c r="BF176" i="1"/>
  <c r="BF212" i="1" s="1"/>
  <c r="BG212" i="1" s="1"/>
  <c r="BF185" i="1"/>
  <c r="BF215" i="1" s="1"/>
  <c r="BG215" i="1" s="1"/>
  <c r="AP154" i="1"/>
  <c r="AQ154" i="1" s="1"/>
  <c r="L89" i="1"/>
  <c r="BN148" i="1"/>
  <c r="BO148" i="1" s="1"/>
  <c r="BF149" i="1"/>
  <c r="AP155" i="1"/>
  <c r="AQ155" i="1" s="1"/>
  <c r="AT171" i="1"/>
  <c r="AU171" i="1" s="1"/>
  <c r="BB196" i="1"/>
  <c r="BC196" i="1" s="1"/>
  <c r="AV191" i="1"/>
  <c r="AV70" i="1"/>
  <c r="AZ162" i="1"/>
  <c r="AV152" i="1"/>
  <c r="AW152" i="1" s="1"/>
  <c r="AV185" i="1"/>
  <c r="AV215" i="1" s="1"/>
  <c r="AW215" i="1" s="1"/>
  <c r="BD162" i="1"/>
  <c r="BB168" i="1"/>
  <c r="BC168" i="1" s="1"/>
  <c r="BD154" i="1"/>
  <c r="O164" i="1"/>
  <c r="O165" i="1" s="1"/>
  <c r="O169" i="1" s="1"/>
  <c r="BR177" i="1"/>
  <c r="BS177" i="1" s="1"/>
  <c r="BP171" i="1"/>
  <c r="BQ171" i="1" s="1"/>
  <c r="AV174" i="1"/>
  <c r="AW174" i="1" s="1"/>
  <c r="AP175" i="1"/>
  <c r="AP211" i="1" s="1"/>
  <c r="AQ211" i="1" s="1"/>
  <c r="AZ183" i="1"/>
  <c r="BA183" i="1" s="1"/>
  <c r="BH181" i="1"/>
  <c r="BI181" i="1" s="1"/>
  <c r="AT164" i="1"/>
  <c r="BP152" i="1"/>
  <c r="BQ152" i="1" s="1"/>
  <c r="J98" i="1"/>
  <c r="BR186" i="1"/>
  <c r="BS186" i="1" s="1"/>
  <c r="BB179" i="1"/>
  <c r="BC179" i="1" s="1"/>
  <c r="AV173" i="1"/>
  <c r="AW173" i="1" s="1"/>
  <c r="AR177" i="1"/>
  <c r="AS177" i="1" s="1"/>
  <c r="BD171" i="1"/>
  <c r="BE171" i="1" s="1"/>
  <c r="I203" i="1"/>
  <c r="M99" i="1"/>
  <c r="AP162" i="1"/>
  <c r="AV98" i="1"/>
  <c r="BN195" i="1"/>
  <c r="BO195" i="1" s="1"/>
  <c r="AP148" i="1"/>
  <c r="AQ148" i="1" s="1"/>
  <c r="AT183" i="1"/>
  <c r="AU183" i="1" s="1"/>
  <c r="AN152" i="1"/>
  <c r="AO152" i="1" s="1"/>
  <c r="AV195" i="1"/>
  <c r="AW195" i="1" s="1"/>
  <c r="K98" i="1"/>
  <c r="AR176" i="1"/>
  <c r="AR212" i="1" s="1"/>
  <c r="AS212" i="1" s="1"/>
  <c r="BB166" i="1"/>
  <c r="BC166" i="1" s="1"/>
  <c r="BN187" i="1"/>
  <c r="BO187" i="1" s="1"/>
  <c r="BG98" i="1"/>
  <c r="BN166" i="1"/>
  <c r="BO166" i="1" s="1"/>
  <c r="AV162" i="1"/>
  <c r="BV196" i="1"/>
  <c r="BW196" i="1" s="1"/>
  <c r="BP173" i="1"/>
  <c r="BQ173" i="1" s="1"/>
  <c r="BD184" i="1"/>
  <c r="BE184" i="1" s="1"/>
  <c r="BR158" i="1"/>
  <c r="BS158" i="1" s="1"/>
  <c r="B89" i="1"/>
  <c r="AT185" i="1"/>
  <c r="AT215" i="1" s="1"/>
  <c r="AU215" i="1" s="1"/>
  <c r="AN149" i="1"/>
  <c r="BP186" i="1"/>
  <c r="BQ186" i="1" s="1"/>
  <c r="E98" i="1"/>
  <c r="BN173" i="1"/>
  <c r="BO173" i="1" s="1"/>
  <c r="AT174" i="1"/>
  <c r="AU174" i="1" s="1"/>
  <c r="BI99" i="1"/>
  <c r="BB185" i="1"/>
  <c r="BB215" i="1" s="1"/>
  <c r="BC215" i="1" s="1"/>
  <c r="AT179" i="1"/>
  <c r="AU179" i="1" s="1"/>
  <c r="AZ179" i="1"/>
  <c r="BA179" i="1" s="1"/>
  <c r="AV149" i="1"/>
  <c r="BR183" i="1"/>
  <c r="BS183" i="1" s="1"/>
  <c r="BP162" i="1"/>
  <c r="BF187" i="1"/>
  <c r="BG187" i="1" s="1"/>
  <c r="BN158" i="1"/>
  <c r="BO158" i="1" s="1"/>
  <c r="AZ147" i="1"/>
  <c r="BA147" i="1" s="1"/>
  <c r="BE70" i="1"/>
  <c r="AS98" i="1"/>
  <c r="AN183" i="1"/>
  <c r="AO183" i="1" s="1"/>
  <c r="BD98" i="1"/>
  <c r="O98" i="1"/>
  <c r="BB181" i="1"/>
  <c r="BC181" i="1" s="1"/>
  <c r="B164" i="1"/>
  <c r="AZ149" i="1"/>
  <c r="B181" i="1"/>
  <c r="BB154" i="1"/>
  <c r="BC154" i="1" s="1"/>
  <c r="AZ98" i="1"/>
  <c r="BF182" i="1"/>
  <c r="BG182" i="1" s="1"/>
  <c r="AR148" i="1"/>
  <c r="AS148" i="1" s="1"/>
  <c r="AZ154" i="1"/>
  <c r="BA154" i="1" s="1"/>
  <c r="BN186" i="1"/>
  <c r="BO186" i="1" s="1"/>
  <c r="AZ155" i="1"/>
  <c r="BA155" i="1" s="1"/>
  <c r="BP187" i="1"/>
  <c r="BQ187" i="1" s="1"/>
  <c r="BD168" i="1"/>
  <c r="BE168" i="1" s="1"/>
  <c r="AP191" i="1"/>
  <c r="AN185" i="1"/>
  <c r="AN215" i="1" s="1"/>
  <c r="AO215" i="1" s="1"/>
  <c r="H204" i="1"/>
  <c r="BN192" i="1"/>
  <c r="BN171" i="1"/>
  <c r="AV99" i="1"/>
  <c r="BO98" i="1"/>
  <c r="AV166" i="1"/>
  <c r="AW166" i="1" s="1"/>
  <c r="AP171" i="1"/>
  <c r="AQ171" i="1" s="1"/>
  <c r="AP176" i="1"/>
  <c r="AP212" i="1" s="1"/>
  <c r="AQ212" i="1" s="1"/>
  <c r="BN177" i="1"/>
  <c r="BO177" i="1" s="1"/>
  <c r="AV183" i="1"/>
  <c r="AW183" i="1" s="1"/>
  <c r="BB148" i="1"/>
  <c r="BC148" i="1" s="1"/>
  <c r="AZ176" i="1"/>
  <c r="AZ212" i="1" s="1"/>
  <c r="BA212" i="1" s="1"/>
  <c r="AN99" i="1"/>
  <c r="BP177" i="1"/>
  <c r="BQ177" i="1" s="1"/>
  <c r="AJ98" i="1"/>
  <c r="AT152" i="1"/>
  <c r="AU152" i="1" s="1"/>
  <c r="I182" i="1"/>
  <c r="BB182" i="1"/>
  <c r="BC182" i="1" s="1"/>
  <c r="BP196" i="1"/>
  <c r="BQ196" i="1" s="1"/>
  <c r="AZ187" i="1"/>
  <c r="BA187" i="1" s="1"/>
  <c r="BB175" i="1"/>
  <c r="BB211" i="1" s="1"/>
  <c r="BC211" i="1" s="1"/>
  <c r="AT187" i="1"/>
  <c r="AU187" i="1" s="1"/>
  <c r="K104" i="1"/>
  <c r="BR195" i="1"/>
  <c r="BS195" i="1" s="1"/>
  <c r="AN175" i="1"/>
  <c r="AN211" i="1" s="1"/>
  <c r="AO211" i="1" s="1"/>
  <c r="U89" i="1"/>
  <c r="BH69" i="1"/>
  <c r="BD182" i="1"/>
  <c r="BE182" i="1" s="1"/>
  <c r="D185" i="1"/>
  <c r="D215" i="1" s="1"/>
  <c r="BD149" i="1"/>
  <c r="AN158" i="1"/>
  <c r="AO158" i="1" s="1"/>
  <c r="AR163" i="1"/>
  <c r="BB174" i="1"/>
  <c r="BC174" i="1" s="1"/>
  <c r="BP195" i="1"/>
  <c r="BQ195" i="1" s="1"/>
  <c r="BN174" i="1"/>
  <c r="BO174" i="1" s="1"/>
  <c r="J92" i="1"/>
  <c r="AZ173" i="1"/>
  <c r="BA173" i="1" s="1"/>
  <c r="AV164" i="1"/>
  <c r="BH154" i="1"/>
  <c r="BI154" i="1" s="1"/>
  <c r="AT176" i="1"/>
  <c r="AT212" i="1" s="1"/>
  <c r="AU212" i="1" s="1"/>
  <c r="AN181" i="1"/>
  <c r="AO181" i="1" s="1"/>
  <c r="AZ166" i="1"/>
  <c r="BA166" i="1" s="1"/>
  <c r="AZ192" i="1"/>
  <c r="BP192" i="1"/>
  <c r="J89" i="1"/>
  <c r="AN171" i="1"/>
  <c r="AO171" i="1" s="1"/>
  <c r="AZ148" i="1"/>
  <c r="BA148" i="1" s="1"/>
  <c r="AP192" i="1"/>
  <c r="BN176" i="1"/>
  <c r="AV171" i="1"/>
  <c r="AW171" i="1" s="1"/>
  <c r="M156" i="1"/>
  <c r="AP147" i="1"/>
  <c r="AQ147" i="1" s="1"/>
  <c r="BR69" i="1"/>
  <c r="BB158" i="1"/>
  <c r="BC158" i="1" s="1"/>
  <c r="BU99" i="1"/>
  <c r="BN147" i="1"/>
  <c r="BO147" i="1" s="1"/>
  <c r="BJ196" i="1"/>
  <c r="BK196" i="1" s="1"/>
  <c r="BR175" i="1"/>
  <c r="BR211" i="1" s="1"/>
  <c r="BS211" i="1" s="1"/>
  <c r="BF168" i="1"/>
  <c r="BG168" i="1" s="1"/>
  <c r="C166" i="1"/>
  <c r="AT175" i="1"/>
  <c r="AT211" i="1" s="1"/>
  <c r="AU211" i="1" s="1"/>
  <c r="H102" i="1"/>
  <c r="AT99" i="1"/>
  <c r="AN155" i="1"/>
  <c r="AO155" i="1" s="1"/>
  <c r="BQ99" i="1"/>
  <c r="V102" i="1"/>
  <c r="BB191" i="1"/>
  <c r="AP163" i="1"/>
  <c r="BK99" i="1"/>
  <c r="BD195" i="1"/>
  <c r="BE195" i="1" s="1"/>
  <c r="AP173" i="1"/>
  <c r="AQ173" i="1" s="1"/>
  <c r="AV154" i="1"/>
  <c r="AW154" i="1" s="1"/>
  <c r="BD192" i="1"/>
  <c r="BQ98" i="1"/>
  <c r="AP166" i="1"/>
  <c r="AQ166" i="1" s="1"/>
  <c r="BN155" i="1"/>
  <c r="BO155" i="1" s="1"/>
  <c r="AV148" i="1"/>
  <c r="AW148" i="1" s="1"/>
  <c r="AV181" i="1"/>
  <c r="AW181" i="1" s="1"/>
  <c r="BD166" i="1"/>
  <c r="BE166" i="1" s="1"/>
  <c r="AP179" i="1"/>
  <c r="AQ179" i="1" s="1"/>
  <c r="G181" i="1"/>
  <c r="AR155" i="1"/>
  <c r="AS155" i="1" s="1"/>
  <c r="AX182" i="1"/>
  <c r="AY182" i="1" s="1"/>
  <c r="AZ152" i="1"/>
  <c r="BA152" i="1" s="1"/>
  <c r="AP98" i="1"/>
  <c r="BN179" i="1"/>
  <c r="BO179" i="1" s="1"/>
  <c r="BP99" i="1"/>
  <c r="V103" i="1"/>
  <c r="BO37" i="1"/>
  <c r="BO38" i="1" s="1"/>
  <c r="BA99" i="1"/>
  <c r="N89" i="1"/>
  <c r="BH99" i="1"/>
  <c r="AN195" i="1"/>
  <c r="AO195" i="1" s="1"/>
  <c r="AX196" i="1"/>
  <c r="AY196" i="1" s="1"/>
  <c r="W98" i="1"/>
  <c r="BP174" i="1"/>
  <c r="BQ174" i="1" s="1"/>
  <c r="S102" i="1"/>
  <c r="AT181" i="1"/>
  <c r="AU181" i="1" s="1"/>
  <c r="AT148" i="1"/>
  <c r="AU148" i="1" s="1"/>
  <c r="AZ195" i="1"/>
  <c r="BA195" i="1" s="1"/>
  <c r="AR191" i="1"/>
  <c r="BD177" i="1"/>
  <c r="BE177" i="1" s="1"/>
  <c r="AV163" i="1"/>
  <c r="AP152" i="1"/>
  <c r="AQ152" i="1" s="1"/>
  <c r="G158" i="1"/>
  <c r="AZ182" i="1"/>
  <c r="BA182" i="1" s="1"/>
  <c r="S164" i="1"/>
  <c r="S165" i="1" s="1"/>
  <c r="S169" i="1" s="1"/>
  <c r="D183" i="1"/>
  <c r="AZ181" i="1"/>
  <c r="BA181" i="1" s="1"/>
  <c r="AZ164" i="1"/>
  <c r="F182" i="1"/>
  <c r="AV177" i="1"/>
  <c r="AW177" i="1" s="1"/>
  <c r="AN187" i="1"/>
  <c r="AO187" i="1" s="1"/>
  <c r="BD152" i="1"/>
  <c r="BE152" i="1" s="1"/>
  <c r="E182" i="1"/>
  <c r="Q89" i="1"/>
  <c r="AP196" i="1"/>
  <c r="AQ196" i="1" s="1"/>
  <c r="BN191" i="1"/>
  <c r="AV147" i="1"/>
  <c r="BW98" i="1"/>
  <c r="BP168" i="1"/>
  <c r="BQ168" i="1" s="1"/>
  <c r="AW99" i="1"/>
  <c r="AR147" i="1"/>
  <c r="AS147" i="1" s="1"/>
  <c r="C148" i="1"/>
  <c r="AT98" i="1"/>
  <c r="AV187" i="1"/>
  <c r="AW187" i="1" s="1"/>
  <c r="BP155" i="1"/>
  <c r="BQ155" i="1" s="1"/>
  <c r="AP164" i="1"/>
  <c r="BD147" i="1"/>
  <c r="BE147" i="1" s="1"/>
  <c r="BN164" i="1"/>
  <c r="AP186" i="1"/>
  <c r="AQ186" i="1" s="1"/>
  <c r="BI98" i="1"/>
  <c r="BN184" i="1"/>
  <c r="BO184" i="1" s="1"/>
  <c r="BD196" i="1"/>
  <c r="BE196" i="1" s="1"/>
  <c r="C195" i="1"/>
  <c r="N99" i="1"/>
  <c r="BN98" i="1"/>
  <c r="AP195" i="1"/>
  <c r="AQ195" i="1" s="1"/>
  <c r="D195" i="1"/>
  <c r="AZ158" i="1"/>
  <c r="BA158" i="1" s="1"/>
  <c r="BD155" i="1"/>
  <c r="BE155" i="1" s="1"/>
  <c r="AV69" i="1"/>
  <c r="BN152" i="1"/>
  <c r="BO152" i="1" s="1"/>
  <c r="BV182" i="1"/>
  <c r="BW182" i="1" s="1"/>
  <c r="BR166" i="1"/>
  <c r="BS166" i="1" s="1"/>
  <c r="AZ163" i="1"/>
  <c r="AZ191" i="1"/>
  <c r="AT195" i="1"/>
  <c r="AU195" i="1" s="1"/>
  <c r="AZ174" i="1"/>
  <c r="BA174" i="1" s="1"/>
  <c r="AP182" i="1"/>
  <c r="AQ182" i="1" s="1"/>
  <c r="F92" i="1"/>
  <c r="BB184" i="1"/>
  <c r="BC184" i="1" s="1"/>
  <c r="C103" i="1"/>
  <c r="BN162" i="1"/>
  <c r="L88" i="1"/>
  <c r="AP181" i="1"/>
  <c r="AQ181" i="1" s="1"/>
  <c r="AP99" i="1"/>
  <c r="BH148" i="1"/>
  <c r="BI148" i="1" s="1"/>
  <c r="N181" i="1"/>
  <c r="BK37" i="1"/>
  <c r="AP70" i="1"/>
  <c r="BD185" i="1"/>
  <c r="BD215" i="1" s="1"/>
  <c r="BE215" i="1" s="1"/>
  <c r="BS69" i="1"/>
  <c r="AT168" i="1"/>
  <c r="AU168" i="1" s="1"/>
  <c r="T148" i="1"/>
  <c r="T150" i="1" s="1"/>
  <c r="T277" i="1" s="1"/>
  <c r="I152" i="1"/>
  <c r="B168" i="1"/>
  <c r="H148" i="1"/>
  <c r="H150" i="1" s="1"/>
  <c r="W202" i="1"/>
  <c r="AT154" i="1"/>
  <c r="AU154" i="1" s="1"/>
  <c r="V98" i="1"/>
  <c r="BE98" i="1"/>
  <c r="BV174" i="1"/>
  <c r="BW174" i="1" s="1"/>
  <c r="AN164" i="1"/>
  <c r="AP184" i="1"/>
  <c r="AQ184" i="1" s="1"/>
  <c r="AT155" i="1"/>
  <c r="AU155" i="1" s="1"/>
  <c r="BD186" i="1"/>
  <c r="BE186" i="1" s="1"/>
  <c r="BR181" i="1"/>
  <c r="BS181" i="1" s="1"/>
  <c r="F99" i="1"/>
  <c r="B152" i="1"/>
  <c r="M88" i="1"/>
  <c r="D182" i="1"/>
  <c r="G103" i="1"/>
  <c r="K181" i="1"/>
  <c r="B148" i="1"/>
  <c r="AN148" i="1"/>
  <c r="AO148" i="1" s="1"/>
  <c r="T103" i="1"/>
  <c r="BR191" i="1"/>
  <c r="B177" i="1"/>
  <c r="H103" i="1"/>
  <c r="BC98" i="1"/>
  <c r="BV176" i="1"/>
  <c r="BV212" i="1" s="1"/>
  <c r="BW212" i="1" s="1"/>
  <c r="BH162" i="1"/>
  <c r="B174" i="1"/>
  <c r="Q196" i="1"/>
  <c r="J204" i="1"/>
  <c r="AR175" i="1"/>
  <c r="AR211" i="1" s="1"/>
  <c r="AS211" i="1" s="1"/>
  <c r="BB163" i="1"/>
  <c r="BP185" i="1"/>
  <c r="BP215" i="1" s="1"/>
  <c r="BQ215" i="1" s="1"/>
  <c r="AN173" i="1"/>
  <c r="AO173" i="1" s="1"/>
  <c r="BP163" i="1"/>
  <c r="BB152" i="1"/>
  <c r="BC152" i="1" s="1"/>
  <c r="AN166" i="1"/>
  <c r="AO166" i="1" s="1"/>
  <c r="BB186" i="1"/>
  <c r="BC186" i="1" s="1"/>
  <c r="AN162" i="1"/>
  <c r="BD173" i="1"/>
  <c r="BE173" i="1" s="1"/>
  <c r="V204" i="1"/>
  <c r="AR186" i="1"/>
  <c r="AS186" i="1" s="1"/>
  <c r="L203" i="1"/>
  <c r="C173" i="1"/>
  <c r="B173" i="1"/>
  <c r="BF179" i="1"/>
  <c r="BG179" i="1" s="1"/>
  <c r="J148" i="1"/>
  <c r="J150" i="1" s="1"/>
  <c r="J277" i="1" s="1"/>
  <c r="N88" i="1"/>
  <c r="BD174" i="1"/>
  <c r="BE174" i="1" s="1"/>
  <c r="BS37" i="1"/>
  <c r="BF164" i="1"/>
  <c r="R204" i="1"/>
  <c r="T152" i="1"/>
  <c r="AR149" i="1"/>
  <c r="BF158" i="1"/>
  <c r="BG158" i="1" s="1"/>
  <c r="BA70" i="1"/>
  <c r="BB98" i="1"/>
  <c r="AZ171" i="1"/>
  <c r="BA171" i="1" s="1"/>
  <c r="BN163" i="1"/>
  <c r="BP184" i="1"/>
  <c r="BQ184" i="1" s="1"/>
  <c r="BF162" i="1"/>
  <c r="BV164" i="1"/>
  <c r="BM98" i="1"/>
  <c r="F203" i="1"/>
  <c r="E196" i="1"/>
  <c r="D99" i="1"/>
  <c r="AR192" i="1"/>
  <c r="G89" i="1"/>
  <c r="W92" i="1"/>
  <c r="D176" i="1"/>
  <c r="D212" i="1" s="1"/>
  <c r="BP147" i="1"/>
  <c r="BQ147" i="1" s="1"/>
  <c r="BB177" i="1"/>
  <c r="BC177" i="1" s="1"/>
  <c r="BB70" i="1"/>
  <c r="I204" i="1"/>
  <c r="I181" i="1"/>
  <c r="I99" i="1"/>
  <c r="BN175" i="1"/>
  <c r="BN211" i="1" s="1"/>
  <c r="BO211" i="1" s="1"/>
  <c r="BN185" i="1"/>
  <c r="BN215" i="1" s="1"/>
  <c r="BO215" i="1" s="1"/>
  <c r="C174" i="1"/>
  <c r="F158" i="1"/>
  <c r="Q152" i="1"/>
  <c r="BA37" i="1"/>
  <c r="BA38" i="1" s="1"/>
  <c r="V104" i="1"/>
  <c r="E103" i="1"/>
  <c r="AQ99" i="1"/>
  <c r="BJ70" i="1"/>
  <c r="G88" i="1"/>
  <c r="AN154" i="1"/>
  <c r="AO154" i="1" s="1"/>
  <c r="BD175" i="1"/>
  <c r="BD211" i="1" s="1"/>
  <c r="BE211" i="1" s="1"/>
  <c r="D177" i="1"/>
  <c r="S88" i="1"/>
  <c r="R104" i="1"/>
  <c r="B162" i="1"/>
  <c r="S148" i="1"/>
  <c r="S150" i="1" s="1"/>
  <c r="BD176" i="1"/>
  <c r="BD212" i="1" s="1"/>
  <c r="BE212" i="1" s="1"/>
  <c r="S98" i="1"/>
  <c r="N158" i="1"/>
  <c r="O104" i="1"/>
  <c r="Q182" i="1"/>
  <c r="R88" i="1"/>
  <c r="S204" i="1"/>
  <c r="H152" i="1"/>
  <c r="R148" i="1"/>
  <c r="R150" i="1" s="1"/>
  <c r="AT162" i="1"/>
  <c r="BR176" i="1"/>
  <c r="BR212" i="1" s="1"/>
  <c r="BS212" i="1" s="1"/>
  <c r="N103" i="1"/>
  <c r="K88" i="1"/>
  <c r="M104" i="1"/>
  <c r="N202" i="1"/>
  <c r="O103" i="1"/>
  <c r="T89" i="1"/>
  <c r="BR147" i="1"/>
  <c r="BS147" i="1" s="1"/>
  <c r="D155" i="1"/>
  <c r="C183" i="1"/>
  <c r="BN183" i="1"/>
  <c r="BO183" i="1" s="1"/>
  <c r="AT149" i="1"/>
  <c r="BR179" i="1"/>
  <c r="BS179" i="1" s="1"/>
  <c r="J158" i="1"/>
  <c r="BP158" i="1"/>
  <c r="BQ158" i="1" s="1"/>
  <c r="W88" i="1"/>
  <c r="G92" i="1"/>
  <c r="T104" i="1"/>
  <c r="BR70" i="1"/>
  <c r="P103" i="1"/>
  <c r="BQ70" i="1"/>
  <c r="O204" i="1"/>
  <c r="C175" i="1"/>
  <c r="C211" i="1" s="1"/>
  <c r="E88" i="1"/>
  <c r="BC70" i="1"/>
  <c r="Q158" i="1"/>
  <c r="K182" i="1"/>
  <c r="C192" i="1"/>
  <c r="BS99" i="1"/>
  <c r="BP179" i="1"/>
  <c r="BQ179" i="1" s="1"/>
  <c r="BF99" i="1"/>
  <c r="BH182" i="1"/>
  <c r="BI182" i="1" s="1"/>
  <c r="P92" i="1"/>
  <c r="F196" i="1"/>
  <c r="C164" i="1"/>
  <c r="D167" i="1"/>
  <c r="AR185" i="1"/>
  <c r="AR215" i="1" s="1"/>
  <c r="AS215" i="1" s="1"/>
  <c r="BN149" i="1"/>
  <c r="AZ185" i="1"/>
  <c r="BP181" i="1"/>
  <c r="BQ181" i="1" s="1"/>
  <c r="BB192" i="1"/>
  <c r="BS98" i="1"/>
  <c r="O202" i="1"/>
  <c r="BH166" i="1"/>
  <c r="BI166" i="1" s="1"/>
  <c r="BB195" i="1"/>
  <c r="BC195" i="1" s="1"/>
  <c r="C191" i="1"/>
  <c r="BB99" i="1"/>
  <c r="BK98" i="1"/>
  <c r="BP37" i="1"/>
  <c r="BP38" i="1" s="1"/>
  <c r="AZ186" i="1"/>
  <c r="BA186" i="1" s="1"/>
  <c r="BU37" i="1"/>
  <c r="K196" i="1"/>
  <c r="BN181" i="1"/>
  <c r="BO181" i="1" s="1"/>
  <c r="BB173" i="1"/>
  <c r="BC173" i="1" s="1"/>
  <c r="BB149" i="1"/>
  <c r="AT182" i="1"/>
  <c r="AU182" i="1" s="1"/>
  <c r="J181" i="1"/>
  <c r="BP175" i="1"/>
  <c r="BP211" i="1" s="1"/>
  <c r="BQ211" i="1" s="1"/>
  <c r="AN177" i="1"/>
  <c r="AO177" i="1" s="1"/>
  <c r="AT147" i="1"/>
  <c r="AU147" i="1" s="1"/>
  <c r="BD158" i="1"/>
  <c r="BE158" i="1" s="1"/>
  <c r="B156" i="1"/>
  <c r="B186" i="1" s="1"/>
  <c r="BR168" i="1"/>
  <c r="BS168" i="1" s="1"/>
  <c r="H196" i="1"/>
  <c r="C187" i="1"/>
  <c r="BN182" i="1"/>
  <c r="BO182" i="1" s="1"/>
  <c r="J202" i="1"/>
  <c r="E152" i="1"/>
  <c r="E89" i="1"/>
  <c r="BP69" i="1"/>
  <c r="D98" i="1"/>
  <c r="AP69" i="1"/>
  <c r="S156" i="1"/>
  <c r="AV196" i="1"/>
  <c r="AW196" i="1" s="1"/>
  <c r="AR98" i="1"/>
  <c r="K164" i="1"/>
  <c r="K165" i="1" s="1"/>
  <c r="K169" i="1" s="1"/>
  <c r="BV69" i="1"/>
  <c r="G152" i="1"/>
  <c r="P89" i="1"/>
  <c r="I98" i="1"/>
  <c r="AT192" i="1"/>
  <c r="AT158" i="1"/>
  <c r="AU158" i="1" s="1"/>
  <c r="AZ177" i="1"/>
  <c r="BA177" i="1" s="1"/>
  <c r="BP148" i="1"/>
  <c r="BQ148" i="1" s="1"/>
  <c r="BD99" i="1"/>
  <c r="BB171" i="1"/>
  <c r="BB162" i="1"/>
  <c r="AR174" i="1"/>
  <c r="AS174" i="1" s="1"/>
  <c r="BR162" i="1"/>
  <c r="W99" i="1"/>
  <c r="BP164" i="1"/>
  <c r="AZ184" i="1"/>
  <c r="BA184" i="1" s="1"/>
  <c r="BP149" i="1"/>
  <c r="BF184" i="1"/>
  <c r="BG184" i="1" s="1"/>
  <c r="AW37" i="1"/>
  <c r="AW38" i="1" s="1"/>
  <c r="AW18" i="1" s="1"/>
  <c r="AW19" i="1" s="1"/>
  <c r="BG99" i="1"/>
  <c r="BB176" i="1"/>
  <c r="BB212" i="1" s="1"/>
  <c r="BC212" i="1" s="1"/>
  <c r="AN174" i="1"/>
  <c r="AO174" i="1" s="1"/>
  <c r="AT177" i="1"/>
  <c r="AU177" i="1" s="1"/>
  <c r="AN168" i="1"/>
  <c r="AO168" i="1" s="1"/>
  <c r="Q98" i="1"/>
  <c r="BP191" i="1"/>
  <c r="BR164" i="1"/>
  <c r="BF196" i="1"/>
  <c r="BG196" i="1" s="1"/>
  <c r="AN163" i="1"/>
  <c r="BB187" i="1"/>
  <c r="BC187" i="1" s="1"/>
  <c r="BR196" i="1"/>
  <c r="BS196" i="1" s="1"/>
  <c r="AR195" i="1"/>
  <c r="AS195" i="1" s="1"/>
  <c r="B163" i="1"/>
  <c r="AT191" i="1"/>
  <c r="AZ175" i="1"/>
  <c r="AZ211" i="1" s="1"/>
  <c r="BA211" i="1" s="1"/>
  <c r="BR148" i="1"/>
  <c r="BS148" i="1" s="1"/>
  <c r="BQ69" i="1"/>
  <c r="U182" i="1"/>
  <c r="D191" i="1"/>
  <c r="BF192" i="1"/>
  <c r="BI37" i="1"/>
  <c r="BI38" i="1" s="1"/>
  <c r="BI18" i="1" s="1"/>
  <c r="BI19" i="1" s="1"/>
  <c r="O181" i="1"/>
  <c r="S182" i="1"/>
  <c r="G196" i="1"/>
  <c r="BV179" i="1"/>
  <c r="BW179" i="1" s="1"/>
  <c r="AT166" i="1"/>
  <c r="AU166" i="1" s="1"/>
  <c r="AU37" i="1"/>
  <c r="F148" i="1"/>
  <c r="F150" i="1" s="1"/>
  <c r="L164" i="1"/>
  <c r="L165" i="1" s="1"/>
  <c r="L169" i="1" s="1"/>
  <c r="C102" i="1"/>
  <c r="V148" i="1"/>
  <c r="V150" i="1" s="1"/>
  <c r="V79" i="1" s="1"/>
  <c r="D89" i="1"/>
  <c r="AR70" i="1"/>
  <c r="J203" i="1"/>
  <c r="AN176" i="1"/>
  <c r="AN212" i="1" s="1"/>
  <c r="AO212" i="1" s="1"/>
  <c r="BD163" i="1"/>
  <c r="Q99" i="1"/>
  <c r="Q104" i="1"/>
  <c r="BF181" i="1"/>
  <c r="BG181" i="1" s="1"/>
  <c r="BR99" i="1"/>
  <c r="C149" i="1"/>
  <c r="BR187" i="1"/>
  <c r="BS187" i="1" s="1"/>
  <c r="BM99" i="1"/>
  <c r="I103" i="1"/>
  <c r="N204" i="1"/>
  <c r="BH164" i="1"/>
  <c r="C196" i="1"/>
  <c r="M196" i="1"/>
  <c r="M103" i="1"/>
  <c r="BB164" i="1"/>
  <c r="BD37" i="1"/>
  <c r="AW98" i="1"/>
  <c r="AZ168" i="1"/>
  <c r="BA168" i="1" s="1"/>
  <c r="BR185" i="1"/>
  <c r="BR215" i="1" s="1"/>
  <c r="BS215" i="1" s="1"/>
  <c r="L102" i="1"/>
  <c r="BP98" i="1"/>
  <c r="AN184" i="1"/>
  <c r="AO184" i="1" s="1"/>
  <c r="BG70" i="1"/>
  <c r="AZ99" i="1"/>
  <c r="BB155" i="1"/>
  <c r="BC155" i="1" s="1"/>
  <c r="BT196" i="1"/>
  <c r="BU196" i="1" s="1"/>
  <c r="BR163" i="1"/>
  <c r="BR182" i="1"/>
  <c r="BS182" i="1" s="1"/>
  <c r="J88" i="1"/>
  <c r="V92" i="1"/>
  <c r="BT37" i="1"/>
  <c r="BT38" i="1" s="1"/>
  <c r="BF175" i="1"/>
  <c r="R164" i="1"/>
  <c r="R165" i="1" s="1"/>
  <c r="R169" i="1" s="1"/>
  <c r="BW70" i="1"/>
  <c r="BB183" i="1"/>
  <c r="BC183" i="1" s="1"/>
  <c r="BM69" i="1"/>
  <c r="B176" i="1"/>
  <c r="B212" i="1" s="1"/>
  <c r="N164" i="1"/>
  <c r="N165" i="1" s="1"/>
  <c r="N169" i="1" s="1"/>
  <c r="G104" i="1"/>
  <c r="AU69" i="1"/>
  <c r="O99" i="1"/>
  <c r="H88" i="1"/>
  <c r="O92" i="1"/>
  <c r="N102" i="1"/>
  <c r="K204" i="1"/>
  <c r="K203" i="1"/>
  <c r="U104" i="1"/>
  <c r="B185" i="1"/>
  <c r="B215" i="1" s="1"/>
  <c r="BV70" i="1"/>
  <c r="U88" i="1"/>
  <c r="I92" i="1"/>
  <c r="BV185" i="1"/>
  <c r="BE69" i="1"/>
  <c r="O152" i="1"/>
  <c r="BH175" i="1"/>
  <c r="BH211" i="1" s="1"/>
  <c r="BI211" i="1" s="1"/>
  <c r="BR37" i="1"/>
  <c r="BR38" i="1" s="1"/>
  <c r="V158" i="1"/>
  <c r="F164" i="1"/>
  <c r="F165" i="1" s="1"/>
  <c r="F169" i="1" s="1"/>
  <c r="BD191" i="1"/>
  <c r="AR69" i="1"/>
  <c r="AZ196" i="1"/>
  <c r="BA196" i="1" s="1"/>
  <c r="BF195" i="1"/>
  <c r="BG195" i="1" s="1"/>
  <c r="J182" i="1"/>
  <c r="K92" i="1"/>
  <c r="S89" i="1"/>
  <c r="V152" i="1"/>
  <c r="BG37" i="1"/>
  <c r="BG38" i="1" s="1"/>
  <c r="BG18" i="1" s="1"/>
  <c r="BG19" i="1" s="1"/>
  <c r="AI70" i="1"/>
  <c r="N92" i="1"/>
  <c r="B202" i="1"/>
  <c r="BH37" i="1"/>
  <c r="BH38" i="1" s="1"/>
  <c r="D156" i="1"/>
  <c r="D186" i="1" s="1"/>
  <c r="O203" i="1"/>
  <c r="C147" i="1"/>
  <c r="AM99" i="1"/>
  <c r="Q148" i="1"/>
  <c r="Q150" i="1" s="1"/>
  <c r="BK70" i="1"/>
  <c r="B104" i="1"/>
  <c r="I104" i="1"/>
  <c r="C89" i="1"/>
  <c r="D179" i="1"/>
  <c r="AT163" i="1"/>
  <c r="BQ37" i="1"/>
  <c r="BQ38" i="1" s="1"/>
  <c r="BQ18" i="1" s="1"/>
  <c r="BQ19" i="1" s="1"/>
  <c r="V89" i="1"/>
  <c r="T156" i="1"/>
  <c r="B204" i="1"/>
  <c r="BV187" i="1"/>
  <c r="BW187" i="1" s="1"/>
  <c r="P152" i="1"/>
  <c r="O148" i="1"/>
  <c r="O150" i="1" s="1"/>
  <c r="T204" i="1"/>
  <c r="R92" i="1"/>
  <c r="V88" i="1"/>
  <c r="AY98" i="1"/>
  <c r="BA98" i="1"/>
  <c r="M202" i="1"/>
  <c r="AN98" i="1"/>
  <c r="BA69" i="1"/>
  <c r="T202" i="1"/>
  <c r="E92" i="1"/>
  <c r="BV37" i="1"/>
  <c r="U204" i="1"/>
  <c r="M164" i="1"/>
  <c r="M165" i="1" s="1"/>
  <c r="M169" i="1" s="1"/>
  <c r="B191" i="1"/>
  <c r="O156" i="1"/>
  <c r="U99" i="1"/>
  <c r="D104" i="1"/>
  <c r="B88" i="1"/>
  <c r="AQ70" i="1"/>
  <c r="W164" i="1"/>
  <c r="W165" i="1" s="1"/>
  <c r="W169" i="1" s="1"/>
  <c r="X235" i="1" s="1"/>
  <c r="X233" i="1" s="1"/>
  <c r="C185" i="1"/>
  <c r="C215" i="1" s="1"/>
  <c r="L152" i="1"/>
  <c r="BV195" i="1"/>
  <c r="BW195" i="1" s="1"/>
  <c r="BU70" i="1"/>
  <c r="C203" i="1"/>
  <c r="D204" i="1"/>
  <c r="F202" i="1"/>
  <c r="C204" i="1"/>
  <c r="Q203" i="1"/>
  <c r="K103" i="1"/>
  <c r="R203" i="1"/>
  <c r="AX69" i="1"/>
  <c r="D149" i="1"/>
  <c r="H181" i="1"/>
  <c r="BP183" i="1"/>
  <c r="BQ183" i="1" s="1"/>
  <c r="AM69" i="1"/>
  <c r="E181" i="1"/>
  <c r="BK69" i="1"/>
  <c r="AX70" i="1"/>
  <c r="G182" i="1"/>
  <c r="BF174" i="1"/>
  <c r="BG174" i="1" s="1"/>
  <c r="M92" i="1"/>
  <c r="D187" i="1"/>
  <c r="BV158" i="1"/>
  <c r="BW158" i="1" s="1"/>
  <c r="C92" i="1"/>
  <c r="BR149" i="1"/>
  <c r="AN179" i="1"/>
  <c r="AO179" i="1" s="1"/>
  <c r="BD181" i="1"/>
  <c r="BE181" i="1" s="1"/>
  <c r="BH168" i="1"/>
  <c r="BI168" i="1" s="1"/>
  <c r="N98" i="1"/>
  <c r="W203" i="1"/>
  <c r="BR184" i="1"/>
  <c r="BS184" i="1" s="1"/>
  <c r="AY69" i="1"/>
  <c r="BU69" i="1"/>
  <c r="BJ98" i="1"/>
  <c r="R89" i="1"/>
  <c r="BH184" i="1"/>
  <c r="BI184" i="1" s="1"/>
  <c r="AZ69" i="1"/>
  <c r="I202" i="1"/>
  <c r="BV191" i="1"/>
  <c r="C152" i="1"/>
  <c r="K202" i="1"/>
  <c r="C181" i="1"/>
  <c r="L92" i="1"/>
  <c r="V99" i="1"/>
  <c r="B158" i="1"/>
  <c r="M204" i="1"/>
  <c r="B196" i="1"/>
  <c r="U196" i="1"/>
  <c r="BH149" i="1"/>
  <c r="F102" i="1"/>
  <c r="BD183" i="1"/>
  <c r="BE183" i="1" s="1"/>
  <c r="BH171" i="1"/>
  <c r="BI171" i="1" s="1"/>
  <c r="BJ234" i="1" s="1"/>
  <c r="BD148" i="1"/>
  <c r="BE148" i="1" s="1"/>
  <c r="E164" i="1"/>
  <c r="E165" i="1" s="1"/>
  <c r="S158" i="1"/>
  <c r="N203" i="1"/>
  <c r="BE37" i="1"/>
  <c r="BE38" i="1" s="1"/>
  <c r="BH186" i="1"/>
  <c r="BI186" i="1" s="1"/>
  <c r="W103" i="1"/>
  <c r="T102" i="1"/>
  <c r="W102" i="1"/>
  <c r="M203" i="1"/>
  <c r="E204" i="1"/>
  <c r="C202" i="1"/>
  <c r="BT70" i="1"/>
  <c r="BH187" i="1"/>
  <c r="BI187" i="1" s="1"/>
  <c r="BF70" i="1"/>
  <c r="T164" i="1"/>
  <c r="T165" i="1" s="1"/>
  <c r="T169" i="1" s="1"/>
  <c r="N196" i="1"/>
  <c r="M102" i="1"/>
  <c r="BV186" i="1"/>
  <c r="BW186" i="1" s="1"/>
  <c r="J196" i="1"/>
  <c r="G99" i="1"/>
  <c r="G202" i="1"/>
  <c r="AO37" i="1"/>
  <c r="AO38" i="1" s="1"/>
  <c r="AO18" i="1" s="1"/>
  <c r="AO19" i="1" s="1"/>
  <c r="BF152" i="1"/>
  <c r="BG152" i="1" s="1"/>
  <c r="J104" i="1"/>
  <c r="F89" i="1"/>
  <c r="D181" i="1"/>
  <c r="BR152" i="1"/>
  <c r="BS152" i="1" s="1"/>
  <c r="D168" i="1"/>
  <c r="R99" i="1"/>
  <c r="L182" i="1"/>
  <c r="BR155" i="1"/>
  <c r="BS155" i="1" s="1"/>
  <c r="BH183" i="1"/>
  <c r="BI183" i="1" s="1"/>
  <c r="Q92" i="1"/>
  <c r="BV163" i="1"/>
  <c r="BP70" i="1"/>
  <c r="BF69" i="1"/>
  <c r="V196" i="1"/>
  <c r="AO69" i="1"/>
  <c r="D171" i="1"/>
  <c r="E234" i="1" s="1"/>
  <c r="BG69" i="1"/>
  <c r="AV37" i="1"/>
  <c r="T98" i="1"/>
  <c r="H99" i="1"/>
  <c r="AO70" i="1"/>
  <c r="J99" i="1"/>
  <c r="Q156" i="1"/>
  <c r="AW70" i="1"/>
  <c r="M98" i="1"/>
  <c r="AT186" i="1"/>
  <c r="AU186" i="1" s="1"/>
  <c r="C168" i="1"/>
  <c r="H203" i="1"/>
  <c r="P182" i="1"/>
  <c r="BH70" i="1"/>
  <c r="T158" i="1"/>
  <c r="T159" i="1" s="1"/>
  <c r="T61" i="1" s="1"/>
  <c r="BN69" i="1"/>
  <c r="R158" i="1"/>
  <c r="G102" i="1"/>
  <c r="BW37" i="1"/>
  <c r="BF148" i="1"/>
  <c r="BG148" i="1" s="1"/>
  <c r="F156" i="1"/>
  <c r="BV148" i="1"/>
  <c r="BW148" i="1" s="1"/>
  <c r="BC69" i="1"/>
  <c r="B103" i="1"/>
  <c r="F103" i="1"/>
  <c r="BM37" i="1"/>
  <c r="BM38" i="1" s="1"/>
  <c r="M158" i="1"/>
  <c r="BH152" i="1"/>
  <c r="BI152" i="1" s="1"/>
  <c r="BV154" i="1"/>
  <c r="BW154" i="1" s="1"/>
  <c r="D203" i="1"/>
  <c r="BR173" i="1"/>
  <c r="BS173" i="1" s="1"/>
  <c r="U158" i="1"/>
  <c r="BR192" i="1"/>
  <c r="BD69" i="1"/>
  <c r="M148" i="1"/>
  <c r="M150" i="1" s="1"/>
  <c r="N104" i="1"/>
  <c r="N152" i="1"/>
  <c r="D166" i="1"/>
  <c r="V202" i="1"/>
  <c r="B195" i="1"/>
  <c r="BH173" i="1"/>
  <c r="BI173" i="1" s="1"/>
  <c r="D162" i="1"/>
  <c r="BN37" i="1"/>
  <c r="BN38" i="1" s="1"/>
  <c r="BN18" i="1" s="1"/>
  <c r="BN19" i="1" s="1"/>
  <c r="T203" i="1"/>
  <c r="D103" i="1"/>
  <c r="BH185" i="1"/>
  <c r="BH215" i="1" s="1"/>
  <c r="BI215" i="1" s="1"/>
  <c r="W204" i="1"/>
  <c r="C167" i="1"/>
  <c r="B182" i="1"/>
  <c r="R102" i="1"/>
  <c r="B192" i="1"/>
  <c r="U203" i="1"/>
  <c r="Q103" i="1"/>
  <c r="BR174" i="1"/>
  <c r="BS174" i="1" s="1"/>
  <c r="D92" i="1"/>
  <c r="H202" i="1"/>
  <c r="AT184" i="1"/>
  <c r="AU184" i="1" s="1"/>
  <c r="V156" i="1"/>
  <c r="O89" i="1"/>
  <c r="S92" i="1"/>
  <c r="T99" i="1"/>
  <c r="BV184" i="1"/>
  <c r="BW184" i="1" s="1"/>
  <c r="T92" i="1"/>
  <c r="BO69" i="1"/>
  <c r="B149" i="1"/>
  <c r="E148" i="1"/>
  <c r="E150" i="1" s="1"/>
  <c r="AM70" i="1"/>
  <c r="O102" i="1"/>
  <c r="I102" i="1"/>
  <c r="E104" i="1"/>
  <c r="D173" i="1"/>
  <c r="BI69" i="1"/>
  <c r="K99" i="1"/>
  <c r="G164" i="1"/>
  <c r="G165" i="1" s="1"/>
  <c r="G169" i="1" s="1"/>
  <c r="W156" i="1"/>
  <c r="C171" i="1"/>
  <c r="S152" i="1"/>
  <c r="BC37" i="1"/>
  <c r="AK99" i="1"/>
  <c r="P164" i="1"/>
  <c r="P165" i="1" s="1"/>
  <c r="P169" i="1" s="1"/>
  <c r="AZ37" i="1"/>
  <c r="AZ38" i="1" s="1"/>
  <c r="AZ18" i="1" s="1"/>
  <c r="AZ19" i="1" s="1"/>
  <c r="Q202" i="1"/>
  <c r="BT69" i="1"/>
  <c r="B102" i="1"/>
  <c r="F98" i="1"/>
  <c r="P104" i="1"/>
  <c r="M152" i="1"/>
  <c r="AI98" i="1"/>
  <c r="BD187" i="1"/>
  <c r="BE187" i="1" s="1"/>
  <c r="F204" i="1"/>
  <c r="K152" i="1"/>
  <c r="BH179" i="1"/>
  <c r="BI179" i="1" s="1"/>
  <c r="B147" i="1"/>
  <c r="BI70" i="1"/>
  <c r="K102" i="1"/>
  <c r="O182" i="1"/>
  <c r="D88" i="1"/>
  <c r="AX37" i="1"/>
  <c r="L204" i="1"/>
  <c r="BO70" i="1"/>
  <c r="W152" i="1"/>
  <c r="BV181" i="1"/>
  <c r="BW181" i="1" s="1"/>
  <c r="S203" i="1"/>
  <c r="BV98" i="1"/>
  <c r="C179" i="1"/>
  <c r="R196" i="1"/>
  <c r="BV166" i="1"/>
  <c r="BW166" i="1" s="1"/>
  <c r="BR98" i="1"/>
  <c r="C98" i="1"/>
  <c r="J102" i="1"/>
  <c r="BV162" i="1"/>
  <c r="BV183" i="1"/>
  <c r="BW183" i="1" s="1"/>
  <c r="F152" i="1"/>
  <c r="E156" i="1"/>
  <c r="AT37" i="1"/>
  <c r="AT38" i="1" s="1"/>
  <c r="AW69" i="1"/>
  <c r="H164" i="1"/>
  <c r="H165" i="1" s="1"/>
  <c r="H169" i="1" s="1"/>
  <c r="F181" i="1"/>
  <c r="D202" i="1"/>
  <c r="BH177" i="1"/>
  <c r="BI177" i="1" s="1"/>
  <c r="G148" i="1"/>
  <c r="G150" i="1" s="1"/>
  <c r="C163" i="1"/>
  <c r="H104" i="1"/>
  <c r="BH147" i="1"/>
  <c r="BI147" i="1" s="1"/>
  <c r="AS37" i="1"/>
  <c r="AS38" i="1" s="1"/>
  <c r="AS18" i="1" s="1"/>
  <c r="AS19" i="1" s="1"/>
  <c r="K148" i="1"/>
  <c r="K150" i="1" s="1"/>
  <c r="AT70" i="1"/>
  <c r="BV177" i="1"/>
  <c r="BW177" i="1" s="1"/>
  <c r="S99" i="1"/>
  <c r="D174" i="1"/>
  <c r="W104" i="1"/>
  <c r="BD70" i="1"/>
  <c r="BM70" i="1"/>
  <c r="B92" i="1"/>
  <c r="BR171" i="1"/>
  <c r="BS171" i="1" s="1"/>
  <c r="M89" i="1"/>
  <c r="H92" i="1"/>
  <c r="N182" i="1"/>
  <c r="I164" i="1"/>
  <c r="I165" i="1" s="1"/>
  <c r="I169" i="1" s="1"/>
  <c r="V181" i="1"/>
  <c r="D154" i="1"/>
  <c r="P204" i="1"/>
  <c r="AQ37" i="1"/>
  <c r="AQ38" i="1" s="1"/>
  <c r="H89" i="1"/>
  <c r="S202" i="1"/>
  <c r="BN70" i="1"/>
  <c r="J152" i="1"/>
  <c r="U181" i="1"/>
  <c r="D164" i="1"/>
  <c r="C99" i="1"/>
  <c r="BV99" i="1"/>
  <c r="AN70" i="1"/>
  <c r="BV147" i="1"/>
  <c r="BW147" i="1" s="1"/>
  <c r="AN37" i="1"/>
  <c r="AN38" i="1" s="1"/>
  <c r="AN18" i="1" s="1"/>
  <c r="AN19" i="1" s="1"/>
  <c r="H98" i="1"/>
  <c r="AK98" i="1"/>
  <c r="AI69" i="1"/>
  <c r="AS70" i="1"/>
  <c r="E158" i="1"/>
  <c r="U202" i="1"/>
  <c r="V203" i="1"/>
  <c r="P203" i="1"/>
  <c r="B183" i="1"/>
  <c r="BH176" i="1"/>
  <c r="C176" i="1"/>
  <c r="C212" i="1" s="1"/>
  <c r="U152" i="1"/>
  <c r="I158" i="1"/>
  <c r="C158" i="1"/>
  <c r="D196" i="1"/>
  <c r="V164" i="1"/>
  <c r="V165" i="1" s="1"/>
  <c r="V169" i="1" s="1"/>
  <c r="J156" i="1"/>
  <c r="C104" i="1"/>
  <c r="BH174" i="1"/>
  <c r="BI174" i="1" s="1"/>
  <c r="AU70" i="1"/>
  <c r="BV168" i="1"/>
  <c r="BW168" i="1" s="1"/>
  <c r="D147" i="1"/>
  <c r="BH158" i="1"/>
  <c r="BI158" i="1" s="1"/>
  <c r="BD164" i="1"/>
  <c r="I156" i="1"/>
  <c r="G156" i="1"/>
  <c r="L156" i="1"/>
  <c r="BJ99" i="1"/>
  <c r="C156" i="1"/>
  <c r="C186" i="1" s="1"/>
  <c r="R98" i="1"/>
  <c r="P181" i="1"/>
  <c r="N148" i="1"/>
  <c r="N150" i="1" s="1"/>
  <c r="V182" i="1"/>
  <c r="L148" i="1"/>
  <c r="L150" i="1" s="1"/>
  <c r="AY70" i="1"/>
  <c r="H156" i="1"/>
  <c r="BW69" i="1"/>
  <c r="B179" i="1"/>
  <c r="BH192" i="1"/>
  <c r="L99" i="1"/>
  <c r="P156" i="1"/>
  <c r="P159" i="1" s="1"/>
  <c r="P61" i="1" s="1"/>
  <c r="J164" i="1"/>
  <c r="J165" i="1" s="1"/>
  <c r="J169" i="1" s="1"/>
  <c r="U98" i="1"/>
  <c r="P196" i="1"/>
  <c r="B187" i="1"/>
  <c r="AZ70" i="1"/>
  <c r="E203" i="1"/>
  <c r="S196" i="1"/>
  <c r="U102" i="1"/>
  <c r="J103" i="1"/>
  <c r="BN196" i="1"/>
  <c r="BO196" i="1" s="1"/>
  <c r="BV175" i="1"/>
  <c r="BV211" i="1" s="1"/>
  <c r="BW211" i="1" s="1"/>
  <c r="BV155" i="1"/>
  <c r="BW155" i="1" s="1"/>
  <c r="T196" i="1"/>
  <c r="AM98" i="1"/>
  <c r="U164" i="1"/>
  <c r="U165" i="1" s="1"/>
  <c r="U169" i="1" s="1"/>
  <c r="BS70" i="1"/>
  <c r="BV171" i="1"/>
  <c r="W148" i="1"/>
  <c r="L98" i="1"/>
  <c r="AY37" i="1"/>
  <c r="AY38" i="1" s="1"/>
  <c r="AY18" i="1" s="1"/>
  <c r="AY19" i="1" s="1"/>
  <c r="P98" i="1"/>
  <c r="L181" i="1"/>
  <c r="AI37" i="1"/>
  <c r="L202" i="1"/>
  <c r="L104" i="1"/>
  <c r="B154" i="1"/>
  <c r="W196" i="1"/>
  <c r="AN69" i="1"/>
  <c r="AT69" i="1"/>
  <c r="Q102" i="1"/>
  <c r="T181" i="1"/>
  <c r="Q204" i="1"/>
  <c r="G203" i="1"/>
  <c r="B166" i="1"/>
  <c r="K89" i="1"/>
  <c r="I148" i="1"/>
  <c r="I150" i="1" s="1"/>
  <c r="D102" i="1"/>
  <c r="BV149" i="1"/>
  <c r="D163" i="1"/>
  <c r="P99" i="1"/>
  <c r="BH98" i="1"/>
  <c r="G98" i="1"/>
  <c r="R156" i="1"/>
  <c r="C88" i="1"/>
  <c r="B175" i="1"/>
  <c r="B211" i="1" s="1"/>
  <c r="BH191" i="1"/>
  <c r="BH193" i="1" s="1"/>
  <c r="BI241" i="1" s="1"/>
  <c r="W181" i="1"/>
  <c r="F104" i="1"/>
  <c r="B203" i="1"/>
  <c r="U148" i="1"/>
  <c r="U150" i="1" s="1"/>
  <c r="F88" i="1"/>
  <c r="C182" i="1"/>
  <c r="BH163" i="1"/>
  <c r="K156" i="1"/>
  <c r="AS69" i="1"/>
  <c r="R182" i="1"/>
  <c r="D192" i="1"/>
  <c r="AR37" i="1"/>
  <c r="AR38" i="1" s="1"/>
  <c r="AR18" i="1" s="1"/>
  <c r="AR19" i="1" s="1"/>
  <c r="U103" i="1"/>
  <c r="L103" i="1"/>
  <c r="BO99" i="1"/>
  <c r="I89" i="1"/>
  <c r="B167" i="1"/>
  <c r="B155" i="1"/>
  <c r="D158" i="1"/>
  <c r="C155" i="1"/>
  <c r="P102" i="1"/>
  <c r="C162" i="1"/>
  <c r="S181" i="1"/>
  <c r="B171" i="1"/>
  <c r="P148" i="1"/>
  <c r="P150" i="1" s="1"/>
  <c r="BF37" i="1"/>
  <c r="BF38" i="1" s="1"/>
  <c r="BF18" i="1" s="1"/>
  <c r="BF19" i="1" s="1"/>
  <c r="U92" i="1"/>
  <c r="P202" i="1"/>
  <c r="W182" i="1"/>
  <c r="W89" i="1"/>
  <c r="S103" i="1"/>
  <c r="O158" i="1"/>
  <c r="AQ69" i="1"/>
  <c r="L158" i="1"/>
  <c r="Q164" i="1"/>
  <c r="Q165" i="1" s="1"/>
  <c r="Q169" i="1" s="1"/>
  <c r="BB69" i="1"/>
  <c r="BV192" i="1"/>
  <c r="BV193" i="1" s="1"/>
  <c r="BW241" i="1" s="1"/>
  <c r="D175" i="1"/>
  <c r="D211" i="1" s="1"/>
  <c r="E202" i="1"/>
  <c r="I88" i="1"/>
  <c r="W158" i="1"/>
  <c r="S104" i="1"/>
  <c r="C177" i="1"/>
  <c r="R202" i="1"/>
  <c r="E102" i="1"/>
  <c r="BB37" i="1"/>
  <c r="BB38" i="1" s="1"/>
  <c r="P88" i="1"/>
  <c r="AJ99" i="1"/>
  <c r="H182" i="1"/>
  <c r="R181" i="1"/>
  <c r="R188" i="1" s="1"/>
  <c r="R217" i="1" s="1"/>
  <c r="R216" i="1" s="1"/>
  <c r="AP37" i="1"/>
  <c r="AP38" i="1" s="1"/>
  <c r="M182" i="1"/>
  <c r="M181" i="1"/>
  <c r="T88" i="1"/>
  <c r="BJ69" i="1"/>
  <c r="O88" i="1"/>
  <c r="BH195" i="1"/>
  <c r="BI195" i="1" s="1"/>
  <c r="D148" i="1"/>
  <c r="Q181" i="1"/>
  <c r="Q188" i="1" s="1"/>
  <c r="I196" i="1"/>
  <c r="O196" i="1"/>
  <c r="K158" i="1"/>
  <c r="N156" i="1"/>
  <c r="BH155" i="1"/>
  <c r="BI155" i="1" s="1"/>
  <c r="L196" i="1"/>
  <c r="R103" i="1"/>
  <c r="H158" i="1"/>
  <c r="Q88" i="1"/>
  <c r="E99" i="1"/>
  <c r="BV173" i="1"/>
  <c r="BW173" i="1" s="1"/>
  <c r="G204" i="1"/>
  <c r="R152" i="1"/>
  <c r="BV152" i="1"/>
  <c r="BW152" i="1" s="1"/>
  <c r="U156" i="1"/>
  <c r="T182" i="1"/>
  <c r="CQ230" i="1"/>
  <c r="CS229" i="1"/>
  <c r="CT229" i="1"/>
  <c r="AD32" i="1"/>
  <c r="N193" i="1"/>
  <c r="O241" i="1" s="1"/>
  <c r="N180" i="1"/>
  <c r="N214" i="1" s="1"/>
  <c r="S193" i="1"/>
  <c r="T241" i="1" s="1"/>
  <c r="CS189" i="1"/>
  <c r="I234" i="1"/>
  <c r="Q234" i="1"/>
  <c r="U234" i="1"/>
  <c r="CT228" i="1"/>
  <c r="CS228" i="1"/>
  <c r="AR33" i="1"/>
  <c r="V180" i="1"/>
  <c r="V214" i="1" s="1"/>
  <c r="V213" i="1" s="1"/>
  <c r="BI263" i="1"/>
  <c r="AO281" i="1"/>
  <c r="BI281" i="1"/>
  <c r="BI282" i="1"/>
  <c r="BF34" i="1"/>
  <c r="BC281" i="1"/>
  <c r="BM61" i="1"/>
  <c r="G193" i="1"/>
  <c r="H241" i="1" s="1"/>
  <c r="BM50" i="1"/>
  <c r="BQ123" i="1"/>
  <c r="BQ124" i="1" s="1"/>
  <c r="BQ127" i="1" s="1"/>
  <c r="AT50" i="1"/>
  <c r="AT51" i="1" s="1"/>
  <c r="AV50" i="1"/>
  <c r="AS50" i="1"/>
  <c r="AN50" i="1"/>
  <c r="AN51" i="1" s="1"/>
  <c r="CO282" i="1"/>
  <c r="CO163" i="1"/>
  <c r="AN263" i="1"/>
  <c r="BK235" i="1"/>
  <c r="BK233" i="1" s="1"/>
  <c r="AQ34" i="1"/>
  <c r="BC123" i="1"/>
  <c r="BC124" i="1" s="1"/>
  <c r="BC127" i="1" s="1"/>
  <c r="BR123" i="1"/>
  <c r="BR124" i="1" s="1"/>
  <c r="BR129" i="1" s="1"/>
  <c r="AO282" i="1"/>
  <c r="BR282" i="1"/>
  <c r="BO263" i="1"/>
  <c r="AZ123" i="1"/>
  <c r="AZ124" i="1" s="1"/>
  <c r="AZ128" i="1" s="1"/>
  <c r="L180" i="1"/>
  <c r="L214" i="1" s="1"/>
  <c r="L213" i="1" s="1"/>
  <c r="H180" i="1"/>
  <c r="H214" i="1" s="1"/>
  <c r="H213" i="1" s="1"/>
  <c r="F180" i="1"/>
  <c r="F193" i="1"/>
  <c r="G241" i="1" s="1"/>
  <c r="H193" i="1"/>
  <c r="I241" i="1" s="1"/>
  <c r="AS34" i="1"/>
  <c r="BR281" i="1"/>
  <c r="BM34" i="1"/>
  <c r="AX123" i="1"/>
  <c r="AX124" i="1" s="1"/>
  <c r="AX127" i="1" s="1"/>
  <c r="AS263" i="1"/>
  <c r="BO123" i="1"/>
  <c r="BO124" i="1" s="1"/>
  <c r="BO129" i="1" s="1"/>
  <c r="BG263" i="1"/>
  <c r="BM282" i="1"/>
  <c r="BK282" i="1"/>
  <c r="BK226" i="1"/>
  <c r="AY123" i="1"/>
  <c r="AY124" i="1" s="1"/>
  <c r="AY129" i="1" s="1"/>
  <c r="BP123" i="1"/>
  <c r="BP124" i="1" s="1"/>
  <c r="BP127" i="1" s="1"/>
  <c r="AV282" i="1"/>
  <c r="BM281" i="1"/>
  <c r="AR263" i="1"/>
  <c r="AZ282" i="1"/>
  <c r="AX33" i="1"/>
  <c r="BV281" i="1"/>
  <c r="P180" i="1"/>
  <c r="AZ50" i="1"/>
  <c r="AZ51" i="1" s="1"/>
  <c r="BS50" i="1"/>
  <c r="BU50" i="1"/>
  <c r="AW50" i="1"/>
  <c r="AW51" i="1" s="1"/>
  <c r="AZ281" i="1"/>
  <c r="S234" i="1"/>
  <c r="AU281" i="1"/>
  <c r="BO282" i="1"/>
  <c r="BF281" i="1"/>
  <c r="BT282" i="1"/>
  <c r="J180" i="1"/>
  <c r="J214" i="1" s="1"/>
  <c r="J213" i="1" s="1"/>
  <c r="BF50" i="1"/>
  <c r="BF51" i="1" s="1"/>
  <c r="AO50" i="1"/>
  <c r="Q193" i="1"/>
  <c r="R241" i="1" s="1"/>
  <c r="BH50" i="1"/>
  <c r="BH51" i="1" s="1"/>
  <c r="BG281" i="1"/>
  <c r="AQ50" i="1"/>
  <c r="AQ51" i="1" s="1"/>
  <c r="BN123" i="1"/>
  <c r="BN124" i="1" s="1"/>
  <c r="BN127" i="1" s="1"/>
  <c r="X83" i="1"/>
  <c r="BO50" i="1"/>
  <c r="BD50" i="1"/>
  <c r="AY50" i="1"/>
  <c r="AY51" i="1" s="1"/>
  <c r="CV188" i="1"/>
  <c r="CW188" i="1"/>
  <c r="AR123" i="1"/>
  <c r="AR124" i="1" s="1"/>
  <c r="AR128" i="1" s="1"/>
  <c r="CV180" i="1"/>
  <c r="AQ282" i="1"/>
  <c r="CU257" i="1"/>
  <c r="CV257" i="1"/>
  <c r="CW257" i="1"/>
  <c r="CW180" i="1"/>
  <c r="BI123" i="1"/>
  <c r="BI124" i="1" s="1"/>
  <c r="BI127" i="1" s="1"/>
  <c r="G180" i="1"/>
  <c r="P234" i="1"/>
  <c r="O180" i="1"/>
  <c r="Q180" i="1"/>
  <c r="Q214" i="1" s="1"/>
  <c r="Q213" i="1" s="1"/>
  <c r="BH281" i="1"/>
  <c r="T180" i="1"/>
  <c r="L193" i="1"/>
  <c r="M241" i="1" s="1"/>
  <c r="BQ50" i="1"/>
  <c r="K193" i="1"/>
  <c r="L241" i="1" s="1"/>
  <c r="AP281" i="1"/>
  <c r="R234" i="1"/>
  <c r="AW281" i="1"/>
  <c r="BV50" i="1"/>
  <c r="BA123" i="1"/>
  <c r="BA124" i="1" s="1"/>
  <c r="BA128" i="1" s="1"/>
  <c r="BA50" i="1"/>
  <c r="BA51" i="1" s="1"/>
  <c r="R180" i="1"/>
  <c r="R214" i="1" s="1"/>
  <c r="R213" i="1" s="1"/>
  <c r="BS34" i="1"/>
  <c r="AU50" i="1"/>
  <c r="AX50" i="1"/>
  <c r="K180" i="1"/>
  <c r="K214" i="1" s="1"/>
  <c r="K213" i="1" s="1"/>
  <c r="M193" i="1"/>
  <c r="N241" i="1" s="1"/>
  <c r="AI50" i="1"/>
  <c r="V193" i="1"/>
  <c r="BG50" i="1"/>
  <c r="BG51" i="1" s="1"/>
  <c r="AR50" i="1"/>
  <c r="AR51" i="1" s="1"/>
  <c r="CX184" i="1"/>
  <c r="CX177" i="1"/>
  <c r="AD177" i="1" s="1"/>
  <c r="CX50" i="1"/>
  <c r="CX44" i="1" s="1"/>
  <c r="CX185" i="1"/>
  <c r="CX175" i="1"/>
  <c r="CX176" i="1"/>
  <c r="BD282" i="1"/>
  <c r="BS282" i="1"/>
  <c r="BK50" i="1"/>
  <c r="BJ226" i="1"/>
  <c r="BE34" i="1"/>
  <c r="BP282" i="1"/>
  <c r="BJ123" i="1"/>
  <c r="BJ124" i="1" s="1"/>
  <c r="BW50" i="1"/>
  <c r="AS282" i="1"/>
  <c r="M234" i="1"/>
  <c r="AN281" i="1"/>
  <c r="AQ281" i="1"/>
  <c r="AT123" i="1"/>
  <c r="AT124" i="1" s="1"/>
  <c r="AP123" i="1"/>
  <c r="AP124" i="1" s="1"/>
  <c r="BD123" i="1"/>
  <c r="BD124" i="1" s="1"/>
  <c r="BF123" i="1"/>
  <c r="BF124" i="1" s="1"/>
  <c r="BW123" i="1"/>
  <c r="BW124" i="1" s="1"/>
  <c r="BE50" i="1"/>
  <c r="BE51" i="1" s="1"/>
  <c r="AP282" i="1"/>
  <c r="BG33" i="1"/>
  <c r="BB281" i="1"/>
  <c r="BS281" i="1"/>
  <c r="AR34" i="1"/>
  <c r="BS123" i="1"/>
  <c r="BS124" i="1" s="1"/>
  <c r="BU282" i="1"/>
  <c r="BB123" i="1"/>
  <c r="BB124" i="1" s="1"/>
  <c r="BF282" i="1"/>
  <c r="AS226" i="1"/>
  <c r="AU282" i="1"/>
  <c r="AN57" i="1"/>
  <c r="BY33" i="1"/>
  <c r="BV33" i="1"/>
  <c r="BE282" i="1"/>
  <c r="BU281" i="1"/>
  <c r="BV123" i="1"/>
  <c r="BV124" i="1" s="1"/>
  <c r="AQ263" i="1"/>
  <c r="AO123" i="1"/>
  <c r="AO124" i="1" s="1"/>
  <c r="BA263" i="1"/>
  <c r="BX123" i="1"/>
  <c r="BX124" i="1" s="1"/>
  <c r="BT123" i="1"/>
  <c r="BT124" i="1" s="1"/>
  <c r="BQ263" i="1"/>
  <c r="M180" i="1"/>
  <c r="M214" i="1" s="1"/>
  <c r="M213" i="1" s="1"/>
  <c r="BP281" i="1"/>
  <c r="O234" i="1"/>
  <c r="AU34" i="1"/>
  <c r="BB282" i="1"/>
  <c r="S180" i="1"/>
  <c r="S214" i="1" s="1"/>
  <c r="S213" i="1" s="1"/>
  <c r="BS263" i="1"/>
  <c r="BY123" i="1"/>
  <c r="BY124" i="1" s="1"/>
  <c r="AQ123" i="1"/>
  <c r="AQ124" i="1" s="1"/>
  <c r="BE123" i="1"/>
  <c r="BE124" i="1" s="1"/>
  <c r="BK123" i="1"/>
  <c r="BK124" i="1" s="1"/>
  <c r="BW282" i="1"/>
  <c r="BA282" i="1"/>
  <c r="BK61" i="1"/>
  <c r="K234" i="1"/>
  <c r="V234" i="1"/>
  <c r="W234" i="1"/>
  <c r="AI212" i="1"/>
  <c r="AI211" i="1"/>
  <c r="E180" i="1"/>
  <c r="BV282" i="1"/>
  <c r="BH282" i="1"/>
  <c r="BQ226" i="1"/>
  <c r="BQ282" i="1"/>
  <c r="AN123" i="1"/>
  <c r="AN124" i="1" s="1"/>
  <c r="BH123" i="1"/>
  <c r="BH124" i="1" s="1"/>
  <c r="I180" i="1"/>
  <c r="I214" i="1" s="1"/>
  <c r="I213" i="1" s="1"/>
  <c r="BT226" i="1"/>
  <c r="AL276" i="1"/>
  <c r="BD281" i="1"/>
  <c r="BA281" i="1"/>
  <c r="AW226" i="1"/>
  <c r="BM235" i="1"/>
  <c r="BM233" i="1" s="1"/>
  <c r="BS226" i="1"/>
  <c r="BZ123" i="1"/>
  <c r="BZ124" i="1" s="1"/>
  <c r="BV263" i="1"/>
  <c r="AS123" i="1"/>
  <c r="AS124" i="1" s="1"/>
  <c r="BB263" i="1"/>
  <c r="BD263" i="1"/>
  <c r="BH263" i="1"/>
  <c r="BM123" i="1"/>
  <c r="BM124" i="1" s="1"/>
  <c r="BC50" i="1"/>
  <c r="AW129" i="1"/>
  <c r="AW127" i="1"/>
  <c r="AW128" i="1"/>
  <c r="AR282" i="1"/>
  <c r="N83" i="1"/>
  <c r="AI217" i="1"/>
  <c r="AI218" i="1" s="1"/>
  <c r="BJ38" i="1"/>
  <c r="BJ18" i="1" s="1"/>
  <c r="BJ19" i="1" s="1"/>
  <c r="BJ51" i="1"/>
  <c r="T234" i="1"/>
  <c r="AN282" i="1"/>
  <c r="BG123" i="1"/>
  <c r="BG124" i="1" s="1"/>
  <c r="U180" i="1"/>
  <c r="U214" i="1" s="1"/>
  <c r="AI263" i="1"/>
  <c r="AR281" i="1"/>
  <c r="BK34" i="1"/>
  <c r="BW281" i="1"/>
  <c r="BW263" i="1"/>
  <c r="AU123" i="1"/>
  <c r="AU124" i="1" s="1"/>
  <c r="BU123" i="1"/>
  <c r="BU124" i="1" s="1"/>
  <c r="AL123" i="1"/>
  <c r="AL124" i="1" s="1"/>
  <c r="BL123" i="1"/>
  <c r="BL124" i="1" s="1"/>
  <c r="AV123" i="1"/>
  <c r="AV124" i="1" s="1"/>
  <c r="BG282" i="1"/>
  <c r="BG226" i="1"/>
  <c r="AC102" i="1"/>
  <c r="CU102" i="1"/>
  <c r="AS257" i="1"/>
  <c r="AP33" i="1"/>
  <c r="AP51" i="1"/>
  <c r="AD220" i="1"/>
  <c r="BT51" i="1"/>
  <c r="P83" i="1"/>
  <c r="BX33" i="1"/>
  <c r="BE33" i="1"/>
  <c r="AT257" i="1"/>
  <c r="O83" i="1"/>
  <c r="AW33" i="1"/>
  <c r="AR257" i="1"/>
  <c r="BH257" i="1"/>
  <c r="BA33" i="1"/>
  <c r="BL33" i="1"/>
  <c r="BI34" i="1"/>
  <c r="AQ257" i="1"/>
  <c r="BA34" i="1"/>
  <c r="AT33" i="1"/>
  <c r="DA32" i="1"/>
  <c r="DA263" i="1"/>
  <c r="CX257" i="1"/>
  <c r="CU184" i="1"/>
  <c r="CU177" i="1"/>
  <c r="CU50" i="1"/>
  <c r="CU44" i="1" s="1"/>
  <c r="CU176" i="1"/>
  <c r="CU175" i="1"/>
  <c r="CU185" i="1"/>
  <c r="BR51" i="1"/>
  <c r="BI257" i="1"/>
  <c r="T83" i="1"/>
  <c r="BI33" i="1"/>
  <c r="BN51" i="1"/>
  <c r="CV34" i="1"/>
  <c r="CU34" i="1"/>
  <c r="BN33" i="1"/>
  <c r="BR33" i="1"/>
  <c r="AO33" i="1"/>
  <c r="AP34" i="1"/>
  <c r="AO34" i="1"/>
  <c r="BJ33" i="1"/>
  <c r="AS33" i="1"/>
  <c r="AT34" i="1"/>
  <c r="CZ32" i="1"/>
  <c r="BJ257" i="1"/>
  <c r="BH34" i="1"/>
  <c r="BG34" i="1"/>
  <c r="AO257" i="1"/>
  <c r="AP257" i="1"/>
  <c r="AN34" i="1"/>
  <c r="AN257" i="1"/>
  <c r="AN33" i="1"/>
  <c r="BI51" i="1"/>
  <c r="BJ34" i="1"/>
  <c r="AZ34" i="1"/>
  <c r="AD195" i="1"/>
  <c r="AE195" i="1"/>
  <c r="AD171" i="1"/>
  <c r="CR90" i="1"/>
  <c r="CR124" i="1" s="1"/>
  <c r="CR127" i="1" s="1"/>
  <c r="CS88" i="1"/>
  <c r="AC168" i="1"/>
  <c r="BV1" i="1"/>
  <c r="BW1" i="1" s="1"/>
  <c r="BX1" i="1" s="1"/>
  <c r="AM259" i="1"/>
  <c r="AM266" i="1"/>
  <c r="B264" i="1"/>
  <c r="B265" i="1" s="1"/>
  <c r="V241" i="1"/>
  <c r="BL264" i="1"/>
  <c r="BL265" i="1" s="1"/>
  <c r="G52" i="1"/>
  <c r="G142" i="1" s="1"/>
  <c r="O52" i="1"/>
  <c r="H52" i="1"/>
  <c r="H142" i="1" s="1"/>
  <c r="P52" i="1"/>
  <c r="I52" i="1"/>
  <c r="I142" i="1" s="1"/>
  <c r="Q52" i="1"/>
  <c r="J52" i="1"/>
  <c r="J142" i="1" s="1"/>
  <c r="R52" i="1"/>
  <c r="C52" i="1"/>
  <c r="K52" i="1"/>
  <c r="K142" i="1" s="1"/>
  <c r="S52" i="1"/>
  <c r="L52" i="1"/>
  <c r="L142" i="1" s="1"/>
  <c r="T52" i="1"/>
  <c r="E52" i="1"/>
  <c r="E142" i="1" s="1"/>
  <c r="M52" i="1"/>
  <c r="M142" i="1" s="1"/>
  <c r="U52" i="1"/>
  <c r="F52" i="1"/>
  <c r="F142" i="1" s="1"/>
  <c r="N52" i="1"/>
  <c r="AL62" i="3"/>
  <c r="Y50" i="3"/>
  <c r="AI90" i="3"/>
  <c r="AJ62" i="3"/>
  <c r="T75" i="3"/>
  <c r="AO99" i="1" l="1"/>
  <c r="AO98" i="1"/>
  <c r="AN196" i="1"/>
  <c r="AO196" i="1" s="1"/>
  <c r="AV192" i="1"/>
  <c r="AP183" i="1"/>
  <c r="AQ183" i="1" s="1"/>
  <c r="AT173" i="1"/>
  <c r="AU173" i="1" s="1"/>
  <c r="BH196" i="1"/>
  <c r="BI196" i="1" s="1"/>
  <c r="BC99" i="1"/>
  <c r="BD179" i="1"/>
  <c r="BE179" i="1" s="1"/>
  <c r="BF98" i="1"/>
  <c r="F159" i="1"/>
  <c r="F61" i="1" s="1"/>
  <c r="L188" i="1"/>
  <c r="D205" i="1"/>
  <c r="H159" i="1"/>
  <c r="H61" i="1" s="1"/>
  <c r="S90" i="1"/>
  <c r="S117" i="1" s="1"/>
  <c r="S119" i="1" s="1"/>
  <c r="L90" i="1"/>
  <c r="L137" i="1" s="1"/>
  <c r="U159" i="1"/>
  <c r="U61" i="1" s="1"/>
  <c r="L159" i="1"/>
  <c r="L61" i="1" s="1"/>
  <c r="I159" i="1"/>
  <c r="I61" i="1" s="1"/>
  <c r="J159" i="1"/>
  <c r="J61" i="1" s="1"/>
  <c r="BT193" i="1"/>
  <c r="BU241" i="1" s="1"/>
  <c r="BF150" i="1"/>
  <c r="BF117" i="1" s="1"/>
  <c r="BN234" i="1"/>
  <c r="BO171" i="1"/>
  <c r="BO234" i="1" s="1"/>
  <c r="AZ234" i="1"/>
  <c r="M159" i="1"/>
  <c r="BV165" i="1"/>
  <c r="S159" i="1"/>
  <c r="BB234" i="1"/>
  <c r="C90" i="1"/>
  <c r="C138" i="1" s="1"/>
  <c r="C205" i="1"/>
  <c r="E188" i="1"/>
  <c r="E217" i="1" s="1"/>
  <c r="E216" i="1" s="1"/>
  <c r="C165" i="1"/>
  <c r="C169" i="1" s="1"/>
  <c r="G159" i="1"/>
  <c r="H278" i="1" s="1"/>
  <c r="D193" i="1"/>
  <c r="E241" i="1" s="1"/>
  <c r="W159" i="1"/>
  <c r="W61" i="1" s="1"/>
  <c r="BG159" i="1"/>
  <c r="BV188" i="1"/>
  <c r="BV217" i="1" s="1"/>
  <c r="K159" i="1"/>
  <c r="E205" i="1"/>
  <c r="H90" i="1"/>
  <c r="L207" i="1"/>
  <c r="I90" i="1"/>
  <c r="I137" i="1" s="1"/>
  <c r="BJ197" i="1"/>
  <c r="BJ198" i="1" s="1"/>
  <c r="D90" i="1"/>
  <c r="D91" i="1" s="1"/>
  <c r="D94" i="1" s="1"/>
  <c r="D110" i="1" s="1"/>
  <c r="O205" i="1"/>
  <c r="I207" i="1"/>
  <c r="AV150" i="1"/>
  <c r="AV117" i="1" s="1"/>
  <c r="AV121" i="1" s="1"/>
  <c r="AW147" i="1"/>
  <c r="BG147" i="1"/>
  <c r="G188" i="1"/>
  <c r="G217" i="1" s="1"/>
  <c r="G216" i="1" s="1"/>
  <c r="BC171" i="1"/>
  <c r="BC234" i="1" s="1"/>
  <c r="F90" i="1"/>
  <c r="F137" i="1" s="1"/>
  <c r="AV193" i="1"/>
  <c r="AW241" i="1" s="1"/>
  <c r="T90" i="1"/>
  <c r="T137" i="1" s="1"/>
  <c r="O188" i="1"/>
  <c r="O217" i="1" s="1"/>
  <c r="O216" i="1" s="1"/>
  <c r="BN193" i="1"/>
  <c r="BO241" i="1" s="1"/>
  <c r="T188" i="1"/>
  <c r="T217" i="1" s="1"/>
  <c r="T216" i="1" s="1"/>
  <c r="C234" i="1"/>
  <c r="BV215" i="1"/>
  <c r="BW215" i="1" s="1"/>
  <c r="O90" i="1"/>
  <c r="O138" i="1" s="1"/>
  <c r="AP193" i="1"/>
  <c r="AQ241" i="1" s="1"/>
  <c r="AS234" i="1"/>
  <c r="BP150" i="1"/>
  <c r="BP117" i="1" s="1"/>
  <c r="BP119" i="1" s="1"/>
  <c r="AS159" i="1"/>
  <c r="BR234" i="1"/>
  <c r="AN159" i="1"/>
  <c r="AN165" i="1"/>
  <c r="AN169" i="1" s="1"/>
  <c r="AN235" i="1" s="1"/>
  <c r="S205" i="1"/>
  <c r="S207" i="1"/>
  <c r="G90" i="1"/>
  <c r="G138" i="1" s="1"/>
  <c r="C150" i="1"/>
  <c r="C207" i="1" s="1"/>
  <c r="AT165" i="1"/>
  <c r="AU57" i="1" s="1"/>
  <c r="R159" i="1"/>
  <c r="R61" i="1" s="1"/>
  <c r="E90" i="1"/>
  <c r="E137" i="1" s="1"/>
  <c r="K188" i="1"/>
  <c r="K217" i="1" s="1"/>
  <c r="K216" i="1" s="1"/>
  <c r="B165" i="1"/>
  <c r="B169" i="1" s="1"/>
  <c r="BB193" i="1"/>
  <c r="BC241" i="1" s="1"/>
  <c r="J90" i="1"/>
  <c r="J138" i="1" s="1"/>
  <c r="AO159" i="1"/>
  <c r="BF234" i="1"/>
  <c r="BF193" i="1"/>
  <c r="BG241" i="1" s="1"/>
  <c r="AN193" i="1"/>
  <c r="AO241" i="1" s="1"/>
  <c r="AR165" i="1"/>
  <c r="AS165" i="1" s="1"/>
  <c r="AS169" i="1" s="1"/>
  <c r="G207" i="1"/>
  <c r="BL197" i="1"/>
  <c r="BL198" i="1" s="1"/>
  <c r="R205" i="1"/>
  <c r="C159" i="1"/>
  <c r="B150" i="1"/>
  <c r="B207" i="1" s="1"/>
  <c r="M205" i="1"/>
  <c r="K90" i="1"/>
  <c r="K137" i="1" s="1"/>
  <c r="BR193" i="1"/>
  <c r="BS241" i="1" s="1"/>
  <c r="AR193" i="1"/>
  <c r="AS241" i="1" s="1"/>
  <c r="BP154" i="1"/>
  <c r="BQ154" i="1" s="1"/>
  <c r="BQ159" i="1" s="1"/>
  <c r="BE99" i="1"/>
  <c r="BR154" i="1"/>
  <c r="BS154" i="1" s="1"/>
  <c r="BS159" i="1" s="1"/>
  <c r="AT159" i="1"/>
  <c r="AO234" i="1"/>
  <c r="D165" i="1"/>
  <c r="D169" i="1" s="1"/>
  <c r="N188" i="1"/>
  <c r="Q205" i="1"/>
  <c r="AQ159" i="1"/>
  <c r="BH180" i="1"/>
  <c r="BH214" i="1" s="1"/>
  <c r="W205" i="1"/>
  <c r="V205" i="1"/>
  <c r="G205" i="1"/>
  <c r="BD165" i="1"/>
  <c r="BE165" i="1" s="1"/>
  <c r="BE169" i="1" s="1"/>
  <c r="AM73" i="1"/>
  <c r="AM77" i="1" s="1"/>
  <c r="R90" i="1"/>
  <c r="R137" i="1" s="1"/>
  <c r="F207" i="1"/>
  <c r="BP193" i="1"/>
  <c r="BQ241" i="1" s="1"/>
  <c r="BU234" i="1"/>
  <c r="S188" i="1"/>
  <c r="H205" i="1"/>
  <c r="H188" i="1"/>
  <c r="H217" i="1" s="1"/>
  <c r="H216" i="1" s="1"/>
  <c r="BD193" i="1"/>
  <c r="BE241" i="1" s="1"/>
  <c r="P90" i="1"/>
  <c r="P138" i="1" s="1"/>
  <c r="AZ188" i="1"/>
  <c r="AZ217" i="1" s="1"/>
  <c r="I188" i="1"/>
  <c r="I189" i="1" s="1"/>
  <c r="I197" i="1" s="1"/>
  <c r="I276" i="1" s="1"/>
  <c r="AX165" i="1"/>
  <c r="AY57" i="1" s="1"/>
  <c r="AR234" i="1"/>
  <c r="BE234" i="1"/>
  <c r="AN234" i="1"/>
  <c r="BT234" i="1"/>
  <c r="BA234" i="1"/>
  <c r="BF159" i="1"/>
  <c r="S57" i="1"/>
  <c r="M90" i="1"/>
  <c r="M117" i="1" s="1"/>
  <c r="M119" i="1" s="1"/>
  <c r="B193" i="1"/>
  <c r="C241" i="1" s="1"/>
  <c r="M207" i="1"/>
  <c r="W90" i="1"/>
  <c r="W91" i="1" s="1"/>
  <c r="N159" i="1"/>
  <c r="N61" i="1" s="1"/>
  <c r="BU159" i="1"/>
  <c r="BN165" i="1"/>
  <c r="BO165" i="1" s="1"/>
  <c r="BP57" i="1" s="1"/>
  <c r="N90" i="1"/>
  <c r="N138" i="1" s="1"/>
  <c r="BN180" i="1"/>
  <c r="BN214" i="1" s="1"/>
  <c r="V188" i="1"/>
  <c r="V217" i="1" s="1"/>
  <c r="V216" i="1" s="1"/>
  <c r="BC159" i="1"/>
  <c r="Q159" i="1"/>
  <c r="Q61" i="1" s="1"/>
  <c r="AX188" i="1"/>
  <c r="AX217" i="1" s="1"/>
  <c r="AX216" i="1" s="1"/>
  <c r="O159" i="1"/>
  <c r="O61" i="1" s="1"/>
  <c r="AX193" i="1"/>
  <c r="AY241" i="1" s="1"/>
  <c r="BD150" i="1"/>
  <c r="BD117" i="1" s="1"/>
  <c r="BD120" i="1" s="1"/>
  <c r="BH165" i="1"/>
  <c r="BH169" i="1" s="1"/>
  <c r="D150" i="1"/>
  <c r="D79" i="1" s="1"/>
  <c r="BT165" i="1"/>
  <c r="BU165" i="1" s="1"/>
  <c r="BO159" i="1"/>
  <c r="BH150" i="1"/>
  <c r="BH117" i="1" s="1"/>
  <c r="BH120" i="1" s="1"/>
  <c r="M188" i="1"/>
  <c r="M217" i="1" s="1"/>
  <c r="M216" i="1" s="1"/>
  <c r="B90" i="1"/>
  <c r="B138" i="1" s="1"/>
  <c r="J188" i="1"/>
  <c r="I205" i="1"/>
  <c r="BF180" i="1"/>
  <c r="BF214" i="1" s="1"/>
  <c r="BI234" i="1"/>
  <c r="BH212" i="1"/>
  <c r="BI212" i="1" s="1"/>
  <c r="BH234" i="1"/>
  <c r="AN150" i="1"/>
  <c r="AN117" i="1" s="1"/>
  <c r="AN121" i="1" s="1"/>
  <c r="Q90" i="1"/>
  <c r="Q137" i="1" s="1"/>
  <c r="F188" i="1"/>
  <c r="F217" i="1" s="1"/>
  <c r="F216" i="1" s="1"/>
  <c r="B188" i="1"/>
  <c r="B217" i="1" s="1"/>
  <c r="B216" i="1" s="1"/>
  <c r="V90" i="1"/>
  <c r="V117" i="1" s="1"/>
  <c r="U188" i="1"/>
  <c r="U217" i="1" s="1"/>
  <c r="U216" i="1" s="1"/>
  <c r="BP165" i="1"/>
  <c r="BP169" i="1" s="1"/>
  <c r="AY159" i="1"/>
  <c r="L205" i="1"/>
  <c r="AZ165" i="1"/>
  <c r="BA57" i="1" s="1"/>
  <c r="AW159" i="1"/>
  <c r="AP234" i="1"/>
  <c r="P205" i="1"/>
  <c r="U207" i="1"/>
  <c r="B159" i="1"/>
  <c r="P188" i="1"/>
  <c r="P217" i="1" s="1"/>
  <c r="P216" i="1" s="1"/>
  <c r="K207" i="1"/>
  <c r="E159" i="1"/>
  <c r="E61" i="1" s="1"/>
  <c r="F205" i="1"/>
  <c r="H207" i="1"/>
  <c r="BF165" i="1"/>
  <c r="BG165" i="1" s="1"/>
  <c r="BG169" i="1" s="1"/>
  <c r="T205" i="1"/>
  <c r="J205" i="1"/>
  <c r="C193" i="1"/>
  <c r="D241" i="1" s="1"/>
  <c r="AP165" i="1"/>
  <c r="AQ165" i="1" s="1"/>
  <c r="AR57" i="1" s="1"/>
  <c r="U90" i="1"/>
  <c r="N207" i="1"/>
  <c r="K205" i="1"/>
  <c r="BF211" i="1"/>
  <c r="BG211" i="1" s="1"/>
  <c r="U205" i="1"/>
  <c r="AT234" i="1"/>
  <c r="C180" i="1"/>
  <c r="C214" i="1" s="1"/>
  <c r="C213" i="1" s="1"/>
  <c r="S138" i="1"/>
  <c r="D180" i="1"/>
  <c r="D214" i="1" s="1"/>
  <c r="D213" i="1" s="1"/>
  <c r="D159" i="1"/>
  <c r="N205" i="1"/>
  <c r="G57" i="1"/>
  <c r="AZ193" i="1"/>
  <c r="BA241" i="1" s="1"/>
  <c r="AV188" i="1"/>
  <c r="AV217" i="1" s="1"/>
  <c r="BR150" i="1"/>
  <c r="BR117" i="1" s="1"/>
  <c r="BR121" i="1" s="1"/>
  <c r="BD188" i="1"/>
  <c r="BD217" i="1" s="1"/>
  <c r="BD216" i="1" s="1"/>
  <c r="BR165" i="1"/>
  <c r="BR169" i="1" s="1"/>
  <c r="AV234" i="1"/>
  <c r="BN159" i="1"/>
  <c r="BN238" i="1" s="1"/>
  <c r="AR188" i="1"/>
  <c r="AR217" i="1" s="1"/>
  <c r="AR216" i="1" s="1"/>
  <c r="AV165" i="1"/>
  <c r="AW57" i="1" s="1"/>
  <c r="BI159" i="1"/>
  <c r="BJ278" i="1" s="1"/>
  <c r="BA159" i="1"/>
  <c r="AX180" i="1"/>
  <c r="AX214" i="1" s="1"/>
  <c r="AN188" i="1"/>
  <c r="AN217" i="1" s="1"/>
  <c r="AN216" i="1" s="1"/>
  <c r="AZ215" i="1"/>
  <c r="BA215" i="1" s="1"/>
  <c r="CT230" i="1"/>
  <c r="BB159" i="1"/>
  <c r="BB180" i="1"/>
  <c r="BB214" i="1" s="1"/>
  <c r="BB213" i="1" s="1"/>
  <c r="BT159" i="1"/>
  <c r="BN212" i="1"/>
  <c r="BO212" i="1" s="1"/>
  <c r="AP159" i="1"/>
  <c r="BT150" i="1"/>
  <c r="BT117" i="1" s="1"/>
  <c r="BT120" i="1" s="1"/>
  <c r="BV180" i="1"/>
  <c r="BV214" i="1" s="1"/>
  <c r="BT180" i="1"/>
  <c r="BT214" i="1" s="1"/>
  <c r="BT213" i="1" s="1"/>
  <c r="AT180" i="1"/>
  <c r="AT214" i="1" s="1"/>
  <c r="AT213" i="1" s="1"/>
  <c r="BB150" i="1"/>
  <c r="BB117" i="1" s="1"/>
  <c r="BB119" i="1" s="1"/>
  <c r="E169" i="1"/>
  <c r="F235" i="1" s="1"/>
  <c r="F233" i="1" s="1"/>
  <c r="E57" i="1"/>
  <c r="AZ180" i="1"/>
  <c r="AZ214" i="1" s="1"/>
  <c r="AZ213" i="1" s="1"/>
  <c r="BW171" i="1"/>
  <c r="BX234" i="1" s="1"/>
  <c r="V159" i="1"/>
  <c r="V61" i="1" s="1"/>
  <c r="BD180" i="1"/>
  <c r="BD214" i="1" s="1"/>
  <c r="BD213" i="1" s="1"/>
  <c r="AX234" i="1"/>
  <c r="AP180" i="1"/>
  <c r="AP214" i="1" s="1"/>
  <c r="AP213" i="1" s="1"/>
  <c r="BT188" i="1"/>
  <c r="BT217" i="1" s="1"/>
  <c r="BT216" i="1" s="1"/>
  <c r="AP188" i="1"/>
  <c r="AP217" i="1" s="1"/>
  <c r="AT188" i="1"/>
  <c r="AT217" i="1" s="1"/>
  <c r="AT216" i="1" s="1"/>
  <c r="B180" i="1"/>
  <c r="B214" i="1" s="1"/>
  <c r="B213" i="1" s="1"/>
  <c r="BE154" i="1"/>
  <c r="BE159" i="1" s="1"/>
  <c r="BD159" i="1"/>
  <c r="AX159" i="1"/>
  <c r="R207" i="1"/>
  <c r="BB165" i="1"/>
  <c r="R277" i="1"/>
  <c r="BN150" i="1"/>
  <c r="BN117" i="1" s="1"/>
  <c r="BN121" i="1" s="1"/>
  <c r="BV159" i="1"/>
  <c r="AU159" i="1"/>
  <c r="C188" i="1"/>
  <c r="B205" i="1"/>
  <c r="BW159" i="1"/>
  <c r="BX238" i="1" s="1"/>
  <c r="BH188" i="1"/>
  <c r="BH217" i="1" s="1"/>
  <c r="BH216" i="1" s="1"/>
  <c r="AX212" i="1"/>
  <c r="AY212" i="1" s="1"/>
  <c r="AY234" i="1"/>
  <c r="BR180" i="1"/>
  <c r="BR214" i="1" s="1"/>
  <c r="AR159" i="1"/>
  <c r="AT150" i="1"/>
  <c r="AT117" i="1" s="1"/>
  <c r="AT120" i="1" s="1"/>
  <c r="BV150" i="1"/>
  <c r="BV117" i="1" s="1"/>
  <c r="BV121" i="1" s="1"/>
  <c r="AZ150" i="1"/>
  <c r="AZ117" i="1" s="1"/>
  <c r="AZ119" i="1" s="1"/>
  <c r="BP180" i="1"/>
  <c r="BP214" i="1" s="1"/>
  <c r="BB188" i="1"/>
  <c r="BB217" i="1" s="1"/>
  <c r="W57" i="1"/>
  <c r="BR188" i="1"/>
  <c r="BR217" i="1" s="1"/>
  <c r="BR216" i="1" s="1"/>
  <c r="AV180" i="1"/>
  <c r="AV214" i="1" s="1"/>
  <c r="AV213" i="1" s="1"/>
  <c r="BF188" i="1"/>
  <c r="BF217" i="1" s="1"/>
  <c r="D188" i="1"/>
  <c r="D217" i="1" s="1"/>
  <c r="D216" i="1" s="1"/>
  <c r="AP150" i="1"/>
  <c r="AP117" i="1" s="1"/>
  <c r="AP120" i="1" s="1"/>
  <c r="BV234" i="1"/>
  <c r="AR150" i="1"/>
  <c r="AR117" i="1" s="1"/>
  <c r="AR119" i="1" s="1"/>
  <c r="BP188" i="1"/>
  <c r="BP217" i="1" s="1"/>
  <c r="BP216" i="1" s="1"/>
  <c r="AR180" i="1"/>
  <c r="AR214" i="1" s="1"/>
  <c r="AR213" i="1" s="1"/>
  <c r="BH159" i="1"/>
  <c r="D234" i="1"/>
  <c r="AT193" i="1"/>
  <c r="AU241" i="1" s="1"/>
  <c r="BN188" i="1"/>
  <c r="BN217" i="1" s="1"/>
  <c r="BN216" i="1" s="1"/>
  <c r="AN180" i="1"/>
  <c r="AN214" i="1" s="1"/>
  <c r="AN213" i="1" s="1"/>
  <c r="AZ159" i="1"/>
  <c r="AX150" i="1"/>
  <c r="AX117" i="1" s="1"/>
  <c r="AX119" i="1" s="1"/>
  <c r="AV159" i="1"/>
  <c r="P277" i="1"/>
  <c r="CS230" i="1"/>
  <c r="S142" i="1"/>
  <c r="S23" i="1"/>
  <c r="N142" i="1"/>
  <c r="N23" i="1"/>
  <c r="AD33" i="1"/>
  <c r="AD16" i="1"/>
  <c r="O142" i="1"/>
  <c r="O23" i="1"/>
  <c r="U142" i="1"/>
  <c r="U23" i="1"/>
  <c r="R142" i="1"/>
  <c r="R23" i="1"/>
  <c r="P142" i="1"/>
  <c r="P23" i="1"/>
  <c r="Q142" i="1"/>
  <c r="Q23" i="1"/>
  <c r="T142" i="1"/>
  <c r="T23" i="1"/>
  <c r="T200" i="1"/>
  <c r="T139" i="1" s="1"/>
  <c r="BP128" i="1"/>
  <c r="AS17" i="1"/>
  <c r="W241" i="1"/>
  <c r="BI17" i="1"/>
  <c r="AD83" i="1"/>
  <c r="BR39" i="1"/>
  <c r="BR18" i="1"/>
  <c r="BR19" i="1" s="1"/>
  <c r="AP39" i="1"/>
  <c r="AP18" i="1"/>
  <c r="AP19" i="1" s="1"/>
  <c r="BG17" i="1"/>
  <c r="BM39" i="1"/>
  <c r="BM18" i="1"/>
  <c r="BM19" i="1" s="1"/>
  <c r="BF17" i="1"/>
  <c r="BJ17" i="1"/>
  <c r="AT39" i="1"/>
  <c r="AT18" i="1"/>
  <c r="AT19" i="1" s="1"/>
  <c r="BP40" i="1"/>
  <c r="BP18" i="1"/>
  <c r="BP19" i="1" s="1"/>
  <c r="AN17" i="1"/>
  <c r="BE39" i="1"/>
  <c r="BE18" i="1"/>
  <c r="BE19" i="1" s="1"/>
  <c r="BN17" i="1"/>
  <c r="BQ17" i="1"/>
  <c r="BB39" i="1"/>
  <c r="BB18" i="1"/>
  <c r="BB19" i="1" s="1"/>
  <c r="AZ17" i="1"/>
  <c r="AQ40" i="1"/>
  <c r="AQ18" i="1"/>
  <c r="AQ19" i="1" s="1"/>
  <c r="AR17" i="1"/>
  <c r="BA39" i="1"/>
  <c r="BA18" i="1"/>
  <c r="BA19" i="1" s="1"/>
  <c r="H160" i="1"/>
  <c r="AO17" i="1"/>
  <c r="AW17" i="1"/>
  <c r="BL40" i="1"/>
  <c r="BH18" i="1"/>
  <c r="BH19" i="1" s="1"/>
  <c r="BX40" i="1"/>
  <c r="BT18" i="1"/>
  <c r="BT19" i="1" s="1"/>
  <c r="AY17" i="1"/>
  <c r="BO39" i="1"/>
  <c r="BO18" i="1"/>
  <c r="BO19" i="1" s="1"/>
  <c r="BR127" i="1"/>
  <c r="F214" i="1"/>
  <c r="F213" i="1" s="1"/>
  <c r="U57" i="1"/>
  <c r="J57" i="1"/>
  <c r="T207" i="1"/>
  <c r="T160" i="1"/>
  <c r="O228" i="1"/>
  <c r="G277" i="1"/>
  <c r="L277" i="1"/>
  <c r="G228" i="1"/>
  <c r="I57" i="1"/>
  <c r="K228" i="1"/>
  <c r="P207" i="1"/>
  <c r="O214" i="1"/>
  <c r="O213" i="1" s="1"/>
  <c r="R57" i="1"/>
  <c r="S235" i="1"/>
  <c r="S233" i="1" s="1"/>
  <c r="T57" i="1"/>
  <c r="T235" i="1"/>
  <c r="T233" i="1" s="1"/>
  <c r="K57" i="1"/>
  <c r="K235" i="1"/>
  <c r="K233" i="1" s="1"/>
  <c r="Q57" i="1"/>
  <c r="P57" i="1"/>
  <c r="P235" i="1"/>
  <c r="P233" i="1" s="1"/>
  <c r="M57" i="1"/>
  <c r="F57" i="1"/>
  <c r="Q189" i="1"/>
  <c r="F160" i="1"/>
  <c r="O277" i="1"/>
  <c r="O207" i="1"/>
  <c r="U277" i="1"/>
  <c r="BP39" i="1"/>
  <c r="BO128" i="1"/>
  <c r="R229" i="1"/>
  <c r="P228" i="1"/>
  <c r="BT39" i="1"/>
  <c r="Q217" i="1"/>
  <c r="Q216" i="1" s="1"/>
  <c r="BT52" i="1"/>
  <c r="BT264" i="1" s="1"/>
  <c r="BT265" i="1" s="1"/>
  <c r="Q228" i="1"/>
  <c r="V207" i="1"/>
  <c r="P214" i="1"/>
  <c r="P213" i="1" s="1"/>
  <c r="V277" i="1"/>
  <c r="S277" i="1"/>
  <c r="T228" i="1"/>
  <c r="T214" i="1"/>
  <c r="T213" i="1" s="1"/>
  <c r="M277" i="1"/>
  <c r="K277" i="1"/>
  <c r="F200" i="1"/>
  <c r="F139" i="1" s="1"/>
  <c r="F277" i="1"/>
  <c r="BO127" i="1"/>
  <c r="AZ129" i="1"/>
  <c r="BC128" i="1"/>
  <c r="AZ127" i="1"/>
  <c r="BC129" i="1"/>
  <c r="BR128" i="1"/>
  <c r="BI41" i="1"/>
  <c r="BH39" i="1"/>
  <c r="BH41" i="1"/>
  <c r="BR34" i="1"/>
  <c r="BT33" i="1"/>
  <c r="BP52" i="1"/>
  <c r="BQ34" i="1"/>
  <c r="AY127" i="1"/>
  <c r="BP51" i="1"/>
  <c r="N228" i="1"/>
  <c r="AX257" i="1"/>
  <c r="AS51" i="1"/>
  <c r="BD38" i="1"/>
  <c r="BZ33" i="1"/>
  <c r="BV38" i="1"/>
  <c r="BF33" i="1"/>
  <c r="BG257" i="1"/>
  <c r="R83" i="1"/>
  <c r="BD33" i="1"/>
  <c r="AZ257" i="1"/>
  <c r="BA257" i="1"/>
  <c r="AY34" i="1"/>
  <c r="AX34" i="1"/>
  <c r="BB33" i="1"/>
  <c r="AX51" i="1"/>
  <c r="AX38" i="1"/>
  <c r="BQ129" i="1"/>
  <c r="AR127" i="1"/>
  <c r="BZ257" i="1"/>
  <c r="U228" i="1"/>
  <c r="R228" i="1"/>
  <c r="G235" i="1"/>
  <c r="G233" i="1" s="1"/>
  <c r="AP40" i="1"/>
  <c r="BP129" i="1"/>
  <c r="BC33" i="1"/>
  <c r="BB52" i="1"/>
  <c r="BQ257" i="1"/>
  <c r="BV51" i="1"/>
  <c r="AI216" i="1"/>
  <c r="BQ128" i="1"/>
  <c r="BM33" i="1"/>
  <c r="BV257" i="1"/>
  <c r="BM51" i="1"/>
  <c r="AO51" i="1"/>
  <c r="BN34" i="1"/>
  <c r="BL34" i="1"/>
  <c r="BK33" i="1"/>
  <c r="AR52" i="1"/>
  <c r="CW189" i="1"/>
  <c r="BT257" i="1"/>
  <c r="BS257" i="1"/>
  <c r="CW229" i="1"/>
  <c r="CO165" i="1"/>
  <c r="L228" i="1"/>
  <c r="BH52" i="1"/>
  <c r="CV189" i="1"/>
  <c r="BK38" i="1"/>
  <c r="AU51" i="1"/>
  <c r="BQ52" i="1"/>
  <c r="AY128" i="1"/>
  <c r="R189" i="1"/>
  <c r="AQ41" i="1"/>
  <c r="BV169" i="1"/>
  <c r="AX128" i="1"/>
  <c r="AR129" i="1"/>
  <c r="L189" i="1"/>
  <c r="P160" i="1"/>
  <c r="H228" i="1"/>
  <c r="S228" i="1"/>
  <c r="AQ52" i="1"/>
  <c r="BA40" i="1"/>
  <c r="O57" i="1"/>
  <c r="AX129" i="1"/>
  <c r="H277" i="1"/>
  <c r="G214" i="1"/>
  <c r="G213" i="1" s="1"/>
  <c r="AR39" i="1"/>
  <c r="BA52" i="1"/>
  <c r="Q277" i="1"/>
  <c r="AR41" i="1"/>
  <c r="I277" i="1"/>
  <c r="P200" i="1"/>
  <c r="P139" i="1" s="1"/>
  <c r="AD46" i="1"/>
  <c r="AD44" i="1"/>
  <c r="BN129" i="1"/>
  <c r="BH33" i="1"/>
  <c r="BI129" i="1"/>
  <c r="BU38" i="1"/>
  <c r="BO257" i="1"/>
  <c r="AI213" i="1"/>
  <c r="BW257" i="1"/>
  <c r="BV34" i="1"/>
  <c r="BU51" i="1"/>
  <c r="BU33" i="1"/>
  <c r="BQ41" i="1"/>
  <c r="BB257" i="1"/>
  <c r="AL257" i="1"/>
  <c r="BW34" i="1"/>
  <c r="AI51" i="1"/>
  <c r="BT34" i="1"/>
  <c r="BM257" i="1"/>
  <c r="BN257" i="1"/>
  <c r="AI38" i="1"/>
  <c r="BS38" i="1"/>
  <c r="BI128" i="1"/>
  <c r="BS51" i="1"/>
  <c r="BL257" i="1"/>
  <c r="BK257" i="1"/>
  <c r="BX257" i="1"/>
  <c r="BO52" i="1"/>
  <c r="BB41" i="1"/>
  <c r="AQ39" i="1"/>
  <c r="BP257" i="1"/>
  <c r="BQ33" i="1"/>
  <c r="AP52" i="1"/>
  <c r="AP23" i="1" s="1"/>
  <c r="AP24" i="1" s="1"/>
  <c r="BR257" i="1"/>
  <c r="BN128" i="1"/>
  <c r="BO33" i="1"/>
  <c r="U83" i="1"/>
  <c r="AM33" i="1"/>
  <c r="AJ34" i="1"/>
  <c r="CW228" i="1"/>
  <c r="CU180" i="1"/>
  <c r="BS234" i="1"/>
  <c r="BQ39" i="1"/>
  <c r="W83" i="1"/>
  <c r="AU257" i="1"/>
  <c r="BP33" i="1"/>
  <c r="BA127" i="1"/>
  <c r="AW234" i="1"/>
  <c r="AW39" i="1"/>
  <c r="BD51" i="1"/>
  <c r="M228" i="1"/>
  <c r="BU34" i="1"/>
  <c r="BU257" i="1"/>
  <c r="BP41" i="1"/>
  <c r="BT40" i="1"/>
  <c r="Q207" i="1"/>
  <c r="V83" i="1"/>
  <c r="BP34" i="1"/>
  <c r="BB34" i="1"/>
  <c r="BE52" i="1"/>
  <c r="CU188" i="1"/>
  <c r="CU229" i="1" s="1"/>
  <c r="CX180" i="1"/>
  <c r="CX228" i="1" s="1"/>
  <c r="AU234" i="1"/>
  <c r="BO51" i="1"/>
  <c r="CY123" i="1"/>
  <c r="DA123" i="1"/>
  <c r="CZ123" i="1"/>
  <c r="BX34" i="1"/>
  <c r="BW38" i="1"/>
  <c r="BW18" i="1" s="1"/>
  <c r="BW19" i="1" s="1"/>
  <c r="CA33" i="1"/>
  <c r="BR41" i="1"/>
  <c r="BW33" i="1"/>
  <c r="BY257" i="1"/>
  <c r="BW51" i="1"/>
  <c r="AQ234" i="1"/>
  <c r="BB51" i="1"/>
  <c r="BO34" i="1"/>
  <c r="BK51" i="1"/>
  <c r="BA129" i="1"/>
  <c r="AV38" i="1"/>
  <c r="AV33" i="1"/>
  <c r="AV34" i="1"/>
  <c r="BF128" i="1"/>
  <c r="BF127" i="1"/>
  <c r="BF129" i="1"/>
  <c r="F228" i="1"/>
  <c r="BC257" i="1"/>
  <c r="BF257" i="1"/>
  <c r="AV257" i="1"/>
  <c r="AV128" i="1"/>
  <c r="AV127" i="1"/>
  <c r="AV129" i="1"/>
  <c r="AV51" i="1"/>
  <c r="BM129" i="1"/>
  <c r="BM127" i="1"/>
  <c r="BM128" i="1"/>
  <c r="J207" i="1"/>
  <c r="BY127" i="1"/>
  <c r="BY128" i="1"/>
  <c r="BY129" i="1"/>
  <c r="AT127" i="1"/>
  <c r="AT128" i="1"/>
  <c r="AT129" i="1"/>
  <c r="BB127" i="1"/>
  <c r="BB128" i="1"/>
  <c r="BB129" i="1"/>
  <c r="E214" i="1"/>
  <c r="E213" i="1" s="1"/>
  <c r="BM52" i="1"/>
  <c r="BN41" i="1"/>
  <c r="Q83" i="1"/>
  <c r="AO127" i="1"/>
  <c r="AO128" i="1"/>
  <c r="AO129" i="1"/>
  <c r="BW129" i="1"/>
  <c r="BW127" i="1"/>
  <c r="BW128" i="1"/>
  <c r="BS33" i="1"/>
  <c r="E207" i="1"/>
  <c r="V228" i="1"/>
  <c r="I228" i="1"/>
  <c r="BE40" i="1"/>
  <c r="BL127" i="1"/>
  <c r="BL128" i="1"/>
  <c r="BL129" i="1"/>
  <c r="BG129" i="1"/>
  <c r="BG127" i="1"/>
  <c r="BG128" i="1"/>
  <c r="AS127" i="1"/>
  <c r="AS128" i="1"/>
  <c r="AS129" i="1"/>
  <c r="BH127" i="1"/>
  <c r="BH129" i="1"/>
  <c r="BH128" i="1"/>
  <c r="L57" i="1"/>
  <c r="AD184" i="1"/>
  <c r="CX188" i="1"/>
  <c r="AZ33" i="1"/>
  <c r="BV127" i="1"/>
  <c r="BV128" i="1"/>
  <c r="BV129" i="1"/>
  <c r="BD127" i="1"/>
  <c r="BD129" i="1"/>
  <c r="BD128" i="1"/>
  <c r="BJ128" i="1"/>
  <c r="BJ129" i="1"/>
  <c r="BJ127" i="1"/>
  <c r="J228" i="1"/>
  <c r="CY263" i="1"/>
  <c r="DB123" i="1"/>
  <c r="AL127" i="1"/>
  <c r="AL129" i="1"/>
  <c r="AL128" i="1"/>
  <c r="BJ52" i="1"/>
  <c r="BJ23" i="1" s="1"/>
  <c r="BJ24" i="1" s="1"/>
  <c r="BJ39" i="1"/>
  <c r="AN127" i="1"/>
  <c r="AN128" i="1"/>
  <c r="AN129" i="1"/>
  <c r="BK127" i="1"/>
  <c r="BK128" i="1"/>
  <c r="BK129" i="1"/>
  <c r="H57" i="1"/>
  <c r="BC38" i="1"/>
  <c r="BC34" i="1"/>
  <c r="V57" i="1"/>
  <c r="N277" i="1"/>
  <c r="BM41" i="1"/>
  <c r="BQ40" i="1"/>
  <c r="S83" i="1"/>
  <c r="AW34" i="1"/>
  <c r="BD257" i="1"/>
  <c r="BU129" i="1"/>
  <c r="BU127" i="1"/>
  <c r="BU128" i="1"/>
  <c r="BC51" i="1"/>
  <c r="BZ128" i="1"/>
  <c r="BZ127" i="1"/>
  <c r="BZ129" i="1"/>
  <c r="BE127" i="1"/>
  <c r="BE129" i="1"/>
  <c r="BE128" i="1"/>
  <c r="AU38" i="1"/>
  <c r="AU33" i="1"/>
  <c r="AY33" i="1"/>
  <c r="BD34" i="1"/>
  <c r="DB263" i="1"/>
  <c r="DB32" i="1"/>
  <c r="AT52" i="1"/>
  <c r="AT23" i="1" s="1"/>
  <c r="AT24" i="1" s="1"/>
  <c r="BE257" i="1"/>
  <c r="AY257" i="1"/>
  <c r="AT40" i="1"/>
  <c r="AW257" i="1"/>
  <c r="AU127" i="1"/>
  <c r="AU129" i="1"/>
  <c r="AU128" i="1"/>
  <c r="BG234" i="1"/>
  <c r="AQ127" i="1"/>
  <c r="AQ129" i="1"/>
  <c r="AQ128" i="1"/>
  <c r="BQ234" i="1"/>
  <c r="BT128" i="1"/>
  <c r="BT127" i="1"/>
  <c r="BT129" i="1"/>
  <c r="BX129" i="1"/>
  <c r="BX127" i="1"/>
  <c r="BX128" i="1"/>
  <c r="BS127" i="1"/>
  <c r="BS129" i="1"/>
  <c r="BS128" i="1"/>
  <c r="O235" i="1"/>
  <c r="O233" i="1" s="1"/>
  <c r="N57" i="1"/>
  <c r="AP127" i="1"/>
  <c r="AP128" i="1"/>
  <c r="AP129" i="1"/>
  <c r="BQ51" i="1"/>
  <c r="CV102" i="1"/>
  <c r="V84" i="1"/>
  <c r="BR52" i="1"/>
  <c r="AW40" i="1"/>
  <c r="AW52" i="1"/>
  <c r="AW23" i="1" s="1"/>
  <c r="AW24" i="1" s="1"/>
  <c r="DA34" i="1"/>
  <c r="T84" i="1"/>
  <c r="AS41" i="1"/>
  <c r="BA41" i="1"/>
  <c r="AZ52" i="1"/>
  <c r="AZ23" i="1" s="1"/>
  <c r="AZ24" i="1" s="1"/>
  <c r="AZ39" i="1"/>
  <c r="AE29" i="1"/>
  <c r="R84" i="1"/>
  <c r="DA184" i="1"/>
  <c r="DA177" i="1"/>
  <c r="DA50" i="1"/>
  <c r="DA44" i="1" s="1"/>
  <c r="DA175" i="1"/>
  <c r="DA185" i="1"/>
  <c r="DA176" i="1"/>
  <c r="BM40" i="1"/>
  <c r="CZ184" i="1"/>
  <c r="CZ177" i="1"/>
  <c r="CZ50" i="1"/>
  <c r="CZ44" i="1" s="1"/>
  <c r="CZ175" i="1"/>
  <c r="CZ185" i="1"/>
  <c r="CZ176" i="1"/>
  <c r="P84" i="1"/>
  <c r="BR40" i="1"/>
  <c r="BN39" i="1"/>
  <c r="BO41" i="1"/>
  <c r="BN40" i="1"/>
  <c r="BN52" i="1"/>
  <c r="BN23" i="1" s="1"/>
  <c r="BN24" i="1" s="1"/>
  <c r="U235" i="1"/>
  <c r="U233" i="1" s="1"/>
  <c r="BF40" i="1"/>
  <c r="BF41" i="1"/>
  <c r="BF52" i="1"/>
  <c r="BF23" i="1" s="1"/>
  <c r="BF24" i="1" s="1"/>
  <c r="BG41" i="1"/>
  <c r="BJ40" i="1"/>
  <c r="BF39" i="1"/>
  <c r="AS40" i="1"/>
  <c r="AO52" i="1"/>
  <c r="AO23" i="1" s="1"/>
  <c r="AO24" i="1" s="1"/>
  <c r="AO40" i="1"/>
  <c r="AO39" i="1"/>
  <c r="AP41" i="1"/>
  <c r="AY52" i="1"/>
  <c r="AY23" i="1" s="1"/>
  <c r="AY24" i="1" s="1"/>
  <c r="AY39" i="1"/>
  <c r="AZ41" i="1"/>
  <c r="AN40" i="1"/>
  <c r="AN41" i="1"/>
  <c r="AN39" i="1"/>
  <c r="O84" i="1"/>
  <c r="AO41" i="1"/>
  <c r="AN52" i="1"/>
  <c r="AN23" i="1" s="1"/>
  <c r="AN24" i="1" s="1"/>
  <c r="BG52" i="1"/>
  <c r="BG23" i="1" s="1"/>
  <c r="BG24" i="1" s="1"/>
  <c r="BG39" i="1"/>
  <c r="AR40" i="1"/>
  <c r="BI52" i="1"/>
  <c r="BI23" i="1" s="1"/>
  <c r="BI24" i="1" s="1"/>
  <c r="BI39" i="1"/>
  <c r="BJ41" i="1"/>
  <c r="BI40" i="1"/>
  <c r="AS39" i="1"/>
  <c r="AS52" i="1"/>
  <c r="AS23" i="1" s="1"/>
  <c r="AS24" i="1" s="1"/>
  <c r="AT41" i="1"/>
  <c r="CY32" i="1"/>
  <c r="J235" i="1"/>
  <c r="J233" i="1" s="1"/>
  <c r="AD234" i="1"/>
  <c r="AB173" i="1"/>
  <c r="AE168" i="1"/>
  <c r="AD168" i="1"/>
  <c r="CT88" i="1"/>
  <c r="CS90" i="1"/>
  <c r="CS124" i="1" s="1"/>
  <c r="CS127" i="1" s="1"/>
  <c r="C142" i="1"/>
  <c r="D279" i="1"/>
  <c r="D54" i="1"/>
  <c r="BY1" i="1"/>
  <c r="C54" i="1"/>
  <c r="C53" i="1"/>
  <c r="L53" i="1"/>
  <c r="L54" i="1"/>
  <c r="N54" i="1"/>
  <c r="N53" i="1"/>
  <c r="F54" i="1"/>
  <c r="F53" i="1"/>
  <c r="O54" i="1"/>
  <c r="O53" i="1"/>
  <c r="V54" i="1"/>
  <c r="U54" i="1"/>
  <c r="U58" i="1"/>
  <c r="U62" i="1" s="1"/>
  <c r="U53" i="1"/>
  <c r="G53" i="1"/>
  <c r="G54" i="1"/>
  <c r="S54" i="1"/>
  <c r="S53" i="1"/>
  <c r="M54" i="1"/>
  <c r="M53" i="1"/>
  <c r="R53" i="1"/>
  <c r="R54" i="1"/>
  <c r="J54" i="1"/>
  <c r="J53" i="1"/>
  <c r="I54" i="1"/>
  <c r="I53" i="1"/>
  <c r="P53" i="1"/>
  <c r="P54" i="1"/>
  <c r="H53" i="1"/>
  <c r="H54" i="1"/>
  <c r="K54" i="1"/>
  <c r="K53" i="1"/>
  <c r="E53" i="1"/>
  <c r="T53" i="1"/>
  <c r="T54" i="1"/>
  <c r="Q53" i="1"/>
  <c r="Q54" i="1"/>
  <c r="U213" i="1"/>
  <c r="R218" i="1"/>
  <c r="N213" i="1"/>
  <c r="T264" i="1"/>
  <c r="T265" i="1" s="1"/>
  <c r="Q264" i="1"/>
  <c r="Q265" i="1" s="1"/>
  <c r="K264" i="1"/>
  <c r="K265" i="1" s="1"/>
  <c r="O264" i="1"/>
  <c r="O265" i="1" s="1"/>
  <c r="U264" i="1"/>
  <c r="U265" i="1" s="1"/>
  <c r="L264" i="1"/>
  <c r="L265" i="1" s="1"/>
  <c r="C264" i="1"/>
  <c r="C265" i="1" s="1"/>
  <c r="I264" i="1"/>
  <c r="I265" i="1" s="1"/>
  <c r="G264" i="1"/>
  <c r="G265" i="1" s="1"/>
  <c r="R264" i="1"/>
  <c r="R265" i="1" s="1"/>
  <c r="P264" i="1"/>
  <c r="P265" i="1" s="1"/>
  <c r="F264" i="1"/>
  <c r="F265" i="1" s="1"/>
  <c r="M264" i="1"/>
  <c r="M265" i="1" s="1"/>
  <c r="N264" i="1"/>
  <c r="N265" i="1" s="1"/>
  <c r="E264" i="1"/>
  <c r="E265" i="1" s="1"/>
  <c r="S264" i="1"/>
  <c r="S265" i="1" s="1"/>
  <c r="J264" i="1"/>
  <c r="J265" i="1" s="1"/>
  <c r="H264" i="1"/>
  <c r="H265" i="1" s="1"/>
  <c r="C279" i="1"/>
  <c r="B58" i="1"/>
  <c r="L58" i="1"/>
  <c r="L279" i="1"/>
  <c r="Q58" i="1"/>
  <c r="Q279" i="1"/>
  <c r="T58" i="1"/>
  <c r="T279" i="1"/>
  <c r="N58" i="1"/>
  <c r="N279" i="1"/>
  <c r="S58" i="1"/>
  <c r="S279" i="1"/>
  <c r="F58" i="1"/>
  <c r="F279" i="1"/>
  <c r="K58" i="1"/>
  <c r="K279" i="1"/>
  <c r="H58" i="1"/>
  <c r="H279" i="1"/>
  <c r="I58" i="1"/>
  <c r="I279" i="1"/>
  <c r="P58" i="1"/>
  <c r="P279" i="1"/>
  <c r="U279" i="1"/>
  <c r="C58" i="1"/>
  <c r="O58" i="1"/>
  <c r="O279" i="1"/>
  <c r="R58" i="1"/>
  <c r="R279" i="1"/>
  <c r="V279" i="1"/>
  <c r="M58" i="1"/>
  <c r="M279" i="1"/>
  <c r="G58" i="1"/>
  <c r="G279" i="1"/>
  <c r="E58" i="1"/>
  <c r="J58" i="1"/>
  <c r="J279" i="1"/>
  <c r="BF160" i="1" l="1"/>
  <c r="D137" i="1"/>
  <c r="L217" i="1"/>
  <c r="L216" i="1" s="1"/>
  <c r="BP234" i="1"/>
  <c r="L138" i="1"/>
  <c r="BF120" i="1"/>
  <c r="BF119" i="1"/>
  <c r="BF121" i="1"/>
  <c r="T229" i="1"/>
  <c r="H200" i="1"/>
  <c r="H139" i="1" s="1"/>
  <c r="C137" i="1"/>
  <c r="S137" i="1"/>
  <c r="U238" i="1"/>
  <c r="L117" i="1"/>
  <c r="L119" i="1" s="1"/>
  <c r="M278" i="1"/>
  <c r="M280" i="1" s="1"/>
  <c r="O117" i="1"/>
  <c r="O120" i="1" s="1"/>
  <c r="U200" i="1"/>
  <c r="U139" i="1" s="1"/>
  <c r="E189" i="1"/>
  <c r="E197" i="1" s="1"/>
  <c r="L200" i="1"/>
  <c r="L139" i="1" s="1"/>
  <c r="L141" i="1" s="1"/>
  <c r="L144" i="1" s="1"/>
  <c r="I200" i="1"/>
  <c r="I139" i="1" s="1"/>
  <c r="G160" i="1"/>
  <c r="G80" i="1" s="1"/>
  <c r="M238" i="1"/>
  <c r="U278" i="1"/>
  <c r="U280" i="1" s="1"/>
  <c r="I278" i="1"/>
  <c r="I280" i="1" s="1"/>
  <c r="I160" i="1"/>
  <c r="I198" i="1" s="1"/>
  <c r="J278" i="1"/>
  <c r="J280" i="1" s="1"/>
  <c r="U160" i="1"/>
  <c r="J238" i="1"/>
  <c r="J160" i="1"/>
  <c r="J80" i="1" s="1"/>
  <c r="J200" i="1"/>
  <c r="J139" i="1" s="1"/>
  <c r="J141" i="1" s="1"/>
  <c r="J144" i="1" s="1"/>
  <c r="L160" i="1"/>
  <c r="L80" i="1" s="1"/>
  <c r="I238" i="1"/>
  <c r="M61" i="1"/>
  <c r="M160" i="1"/>
  <c r="M200" i="1"/>
  <c r="M139" i="1" s="1"/>
  <c r="BW165" i="1"/>
  <c r="BW57" i="1"/>
  <c r="S61" i="1"/>
  <c r="T278" i="1"/>
  <c r="T280" i="1" s="1"/>
  <c r="S160" i="1"/>
  <c r="S80" i="1" s="1"/>
  <c r="S200" i="1"/>
  <c r="S139" i="1" s="1"/>
  <c r="T238" i="1"/>
  <c r="G61" i="1"/>
  <c r="G200" i="1"/>
  <c r="G139" i="1" s="1"/>
  <c r="G141" i="1" s="1"/>
  <c r="G144" i="1" s="1"/>
  <c r="G238" i="1"/>
  <c r="G278" i="1"/>
  <c r="G280" i="1" s="1"/>
  <c r="H238" i="1"/>
  <c r="X278" i="1"/>
  <c r="X280" i="1" s="1"/>
  <c r="X238" i="1"/>
  <c r="K61" i="1"/>
  <c r="K238" i="1"/>
  <c r="K278" i="1"/>
  <c r="K280" i="1" s="1"/>
  <c r="K160" i="1"/>
  <c r="K80" i="1" s="1"/>
  <c r="H138" i="1"/>
  <c r="H141" i="1" s="1"/>
  <c r="H144" i="1" s="1"/>
  <c r="H117" i="1"/>
  <c r="H121" i="1" s="1"/>
  <c r="I117" i="1"/>
  <c r="I121" i="1" s="1"/>
  <c r="I138" i="1"/>
  <c r="U137" i="1"/>
  <c r="U140" i="1" s="1"/>
  <c r="U143" i="1" s="1"/>
  <c r="U117" i="1"/>
  <c r="U120" i="1" s="1"/>
  <c r="L238" i="1"/>
  <c r="K200" i="1"/>
  <c r="K139" i="1" s="1"/>
  <c r="L278" i="1"/>
  <c r="L280" i="1" s="1"/>
  <c r="K189" i="1"/>
  <c r="K197" i="1" s="1"/>
  <c r="BH278" i="1"/>
  <c r="BV218" i="1"/>
  <c r="H218" i="1"/>
  <c r="H137" i="1"/>
  <c r="K218" i="1"/>
  <c r="BD234" i="1"/>
  <c r="D112" i="1"/>
  <c r="K229" i="1"/>
  <c r="K230" i="1" s="1"/>
  <c r="W278" i="1"/>
  <c r="BN278" i="1"/>
  <c r="F138" i="1"/>
  <c r="F141" i="1" s="1"/>
  <c r="F144" i="1" s="1"/>
  <c r="D111" i="1"/>
  <c r="AT57" i="1"/>
  <c r="BU57" i="1"/>
  <c r="B200" i="1"/>
  <c r="B139" i="1" s="1"/>
  <c r="B141" i="1" s="1"/>
  <c r="B144" i="1" s="1"/>
  <c r="T138" i="1"/>
  <c r="T141" i="1" s="1"/>
  <c r="T144" i="1" s="1"/>
  <c r="BT278" i="1"/>
  <c r="BH213" i="1"/>
  <c r="AV119" i="1"/>
  <c r="Q238" i="1"/>
  <c r="T189" i="1"/>
  <c r="T197" i="1" s="1"/>
  <c r="T198" i="1" s="1"/>
  <c r="P117" i="1"/>
  <c r="P119" i="1" s="1"/>
  <c r="BG238" i="1"/>
  <c r="I217" i="1"/>
  <c r="I216" i="1" s="1"/>
  <c r="G189" i="1"/>
  <c r="G197" i="1" s="1"/>
  <c r="G276" i="1" s="1"/>
  <c r="AT238" i="1"/>
  <c r="N160" i="1"/>
  <c r="N80" i="1" s="1"/>
  <c r="AV160" i="1"/>
  <c r="D93" i="1"/>
  <c r="D138" i="1"/>
  <c r="AV120" i="1"/>
  <c r="V200" i="1"/>
  <c r="V139" i="1" s="1"/>
  <c r="P137" i="1"/>
  <c r="P140" i="1" s="1"/>
  <c r="P143" i="1" s="1"/>
  <c r="AX218" i="1"/>
  <c r="BC238" i="1"/>
  <c r="C235" i="1"/>
  <c r="C233" i="1" s="1"/>
  <c r="BF278" i="1"/>
  <c r="E235" i="1"/>
  <c r="E233" i="1" s="1"/>
  <c r="AR169" i="1"/>
  <c r="AS235" i="1" s="1"/>
  <c r="AS233" i="1" s="1"/>
  <c r="AQ57" i="1"/>
  <c r="BB200" i="1"/>
  <c r="BB139" i="1" s="1"/>
  <c r="BB141" i="1" s="1"/>
  <c r="BF200" i="1"/>
  <c r="BF139" i="1" s="1"/>
  <c r="BF141" i="1" s="1"/>
  <c r="BH121" i="1"/>
  <c r="BA165" i="1"/>
  <c r="BB57" i="1" s="1"/>
  <c r="BO57" i="1"/>
  <c r="AW165" i="1"/>
  <c r="AW169" i="1" s="1"/>
  <c r="AZ216" i="1"/>
  <c r="AO278" i="1"/>
  <c r="BI57" i="1"/>
  <c r="O189" i="1"/>
  <c r="O197" i="1" s="1"/>
  <c r="O276" i="1" s="1"/>
  <c r="G117" i="1"/>
  <c r="G121" i="1" s="1"/>
  <c r="BP121" i="1"/>
  <c r="O160" i="1"/>
  <c r="O80" i="1" s="1"/>
  <c r="BP120" i="1"/>
  <c r="N278" i="1"/>
  <c r="N280" i="1" s="1"/>
  <c r="J117" i="1"/>
  <c r="J120" i="1" s="1"/>
  <c r="J137" i="1"/>
  <c r="BF218" i="1"/>
  <c r="V91" i="1"/>
  <c r="V94" i="1" s="1"/>
  <c r="U114" i="1" s="1"/>
  <c r="BG57" i="1"/>
  <c r="O229" i="1"/>
  <c r="O230" i="1" s="1"/>
  <c r="BQ57" i="1"/>
  <c r="Q160" i="1"/>
  <c r="Q80" i="1" s="1"/>
  <c r="AO165" i="1"/>
  <c r="AP57" i="1" s="1"/>
  <c r="V138" i="1"/>
  <c r="D228" i="1"/>
  <c r="BI238" i="1"/>
  <c r="AO238" i="1"/>
  <c r="BV216" i="1"/>
  <c r="T117" i="1"/>
  <c r="T121" i="1" s="1"/>
  <c r="BX278" i="1"/>
  <c r="W238" i="1"/>
  <c r="U138" i="1"/>
  <c r="F189" i="1"/>
  <c r="F197" i="1" s="1"/>
  <c r="F198" i="1" s="1"/>
  <c r="BH200" i="1"/>
  <c r="BH139" i="1" s="1"/>
  <c r="BH140" i="1" s="1"/>
  <c r="AZ238" i="1"/>
  <c r="G137" i="1"/>
  <c r="BN200" i="1"/>
  <c r="BN139" i="1" s="1"/>
  <c r="BN140" i="1" s="1"/>
  <c r="BT169" i="1"/>
  <c r="N238" i="1"/>
  <c r="BU278" i="1"/>
  <c r="V137" i="1"/>
  <c r="BB121" i="1"/>
  <c r="Q200" i="1"/>
  <c r="Q139" i="1" s="1"/>
  <c r="Q140" i="1" s="1"/>
  <c r="Q143" i="1" s="1"/>
  <c r="N200" i="1"/>
  <c r="N139" i="1" s="1"/>
  <c r="N141" i="1" s="1"/>
  <c r="N144" i="1" s="1"/>
  <c r="O137" i="1"/>
  <c r="BH238" i="1"/>
  <c r="F117" i="1"/>
  <c r="F121" i="1" s="1"/>
  <c r="AP200" i="1"/>
  <c r="AQ61" i="1" s="1"/>
  <c r="C278" i="1"/>
  <c r="C280" i="1" s="1"/>
  <c r="D278" i="1"/>
  <c r="D280" i="1" s="1"/>
  <c r="AT278" i="1"/>
  <c r="U218" i="1"/>
  <c r="U229" i="1"/>
  <c r="U230" i="1" s="1"/>
  <c r="R117" i="1"/>
  <c r="R119" i="1" s="1"/>
  <c r="C238" i="1"/>
  <c r="N189" i="1"/>
  <c r="N197" i="1" s="1"/>
  <c r="W137" i="1"/>
  <c r="AT169" i="1"/>
  <c r="AT235" i="1" s="1"/>
  <c r="AT233" i="1" s="1"/>
  <c r="AT200" i="1"/>
  <c r="AT139" i="1" s="1"/>
  <c r="AT141" i="1" s="1"/>
  <c r="B160" i="1"/>
  <c r="B80" i="1" s="1"/>
  <c r="W138" i="1"/>
  <c r="P278" i="1"/>
  <c r="P280" i="1" s="1"/>
  <c r="AU165" i="1"/>
  <c r="AU169" i="1" s="1"/>
  <c r="V189" i="1"/>
  <c r="V197" i="1" s="1"/>
  <c r="C160" i="1"/>
  <c r="C80" i="1" s="1"/>
  <c r="BN160" i="1"/>
  <c r="BN120" i="1"/>
  <c r="AN200" i="1"/>
  <c r="AO61" i="1" s="1"/>
  <c r="K117" i="1"/>
  <c r="K120" i="1" s="1"/>
  <c r="B137" i="1"/>
  <c r="BH189" i="1"/>
  <c r="BH197" i="1" s="1"/>
  <c r="M138" i="1"/>
  <c r="M141" i="1" s="1"/>
  <c r="M144" i="1" s="1"/>
  <c r="K138" i="1"/>
  <c r="AN278" i="1"/>
  <c r="BN119" i="1"/>
  <c r="BH119" i="1"/>
  <c r="Q229" i="1"/>
  <c r="Q230" i="1" s="1"/>
  <c r="BD119" i="1"/>
  <c r="R200" i="1"/>
  <c r="R139" i="1" s="1"/>
  <c r="R140" i="1" s="1"/>
  <c r="R143" i="1" s="1"/>
  <c r="AN160" i="1"/>
  <c r="V278" i="1"/>
  <c r="V280" i="1" s="1"/>
  <c r="E117" i="1"/>
  <c r="E119" i="1" s="1"/>
  <c r="BR120" i="1"/>
  <c r="AO57" i="1"/>
  <c r="AS57" i="1"/>
  <c r="V160" i="1"/>
  <c r="V80" i="1" s="1"/>
  <c r="R160" i="1"/>
  <c r="R80" i="1" s="1"/>
  <c r="L229" i="1"/>
  <c r="L230" i="1" s="1"/>
  <c r="N137" i="1"/>
  <c r="BR218" i="1"/>
  <c r="BO169" i="1"/>
  <c r="BP235" i="1" s="1"/>
  <c r="BP233" i="1" s="1"/>
  <c r="AY238" i="1"/>
  <c r="AN238" i="1"/>
  <c r="AR218" i="1"/>
  <c r="AX169" i="1"/>
  <c r="V238" i="1"/>
  <c r="BR119" i="1"/>
  <c r="R278" i="1"/>
  <c r="R280" i="1" s="1"/>
  <c r="O278" i="1"/>
  <c r="O280" i="1" s="1"/>
  <c r="O238" i="1"/>
  <c r="N217" i="1"/>
  <c r="N216" i="1" s="1"/>
  <c r="BG278" i="1"/>
  <c r="F278" i="1"/>
  <c r="F280" i="1" s="1"/>
  <c r="BN169" i="1"/>
  <c r="BN235" i="1" s="1"/>
  <c r="BN233" i="1" s="1"/>
  <c r="BQ165" i="1"/>
  <c r="BQ169" i="1" s="1"/>
  <c r="BQ235" i="1" s="1"/>
  <c r="BQ233" i="1" s="1"/>
  <c r="D200" i="1"/>
  <c r="D139" i="1" s="1"/>
  <c r="BB218" i="1"/>
  <c r="C189" i="1"/>
  <c r="C197" i="1" s="1"/>
  <c r="C276" i="1" s="1"/>
  <c r="AN233" i="1"/>
  <c r="BD121" i="1"/>
  <c r="E138" i="1"/>
  <c r="P189" i="1"/>
  <c r="P197" i="1" s="1"/>
  <c r="P276" i="1" s="1"/>
  <c r="AU238" i="1"/>
  <c r="R238" i="1"/>
  <c r="S238" i="1"/>
  <c r="AY165" i="1"/>
  <c r="AY169" i="1" s="1"/>
  <c r="N117" i="1"/>
  <c r="N121" i="1" s="1"/>
  <c r="AR189" i="1"/>
  <c r="S278" i="1"/>
  <c r="S280" i="1" s="1"/>
  <c r="S229" i="1"/>
  <c r="S230" i="1" s="1"/>
  <c r="P238" i="1"/>
  <c r="AV278" i="1"/>
  <c r="BV238" i="1"/>
  <c r="BW234" i="1"/>
  <c r="AW278" i="1"/>
  <c r="AX278" i="1"/>
  <c r="V218" i="1"/>
  <c r="BS57" i="1"/>
  <c r="F229" i="1"/>
  <c r="F230" i="1" s="1"/>
  <c r="BD218" i="1"/>
  <c r="P141" i="1"/>
  <c r="P144" i="1" s="1"/>
  <c r="BB216" i="1"/>
  <c r="M137" i="1"/>
  <c r="AY278" i="1"/>
  <c r="Q117" i="1"/>
  <c r="Q120" i="1" s="1"/>
  <c r="AZ169" i="1"/>
  <c r="BD238" i="1"/>
  <c r="M218" i="1"/>
  <c r="U189" i="1"/>
  <c r="U197" i="1" s="1"/>
  <c r="U276" i="1" s="1"/>
  <c r="BW278" i="1"/>
  <c r="BH160" i="1"/>
  <c r="BH218" i="1"/>
  <c r="BT200" i="1"/>
  <c r="BT139" i="1" s="1"/>
  <c r="BT141" i="1" s="1"/>
  <c r="BI278" i="1"/>
  <c r="M189" i="1"/>
  <c r="M197" i="1" s="1"/>
  <c r="M276" i="1" s="1"/>
  <c r="Q278" i="1"/>
  <c r="Q280" i="1" s="1"/>
  <c r="V229" i="1"/>
  <c r="V230" i="1" s="1"/>
  <c r="AW238" i="1"/>
  <c r="E200" i="1"/>
  <c r="E139" i="1" s="1"/>
  <c r="E140" i="1" s="1"/>
  <c r="E143" i="1" s="1"/>
  <c r="C277" i="1"/>
  <c r="AN120" i="1"/>
  <c r="R138" i="1"/>
  <c r="J189" i="1"/>
  <c r="J197" i="1" s="1"/>
  <c r="J276" i="1" s="1"/>
  <c r="BE57" i="1"/>
  <c r="BF57" i="1"/>
  <c r="BR159" i="1"/>
  <c r="BR160" i="1" s="1"/>
  <c r="BC278" i="1"/>
  <c r="AV218" i="1"/>
  <c r="H229" i="1"/>
  <c r="H230" i="1" s="1"/>
  <c r="AM149" i="1"/>
  <c r="AM150" i="1" s="1"/>
  <c r="AM160" i="1" s="1"/>
  <c r="AM80" i="1" s="1"/>
  <c r="J217" i="1"/>
  <c r="J216" i="1" s="1"/>
  <c r="D235" i="1"/>
  <c r="D233" i="1" s="1"/>
  <c r="D239" i="1"/>
  <c r="I229" i="1"/>
  <c r="I230" i="1" s="1"/>
  <c r="J229" i="1"/>
  <c r="J230" i="1" s="1"/>
  <c r="T140" i="1"/>
  <c r="T143" i="1" s="1"/>
  <c r="E160" i="1"/>
  <c r="BT238" i="1"/>
  <c r="D277" i="1"/>
  <c r="H189" i="1"/>
  <c r="H197" i="1" s="1"/>
  <c r="D160" i="1"/>
  <c r="D80" i="1" s="1"/>
  <c r="C200" i="1"/>
  <c r="C139" i="1" s="1"/>
  <c r="AX200" i="1"/>
  <c r="AX139" i="1" s="1"/>
  <c r="AX140" i="1" s="1"/>
  <c r="AM225" i="1"/>
  <c r="AM227" i="1" s="1"/>
  <c r="BB189" i="1"/>
  <c r="AP169" i="1"/>
  <c r="S217" i="1"/>
  <c r="S216" i="1" s="1"/>
  <c r="S189" i="1"/>
  <c r="S197" i="1" s="1"/>
  <c r="AQ169" i="1"/>
  <c r="D238" i="1"/>
  <c r="BT160" i="1"/>
  <c r="P229" i="1"/>
  <c r="P230" i="1" s="1"/>
  <c r="N229" i="1"/>
  <c r="N230" i="1" s="1"/>
  <c r="M229" i="1"/>
  <c r="M230" i="1" s="1"/>
  <c r="B277" i="1"/>
  <c r="E228" i="1"/>
  <c r="BD169" i="1"/>
  <c r="BE235" i="1" s="1"/>
  <c r="BE233" i="1" s="1"/>
  <c r="O200" i="1"/>
  <c r="O139" i="1" s="1"/>
  <c r="O141" i="1" s="1"/>
  <c r="O144" i="1" s="1"/>
  <c r="BP159" i="1"/>
  <c r="BP200" i="1" s="1"/>
  <c r="BP139" i="1" s="1"/>
  <c r="BP141" i="1" s="1"/>
  <c r="F218" i="1"/>
  <c r="AM91" i="1"/>
  <c r="AM94" i="1" s="1"/>
  <c r="AX238" i="1"/>
  <c r="D207" i="1"/>
  <c r="BI165" i="1"/>
  <c r="BJ57" i="1" s="1"/>
  <c r="BS165" i="1"/>
  <c r="BT57" i="1" s="1"/>
  <c r="F238" i="1"/>
  <c r="E238" i="1"/>
  <c r="G229" i="1"/>
  <c r="G230" i="1" s="1"/>
  <c r="Q138" i="1"/>
  <c r="BB160" i="1"/>
  <c r="AN119" i="1"/>
  <c r="AV216" i="1"/>
  <c r="D189" i="1"/>
  <c r="D197" i="1" s="1"/>
  <c r="D276" i="1" s="1"/>
  <c r="F140" i="1"/>
  <c r="F143" i="1" s="1"/>
  <c r="AP218" i="1"/>
  <c r="AV169" i="1"/>
  <c r="BA238" i="1"/>
  <c r="C228" i="1"/>
  <c r="AZ160" i="1"/>
  <c r="AZ200" i="1"/>
  <c r="BA61" i="1" s="1"/>
  <c r="AR160" i="1"/>
  <c r="BF213" i="1"/>
  <c r="BF169" i="1"/>
  <c r="BF235" i="1" s="1"/>
  <c r="BF233" i="1" s="1"/>
  <c r="B218" i="1"/>
  <c r="BH57" i="1"/>
  <c r="AP278" i="1"/>
  <c r="BT218" i="1"/>
  <c r="AR121" i="1"/>
  <c r="AV189" i="1"/>
  <c r="BF189" i="1"/>
  <c r="BE238" i="1"/>
  <c r="AN189" i="1"/>
  <c r="AN197" i="1" s="1"/>
  <c r="AT160" i="1"/>
  <c r="BV120" i="1"/>
  <c r="BW238" i="1"/>
  <c r="AX213" i="1"/>
  <c r="D229" i="1"/>
  <c r="BV119" i="1"/>
  <c r="BA278" i="1"/>
  <c r="BV213" i="1"/>
  <c r="BV160" i="1"/>
  <c r="AX189" i="1"/>
  <c r="AS278" i="1"/>
  <c r="BV200" i="1"/>
  <c r="BW61" i="1" s="1"/>
  <c r="AQ278" i="1"/>
  <c r="BR213" i="1"/>
  <c r="BN213" i="1"/>
  <c r="AV200" i="1"/>
  <c r="AV139" i="1" s="1"/>
  <c r="AV140" i="1" s="1"/>
  <c r="BU238" i="1"/>
  <c r="BB278" i="1"/>
  <c r="BV278" i="1"/>
  <c r="AP160" i="1"/>
  <c r="BN218" i="1"/>
  <c r="AP238" i="1"/>
  <c r="BB238" i="1"/>
  <c r="BJ238" i="1"/>
  <c r="BO238" i="1"/>
  <c r="C229" i="1"/>
  <c r="BB120" i="1"/>
  <c r="BV189" i="1"/>
  <c r="BV197" i="1" s="1"/>
  <c r="BO278" i="1"/>
  <c r="AN218" i="1"/>
  <c r="BT121" i="1"/>
  <c r="AU278" i="1"/>
  <c r="AQ238" i="1"/>
  <c r="AR200" i="1"/>
  <c r="AS61" i="1" s="1"/>
  <c r="BP218" i="1"/>
  <c r="BD189" i="1"/>
  <c r="BT119" i="1"/>
  <c r="AX160" i="1"/>
  <c r="BD160" i="1"/>
  <c r="BD200" i="1"/>
  <c r="BD139" i="1" s="1"/>
  <c r="BD141" i="1" s="1"/>
  <c r="AR120" i="1"/>
  <c r="AT189" i="1"/>
  <c r="BD278" i="1"/>
  <c r="AP189" i="1"/>
  <c r="E229" i="1"/>
  <c r="BF216" i="1"/>
  <c r="AZ218" i="1"/>
  <c r="BE278" i="1"/>
  <c r="AZ278" i="1"/>
  <c r="BP213" i="1"/>
  <c r="AT218" i="1"/>
  <c r="AX121" i="1"/>
  <c r="AX120" i="1"/>
  <c r="BR189" i="1"/>
  <c r="BR197" i="1" s="1"/>
  <c r="AS238" i="1"/>
  <c r="AR238" i="1"/>
  <c r="B189" i="1"/>
  <c r="B197" i="1" s="1"/>
  <c r="AR278" i="1"/>
  <c r="AP216" i="1"/>
  <c r="AZ121" i="1"/>
  <c r="BN189" i="1"/>
  <c r="AP121" i="1"/>
  <c r="AZ120" i="1"/>
  <c r="AT121" i="1"/>
  <c r="BF238" i="1"/>
  <c r="BC165" i="1"/>
  <c r="BB169" i="1"/>
  <c r="BC57" i="1"/>
  <c r="D218" i="1"/>
  <c r="AV238" i="1"/>
  <c r="AP119" i="1"/>
  <c r="AT119" i="1"/>
  <c r="BP189" i="1"/>
  <c r="BP197" i="1" s="1"/>
  <c r="BT189" i="1"/>
  <c r="C217" i="1"/>
  <c r="C216" i="1" s="1"/>
  <c r="AZ189" i="1"/>
  <c r="T80" i="1"/>
  <c r="H280" i="1"/>
  <c r="M120" i="1"/>
  <c r="M121" i="1"/>
  <c r="P24" i="1"/>
  <c r="P22" i="1"/>
  <c r="AD21" i="1"/>
  <c r="R24" i="1"/>
  <c r="R22" i="1"/>
  <c r="N24" i="1"/>
  <c r="N22" i="1"/>
  <c r="T24" i="1"/>
  <c r="T22" i="1"/>
  <c r="U24" i="1"/>
  <c r="U22" i="1"/>
  <c r="S24" i="1"/>
  <c r="S22" i="1"/>
  <c r="Q24" i="1"/>
  <c r="Q22" i="1"/>
  <c r="O24" i="1"/>
  <c r="O22" i="1"/>
  <c r="BF22" i="1"/>
  <c r="BR58" i="1"/>
  <c r="BR62" i="1" s="1"/>
  <c r="BR65" i="1" s="1"/>
  <c r="BR73" i="1" s="1"/>
  <c r="BR23" i="1"/>
  <c r="AQ264" i="1"/>
  <c r="AQ265" i="1" s="1"/>
  <c r="AQ23" i="1"/>
  <c r="AQ24" i="1" s="1"/>
  <c r="BX54" i="1"/>
  <c r="BT23" i="1"/>
  <c r="BT24" i="1" s="1"/>
  <c r="AY22" i="1"/>
  <c r="BU41" i="1"/>
  <c r="BU18" i="1"/>
  <c r="BU19" i="1" s="1"/>
  <c r="AY40" i="1"/>
  <c r="AU18" i="1"/>
  <c r="AU19" i="1" s="1"/>
  <c r="BS41" i="1"/>
  <c r="BS18" i="1"/>
  <c r="BS19" i="1" s="1"/>
  <c r="BA264" i="1"/>
  <c r="BA265" i="1" s="1"/>
  <c r="BA23" i="1"/>
  <c r="BA24" i="1" s="1"/>
  <c r="AT17" i="1"/>
  <c r="AT22" i="1"/>
  <c r="BM17" i="1"/>
  <c r="N84" i="1"/>
  <c r="AI18" i="1"/>
  <c r="AI19" i="1" s="1"/>
  <c r="BK52" i="1"/>
  <c r="BK23" i="1" s="1"/>
  <c r="BK24" i="1" s="1"/>
  <c r="BK18" i="1"/>
  <c r="BK19" i="1" s="1"/>
  <c r="BA17" i="1"/>
  <c r="AZ22" i="1"/>
  <c r="BN22" i="1"/>
  <c r="AZ40" i="1"/>
  <c r="AV18" i="1"/>
  <c r="AV19" i="1" s="1"/>
  <c r="BO264" i="1"/>
  <c r="BO265" i="1" s="1"/>
  <c r="BO23" i="1"/>
  <c r="BO24" i="1" s="1"/>
  <c r="BT17" i="1"/>
  <c r="AW22" i="1"/>
  <c r="BE17" i="1"/>
  <c r="BJ22" i="1"/>
  <c r="BI22" i="1"/>
  <c r="BM279" i="1"/>
  <c r="BM280" i="1" s="1"/>
  <c r="BM23" i="1"/>
  <c r="BM24" i="1" s="1"/>
  <c r="BP17" i="1"/>
  <c r="BG40" i="1"/>
  <c r="BC18" i="1"/>
  <c r="BC19" i="1" s="1"/>
  <c r="BE53" i="1"/>
  <c r="BE23" i="1"/>
  <c r="BE24" i="1" s="1"/>
  <c r="BZ40" i="1"/>
  <c r="BV18" i="1"/>
  <c r="BV19" i="1" s="1"/>
  <c r="BO17" i="1"/>
  <c r="BB17" i="1"/>
  <c r="BG22" i="1"/>
  <c r="BB58" i="1"/>
  <c r="BB62" i="1" s="1"/>
  <c r="BB65" i="1" s="1"/>
  <c r="BB73" i="1" s="1"/>
  <c r="BB225" i="1" s="1"/>
  <c r="BB227" i="1" s="1"/>
  <c r="BB23" i="1"/>
  <c r="BB24" i="1" s="1"/>
  <c r="BH264" i="1"/>
  <c r="BH265" i="1" s="1"/>
  <c r="BH23" i="1"/>
  <c r="BH24" i="1" s="1"/>
  <c r="AR58" i="1"/>
  <c r="AR62" i="1" s="1"/>
  <c r="AR65" i="1" s="1"/>
  <c r="AR73" i="1" s="1"/>
  <c r="AR23" i="1"/>
  <c r="AX39" i="1"/>
  <c r="AX18" i="1"/>
  <c r="AX19" i="1" s="1"/>
  <c r="BH17" i="1"/>
  <c r="AO22" i="1"/>
  <c r="AP22" i="1"/>
  <c r="AP17" i="1"/>
  <c r="BR17" i="1"/>
  <c r="BW17" i="1"/>
  <c r="BQ58" i="1"/>
  <c r="BQ62" i="1" s="1"/>
  <c r="BQ64" i="1" s="1"/>
  <c r="BQ23" i="1"/>
  <c r="BH40" i="1"/>
  <c r="BD18" i="1"/>
  <c r="BD19" i="1" s="1"/>
  <c r="BP58" i="1"/>
  <c r="BP62" i="1" s="1"/>
  <c r="BP64" i="1" s="1"/>
  <c r="BP23" i="1"/>
  <c r="BP24" i="1" s="1"/>
  <c r="AQ17" i="1"/>
  <c r="AN22" i="1"/>
  <c r="AS22" i="1"/>
  <c r="BT53" i="1"/>
  <c r="L140" i="1"/>
  <c r="L143" i="1" s="1"/>
  <c r="BT58" i="1"/>
  <c r="BT62" i="1" s="1"/>
  <c r="BT65" i="1" s="1"/>
  <c r="BT73" i="1" s="1"/>
  <c r="P218" i="1"/>
  <c r="L218" i="1"/>
  <c r="F80" i="1"/>
  <c r="Q235" i="1"/>
  <c r="Q233" i="1" s="1"/>
  <c r="K140" i="1"/>
  <c r="K143" i="1" s="1"/>
  <c r="R235" i="1"/>
  <c r="R233" i="1" s="1"/>
  <c r="R197" i="1"/>
  <c r="R276" i="1" s="1"/>
  <c r="R230" i="1"/>
  <c r="BK41" i="1"/>
  <c r="T218" i="1"/>
  <c r="U84" i="1"/>
  <c r="S120" i="1"/>
  <c r="S121" i="1"/>
  <c r="AE220" i="1"/>
  <c r="AE32" i="1"/>
  <c r="BV52" i="1"/>
  <c r="BV54" i="1" s="1"/>
  <c r="Q197" i="1"/>
  <c r="Q276" i="1" s="1"/>
  <c r="L235" i="1"/>
  <c r="L233" i="1" s="1"/>
  <c r="L197" i="1"/>
  <c r="BR53" i="1"/>
  <c r="BR264" i="1"/>
  <c r="BR265" i="1" s="1"/>
  <c r="M235" i="1"/>
  <c r="M233" i="1" s="1"/>
  <c r="Q218" i="1"/>
  <c r="G218" i="1"/>
  <c r="E218" i="1"/>
  <c r="O218" i="1"/>
  <c r="BT54" i="1"/>
  <c r="BD40" i="1"/>
  <c r="BE41" i="1"/>
  <c r="BD52" i="1"/>
  <c r="BP53" i="1"/>
  <c r="BD39" i="1"/>
  <c r="BP54" i="1"/>
  <c r="BP264" i="1"/>
  <c r="BP265" i="1" s="1"/>
  <c r="BV40" i="1"/>
  <c r="BH53" i="1"/>
  <c r="BV39" i="1"/>
  <c r="V121" i="1"/>
  <c r="V120" i="1"/>
  <c r="V119" i="1"/>
  <c r="BK39" i="1"/>
  <c r="BL41" i="1"/>
  <c r="BK40" i="1"/>
  <c r="BO40" i="1"/>
  <c r="AT54" i="1"/>
  <c r="BB53" i="1"/>
  <c r="AQ53" i="1"/>
  <c r="BB264" i="1"/>
  <c r="BB265" i="1" s="1"/>
  <c r="AQ279" i="1"/>
  <c r="BB279" i="1"/>
  <c r="BB55" i="1"/>
  <c r="BA54" i="1"/>
  <c r="BA58" i="1"/>
  <c r="BA62" i="1" s="1"/>
  <c r="BA65" i="1" s="1"/>
  <c r="BA73" i="1" s="1"/>
  <c r="BA53" i="1"/>
  <c r="AQ55" i="1"/>
  <c r="AR54" i="1"/>
  <c r="BY40" i="1"/>
  <c r="AX41" i="1"/>
  <c r="AX40" i="1"/>
  <c r="AY41" i="1"/>
  <c r="BB40" i="1"/>
  <c r="AX52" i="1"/>
  <c r="AX55" i="1" s="1"/>
  <c r="CW230" i="1"/>
  <c r="W235" i="1"/>
  <c r="W233" i="1" s="1"/>
  <c r="BU40" i="1"/>
  <c r="BU39" i="1"/>
  <c r="BQ264" i="1"/>
  <c r="BQ265" i="1" s="1"/>
  <c r="BU52" i="1"/>
  <c r="BV41" i="1"/>
  <c r="BL54" i="1"/>
  <c r="AP53" i="1"/>
  <c r="BH58" i="1"/>
  <c r="BH62" i="1" s="1"/>
  <c r="BH65" i="1" s="1"/>
  <c r="BH73" i="1" s="1"/>
  <c r="AR279" i="1"/>
  <c r="AR53" i="1"/>
  <c r="BP279" i="1"/>
  <c r="AR264" i="1"/>
  <c r="AR265" i="1" s="1"/>
  <c r="AR142" i="1"/>
  <c r="AR55" i="1"/>
  <c r="AS55" i="1"/>
  <c r="BR142" i="1"/>
  <c r="BP55" i="1"/>
  <c r="AP54" i="1"/>
  <c r="BC40" i="1"/>
  <c r="V235" i="1"/>
  <c r="V233" i="1" s="1"/>
  <c r="CO169" i="1"/>
  <c r="CP56" i="1"/>
  <c r="AB56" i="1" s="1"/>
  <c r="BR279" i="1"/>
  <c r="AD50" i="1"/>
  <c r="AD51" i="1" s="1"/>
  <c r="V85" i="1"/>
  <c r="BQ279" i="1"/>
  <c r="BQ53" i="1"/>
  <c r="BR258" i="1"/>
  <c r="AQ54" i="1"/>
  <c r="AQ58" i="1"/>
  <c r="AQ62" i="1" s="1"/>
  <c r="AQ65" i="1" s="1"/>
  <c r="AQ73" i="1" s="1"/>
  <c r="BQ55" i="1"/>
  <c r="BE58" i="1"/>
  <c r="BE62" i="1" s="1"/>
  <c r="BE65" i="1" s="1"/>
  <c r="BE73" i="1" s="1"/>
  <c r="BE264" i="1"/>
  <c r="BE265" i="1" s="1"/>
  <c r="AM40" i="1"/>
  <c r="CU189" i="1"/>
  <c r="BM264" i="1"/>
  <c r="BM265" i="1" s="1"/>
  <c r="AP58" i="1"/>
  <c r="AP62" i="1" s="1"/>
  <c r="AP64" i="1" s="1"/>
  <c r="AP264" i="1"/>
  <c r="AP265" i="1" s="1"/>
  <c r="BO58" i="1"/>
  <c r="BO62" i="1" s="1"/>
  <c r="BO64" i="1" s="1"/>
  <c r="BO53" i="1"/>
  <c r="BT41" i="1"/>
  <c r="BS40" i="1"/>
  <c r="BS39" i="1"/>
  <c r="BS52" i="1"/>
  <c r="AI52" i="1"/>
  <c r="AI23" i="1" s="1"/>
  <c r="AI24" i="1" s="1"/>
  <c r="AJ41" i="1"/>
  <c r="BM53" i="1"/>
  <c r="BQ54" i="1"/>
  <c r="AI39" i="1"/>
  <c r="AW264" i="1"/>
  <c r="AW265" i="1" s="1"/>
  <c r="CV228" i="1"/>
  <c r="Q84" i="1"/>
  <c r="CU228" i="1"/>
  <c r="CU230" i="1" s="1"/>
  <c r="CZ188" i="1"/>
  <c r="CV229" i="1"/>
  <c r="BR55" i="1"/>
  <c r="BE54" i="1"/>
  <c r="CZ180" i="1"/>
  <c r="DA180" i="1"/>
  <c r="CA40" i="1"/>
  <c r="BW39" i="1"/>
  <c r="BW52" i="1"/>
  <c r="BW23" i="1" s="1"/>
  <c r="BW24" i="1" s="1"/>
  <c r="BW40" i="1"/>
  <c r="X84" i="1"/>
  <c r="BX41" i="1"/>
  <c r="DA188" i="1"/>
  <c r="N235" i="1"/>
  <c r="N233" i="1" s="1"/>
  <c r="BW41" i="1"/>
  <c r="CZ257" i="1"/>
  <c r="CY257" i="1"/>
  <c r="DA257" i="1"/>
  <c r="I235" i="1"/>
  <c r="I233" i="1" s="1"/>
  <c r="H235" i="1"/>
  <c r="H233" i="1" s="1"/>
  <c r="BJ258" i="1"/>
  <c r="BJ53" i="1"/>
  <c r="BJ58" i="1"/>
  <c r="BJ62" i="1" s="1"/>
  <c r="BJ264" i="1"/>
  <c r="BJ265" i="1" s="1"/>
  <c r="BM58" i="1"/>
  <c r="BM62" i="1" s="1"/>
  <c r="BM64" i="1" s="1"/>
  <c r="BM55" i="1"/>
  <c r="CX189" i="1"/>
  <c r="CX229" i="1"/>
  <c r="CX230" i="1" s="1"/>
  <c r="AU40" i="1"/>
  <c r="AU52" i="1"/>
  <c r="AU23" i="1" s="1"/>
  <c r="AU24" i="1" s="1"/>
  <c r="AU39" i="1"/>
  <c r="AV41" i="1"/>
  <c r="AU41" i="1"/>
  <c r="AT53" i="1"/>
  <c r="AT264" i="1"/>
  <c r="AT265" i="1" s="1"/>
  <c r="AT58" i="1"/>
  <c r="AT62" i="1" s="1"/>
  <c r="DB176" i="1"/>
  <c r="DB185" i="1"/>
  <c r="DB177" i="1"/>
  <c r="AE177" i="1" s="1"/>
  <c r="DB184" i="1"/>
  <c r="DB50" i="1"/>
  <c r="DB44" i="1" s="1"/>
  <c r="DB175" i="1"/>
  <c r="BC52" i="1"/>
  <c r="BC39" i="1"/>
  <c r="BD41" i="1"/>
  <c r="BC41" i="1"/>
  <c r="S84" i="1"/>
  <c r="DB34" i="1"/>
  <c r="AV39" i="1"/>
  <c r="AW41" i="1"/>
  <c r="AV52" i="1"/>
  <c r="AV40" i="1"/>
  <c r="BU169" i="1"/>
  <c r="BV235" i="1" s="1"/>
  <c r="BV233" i="1" s="1"/>
  <c r="BV57" i="1"/>
  <c r="AW53" i="1"/>
  <c r="AW58" i="1"/>
  <c r="AW62" i="1" s="1"/>
  <c r="AW64" i="1" s="1"/>
  <c r="CW102" i="1"/>
  <c r="AR258" i="1"/>
  <c r="O85" i="1"/>
  <c r="R85" i="1"/>
  <c r="BH235" i="1"/>
  <c r="BH233" i="1" s="1"/>
  <c r="AS279" i="1"/>
  <c r="AS258" i="1"/>
  <c r="BI258" i="1"/>
  <c r="BA55" i="1"/>
  <c r="AZ58" i="1"/>
  <c r="AZ62" i="1" s="1"/>
  <c r="AZ264" i="1"/>
  <c r="AZ265" i="1" s="1"/>
  <c r="AZ53" i="1"/>
  <c r="BA279" i="1"/>
  <c r="P85" i="1"/>
  <c r="AT142" i="1"/>
  <c r="T85" i="1"/>
  <c r="BJ142" i="1"/>
  <c r="BH55" i="1"/>
  <c r="BI55" i="1"/>
  <c r="BI142" i="1"/>
  <c r="BH258" i="1"/>
  <c r="BI279" i="1"/>
  <c r="BH279" i="1"/>
  <c r="CZ34" i="1"/>
  <c r="DB257" i="1"/>
  <c r="CY184" i="1"/>
  <c r="CY177" i="1"/>
  <c r="CY50" i="1"/>
  <c r="CY44" i="1" s="1"/>
  <c r="CY185" i="1"/>
  <c r="CY176" i="1"/>
  <c r="CY175" i="1"/>
  <c r="BH142" i="1"/>
  <c r="BI54" i="1"/>
  <c r="BJ55" i="1"/>
  <c r="BI53" i="1"/>
  <c r="BI58" i="1"/>
  <c r="BM54" i="1"/>
  <c r="BJ279" i="1"/>
  <c r="BJ280" i="1" s="1"/>
  <c r="BI264" i="1"/>
  <c r="BI265" i="1" s="1"/>
  <c r="BG58" i="1"/>
  <c r="BG279" i="1"/>
  <c r="BG53" i="1"/>
  <c r="BG264" i="1"/>
  <c r="BG265" i="1" s="1"/>
  <c r="AN258" i="1"/>
  <c r="AO142" i="1"/>
  <c r="AN53" i="1"/>
  <c r="AQ142" i="1"/>
  <c r="AN142" i="1"/>
  <c r="AN55" i="1"/>
  <c r="AP142" i="1"/>
  <c r="AN264" i="1"/>
  <c r="AN265" i="1" s="1"/>
  <c r="AO258" i="1"/>
  <c r="AN54" i="1"/>
  <c r="AO55" i="1"/>
  <c r="AQ258" i="1"/>
  <c r="AN58" i="1"/>
  <c r="AN279" i="1"/>
  <c r="AP258" i="1"/>
  <c r="AO264" i="1"/>
  <c r="AO265" i="1" s="1"/>
  <c r="AO279" i="1"/>
  <c r="AO58" i="1"/>
  <c r="AO62" i="1" s="1"/>
  <c r="AO54" i="1"/>
  <c r="AO53" i="1"/>
  <c r="AP55" i="1"/>
  <c r="AS54" i="1"/>
  <c r="AP279" i="1"/>
  <c r="AY58" i="1"/>
  <c r="AZ279" i="1"/>
  <c r="AY264" i="1"/>
  <c r="AY265" i="1" s="1"/>
  <c r="BB258" i="1"/>
  <c r="BB142" i="1"/>
  <c r="AZ55" i="1"/>
  <c r="AY53" i="1"/>
  <c r="AS53" i="1"/>
  <c r="AT55" i="1"/>
  <c r="AW54" i="1"/>
  <c r="AT279" i="1"/>
  <c r="AT258" i="1"/>
  <c r="AS264" i="1"/>
  <c r="AS265" i="1" s="1"/>
  <c r="AS58" i="1"/>
  <c r="AS62" i="1" s="1"/>
  <c r="AS142" i="1"/>
  <c r="BF279" i="1"/>
  <c r="BF53" i="1"/>
  <c r="BJ54" i="1"/>
  <c r="BF54" i="1"/>
  <c r="BG55" i="1"/>
  <c r="BF58" i="1"/>
  <c r="BF55" i="1"/>
  <c r="BF264" i="1"/>
  <c r="BF265" i="1" s="1"/>
  <c r="CY34" i="1"/>
  <c r="BN55" i="1"/>
  <c r="BO142" i="1"/>
  <c r="BO279" i="1"/>
  <c r="BO55" i="1"/>
  <c r="BP258" i="1"/>
  <c r="BN53" i="1"/>
  <c r="BR54" i="1"/>
  <c r="BN58" i="1"/>
  <c r="BP142" i="1"/>
  <c r="BN279" i="1"/>
  <c r="BO258" i="1"/>
  <c r="BQ258" i="1"/>
  <c r="BN54" i="1"/>
  <c r="BN264" i="1"/>
  <c r="BN265" i="1" s="1"/>
  <c r="BQ142" i="1"/>
  <c r="AE171" i="1"/>
  <c r="AE234" i="1" s="1"/>
  <c r="CT90" i="1"/>
  <c r="CT124" i="1" s="1"/>
  <c r="CT127" i="1" s="1"/>
  <c r="CU88" i="1"/>
  <c r="BZ1" i="1"/>
  <c r="U80" i="1"/>
  <c r="U65" i="1"/>
  <c r="U73" i="1" s="1"/>
  <c r="U64" i="1"/>
  <c r="P62" i="1"/>
  <c r="P65" i="1" s="1"/>
  <c r="P73" i="1" s="1"/>
  <c r="P80" i="1"/>
  <c r="R62" i="1"/>
  <c r="R65" i="1" s="1"/>
  <c r="R73" i="1" s="1"/>
  <c r="E62" i="1"/>
  <c r="E65" i="1" s="1"/>
  <c r="E73" i="1" s="1"/>
  <c r="S62" i="1"/>
  <c r="S64" i="1" s="1"/>
  <c r="G62" i="1"/>
  <c r="G65" i="1" s="1"/>
  <c r="G73" i="1" s="1"/>
  <c r="K62" i="1"/>
  <c r="K65" i="1" s="1"/>
  <c r="K73" i="1" s="1"/>
  <c r="B62" i="1"/>
  <c r="B64" i="1" s="1"/>
  <c r="O62" i="1"/>
  <c r="O65" i="1" s="1"/>
  <c r="O73" i="1" s="1"/>
  <c r="H62" i="1"/>
  <c r="H65" i="1" s="1"/>
  <c r="H73" i="1" s="1"/>
  <c r="H80" i="1"/>
  <c r="N62" i="1"/>
  <c r="N65" i="1" s="1"/>
  <c r="N73" i="1" s="1"/>
  <c r="L62" i="1"/>
  <c r="L64" i="1" s="1"/>
  <c r="C62" i="1"/>
  <c r="C64" i="1" s="1"/>
  <c r="M62" i="1"/>
  <c r="M64" i="1" s="1"/>
  <c r="T62" i="1"/>
  <c r="T65" i="1" s="1"/>
  <c r="T73" i="1" s="1"/>
  <c r="F62" i="1"/>
  <c r="F64" i="1" s="1"/>
  <c r="J62" i="1"/>
  <c r="J64" i="1" s="1"/>
  <c r="I62" i="1"/>
  <c r="I64" i="1" s="1"/>
  <c r="Q62" i="1"/>
  <c r="Q65" i="1" s="1"/>
  <c r="Q73" i="1" s="1"/>
  <c r="V266" i="1"/>
  <c r="U141" i="1" l="1"/>
  <c r="U144" i="1" s="1"/>
  <c r="S141" i="1"/>
  <c r="S144" i="1" s="1"/>
  <c r="C140" i="1"/>
  <c r="C143" i="1" s="1"/>
  <c r="M80" i="1"/>
  <c r="T230" i="1"/>
  <c r="I140" i="1"/>
  <c r="I143" i="1" s="1"/>
  <c r="L198" i="1"/>
  <c r="H140" i="1"/>
  <c r="H143" i="1" s="1"/>
  <c r="O121" i="1"/>
  <c r="L121" i="1"/>
  <c r="L120" i="1"/>
  <c r="S140" i="1"/>
  <c r="S143" i="1" s="1"/>
  <c r="I141" i="1"/>
  <c r="I144" i="1" s="1"/>
  <c r="K141" i="1"/>
  <c r="K144" i="1" s="1"/>
  <c r="O119" i="1"/>
  <c r="M140" i="1"/>
  <c r="M143" i="1" s="1"/>
  <c r="I120" i="1"/>
  <c r="K198" i="1"/>
  <c r="I80" i="1"/>
  <c r="I119" i="1"/>
  <c r="S198" i="1"/>
  <c r="J140" i="1"/>
  <c r="J143" i="1" s="1"/>
  <c r="U121" i="1"/>
  <c r="G140" i="1"/>
  <c r="G143" i="1" s="1"/>
  <c r="U119" i="1"/>
  <c r="H120" i="1"/>
  <c r="H119" i="1"/>
  <c r="BH280" i="1"/>
  <c r="AN280" i="1"/>
  <c r="BX57" i="1"/>
  <c r="BW169" i="1"/>
  <c r="E198" i="1"/>
  <c r="N140" i="1"/>
  <c r="N143" i="1" s="1"/>
  <c r="P120" i="1"/>
  <c r="D230" i="1"/>
  <c r="D231" i="1" s="1"/>
  <c r="D245" i="1" s="1"/>
  <c r="L221" i="1"/>
  <c r="L222" i="1" s="1"/>
  <c r="R120" i="1"/>
  <c r="K121" i="1"/>
  <c r="B140" i="1"/>
  <c r="B143" i="1" s="1"/>
  <c r="E120" i="1"/>
  <c r="AZ197" i="1"/>
  <c r="AZ198" i="1" s="1"/>
  <c r="BB197" i="1"/>
  <c r="G198" i="1"/>
  <c r="BN280" i="1"/>
  <c r="BB140" i="1"/>
  <c r="BB143" i="1" s="1"/>
  <c r="I218" i="1"/>
  <c r="I221" i="1" s="1"/>
  <c r="I222" i="1" s="1"/>
  <c r="BT197" i="1"/>
  <c r="BK264" i="1"/>
  <c r="BK265" i="1" s="1"/>
  <c r="J121" i="1"/>
  <c r="F119" i="1"/>
  <c r="J119" i="1"/>
  <c r="G119" i="1"/>
  <c r="BV139" i="1"/>
  <c r="BV140" i="1" s="1"/>
  <c r="F221" i="1"/>
  <c r="F222" i="1" s="1"/>
  <c r="BI169" i="1"/>
  <c r="BI235" i="1" s="1"/>
  <c r="BI233" i="1" s="1"/>
  <c r="V140" i="1"/>
  <c r="V143" i="1" s="1"/>
  <c r="G120" i="1"/>
  <c r="BC61" i="1"/>
  <c r="P121" i="1"/>
  <c r="F120" i="1"/>
  <c r="AR197" i="1"/>
  <c r="AR198" i="1" s="1"/>
  <c r="AR235" i="1"/>
  <c r="AR233" i="1" s="1"/>
  <c r="BS169" i="1"/>
  <c r="BS235" i="1" s="1"/>
  <c r="BS233" i="1" s="1"/>
  <c r="D237" i="1"/>
  <c r="AZ280" i="1"/>
  <c r="AO280" i="1"/>
  <c r="V141" i="1"/>
  <c r="V144" i="1" s="1"/>
  <c r="BO235" i="1"/>
  <c r="BO233" i="1" s="1"/>
  <c r="T119" i="1"/>
  <c r="BF280" i="1"/>
  <c r="BT140" i="1"/>
  <c r="Q141" i="1"/>
  <c r="Q144" i="1" s="1"/>
  <c r="AX197" i="1"/>
  <c r="AX198" i="1" s="1"/>
  <c r="BG280" i="1"/>
  <c r="AX57" i="1"/>
  <c r="BA169" i="1"/>
  <c r="BA235" i="1" s="1"/>
  <c r="BA233" i="1" s="1"/>
  <c r="BB198" i="1"/>
  <c r="BO280" i="1"/>
  <c r="AZ139" i="1"/>
  <c r="AZ141" i="1" s="1"/>
  <c r="AN198" i="1"/>
  <c r="BH141" i="1"/>
  <c r="BH144" i="1" s="1"/>
  <c r="AW235" i="1"/>
  <c r="AW233" i="1" s="1"/>
  <c r="BI61" i="1"/>
  <c r="BI280" i="1"/>
  <c r="BF140" i="1"/>
  <c r="AP139" i="1"/>
  <c r="AP141" i="1" s="1"/>
  <c r="AP144" i="1" s="1"/>
  <c r="BG61" i="1"/>
  <c r="AO169" i="1"/>
  <c r="AO235" i="1" s="1"/>
  <c r="AO233" i="1" s="1"/>
  <c r="BO61" i="1"/>
  <c r="AT280" i="1"/>
  <c r="AZ57" i="1"/>
  <c r="N119" i="1"/>
  <c r="O198" i="1"/>
  <c r="M221" i="1"/>
  <c r="M222" i="1" s="1"/>
  <c r="T120" i="1"/>
  <c r="BH198" i="1"/>
  <c r="F276" i="1"/>
  <c r="BR64" i="1"/>
  <c r="E121" i="1"/>
  <c r="AV141" i="1"/>
  <c r="BP140" i="1"/>
  <c r="BP143" i="1" s="1"/>
  <c r="E230" i="1"/>
  <c r="U221" i="1"/>
  <c r="U222" i="1" s="1"/>
  <c r="AX235" i="1"/>
  <c r="AX233" i="1" s="1"/>
  <c r="N120" i="1"/>
  <c r="B198" i="1"/>
  <c r="AT197" i="1"/>
  <c r="AT198" i="1" s="1"/>
  <c r="BF197" i="1"/>
  <c r="BF198" i="1" s="1"/>
  <c r="BN141" i="1"/>
  <c r="J198" i="1"/>
  <c r="AU235" i="1"/>
  <c r="AU233" i="1" s="1"/>
  <c r="V221" i="1"/>
  <c r="V222" i="1" s="1"/>
  <c r="BR200" i="1"/>
  <c r="BR139" i="1" s="1"/>
  <c r="BR140" i="1" s="1"/>
  <c r="BR143" i="1" s="1"/>
  <c r="AT140" i="1"/>
  <c r="AT143" i="1" s="1"/>
  <c r="AU61" i="1"/>
  <c r="Q121" i="1"/>
  <c r="AV57" i="1"/>
  <c r="N218" i="1"/>
  <c r="N221" i="1" s="1"/>
  <c r="N222" i="1" s="1"/>
  <c r="R121" i="1"/>
  <c r="C141" i="1"/>
  <c r="C144" i="1" s="1"/>
  <c r="BS278" i="1"/>
  <c r="B276" i="1"/>
  <c r="C230" i="1"/>
  <c r="AV235" i="1"/>
  <c r="AV233" i="1" s="1"/>
  <c r="Q119" i="1"/>
  <c r="AP197" i="1"/>
  <c r="AP198" i="1" s="1"/>
  <c r="BR278" i="1"/>
  <c r="BR280" i="1" s="1"/>
  <c r="S276" i="1"/>
  <c r="BG235" i="1"/>
  <c r="BG233" i="1" s="1"/>
  <c r="AV197" i="1"/>
  <c r="AV198" i="1" s="1"/>
  <c r="E141" i="1"/>
  <c r="E144" i="1" s="1"/>
  <c r="BR235" i="1"/>
  <c r="BR233" i="1" s="1"/>
  <c r="BR238" i="1"/>
  <c r="BS238" i="1"/>
  <c r="J218" i="1"/>
  <c r="K221" i="1" s="1"/>
  <c r="K222" i="1" s="1"/>
  <c r="V198" i="1"/>
  <c r="S218" i="1"/>
  <c r="S221" i="1" s="1"/>
  <c r="S222" i="1" s="1"/>
  <c r="G221" i="1"/>
  <c r="G222" i="1" s="1"/>
  <c r="BN197" i="1"/>
  <c r="BN198" i="1" s="1"/>
  <c r="R141" i="1"/>
  <c r="R144" i="1" s="1"/>
  <c r="D141" i="1"/>
  <c r="D144" i="1" s="1"/>
  <c r="D140" i="1"/>
  <c r="D143" i="1" s="1"/>
  <c r="K119" i="1"/>
  <c r="BR57" i="1"/>
  <c r="BR198" i="1"/>
  <c r="BV198" i="1"/>
  <c r="BQ278" i="1"/>
  <c r="BQ280" i="1" s="1"/>
  <c r="BP160" i="1"/>
  <c r="BP198" i="1" s="1"/>
  <c r="E80" i="1"/>
  <c r="BQ238" i="1"/>
  <c r="AP280" i="1"/>
  <c r="AM239" i="1"/>
  <c r="AM237" i="1" s="1"/>
  <c r="BU61" i="1"/>
  <c r="AX141" i="1"/>
  <c r="U198" i="1"/>
  <c r="AM117" i="1"/>
  <c r="AM119" i="1" s="1"/>
  <c r="O140" i="1"/>
  <c r="O143" i="1" s="1"/>
  <c r="BP278" i="1"/>
  <c r="BP280" i="1" s="1"/>
  <c r="C198" i="1"/>
  <c r="AZ235" i="1"/>
  <c r="AZ233" i="1" s="1"/>
  <c r="AM79" i="1"/>
  <c r="AQ280" i="1"/>
  <c r="AQ235" i="1"/>
  <c r="AQ233" i="1" s="1"/>
  <c r="BQ61" i="1"/>
  <c r="BD197" i="1"/>
  <c r="BD198" i="1" s="1"/>
  <c r="BP238" i="1"/>
  <c r="M198" i="1"/>
  <c r="AY61" i="1"/>
  <c r="D198" i="1"/>
  <c r="BP65" i="1"/>
  <c r="BP67" i="1" s="1"/>
  <c r="AW61" i="1"/>
  <c r="BD140" i="1"/>
  <c r="BV58" i="1"/>
  <c r="BV62" i="1" s="1"/>
  <c r="BV65" i="1" s="1"/>
  <c r="BV73" i="1" s="1"/>
  <c r="AS280" i="1"/>
  <c r="C218" i="1"/>
  <c r="C221" i="1" s="1"/>
  <c r="C222" i="1" s="1"/>
  <c r="BA280" i="1"/>
  <c r="BE61" i="1"/>
  <c r="AR280" i="1"/>
  <c r="BB280" i="1"/>
  <c r="BB64" i="1"/>
  <c r="AQ22" i="1"/>
  <c r="BC169" i="1"/>
  <c r="BD57" i="1"/>
  <c r="BQ65" i="1"/>
  <c r="BQ73" i="1" s="1"/>
  <c r="BQ77" i="1" s="1"/>
  <c r="BB66" i="1"/>
  <c r="BB266" i="1"/>
  <c r="BL258" i="1"/>
  <c r="BK55" i="1"/>
  <c r="BK279" i="1"/>
  <c r="BK280" i="1" s="1"/>
  <c r="BO54" i="1"/>
  <c r="AM110" i="1"/>
  <c r="BN258" i="1"/>
  <c r="BK53" i="1"/>
  <c r="BM258" i="1"/>
  <c r="BN142" i="1"/>
  <c r="BN143" i="1" s="1"/>
  <c r="BL55" i="1"/>
  <c r="U85" i="1"/>
  <c r="BM142" i="1"/>
  <c r="AR64" i="1"/>
  <c r="BL279" i="1"/>
  <c r="BL280" i="1" s="1"/>
  <c r="BK258" i="1"/>
  <c r="BK142" i="1"/>
  <c r="BK54" i="1"/>
  <c r="BL142" i="1"/>
  <c r="BL143" i="1" s="1"/>
  <c r="BK58" i="1"/>
  <c r="BK62" i="1" s="1"/>
  <c r="BK64" i="1" s="1"/>
  <c r="BR24" i="1"/>
  <c r="BR22" i="1"/>
  <c r="Q221" i="1"/>
  <c r="Q222" i="1" s="1"/>
  <c r="AE83" i="1"/>
  <c r="AE16" i="1"/>
  <c r="BB22" i="1"/>
  <c r="BE22" i="1"/>
  <c r="BO22" i="1"/>
  <c r="BT64" i="1"/>
  <c r="BD53" i="1"/>
  <c r="BD23" i="1"/>
  <c r="BD24" i="1" s="1"/>
  <c r="AX17" i="1"/>
  <c r="BK22" i="1"/>
  <c r="BK17" i="1"/>
  <c r="BC17" i="1"/>
  <c r="AV17" i="1"/>
  <c r="BU54" i="1"/>
  <c r="BU23" i="1"/>
  <c r="BU24" i="1" s="1"/>
  <c r="AI22" i="1"/>
  <c r="AI17" i="1"/>
  <c r="BV53" i="1"/>
  <c r="BD17" i="1"/>
  <c r="AR24" i="1"/>
  <c r="AR22" i="1"/>
  <c r="BS17" i="1"/>
  <c r="BQ24" i="1"/>
  <c r="BQ22" i="1"/>
  <c r="BP22" i="1"/>
  <c r="AU22" i="1"/>
  <c r="AU17" i="1"/>
  <c r="BZ54" i="1"/>
  <c r="BV17" i="1"/>
  <c r="BT22" i="1"/>
  <c r="BM22" i="1"/>
  <c r="BV264" i="1"/>
  <c r="BV265" i="1" s="1"/>
  <c r="BV23" i="1"/>
  <c r="BV24" i="1" s="1"/>
  <c r="BC142" i="1"/>
  <c r="BC23" i="1"/>
  <c r="BC24" i="1" s="1"/>
  <c r="BH22" i="1"/>
  <c r="BU17" i="1"/>
  <c r="BA258" i="1"/>
  <c r="AX23" i="1"/>
  <c r="AX24" i="1" s="1"/>
  <c r="AZ54" i="1"/>
  <c r="AV23" i="1"/>
  <c r="AV24" i="1" s="1"/>
  <c r="BT142" i="1"/>
  <c r="BT144" i="1" s="1"/>
  <c r="BS23" i="1"/>
  <c r="BS24" i="1" s="1"/>
  <c r="BW22" i="1"/>
  <c r="BA22" i="1"/>
  <c r="R198" i="1"/>
  <c r="P221" i="1"/>
  <c r="P222" i="1" s="1"/>
  <c r="P198" i="1"/>
  <c r="T276" i="1"/>
  <c r="K276" i="1"/>
  <c r="Q198" i="1"/>
  <c r="R221" i="1"/>
  <c r="R222" i="1" s="1"/>
  <c r="H221" i="1"/>
  <c r="H222" i="1" s="1"/>
  <c r="L276" i="1"/>
  <c r="V276" i="1"/>
  <c r="E221" i="1"/>
  <c r="E222" i="1" s="1"/>
  <c r="BA64" i="1"/>
  <c r="BA66" i="1"/>
  <c r="BE55" i="1"/>
  <c r="BD54" i="1"/>
  <c r="BG258" i="1"/>
  <c r="BD264" i="1"/>
  <c r="BD265" i="1" s="1"/>
  <c r="BE279" i="1"/>
  <c r="BE280" i="1" s="1"/>
  <c r="BH54" i="1"/>
  <c r="BD58" i="1"/>
  <c r="BD62" i="1" s="1"/>
  <c r="BD65" i="1" s="1"/>
  <c r="BD73" i="1" s="1"/>
  <c r="BG142" i="1"/>
  <c r="BB91" i="1"/>
  <c r="BB77" i="1"/>
  <c r="BE266" i="1"/>
  <c r="BE91" i="1"/>
  <c r="AQ91" i="1"/>
  <c r="AE44" i="1"/>
  <c r="BB54" i="1"/>
  <c r="BA142" i="1"/>
  <c r="AQ64" i="1"/>
  <c r="AB226" i="1"/>
  <c r="AB282" i="1"/>
  <c r="AM111" i="1"/>
  <c r="AM112" i="1"/>
  <c r="BE67" i="1"/>
  <c r="BB68" i="1"/>
  <c r="BA266" i="1"/>
  <c r="BT258" i="1"/>
  <c r="BV55" i="1"/>
  <c r="BS142" i="1"/>
  <c r="BU58" i="1"/>
  <c r="BU62" i="1" s="1"/>
  <c r="BU64" i="1" s="1"/>
  <c r="BE66" i="1"/>
  <c r="AZ258" i="1"/>
  <c r="AX53" i="1"/>
  <c r="AX279" i="1"/>
  <c r="AX280" i="1" s="1"/>
  <c r="AX58" i="1"/>
  <c r="AX62" i="1" s="1"/>
  <c r="AY55" i="1"/>
  <c r="AX264" i="1"/>
  <c r="AX265" i="1" s="1"/>
  <c r="AZ142" i="1"/>
  <c r="AX54" i="1"/>
  <c r="AY279" i="1"/>
  <c r="AY280" i="1" s="1"/>
  <c r="AP65" i="1"/>
  <c r="AP73" i="1" s="1"/>
  <c r="BU55" i="1"/>
  <c r="BU264" i="1"/>
  <c r="BU265" i="1" s="1"/>
  <c r="BU279" i="1"/>
  <c r="BU280" i="1" s="1"/>
  <c r="BW142" i="1"/>
  <c r="BU53" i="1"/>
  <c r="BY54" i="1"/>
  <c r="AR68" i="1"/>
  <c r="BU142" i="1"/>
  <c r="BV258" i="1"/>
  <c r="AQ67" i="1"/>
  <c r="AQ66" i="1"/>
  <c r="AQ266" i="1"/>
  <c r="BV279" i="1"/>
  <c r="BV280" i="1" s="1"/>
  <c r="BR80" i="1"/>
  <c r="BM65" i="1"/>
  <c r="BM73" i="1" s="1"/>
  <c r="BO65" i="1"/>
  <c r="BH64" i="1"/>
  <c r="CZ189" i="1"/>
  <c r="BE258" i="1"/>
  <c r="DA229" i="1"/>
  <c r="BE64" i="1"/>
  <c r="CP226" i="1"/>
  <c r="CP282" i="1"/>
  <c r="CP163" i="1"/>
  <c r="DA189" i="1"/>
  <c r="CO235" i="1"/>
  <c r="CO233" i="1" s="1"/>
  <c r="AY142" i="1"/>
  <c r="AW65" i="1"/>
  <c r="AW73" i="1" s="1"/>
  <c r="BX258" i="1"/>
  <c r="BX142" i="1"/>
  <c r="BX143" i="1" s="1"/>
  <c r="Q85" i="1"/>
  <c r="CV230" i="1"/>
  <c r="BF258" i="1"/>
  <c r="AI58" i="1"/>
  <c r="AI264" i="1"/>
  <c r="AI265" i="1" s="1"/>
  <c r="AI53" i="1"/>
  <c r="AJ55" i="1"/>
  <c r="AL142" i="1"/>
  <c r="AL258" i="1"/>
  <c r="N85" i="1"/>
  <c r="AM54" i="1"/>
  <c r="BS279" i="1"/>
  <c r="BT55" i="1"/>
  <c r="BS55" i="1"/>
  <c r="BT279" i="1"/>
  <c r="BT280" i="1" s="1"/>
  <c r="BS58" i="1"/>
  <c r="BS264" i="1"/>
  <c r="BS265" i="1" s="1"/>
  <c r="BS54" i="1"/>
  <c r="BS53" i="1"/>
  <c r="BV142" i="1"/>
  <c r="BS258" i="1"/>
  <c r="CY188" i="1"/>
  <c r="CY229" i="1" s="1"/>
  <c r="DA228" i="1"/>
  <c r="BD258" i="1"/>
  <c r="AY258" i="1"/>
  <c r="BC54" i="1"/>
  <c r="AT144" i="1"/>
  <c r="BD279" i="1"/>
  <c r="BD280" i="1" s="1"/>
  <c r="BF142" i="1"/>
  <c r="S85" i="1"/>
  <c r="BG54" i="1"/>
  <c r="AU142" i="1"/>
  <c r="AV258" i="1"/>
  <c r="BD55" i="1"/>
  <c r="CY180" i="1"/>
  <c r="CY228" i="1" s="1"/>
  <c r="AE46" i="1"/>
  <c r="X85" i="1"/>
  <c r="BW58" i="1"/>
  <c r="BZ258" i="1"/>
  <c r="BW55" i="1"/>
  <c r="BW53" i="1"/>
  <c r="BY258" i="1"/>
  <c r="BW264" i="1"/>
  <c r="BW265" i="1" s="1"/>
  <c r="BW54" i="1"/>
  <c r="BW258" i="1"/>
  <c r="BY142" i="1"/>
  <c r="CA54" i="1"/>
  <c r="BZ142" i="1"/>
  <c r="BX55" i="1"/>
  <c r="BX279" i="1"/>
  <c r="BX280" i="1" s="1"/>
  <c r="BW279" i="1"/>
  <c r="BW280" i="1" s="1"/>
  <c r="DB180" i="1"/>
  <c r="DB228" i="1" s="1"/>
  <c r="AE184" i="1"/>
  <c r="DB188" i="1"/>
  <c r="BJ65" i="1"/>
  <c r="BJ73" i="1" s="1"/>
  <c r="BJ64" i="1"/>
  <c r="AV55" i="1"/>
  <c r="AU58" i="1"/>
  <c r="AU62" i="1" s="1"/>
  <c r="AU53" i="1"/>
  <c r="AU279" i="1"/>
  <c r="AU280" i="1" s="1"/>
  <c r="AW258" i="1"/>
  <c r="AU54" i="1"/>
  <c r="AU55" i="1"/>
  <c r="AW142" i="1"/>
  <c r="AU264" i="1"/>
  <c r="AU265" i="1" s="1"/>
  <c r="AV53" i="1"/>
  <c r="AV58" i="1"/>
  <c r="AV62" i="1" s="1"/>
  <c r="AW55" i="1"/>
  <c r="AV279" i="1"/>
  <c r="AV280" i="1" s="1"/>
  <c r="AV54" i="1"/>
  <c r="AV264" i="1"/>
  <c r="AV265" i="1" s="1"/>
  <c r="BC264" i="1"/>
  <c r="BC265" i="1" s="1"/>
  <c r="BC279" i="1"/>
  <c r="BC280" i="1" s="1"/>
  <c r="BC58" i="1"/>
  <c r="BC62" i="1" s="1"/>
  <c r="BC64" i="1" s="1"/>
  <c r="BC258" i="1"/>
  <c r="BC55" i="1"/>
  <c r="BC53" i="1"/>
  <c r="BE142" i="1"/>
  <c r="AW279" i="1"/>
  <c r="AW280" i="1" s="1"/>
  <c r="BU235" i="1"/>
  <c r="BU233" i="1" s="1"/>
  <c r="H276" i="1"/>
  <c r="H198" i="1"/>
  <c r="AT65" i="1"/>
  <c r="AT73" i="1" s="1"/>
  <c r="AT64" i="1"/>
  <c r="BD142" i="1"/>
  <c r="AY54" i="1"/>
  <c r="AX258" i="1"/>
  <c r="AU258" i="1"/>
  <c r="N276" i="1"/>
  <c r="N198" i="1"/>
  <c r="AY235" i="1"/>
  <c r="AY233" i="1" s="1"/>
  <c r="AX142" i="1"/>
  <c r="AX143" i="1" s="1"/>
  <c r="AV142" i="1"/>
  <c r="CX102" i="1"/>
  <c r="AE33" i="1"/>
  <c r="AZ64" i="1"/>
  <c r="AZ65" i="1"/>
  <c r="AZ73" i="1" s="1"/>
  <c r="BJ143" i="1"/>
  <c r="BJ144" i="1"/>
  <c r="AR80" i="1"/>
  <c r="AT80" i="1"/>
  <c r="BH143" i="1"/>
  <c r="AO65" i="1"/>
  <c r="AO73" i="1" s="1"/>
  <c r="AO64" i="1"/>
  <c r="BH80" i="1"/>
  <c r="BF62" i="1"/>
  <c r="BR66" i="1"/>
  <c r="BP144" i="1"/>
  <c r="AY62" i="1"/>
  <c r="BB80" i="1"/>
  <c r="BI62" i="1"/>
  <c r="BN62" i="1"/>
  <c r="AS65" i="1"/>
  <c r="AS73" i="1" s="1"/>
  <c r="AS64" i="1"/>
  <c r="AN62" i="1"/>
  <c r="AN80" i="1"/>
  <c r="AP80" i="1"/>
  <c r="BG62" i="1"/>
  <c r="BJ80" i="1"/>
  <c r="BB144" i="1"/>
  <c r="BL67" i="1"/>
  <c r="BH66" i="1"/>
  <c r="AR66" i="1"/>
  <c r="AR266" i="1"/>
  <c r="BT66" i="1"/>
  <c r="BT266" i="1"/>
  <c r="BX67" i="1"/>
  <c r="CV88" i="1"/>
  <c r="CU90" i="1"/>
  <c r="CU124" i="1" s="1"/>
  <c r="CU127" i="1" s="1"/>
  <c r="CA1" i="1"/>
  <c r="CB1" i="1" s="1"/>
  <c r="BH266" i="1"/>
  <c r="O64" i="1"/>
  <c r="BL266" i="1"/>
  <c r="S65" i="1"/>
  <c r="V67" i="1"/>
  <c r="U67" i="1"/>
  <c r="U66" i="1"/>
  <c r="P67" i="1"/>
  <c r="P66" i="1"/>
  <c r="Q79" i="1"/>
  <c r="Q66" i="1"/>
  <c r="Q67" i="1"/>
  <c r="E266" i="1"/>
  <c r="E66" i="1"/>
  <c r="L65" i="1"/>
  <c r="L73" i="1" s="1"/>
  <c r="B65" i="1"/>
  <c r="P64" i="1"/>
  <c r="H67" i="1"/>
  <c r="H66" i="1"/>
  <c r="G66" i="1"/>
  <c r="N66" i="1"/>
  <c r="R66" i="1"/>
  <c r="R67" i="1"/>
  <c r="K66" i="1"/>
  <c r="O79" i="1"/>
  <c r="O66" i="1"/>
  <c r="O67" i="1"/>
  <c r="T66" i="1"/>
  <c r="R64" i="1"/>
  <c r="K64" i="1"/>
  <c r="N64" i="1"/>
  <c r="G64" i="1"/>
  <c r="E64" i="1"/>
  <c r="H64" i="1"/>
  <c r="J65" i="1"/>
  <c r="J73" i="1" s="1"/>
  <c r="BR266" i="1"/>
  <c r="M65" i="1"/>
  <c r="M73" i="1" s="1"/>
  <c r="T64" i="1"/>
  <c r="F65" i="1"/>
  <c r="F73" i="1" s="1"/>
  <c r="I65" i="1"/>
  <c r="I73" i="1" s="1"/>
  <c r="C65" i="1"/>
  <c r="D67" i="1" s="1"/>
  <c r="O266" i="1"/>
  <c r="Q64" i="1"/>
  <c r="P266" i="1"/>
  <c r="P79" i="1"/>
  <c r="K266" i="1"/>
  <c r="K79" i="1"/>
  <c r="E79" i="1"/>
  <c r="H266" i="1"/>
  <c r="H79" i="1"/>
  <c r="R79" i="1"/>
  <c r="N79" i="1"/>
  <c r="G79" i="1"/>
  <c r="G266" i="1"/>
  <c r="R266" i="1"/>
  <c r="N266" i="1"/>
  <c r="Q266" i="1"/>
  <c r="U266" i="1"/>
  <c r="T266" i="1"/>
  <c r="V93" i="1"/>
  <c r="V77" i="1"/>
  <c r="V225" i="1"/>
  <c r="V227" i="1" s="1"/>
  <c r="V231" i="1" s="1"/>
  <c r="V245" i="1" s="1"/>
  <c r="V239" i="1"/>
  <c r="V237" i="1" s="1"/>
  <c r="V110" i="1"/>
  <c r="V112" i="1"/>
  <c r="V111" i="1"/>
  <c r="BT198" i="1" l="1"/>
  <c r="D242" i="1"/>
  <c r="D243" i="1" s="1"/>
  <c r="BW235" i="1"/>
  <c r="BW233" i="1" s="1"/>
  <c r="BX235" i="1"/>
  <c r="BX233" i="1" s="1"/>
  <c r="BV141" i="1"/>
  <c r="BV144" i="1" s="1"/>
  <c r="AZ140" i="1"/>
  <c r="AZ143" i="1" s="1"/>
  <c r="BS280" i="1"/>
  <c r="BJ235" i="1"/>
  <c r="BJ233" i="1" s="1"/>
  <c r="BT235" i="1"/>
  <c r="BT233" i="1" s="1"/>
  <c r="AP235" i="1"/>
  <c r="AP233" i="1" s="1"/>
  <c r="BS61" i="1"/>
  <c r="BB235" i="1"/>
  <c r="BB233" i="1" s="1"/>
  <c r="BR68" i="1"/>
  <c r="BF143" i="1"/>
  <c r="O221" i="1"/>
  <c r="O222" i="1" s="1"/>
  <c r="BR141" i="1"/>
  <c r="BR144" i="1" s="1"/>
  <c r="AP140" i="1"/>
  <c r="AP143" i="1" s="1"/>
  <c r="AV144" i="1"/>
  <c r="AZ144" i="1"/>
  <c r="T221" i="1"/>
  <c r="T222" i="1" s="1"/>
  <c r="BP80" i="1"/>
  <c r="BQ149" i="1"/>
  <c r="BQ150" i="1" s="1"/>
  <c r="BQ117" i="1" s="1"/>
  <c r="BQ120" i="1" s="1"/>
  <c r="BQ91" i="1"/>
  <c r="BQ225" i="1"/>
  <c r="BQ227" i="1" s="1"/>
  <c r="BV266" i="1"/>
  <c r="BV66" i="1"/>
  <c r="J221" i="1"/>
  <c r="J222" i="1" s="1"/>
  <c r="AM120" i="1"/>
  <c r="BL144" i="1"/>
  <c r="AM121" i="1"/>
  <c r="BP266" i="1"/>
  <c r="BV64" i="1"/>
  <c r="BD143" i="1"/>
  <c r="BT67" i="1"/>
  <c r="BP66" i="1"/>
  <c r="BP73" i="1"/>
  <c r="BP77" i="1" s="1"/>
  <c r="BV67" i="1"/>
  <c r="D221" i="1"/>
  <c r="D222" i="1" s="1"/>
  <c r="BZ67" i="1"/>
  <c r="BN144" i="1"/>
  <c r="BD22" i="1"/>
  <c r="BD235" i="1"/>
  <c r="BD233" i="1" s="1"/>
  <c r="BC235" i="1"/>
  <c r="BC233" i="1" s="1"/>
  <c r="BQ68" i="1"/>
  <c r="BQ266" i="1"/>
  <c r="BQ66" i="1"/>
  <c r="BT143" i="1"/>
  <c r="BN80" i="1"/>
  <c r="BL80" i="1"/>
  <c r="BK65" i="1"/>
  <c r="BK73" i="1" s="1"/>
  <c r="BK77" i="1" s="1"/>
  <c r="BU22" i="1"/>
  <c r="BC22" i="1"/>
  <c r="AE21" i="1"/>
  <c r="BV22" i="1"/>
  <c r="BS22" i="1"/>
  <c r="AX22" i="1"/>
  <c r="AV22" i="1"/>
  <c r="S66" i="1"/>
  <c r="S73" i="1"/>
  <c r="S79" i="1" s="1"/>
  <c r="BP68" i="1"/>
  <c r="BO73" i="1"/>
  <c r="BO149" i="1" s="1"/>
  <c r="BO150" i="1" s="1"/>
  <c r="BO117" i="1" s="1"/>
  <c r="BD64" i="1"/>
  <c r="AQ77" i="1"/>
  <c r="AQ225" i="1"/>
  <c r="AQ227" i="1" s="1"/>
  <c r="AP66" i="1"/>
  <c r="AP225" i="1"/>
  <c r="AP227" i="1" s="1"/>
  <c r="AQ149" i="1"/>
  <c r="AQ150" i="1" s="1"/>
  <c r="AR239" i="1" s="1"/>
  <c r="AR237" i="1" s="1"/>
  <c r="AE50" i="1"/>
  <c r="AE51" i="1" s="1"/>
  <c r="AW266" i="1"/>
  <c r="AW149" i="1"/>
  <c r="AW150" i="1" s="1"/>
  <c r="AW117" i="1" s="1"/>
  <c r="BJ266" i="1"/>
  <c r="BH67" i="1"/>
  <c r="BM266" i="1"/>
  <c r="BM225" i="1"/>
  <c r="BM227" i="1" s="1"/>
  <c r="BO66" i="1"/>
  <c r="BR259" i="1"/>
  <c r="AP266" i="1"/>
  <c r="DA230" i="1"/>
  <c r="AP67" i="1"/>
  <c r="AR259" i="1"/>
  <c r="AQ68" i="1"/>
  <c r="AT67" i="1"/>
  <c r="AZ80" i="1"/>
  <c r="BX80" i="1"/>
  <c r="BV80" i="1"/>
  <c r="BM66" i="1"/>
  <c r="BC65" i="1"/>
  <c r="BC73" i="1" s="1"/>
  <c r="BU65" i="1"/>
  <c r="BA77" i="1"/>
  <c r="BA225" i="1"/>
  <c r="BA227" i="1" s="1"/>
  <c r="BA91" i="1"/>
  <c r="BA149" i="1"/>
  <c r="BA150" i="1" s="1"/>
  <c r="AW66" i="1"/>
  <c r="BA67" i="1"/>
  <c r="BQ67" i="1"/>
  <c r="BF144" i="1"/>
  <c r="BM68" i="1"/>
  <c r="BX144" i="1"/>
  <c r="BO266" i="1"/>
  <c r="BE225" i="1"/>
  <c r="BE227" i="1" s="1"/>
  <c r="AB163" i="1"/>
  <c r="AB165" i="1" s="1"/>
  <c r="AB169" i="1" s="1"/>
  <c r="CP165" i="1"/>
  <c r="BE149" i="1"/>
  <c r="BE150" i="1" s="1"/>
  <c r="BE77" i="1"/>
  <c r="BV143" i="1"/>
  <c r="CZ229" i="1"/>
  <c r="AV80" i="1"/>
  <c r="BS62" i="1"/>
  <c r="BT80" i="1"/>
  <c r="AL144" i="1"/>
  <c r="AL143" i="1"/>
  <c r="AI62" i="1"/>
  <c r="AL80" i="1"/>
  <c r="CY189" i="1"/>
  <c r="CZ228" i="1"/>
  <c r="AX80" i="1"/>
  <c r="BF80" i="1"/>
  <c r="BD80" i="1"/>
  <c r="BZ143" i="1"/>
  <c r="BZ144" i="1"/>
  <c r="BZ80" i="1"/>
  <c r="BW62" i="1"/>
  <c r="BY80" i="1"/>
  <c r="BD144" i="1"/>
  <c r="AU65" i="1"/>
  <c r="AU73" i="1" s="1"/>
  <c r="AU64" i="1"/>
  <c r="AT259" i="1"/>
  <c r="AX144" i="1"/>
  <c r="BJ66" i="1"/>
  <c r="AV143" i="1"/>
  <c r="AT266" i="1"/>
  <c r="AT66" i="1"/>
  <c r="DB189" i="1"/>
  <c r="DB229" i="1"/>
  <c r="DB230" i="1" s="1"/>
  <c r="AV64" i="1"/>
  <c r="AV65" i="1"/>
  <c r="AV73" i="1" s="1"/>
  <c r="AD102" i="1"/>
  <c r="CY102" i="1"/>
  <c r="V128" i="1"/>
  <c r="V129" i="1"/>
  <c r="V127" i="1"/>
  <c r="AW67" i="1"/>
  <c r="AS259" i="1"/>
  <c r="AZ66" i="1"/>
  <c r="AZ266" i="1"/>
  <c r="BA68" i="1"/>
  <c r="AP68" i="1"/>
  <c r="BD66" i="1"/>
  <c r="BD266" i="1"/>
  <c r="BE68" i="1"/>
  <c r="BD67" i="1"/>
  <c r="AS68" i="1"/>
  <c r="CY230" i="1"/>
  <c r="AX64" i="1"/>
  <c r="AX65" i="1"/>
  <c r="AX73" i="1" s="1"/>
  <c r="BR225" i="1"/>
  <c r="BR227" i="1" s="1"/>
  <c r="BR91" i="1"/>
  <c r="BR77" i="1"/>
  <c r="AT68" i="1"/>
  <c r="AS66" i="1"/>
  <c r="AS266" i="1"/>
  <c r="BF64" i="1"/>
  <c r="BF65" i="1"/>
  <c r="BF73" i="1" s="1"/>
  <c r="AY64" i="1"/>
  <c r="AY65" i="1"/>
  <c r="AY73" i="1" s="1"/>
  <c r="BG65" i="1"/>
  <c r="BG73" i="1" s="1"/>
  <c r="BG64" i="1"/>
  <c r="BN64" i="1"/>
  <c r="BN65" i="1"/>
  <c r="BN73" i="1" s="1"/>
  <c r="AO67" i="1"/>
  <c r="AR79" i="1"/>
  <c r="AO66" i="1"/>
  <c r="AO266" i="1"/>
  <c r="AS67" i="1"/>
  <c r="AN64" i="1"/>
  <c r="AN65" i="1"/>
  <c r="AN73" i="1" s="1"/>
  <c r="BI64" i="1"/>
  <c r="BI65" i="1"/>
  <c r="BI73" i="1" s="1"/>
  <c r="AR77" i="1"/>
  <c r="AR225" i="1"/>
  <c r="AR227" i="1" s="1"/>
  <c r="AR91" i="1"/>
  <c r="BH91" i="1"/>
  <c r="BH77" i="1"/>
  <c r="BH225" i="1"/>
  <c r="BH227" i="1" s="1"/>
  <c r="BV77" i="1"/>
  <c r="BV225" i="1"/>
  <c r="BV227" i="1" s="1"/>
  <c r="BV91" i="1"/>
  <c r="BT77" i="1"/>
  <c r="BT225" i="1"/>
  <c r="BT227" i="1" s="1"/>
  <c r="BT91" i="1"/>
  <c r="CV90" i="1"/>
  <c r="CV124" i="1" s="1"/>
  <c r="CV127" i="1" s="1"/>
  <c r="CW88" i="1"/>
  <c r="CC1" i="1"/>
  <c r="T91" i="1"/>
  <c r="T94" i="1" s="1"/>
  <c r="T79" i="1"/>
  <c r="U91" i="1"/>
  <c r="U94" i="1" s="1"/>
  <c r="U79" i="1"/>
  <c r="K77" i="1"/>
  <c r="K91" i="1"/>
  <c r="K93" i="1" s="1"/>
  <c r="O91" i="1"/>
  <c r="O93" i="1" s="1"/>
  <c r="G77" i="1"/>
  <c r="G91" i="1"/>
  <c r="G94" i="1" s="1"/>
  <c r="Q91" i="1"/>
  <c r="Q93" i="1" s="1"/>
  <c r="E77" i="1"/>
  <c r="E91" i="1"/>
  <c r="E93" i="1" s="1"/>
  <c r="N91" i="1"/>
  <c r="N94" i="1" s="1"/>
  <c r="H239" i="1"/>
  <c r="H237" i="1" s="1"/>
  <c r="H91" i="1"/>
  <c r="H93" i="1" s="1"/>
  <c r="P91" i="1"/>
  <c r="P94" i="1" s="1"/>
  <c r="R91" i="1"/>
  <c r="R93" i="1" s="1"/>
  <c r="S67" i="1"/>
  <c r="T67" i="1"/>
  <c r="S266" i="1"/>
  <c r="B66" i="1"/>
  <c r="C67" i="1"/>
  <c r="L266" i="1"/>
  <c r="O239" i="1"/>
  <c r="O237" i="1" s="1"/>
  <c r="O225" i="1"/>
  <c r="O227" i="1" s="1"/>
  <c r="O231" i="1" s="1"/>
  <c r="O245" i="1" s="1"/>
  <c r="O77" i="1"/>
  <c r="B266" i="1"/>
  <c r="B73" i="1"/>
  <c r="B79" i="1" s="1"/>
  <c r="M79" i="1"/>
  <c r="M67" i="1"/>
  <c r="M66" i="1"/>
  <c r="C266" i="1"/>
  <c r="C66" i="1"/>
  <c r="I79" i="1"/>
  <c r="I66" i="1"/>
  <c r="I67" i="1"/>
  <c r="J79" i="1"/>
  <c r="J66" i="1"/>
  <c r="J67" i="1"/>
  <c r="F79" i="1"/>
  <c r="F67" i="1"/>
  <c r="F66" i="1"/>
  <c r="L67" i="1"/>
  <c r="L66" i="1"/>
  <c r="K67" i="1"/>
  <c r="G67" i="1"/>
  <c r="N67" i="1"/>
  <c r="N239" i="1"/>
  <c r="N237" i="1" s="1"/>
  <c r="J266" i="1"/>
  <c r="E239" i="1"/>
  <c r="E237" i="1" s="1"/>
  <c r="E225" i="1"/>
  <c r="E227" i="1" s="1"/>
  <c r="E231" i="1" s="1"/>
  <c r="E245" i="1" s="1"/>
  <c r="R239" i="1"/>
  <c r="R237" i="1" s="1"/>
  <c r="R225" i="1"/>
  <c r="R227" i="1" s="1"/>
  <c r="R231" i="1" s="1"/>
  <c r="R245" i="1" s="1"/>
  <c r="M266" i="1"/>
  <c r="R77" i="1"/>
  <c r="I266" i="1"/>
  <c r="H77" i="1"/>
  <c r="H225" i="1"/>
  <c r="H227" i="1" s="1"/>
  <c r="H231" i="1" s="1"/>
  <c r="H245" i="1" s="1"/>
  <c r="F266" i="1"/>
  <c r="C73" i="1"/>
  <c r="C79" i="1" s="1"/>
  <c r="N225" i="1"/>
  <c r="N227" i="1" s="1"/>
  <c r="N231" i="1" s="1"/>
  <c r="N245" i="1" s="1"/>
  <c r="N77" i="1"/>
  <c r="G239" i="1"/>
  <c r="G237" i="1" s="1"/>
  <c r="P239" i="1"/>
  <c r="P237" i="1" s="1"/>
  <c r="G225" i="1"/>
  <c r="G227" i="1" s="1"/>
  <c r="G231" i="1" s="1"/>
  <c r="G245" i="1" s="1"/>
  <c r="P77" i="1"/>
  <c r="K225" i="1"/>
  <c r="K227" i="1" s="1"/>
  <c r="K231" i="1" s="1"/>
  <c r="K245" i="1" s="1"/>
  <c r="P225" i="1"/>
  <c r="P227" i="1" s="1"/>
  <c r="P231" i="1" s="1"/>
  <c r="P245" i="1" s="1"/>
  <c r="K239" i="1"/>
  <c r="K237" i="1" s="1"/>
  <c r="V242" i="1"/>
  <c r="V243" i="1" s="1"/>
  <c r="U77" i="1"/>
  <c r="U225" i="1"/>
  <c r="U227" i="1" s="1"/>
  <c r="U231" i="1" s="1"/>
  <c r="U245" i="1" s="1"/>
  <c r="U239" i="1"/>
  <c r="U237" i="1" s="1"/>
  <c r="Q77" i="1"/>
  <c r="Q225" i="1"/>
  <c r="Q227" i="1" s="1"/>
  <c r="Q231" i="1" s="1"/>
  <c r="Q245" i="1" s="1"/>
  <c r="Q239" i="1"/>
  <c r="Q237" i="1" s="1"/>
  <c r="T77" i="1"/>
  <c r="T225" i="1"/>
  <c r="T227" i="1" s="1"/>
  <c r="T231" i="1" s="1"/>
  <c r="T245" i="1" s="1"/>
  <c r="T239" i="1"/>
  <c r="T237" i="1" s="1"/>
  <c r="BQ119" i="1" l="1"/>
  <c r="BQ239" i="1"/>
  <c r="BQ237" i="1" s="1"/>
  <c r="BR239" i="1"/>
  <c r="BR237" i="1" s="1"/>
  <c r="BQ121" i="1"/>
  <c r="BQ160" i="1"/>
  <c r="BQ80" i="1" s="1"/>
  <c r="BK66" i="1"/>
  <c r="BK266" i="1"/>
  <c r="BL68" i="1"/>
  <c r="BP91" i="1"/>
  <c r="BP225" i="1"/>
  <c r="BP227" i="1" s="1"/>
  <c r="BK68" i="1"/>
  <c r="BM259" i="1"/>
  <c r="BO67" i="1"/>
  <c r="BU266" i="1"/>
  <c r="BU73" i="1"/>
  <c r="BU91" i="1" s="1"/>
  <c r="AP77" i="1"/>
  <c r="AP91" i="1"/>
  <c r="BC259" i="1"/>
  <c r="S86" i="1"/>
  <c r="AQ117" i="1"/>
  <c r="AQ160" i="1"/>
  <c r="AQ80" i="1" s="1"/>
  <c r="AQ239" i="1"/>
  <c r="AQ237" i="1" s="1"/>
  <c r="AU259" i="1"/>
  <c r="AW259" i="1"/>
  <c r="BU67" i="1"/>
  <c r="AW225" i="1"/>
  <c r="AW227" i="1" s="1"/>
  <c r="AW77" i="1"/>
  <c r="BC67" i="1"/>
  <c r="BC68" i="1"/>
  <c r="BC66" i="1"/>
  <c r="BC266" i="1"/>
  <c r="BD259" i="1"/>
  <c r="BE259" i="1"/>
  <c r="BD68" i="1"/>
  <c r="BY67" i="1"/>
  <c r="AW91" i="1"/>
  <c r="BV68" i="1"/>
  <c r="BU66" i="1"/>
  <c r="BM77" i="1"/>
  <c r="BA117" i="1"/>
  <c r="BB239" i="1"/>
  <c r="BB237" i="1" s="1"/>
  <c r="BA239" i="1"/>
  <c r="BA237" i="1" s="1"/>
  <c r="BA160" i="1"/>
  <c r="BA80" i="1" s="1"/>
  <c r="BU68" i="1"/>
  <c r="BM149" i="1"/>
  <c r="BM150" i="1" s="1"/>
  <c r="BM117" i="1" s="1"/>
  <c r="BM119" i="1" s="1"/>
  <c r="BK91" i="1"/>
  <c r="BM91" i="1"/>
  <c r="V86" i="1"/>
  <c r="BO225" i="1"/>
  <c r="BO227" i="1" s="1"/>
  <c r="BO91" i="1"/>
  <c r="BR79" i="1"/>
  <c r="BO77" i="1"/>
  <c r="CZ230" i="1"/>
  <c r="CQ56" i="1"/>
  <c r="CP169" i="1"/>
  <c r="CP235" i="1" s="1"/>
  <c r="CP233" i="1" s="1"/>
  <c r="BK225" i="1"/>
  <c r="BK227" i="1" s="1"/>
  <c r="BE117" i="1"/>
  <c r="BE239" i="1"/>
  <c r="BE237" i="1" s="1"/>
  <c r="BE160" i="1"/>
  <c r="BE80" i="1" s="1"/>
  <c r="AI65" i="1"/>
  <c r="AI73" i="1" s="1"/>
  <c r="AI64" i="1"/>
  <c r="BS65" i="1"/>
  <c r="BS73" i="1" s="1"/>
  <c r="BS64" i="1"/>
  <c r="AW119" i="1"/>
  <c r="AW121" i="1"/>
  <c r="AW120" i="1"/>
  <c r="BK149" i="1"/>
  <c r="BK150" i="1" s="1"/>
  <c r="BK117" i="1" s="1"/>
  <c r="BO119" i="1"/>
  <c r="BO120" i="1"/>
  <c r="BO121" i="1"/>
  <c r="BW65" i="1"/>
  <c r="BW73" i="1" s="1"/>
  <c r="BW64" i="1"/>
  <c r="AT91" i="1"/>
  <c r="AT225" i="1"/>
  <c r="AT227" i="1" s="1"/>
  <c r="AT77" i="1"/>
  <c r="BJ77" i="1"/>
  <c r="BJ225" i="1"/>
  <c r="BJ227" i="1" s="1"/>
  <c r="BJ91" i="1"/>
  <c r="AV259" i="1"/>
  <c r="AT79" i="1"/>
  <c r="AZ67" i="1"/>
  <c r="AU67" i="1"/>
  <c r="AU66" i="1"/>
  <c r="AU68" i="1"/>
  <c r="AU266" i="1"/>
  <c r="AV68" i="1"/>
  <c r="AV66" i="1"/>
  <c r="AV67" i="1"/>
  <c r="AV266" i="1"/>
  <c r="AW68" i="1"/>
  <c r="CZ102" i="1"/>
  <c r="AZ91" i="1"/>
  <c r="AZ77" i="1"/>
  <c r="AZ225" i="1"/>
  <c r="AZ227" i="1" s="1"/>
  <c r="BD77" i="1"/>
  <c r="BD225" i="1"/>
  <c r="BD227" i="1" s="1"/>
  <c r="BD91" i="1"/>
  <c r="P86" i="1"/>
  <c r="AO68" i="1"/>
  <c r="AO259" i="1"/>
  <c r="AN266" i="1"/>
  <c r="AN259" i="1"/>
  <c r="AN67" i="1"/>
  <c r="AN68" i="1"/>
  <c r="AN66" i="1"/>
  <c r="AP259" i="1"/>
  <c r="AR67" i="1"/>
  <c r="AQ259" i="1"/>
  <c r="BG266" i="1"/>
  <c r="BG67" i="1"/>
  <c r="BJ259" i="1"/>
  <c r="BG66" i="1"/>
  <c r="BK67" i="1"/>
  <c r="BH68" i="1"/>
  <c r="AY66" i="1"/>
  <c r="AY266" i="1"/>
  <c r="BB259" i="1"/>
  <c r="AY67" i="1"/>
  <c r="AZ68" i="1"/>
  <c r="AO91" i="1"/>
  <c r="AO77" i="1"/>
  <c r="AO225" i="1"/>
  <c r="AO227" i="1" s="1"/>
  <c r="AO149" i="1"/>
  <c r="AO150" i="1" s="1"/>
  <c r="AO117" i="1" s="1"/>
  <c r="BG259" i="1"/>
  <c r="BF266" i="1"/>
  <c r="BG68" i="1"/>
  <c r="BF66" i="1"/>
  <c r="BF68" i="1"/>
  <c r="BJ67" i="1"/>
  <c r="BH259" i="1"/>
  <c r="BF67" i="1"/>
  <c r="BF259" i="1"/>
  <c r="BI259" i="1"/>
  <c r="BI266" i="1"/>
  <c r="BL259" i="1"/>
  <c r="BK259" i="1"/>
  <c r="BI67" i="1"/>
  <c r="BJ68" i="1"/>
  <c r="BI68" i="1"/>
  <c r="BM67" i="1"/>
  <c r="BI66" i="1"/>
  <c r="BB67" i="1"/>
  <c r="AX66" i="1"/>
  <c r="AX239" i="1"/>
  <c r="AX237" i="1" s="1"/>
  <c r="AX67" i="1"/>
  <c r="AX266" i="1"/>
  <c r="AY68" i="1"/>
  <c r="BA259" i="1"/>
  <c r="AZ259" i="1"/>
  <c r="AX68" i="1"/>
  <c r="AX259" i="1"/>
  <c r="AY259" i="1"/>
  <c r="BN66" i="1"/>
  <c r="BN67" i="1"/>
  <c r="BR67" i="1"/>
  <c r="BN266" i="1"/>
  <c r="BN68" i="1"/>
  <c r="BO68" i="1"/>
  <c r="BN259" i="1"/>
  <c r="BP259" i="1"/>
  <c r="BO259" i="1"/>
  <c r="BQ259" i="1"/>
  <c r="AS91" i="1"/>
  <c r="AS225" i="1"/>
  <c r="AS227" i="1" s="1"/>
  <c r="AS149" i="1"/>
  <c r="AS150" i="1" s="1"/>
  <c r="AS117" i="1" s="1"/>
  <c r="AS77" i="1"/>
  <c r="BC91" i="1"/>
  <c r="BC77" i="1"/>
  <c r="BC149" i="1"/>
  <c r="BC150" i="1" s="1"/>
  <c r="BC117" i="1" s="1"/>
  <c r="BO239" i="1"/>
  <c r="BO237" i="1" s="1"/>
  <c r="BO160" i="1"/>
  <c r="BO80" i="1" s="1"/>
  <c r="BP239" i="1"/>
  <c r="BP237" i="1" s="1"/>
  <c r="AW160" i="1"/>
  <c r="AW80" i="1" s="1"/>
  <c r="AW239" i="1"/>
  <c r="AW237" i="1" s="1"/>
  <c r="AC173" i="1"/>
  <c r="CX88" i="1"/>
  <c r="CW90" i="1"/>
  <c r="CW124" i="1" s="1"/>
  <c r="CW127" i="1" s="1"/>
  <c r="G112" i="1"/>
  <c r="U110" i="1"/>
  <c r="U95" i="1"/>
  <c r="V95" i="1"/>
  <c r="P112" i="1"/>
  <c r="S114" i="1"/>
  <c r="N110" i="1"/>
  <c r="CD1" i="1"/>
  <c r="CE1" i="1" s="1"/>
  <c r="CF1" i="1" s="1"/>
  <c r="CG1" i="1" s="1"/>
  <c r="CH1" i="1" s="1"/>
  <c r="CI1" i="1" s="1"/>
  <c r="CJ1" i="1" s="1"/>
  <c r="CK1" i="1" s="1"/>
  <c r="CL1" i="1" s="1"/>
  <c r="T93" i="1"/>
  <c r="T112" i="1"/>
  <c r="T111" i="1"/>
  <c r="T110" i="1"/>
  <c r="U93" i="1"/>
  <c r="T114" i="1"/>
  <c r="U111" i="1"/>
  <c r="L225" i="1"/>
  <c r="L227" i="1" s="1"/>
  <c r="L231" i="1" s="1"/>
  <c r="L245" i="1" s="1"/>
  <c r="L79" i="1"/>
  <c r="U112" i="1"/>
  <c r="K242" i="1"/>
  <c r="K243" i="1" s="1"/>
  <c r="J225" i="1"/>
  <c r="J227" i="1" s="1"/>
  <c r="J231" i="1" s="1"/>
  <c r="J245" i="1" s="1"/>
  <c r="J239" i="1"/>
  <c r="J237" i="1" s="1"/>
  <c r="C114" i="1"/>
  <c r="G110" i="1"/>
  <c r="E94" i="1"/>
  <c r="E95" i="1" s="1"/>
  <c r="G93" i="1"/>
  <c r="G111" i="1"/>
  <c r="F114" i="1"/>
  <c r="H94" i="1"/>
  <c r="P110" i="1"/>
  <c r="O114" i="1"/>
  <c r="P93" i="1"/>
  <c r="P111" i="1"/>
  <c r="O94" i="1"/>
  <c r="P95" i="1" s="1"/>
  <c r="N112" i="1"/>
  <c r="M114" i="1"/>
  <c r="N111" i="1"/>
  <c r="Q94" i="1"/>
  <c r="K94" i="1"/>
  <c r="N93" i="1"/>
  <c r="R94" i="1"/>
  <c r="J91" i="1"/>
  <c r="J94" i="1" s="1"/>
  <c r="M225" i="1"/>
  <c r="M227" i="1" s="1"/>
  <c r="M231" i="1" s="1"/>
  <c r="M245" i="1" s="1"/>
  <c r="M91" i="1"/>
  <c r="M94" i="1" s="1"/>
  <c r="B77" i="1"/>
  <c r="B91" i="1"/>
  <c r="B93" i="1" s="1"/>
  <c r="F77" i="1"/>
  <c r="F91" i="1"/>
  <c r="F94" i="1" s="1"/>
  <c r="I77" i="1"/>
  <c r="I91" i="1"/>
  <c r="I93" i="1" s="1"/>
  <c r="C77" i="1"/>
  <c r="C91" i="1"/>
  <c r="C93" i="1" s="1"/>
  <c r="L77" i="1"/>
  <c r="L91" i="1"/>
  <c r="S91" i="1"/>
  <c r="S93" i="1" s="1"/>
  <c r="S239" i="1"/>
  <c r="S237" i="1" s="1"/>
  <c r="S77" i="1"/>
  <c r="J77" i="1"/>
  <c r="S225" i="1"/>
  <c r="S227" i="1" s="1"/>
  <c r="S231" i="1" s="1"/>
  <c r="S245" i="1" s="1"/>
  <c r="L239" i="1"/>
  <c r="L237" i="1" s="1"/>
  <c r="O242" i="1"/>
  <c r="O243" i="1" s="1"/>
  <c r="I239" i="1"/>
  <c r="I237" i="1" s="1"/>
  <c r="M239" i="1"/>
  <c r="M237" i="1" s="1"/>
  <c r="M77" i="1"/>
  <c r="I225" i="1"/>
  <c r="I227" i="1" s="1"/>
  <c r="I231" i="1" s="1"/>
  <c r="I245" i="1" s="1"/>
  <c r="F225" i="1"/>
  <c r="F227" i="1" s="1"/>
  <c r="F231" i="1" s="1"/>
  <c r="F245" i="1" s="1"/>
  <c r="F239" i="1"/>
  <c r="F237" i="1" s="1"/>
  <c r="E242" i="1"/>
  <c r="E243" i="1" s="1"/>
  <c r="H242" i="1"/>
  <c r="H243" i="1" s="1"/>
  <c r="R242" i="1"/>
  <c r="R243" i="1" s="1"/>
  <c r="G242" i="1"/>
  <c r="G243" i="1" s="1"/>
  <c r="C225" i="1"/>
  <c r="C227" i="1" s="1"/>
  <c r="C231" i="1" s="1"/>
  <c r="C245" i="1" s="1"/>
  <c r="C239" i="1"/>
  <c r="C237" i="1" s="1"/>
  <c r="N242" i="1"/>
  <c r="N243" i="1" s="1"/>
  <c r="P242" i="1"/>
  <c r="P243" i="1" s="1"/>
  <c r="Q242" i="1"/>
  <c r="Q243" i="1" s="1"/>
  <c r="T242" i="1"/>
  <c r="T243" i="1" s="1"/>
  <c r="U242" i="1"/>
  <c r="U243" i="1" s="1"/>
  <c r="BR94" i="1" l="1"/>
  <c r="AS94" i="1"/>
  <c r="AS111" i="1" s="1"/>
  <c r="BC225" i="1"/>
  <c r="BC227" i="1" s="1"/>
  <c r="BD79" i="1"/>
  <c r="BE79" i="1"/>
  <c r="AR94" i="1"/>
  <c r="AR112" i="1" s="1"/>
  <c r="AQ119" i="1"/>
  <c r="AQ121" i="1"/>
  <c r="AQ120" i="1"/>
  <c r="BU149" i="1"/>
  <c r="BU150" i="1" s="1"/>
  <c r="BV239" i="1" s="1"/>
  <c r="BV237" i="1" s="1"/>
  <c r="BM160" i="1"/>
  <c r="BM80" i="1" s="1"/>
  <c r="BM239" i="1"/>
  <c r="BM237" i="1" s="1"/>
  <c r="BM120" i="1"/>
  <c r="BM79" i="1"/>
  <c r="BN239" i="1"/>
  <c r="BN237" i="1" s="1"/>
  <c r="BU77" i="1"/>
  <c r="BU225" i="1"/>
  <c r="BU227" i="1" s="1"/>
  <c r="BM94" i="1"/>
  <c r="BM121" i="1"/>
  <c r="BA119" i="1"/>
  <c r="BA120" i="1"/>
  <c r="BA121" i="1"/>
  <c r="AT94" i="1"/>
  <c r="BL239" i="1"/>
  <c r="BL237" i="1" s="1"/>
  <c r="BK160" i="1"/>
  <c r="BK80" i="1" s="1"/>
  <c r="CQ282" i="1"/>
  <c r="CQ226" i="1"/>
  <c r="CQ163" i="1"/>
  <c r="BK239" i="1"/>
  <c r="BK237" i="1" s="1"/>
  <c r="BE121" i="1"/>
  <c r="BE119" i="1"/>
  <c r="BE120" i="1"/>
  <c r="BS266" i="1"/>
  <c r="BS259" i="1"/>
  <c r="BT259" i="1"/>
  <c r="BS66" i="1"/>
  <c r="BT68" i="1"/>
  <c r="BS67" i="1"/>
  <c r="BV259" i="1"/>
  <c r="BS68" i="1"/>
  <c r="AJ68" i="1"/>
  <c r="AM67" i="1"/>
  <c r="AI66" i="1"/>
  <c r="AI266" i="1"/>
  <c r="AL259" i="1"/>
  <c r="BK79" i="1"/>
  <c r="BC119" i="1"/>
  <c r="BC121" i="1"/>
  <c r="BC120" i="1"/>
  <c r="AS119" i="1"/>
  <c r="AS120" i="1"/>
  <c r="AS121" i="1"/>
  <c r="BK121" i="1"/>
  <c r="BK119" i="1"/>
  <c r="BK120" i="1"/>
  <c r="AO119" i="1"/>
  <c r="AO120" i="1"/>
  <c r="AO121" i="1"/>
  <c r="X86" i="1"/>
  <c r="CA67" i="1"/>
  <c r="BW66" i="1"/>
  <c r="BW259" i="1"/>
  <c r="BZ259" i="1"/>
  <c r="BW68" i="1"/>
  <c r="BX68" i="1"/>
  <c r="BW67" i="1"/>
  <c r="BW266" i="1"/>
  <c r="BY259" i="1"/>
  <c r="BX259" i="1"/>
  <c r="AU91" i="1"/>
  <c r="AU77" i="1"/>
  <c r="AU225" i="1"/>
  <c r="AU227" i="1" s="1"/>
  <c r="AU149" i="1"/>
  <c r="AU150" i="1" s="1"/>
  <c r="AV79" i="1"/>
  <c r="AV225" i="1"/>
  <c r="AV227" i="1" s="1"/>
  <c r="AV91" i="1"/>
  <c r="AV77" i="1"/>
  <c r="AW79" i="1"/>
  <c r="DA102" i="1"/>
  <c r="P128" i="1"/>
  <c r="N128" i="1"/>
  <c r="T127" i="1"/>
  <c r="T128" i="1"/>
  <c r="N129" i="1"/>
  <c r="G128" i="1"/>
  <c r="U129" i="1"/>
  <c r="T129" i="1"/>
  <c r="U127" i="1"/>
  <c r="G129" i="1"/>
  <c r="G127" i="1"/>
  <c r="U128" i="1"/>
  <c r="N127" i="1"/>
  <c r="P127" i="1"/>
  <c r="P129" i="1"/>
  <c r="BO79" i="1"/>
  <c r="BF91" i="1"/>
  <c r="BF239" i="1"/>
  <c r="BF237" i="1" s="1"/>
  <c r="BH79" i="1"/>
  <c r="BF77" i="1"/>
  <c r="BF225" i="1"/>
  <c r="BF227" i="1" s="1"/>
  <c r="AY149" i="1"/>
  <c r="AY150" i="1" s="1"/>
  <c r="AY117" i="1" s="1"/>
  <c r="AY225" i="1"/>
  <c r="AY227" i="1" s="1"/>
  <c r="AY77" i="1"/>
  <c r="AY91" i="1"/>
  <c r="BB94" i="1" s="1"/>
  <c r="BB79" i="1"/>
  <c r="R86" i="1"/>
  <c r="BJ79" i="1"/>
  <c r="BG91" i="1"/>
  <c r="BG77" i="1"/>
  <c r="T86" i="1"/>
  <c r="BG149" i="1"/>
  <c r="BG150" i="1" s="1"/>
  <c r="BG117" i="1" s="1"/>
  <c r="BG225" i="1"/>
  <c r="BG227" i="1" s="1"/>
  <c r="AO160" i="1"/>
  <c r="AO80" i="1" s="1"/>
  <c r="AO79" i="1"/>
  <c r="AO239" i="1"/>
  <c r="AO237" i="1" s="1"/>
  <c r="AP239" i="1"/>
  <c r="AP237" i="1" s="1"/>
  <c r="AX91" i="1"/>
  <c r="AX77" i="1"/>
  <c r="AX225" i="1"/>
  <c r="AX227" i="1" s="1"/>
  <c r="BA79" i="1"/>
  <c r="AZ79" i="1"/>
  <c r="Q86" i="1"/>
  <c r="AX79" i="1"/>
  <c r="BI91" i="1"/>
  <c r="BI225" i="1"/>
  <c r="BI227" i="1" s="1"/>
  <c r="BI149" i="1"/>
  <c r="BI150" i="1" s="1"/>
  <c r="BI117" i="1" s="1"/>
  <c r="BI77" i="1"/>
  <c r="BL79" i="1"/>
  <c r="AN79" i="1"/>
  <c r="AN91" i="1"/>
  <c r="AN239" i="1"/>
  <c r="AN237" i="1" s="1"/>
  <c r="AN77" i="1"/>
  <c r="AN225" i="1"/>
  <c r="AN227" i="1" s="1"/>
  <c r="AP79" i="1"/>
  <c r="O86" i="1"/>
  <c r="AQ79" i="1"/>
  <c r="AS239" i="1"/>
  <c r="AS237" i="1" s="1"/>
  <c r="AS79" i="1"/>
  <c r="AT239" i="1"/>
  <c r="AT237" i="1" s="1"/>
  <c r="AS160" i="1"/>
  <c r="AS80" i="1" s="1"/>
  <c r="BN91" i="1"/>
  <c r="BN77" i="1"/>
  <c r="BN225" i="1"/>
  <c r="BN227" i="1" s="1"/>
  <c r="BN79" i="1"/>
  <c r="BP79" i="1"/>
  <c r="U86" i="1"/>
  <c r="BQ79" i="1"/>
  <c r="BF79" i="1"/>
  <c r="BD239" i="1"/>
  <c r="BD237" i="1" s="1"/>
  <c r="BC239" i="1"/>
  <c r="BC237" i="1" s="1"/>
  <c r="BC160" i="1"/>
  <c r="BC80" i="1" s="1"/>
  <c r="BD94" i="1"/>
  <c r="BE94" i="1"/>
  <c r="BC94" i="1"/>
  <c r="BC79" i="1"/>
  <c r="CX90" i="1"/>
  <c r="CX124" i="1" s="1"/>
  <c r="CX127" i="1" s="1"/>
  <c r="CY88" i="1"/>
  <c r="AB154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M112" i="1"/>
  <c r="O112" i="1"/>
  <c r="O95" i="1"/>
  <c r="F111" i="1"/>
  <c r="F95" i="1"/>
  <c r="G114" i="1"/>
  <c r="H95" i="1"/>
  <c r="N95" i="1"/>
  <c r="J110" i="1"/>
  <c r="R112" i="1"/>
  <c r="R95" i="1"/>
  <c r="J114" i="1"/>
  <c r="K95" i="1"/>
  <c r="Q111" i="1"/>
  <c r="Q95" i="1"/>
  <c r="G95" i="1"/>
  <c r="E111" i="1"/>
  <c r="D114" i="1"/>
  <c r="L242" i="1"/>
  <c r="L243" i="1" s="1"/>
  <c r="J242" i="1"/>
  <c r="J243" i="1" s="1"/>
  <c r="M242" i="1"/>
  <c r="M243" i="1" s="1"/>
  <c r="F112" i="1"/>
  <c r="K112" i="1"/>
  <c r="P114" i="1"/>
  <c r="Q110" i="1"/>
  <c r="E110" i="1"/>
  <c r="E112" i="1"/>
  <c r="K111" i="1"/>
  <c r="K110" i="1"/>
  <c r="H111" i="1"/>
  <c r="H110" i="1"/>
  <c r="M110" i="1"/>
  <c r="H112" i="1"/>
  <c r="F93" i="1"/>
  <c r="F110" i="1"/>
  <c r="E114" i="1"/>
  <c r="S94" i="1"/>
  <c r="I94" i="1"/>
  <c r="J95" i="1" s="1"/>
  <c r="C94" i="1"/>
  <c r="O110" i="1"/>
  <c r="N114" i="1"/>
  <c r="O111" i="1"/>
  <c r="M111" i="1"/>
  <c r="L114" i="1"/>
  <c r="Q114" i="1"/>
  <c r="M93" i="1"/>
  <c r="R111" i="1"/>
  <c r="Q112" i="1"/>
  <c r="R110" i="1"/>
  <c r="J112" i="1"/>
  <c r="J111" i="1"/>
  <c r="J93" i="1"/>
  <c r="L94" i="1"/>
  <c r="L95" i="1" s="1"/>
  <c r="L93" i="1"/>
  <c r="I114" i="1"/>
  <c r="B94" i="1"/>
  <c r="B111" i="1" s="1"/>
  <c r="S242" i="1"/>
  <c r="S243" i="1" s="1"/>
  <c r="I242" i="1"/>
  <c r="I243" i="1" s="1"/>
  <c r="F242" i="1"/>
  <c r="F243" i="1" s="1"/>
  <c r="C242" i="1"/>
  <c r="C243" i="1" s="1"/>
  <c r="BN114" i="1" l="1"/>
  <c r="BR111" i="1"/>
  <c r="BR112" i="1"/>
  <c r="BR110" i="1"/>
  <c r="AS110" i="1"/>
  <c r="AS112" i="1"/>
  <c r="AO114" i="1"/>
  <c r="AP114" i="1"/>
  <c r="AR111" i="1"/>
  <c r="BM110" i="1"/>
  <c r="AR110" i="1"/>
  <c r="AN114" i="1"/>
  <c r="BU160" i="1"/>
  <c r="BU80" i="1" s="1"/>
  <c r="AT110" i="1"/>
  <c r="BU117" i="1"/>
  <c r="BU239" i="1"/>
  <c r="BU237" i="1" s="1"/>
  <c r="BI114" i="1"/>
  <c r="BM112" i="1"/>
  <c r="AV94" i="1"/>
  <c r="BM111" i="1"/>
  <c r="AT112" i="1"/>
  <c r="AT111" i="1"/>
  <c r="BI94" i="1"/>
  <c r="BI95" i="1" s="1"/>
  <c r="BH94" i="1"/>
  <c r="BG94" i="1"/>
  <c r="BG95" i="1" s="1"/>
  <c r="AX94" i="1"/>
  <c r="AW94" i="1"/>
  <c r="AQ94" i="1"/>
  <c r="AN94" i="1"/>
  <c r="AR95" i="1" s="1"/>
  <c r="AO94" i="1"/>
  <c r="AS95" i="1" s="1"/>
  <c r="AP94" i="1"/>
  <c r="AT95" i="1" s="1"/>
  <c r="BQ94" i="1"/>
  <c r="BO94" i="1"/>
  <c r="BP94" i="1"/>
  <c r="BN94" i="1"/>
  <c r="BR95" i="1" s="1"/>
  <c r="BA94" i="1"/>
  <c r="AZ94" i="1"/>
  <c r="BD95" i="1" s="1"/>
  <c r="BL94" i="1"/>
  <c r="BK94" i="1"/>
  <c r="BJ94" i="1"/>
  <c r="AY94" i="1"/>
  <c r="BF94" i="1"/>
  <c r="BF95" i="1" s="1"/>
  <c r="AU94" i="1"/>
  <c r="AY95" i="1" s="1"/>
  <c r="CQ165" i="1"/>
  <c r="BS91" i="1"/>
  <c r="BV79" i="1"/>
  <c r="BS149" i="1"/>
  <c r="BS150" i="1" s="1"/>
  <c r="BS79" i="1" s="1"/>
  <c r="BS77" i="1"/>
  <c r="BS225" i="1"/>
  <c r="BS227" i="1" s="1"/>
  <c r="BT79" i="1"/>
  <c r="BU79" i="1"/>
  <c r="AI225" i="1"/>
  <c r="AI227" i="1" s="1"/>
  <c r="AI231" i="1" s="1"/>
  <c r="AI245" i="1" s="1"/>
  <c r="AI91" i="1"/>
  <c r="AL94" i="1" s="1"/>
  <c r="AI77" i="1"/>
  <c r="AL79" i="1"/>
  <c r="N86" i="1"/>
  <c r="AI239" i="1"/>
  <c r="AI237" i="1" s="1"/>
  <c r="BI119" i="1"/>
  <c r="BI120" i="1"/>
  <c r="BI121" i="1"/>
  <c r="BG119" i="1"/>
  <c r="BG120" i="1"/>
  <c r="BG121" i="1"/>
  <c r="AY119" i="1"/>
  <c r="AY120" i="1"/>
  <c r="AY121" i="1"/>
  <c r="BZ79" i="1"/>
  <c r="BW149" i="1"/>
  <c r="BW150" i="1" s="1"/>
  <c r="BW79" i="1" s="1"/>
  <c r="BW225" i="1"/>
  <c r="BW227" i="1" s="1"/>
  <c r="BX79" i="1"/>
  <c r="BW77" i="1"/>
  <c r="BY79" i="1"/>
  <c r="BW91" i="1"/>
  <c r="AV239" i="1"/>
  <c r="AV237" i="1" s="1"/>
  <c r="AU239" i="1"/>
  <c r="AU237" i="1" s="1"/>
  <c r="AU117" i="1"/>
  <c r="AU160" i="1"/>
  <c r="AU80" i="1" s="1"/>
  <c r="AU79" i="1"/>
  <c r="DB102" i="1"/>
  <c r="H128" i="1"/>
  <c r="K127" i="1"/>
  <c r="K128" i="1"/>
  <c r="F128" i="1"/>
  <c r="F129" i="1"/>
  <c r="F127" i="1"/>
  <c r="E129" i="1"/>
  <c r="J128" i="1"/>
  <c r="J129" i="1"/>
  <c r="O128" i="1"/>
  <c r="E127" i="1"/>
  <c r="R129" i="1"/>
  <c r="O129" i="1"/>
  <c r="M128" i="1"/>
  <c r="R127" i="1"/>
  <c r="H129" i="1"/>
  <c r="Q127" i="1"/>
  <c r="E128" i="1"/>
  <c r="J127" i="1"/>
  <c r="M129" i="1"/>
  <c r="O127" i="1"/>
  <c r="M127" i="1"/>
  <c r="Q128" i="1"/>
  <c r="Q129" i="1"/>
  <c r="R128" i="1"/>
  <c r="H127" i="1"/>
  <c r="K129" i="1"/>
  <c r="BG79" i="1"/>
  <c r="BG239" i="1"/>
  <c r="BG237" i="1" s="1"/>
  <c r="BG160" i="1"/>
  <c r="BG80" i="1" s="1"/>
  <c r="BH239" i="1"/>
  <c r="BH237" i="1" s="1"/>
  <c r="BI160" i="1"/>
  <c r="BI80" i="1" s="1"/>
  <c r="BI239" i="1"/>
  <c r="BI237" i="1" s="1"/>
  <c r="BI79" i="1"/>
  <c r="BJ239" i="1"/>
  <c r="BJ237" i="1" s="1"/>
  <c r="AZ239" i="1"/>
  <c r="AZ237" i="1" s="1"/>
  <c r="AY239" i="1"/>
  <c r="AY237" i="1" s="1"/>
  <c r="AY160" i="1"/>
  <c r="AY80" i="1" s="1"/>
  <c r="AY79" i="1"/>
  <c r="BB112" i="1"/>
  <c r="AX114" i="1"/>
  <c r="BB111" i="1"/>
  <c r="BB110" i="1"/>
  <c r="AY114" i="1"/>
  <c r="BC110" i="1"/>
  <c r="BC111" i="1"/>
  <c r="BC112" i="1"/>
  <c r="BE112" i="1"/>
  <c r="BE110" i="1"/>
  <c r="BA114" i="1"/>
  <c r="BE111" i="1"/>
  <c r="BD111" i="1"/>
  <c r="AZ114" i="1"/>
  <c r="BD112" i="1"/>
  <c r="BD110" i="1"/>
  <c r="CY90" i="1"/>
  <c r="CY124" i="1" s="1"/>
  <c r="CY127" i="1" s="1"/>
  <c r="CZ88" i="1"/>
  <c r="C112" i="1"/>
  <c r="C95" i="1"/>
  <c r="D95" i="1"/>
  <c r="S111" i="1"/>
  <c r="S95" i="1"/>
  <c r="T95" i="1"/>
  <c r="M95" i="1"/>
  <c r="I111" i="1"/>
  <c r="I95" i="1"/>
  <c r="I112" i="1"/>
  <c r="I110" i="1"/>
  <c r="S110" i="1"/>
  <c r="H114" i="1"/>
  <c r="R114" i="1"/>
  <c r="S112" i="1"/>
  <c r="C111" i="1"/>
  <c r="C110" i="1"/>
  <c r="B114" i="1"/>
  <c r="B112" i="1"/>
  <c r="B110" i="1"/>
  <c r="L110" i="1"/>
  <c r="L111" i="1"/>
  <c r="L112" i="1"/>
  <c r="K114" i="1"/>
  <c r="BO95" i="1" l="1"/>
  <c r="BJ111" i="1"/>
  <c r="BN95" i="1"/>
  <c r="BQ110" i="1"/>
  <c r="BL95" i="1"/>
  <c r="BQ95" i="1"/>
  <c r="BL112" i="1"/>
  <c r="BP95" i="1"/>
  <c r="AP95" i="1"/>
  <c r="BA112" i="1"/>
  <c r="BE95" i="1"/>
  <c r="AQ110" i="1"/>
  <c r="AU95" i="1"/>
  <c r="AQ95" i="1"/>
  <c r="BA95" i="1"/>
  <c r="AW95" i="1"/>
  <c r="AR114" i="1"/>
  <c r="AZ95" i="1"/>
  <c r="AV95" i="1"/>
  <c r="BE114" i="1"/>
  <c r="BM95" i="1"/>
  <c r="BJ95" i="1"/>
  <c r="AX112" i="1"/>
  <c r="BB95" i="1"/>
  <c r="BH95" i="1"/>
  <c r="AX95" i="1"/>
  <c r="AY111" i="1"/>
  <c r="BC95" i="1"/>
  <c r="BK95" i="1"/>
  <c r="AV110" i="1"/>
  <c r="AV111" i="1"/>
  <c r="BU119" i="1"/>
  <c r="BU120" i="1"/>
  <c r="BU121" i="1"/>
  <c r="AQ111" i="1"/>
  <c r="BA110" i="1"/>
  <c r="AM114" i="1"/>
  <c r="BA111" i="1"/>
  <c r="AW114" i="1"/>
  <c r="AV112" i="1"/>
  <c r="AQ112" i="1"/>
  <c r="BI111" i="1"/>
  <c r="BI112" i="1"/>
  <c r="BI110" i="1"/>
  <c r="BQ112" i="1"/>
  <c r="BJ110" i="1"/>
  <c r="BM114" i="1"/>
  <c r="BJ112" i="1"/>
  <c r="BF114" i="1"/>
  <c r="BL111" i="1"/>
  <c r="BH114" i="1"/>
  <c r="BQ111" i="1"/>
  <c r="BL110" i="1"/>
  <c r="AX110" i="1"/>
  <c r="AY110" i="1"/>
  <c r="AX111" i="1"/>
  <c r="BF112" i="1"/>
  <c r="BF111" i="1"/>
  <c r="BB114" i="1"/>
  <c r="BF110" i="1"/>
  <c r="BP112" i="1"/>
  <c r="BP110" i="1"/>
  <c r="BP111" i="1"/>
  <c r="BL114" i="1"/>
  <c r="BK114" i="1"/>
  <c r="BO110" i="1"/>
  <c r="BO112" i="1"/>
  <c r="BO111" i="1"/>
  <c r="BG112" i="1"/>
  <c r="BG111" i="1"/>
  <c r="BC114" i="1"/>
  <c r="BG110" i="1"/>
  <c r="BH110" i="1"/>
  <c r="BH112" i="1"/>
  <c r="BH111" i="1"/>
  <c r="BD114" i="1"/>
  <c r="BK112" i="1"/>
  <c r="BG114" i="1"/>
  <c r="BK111" i="1"/>
  <c r="BK110" i="1"/>
  <c r="AL114" i="1"/>
  <c r="AP110" i="1"/>
  <c r="AP111" i="1"/>
  <c r="AP112" i="1"/>
  <c r="AY112" i="1"/>
  <c r="AO111" i="1"/>
  <c r="AO112" i="1"/>
  <c r="AO110" i="1"/>
  <c r="AT114" i="1"/>
  <c r="AZ110" i="1"/>
  <c r="AV114" i="1"/>
  <c r="AZ112" i="1"/>
  <c r="AZ111" i="1"/>
  <c r="AN110" i="1"/>
  <c r="AN112" i="1"/>
  <c r="AN111" i="1"/>
  <c r="AU114" i="1"/>
  <c r="AU112" i="1"/>
  <c r="AQ114" i="1"/>
  <c r="AU111" i="1"/>
  <c r="AU110" i="1"/>
  <c r="BN112" i="1"/>
  <c r="BN110" i="1"/>
  <c r="BN111" i="1"/>
  <c r="BJ114" i="1"/>
  <c r="AW111" i="1"/>
  <c r="AS114" i="1"/>
  <c r="AW112" i="1"/>
  <c r="AW110" i="1"/>
  <c r="CQ169" i="1"/>
  <c r="CR56" i="1"/>
  <c r="BV94" i="1"/>
  <c r="BU94" i="1"/>
  <c r="BT94" i="1"/>
  <c r="BT95" i="1" s="1"/>
  <c r="BS94" i="1"/>
  <c r="AI242" i="1"/>
  <c r="AI243" i="1" s="1"/>
  <c r="BZ94" i="1"/>
  <c r="BW94" i="1"/>
  <c r="CA95" i="1" s="1"/>
  <c r="BY94" i="1"/>
  <c r="CC95" i="1" s="1"/>
  <c r="BX94" i="1"/>
  <c r="CB95" i="1" s="1"/>
  <c r="BS117" i="1"/>
  <c r="BS160" i="1"/>
  <c r="BS80" i="1" s="1"/>
  <c r="BS239" i="1"/>
  <c r="BS237" i="1" s="1"/>
  <c r="BT239" i="1"/>
  <c r="BT237" i="1" s="1"/>
  <c r="AL110" i="1"/>
  <c r="AL111" i="1"/>
  <c r="AL112" i="1"/>
  <c r="AU119" i="1"/>
  <c r="AU121" i="1"/>
  <c r="AU120" i="1"/>
  <c r="BW117" i="1"/>
  <c r="BX239" i="1"/>
  <c r="BX237" i="1" s="1"/>
  <c r="BW239" i="1"/>
  <c r="BW237" i="1" s="1"/>
  <c r="BW160" i="1"/>
  <c r="BW80" i="1" s="1"/>
  <c r="AE102" i="1"/>
  <c r="I127" i="1"/>
  <c r="L129" i="1"/>
  <c r="I128" i="1"/>
  <c r="S129" i="1"/>
  <c r="L128" i="1"/>
  <c r="L127" i="1"/>
  <c r="S127" i="1"/>
  <c r="S128" i="1"/>
  <c r="I129" i="1"/>
  <c r="AB155" i="1"/>
  <c r="AB159" i="1" s="1"/>
  <c r="AD173" i="1"/>
  <c r="CZ90" i="1"/>
  <c r="CZ124" i="1" s="1"/>
  <c r="CZ127" i="1" s="1"/>
  <c r="DA88" i="1"/>
  <c r="BW95" i="1" l="1"/>
  <c r="BY95" i="1"/>
  <c r="BZ111" i="1"/>
  <c r="CD95" i="1"/>
  <c r="BS95" i="1"/>
  <c r="BX95" i="1"/>
  <c r="BU95" i="1"/>
  <c r="BZ95" i="1"/>
  <c r="BV95" i="1"/>
  <c r="CR226" i="1"/>
  <c r="CR282" i="1"/>
  <c r="CR163" i="1"/>
  <c r="CQ235" i="1"/>
  <c r="CQ233" i="1" s="1"/>
  <c r="BV114" i="1"/>
  <c r="BZ110" i="1"/>
  <c r="BZ112" i="1"/>
  <c r="BX112" i="1"/>
  <c r="BX111" i="1"/>
  <c r="BX110" i="1"/>
  <c r="BT114" i="1"/>
  <c r="BV110" i="1"/>
  <c r="BR114" i="1"/>
  <c r="BV111" i="1"/>
  <c r="BV112" i="1"/>
  <c r="BY112" i="1"/>
  <c r="BU114" i="1"/>
  <c r="BY110" i="1"/>
  <c r="BY111" i="1"/>
  <c r="BW111" i="1"/>
  <c r="BW110" i="1"/>
  <c r="BW112" i="1"/>
  <c r="BS114" i="1"/>
  <c r="BS111" i="1"/>
  <c r="BS112" i="1"/>
  <c r="BO114" i="1"/>
  <c r="BS110" i="1"/>
  <c r="BP114" i="1"/>
  <c r="BT112" i="1"/>
  <c r="BT110" i="1"/>
  <c r="BT111" i="1"/>
  <c r="BS119" i="1"/>
  <c r="BS120" i="1"/>
  <c r="BS121" i="1"/>
  <c r="BU111" i="1"/>
  <c r="BU110" i="1"/>
  <c r="BU112" i="1"/>
  <c r="BQ114" i="1"/>
  <c r="BW119" i="1"/>
  <c r="BW120" i="1"/>
  <c r="BW121" i="1"/>
  <c r="AB238" i="1"/>
  <c r="AB278" i="1"/>
  <c r="DB88" i="1"/>
  <c r="DB90" i="1" s="1"/>
  <c r="DB124" i="1" s="1"/>
  <c r="DB127" i="1" s="1"/>
  <c r="DA90" i="1"/>
  <c r="DA124" i="1" s="1"/>
  <c r="DA127" i="1" s="1"/>
  <c r="AN139" i="1"/>
  <c r="AN277" i="1"/>
  <c r="CR165" i="1" l="1"/>
  <c r="AE173" i="1"/>
  <c r="AC154" i="1"/>
  <c r="AN276" i="1"/>
  <c r="AN141" i="1"/>
  <c r="AN144" i="1" s="1"/>
  <c r="AN140" i="1"/>
  <c r="AN143" i="1" s="1"/>
  <c r="CR169" i="1" l="1"/>
  <c r="CS56" i="1"/>
  <c r="CS226" i="1" l="1"/>
  <c r="CS282" i="1"/>
  <c r="CS163" i="1"/>
  <c r="CR235" i="1"/>
  <c r="CR233" i="1" s="1"/>
  <c r="AC155" i="1"/>
  <c r="AC159" i="1" s="1"/>
  <c r="CM38" i="1"/>
  <c r="CS165" i="1" l="1"/>
  <c r="CM41" i="1"/>
  <c r="AC238" i="1"/>
  <c r="AC278" i="1"/>
  <c r="CP38" i="1"/>
  <c r="CP37" i="1" s="1"/>
  <c r="CN38" i="1"/>
  <c r="CM52" i="1"/>
  <c r="CM37" i="1"/>
  <c r="CM40" i="1"/>
  <c r="CO38" i="1"/>
  <c r="AP277" i="1"/>
  <c r="CA258" i="1"/>
  <c r="CB258" i="1"/>
  <c r="BU258" i="1"/>
  <c r="CS169" i="1" l="1"/>
  <c r="CT56" i="1"/>
  <c r="AC56" i="1" s="1"/>
  <c r="CM279" i="1"/>
  <c r="CM280" i="1" s="1"/>
  <c r="CM264" i="1"/>
  <c r="CM265" i="1" s="1"/>
  <c r="CP40" i="1"/>
  <c r="CP52" i="1"/>
  <c r="CP41" i="1"/>
  <c r="AD154" i="1"/>
  <c r="CM54" i="1"/>
  <c r="CM53" i="1"/>
  <c r="CM58" i="1"/>
  <c r="CQ38" i="1"/>
  <c r="CN37" i="1"/>
  <c r="CN52" i="1"/>
  <c r="CN40" i="1"/>
  <c r="CN41" i="1"/>
  <c r="CO41" i="1"/>
  <c r="CO40" i="1"/>
  <c r="CO52" i="1"/>
  <c r="CO37" i="1"/>
  <c r="CM55" i="1"/>
  <c r="AA18" i="1"/>
  <c r="AP276" i="1"/>
  <c r="W84" i="1"/>
  <c r="AB37" i="1" l="1"/>
  <c r="AB38" i="1" s="1"/>
  <c r="AB18" i="1" s="1"/>
  <c r="AA19" i="1"/>
  <c r="AA17" i="1"/>
  <c r="AC226" i="1"/>
  <c r="AC282" i="1"/>
  <c r="CP258" i="1"/>
  <c r="CO258" i="1"/>
  <c r="CT282" i="1"/>
  <c r="CT226" i="1"/>
  <c r="CT163" i="1"/>
  <c r="CS235" i="1"/>
  <c r="CS233" i="1" s="1"/>
  <c r="CO264" i="1"/>
  <c r="CO265" i="1" s="1"/>
  <c r="CO279" i="1"/>
  <c r="CO280" i="1" s="1"/>
  <c r="CN279" i="1"/>
  <c r="CN280" i="1" s="1"/>
  <c r="CN264" i="1"/>
  <c r="CN265" i="1" s="1"/>
  <c r="CP54" i="1"/>
  <c r="CP264" i="1"/>
  <c r="CP265" i="1" s="1"/>
  <c r="CP279" i="1"/>
  <c r="CP280" i="1" s="1"/>
  <c r="CP53" i="1"/>
  <c r="CP58" i="1"/>
  <c r="CP142" i="1"/>
  <c r="CP55" i="1"/>
  <c r="CO142" i="1"/>
  <c r="CN53" i="1"/>
  <c r="CN55" i="1"/>
  <c r="CN58" i="1"/>
  <c r="CN54" i="1"/>
  <c r="CO58" i="1"/>
  <c r="CO53" i="1"/>
  <c r="CO55" i="1"/>
  <c r="CQ40" i="1"/>
  <c r="CQ52" i="1"/>
  <c r="CQ37" i="1"/>
  <c r="CQ41" i="1"/>
  <c r="CS38" i="1"/>
  <c r="CR38" i="1"/>
  <c r="W85" i="1"/>
  <c r="W279" i="1"/>
  <c r="W280" i="1" s="1"/>
  <c r="AB19" i="1" l="1"/>
  <c r="AB17" i="1"/>
  <c r="AC163" i="1"/>
  <c r="AC165" i="1" s="1"/>
  <c r="AC169" i="1" s="1"/>
  <c r="CT165" i="1"/>
  <c r="CQ258" i="1"/>
  <c r="CQ142" i="1"/>
  <c r="CQ264" i="1"/>
  <c r="CQ265" i="1" s="1"/>
  <c r="CQ279" i="1"/>
  <c r="CQ280" i="1" s="1"/>
  <c r="AB39" i="1"/>
  <c r="AB84" i="1"/>
  <c r="AD155" i="1"/>
  <c r="AD159" i="1" s="1"/>
  <c r="AB52" i="1"/>
  <c r="AB23" i="1" s="1"/>
  <c r="AB24" i="1" s="1"/>
  <c r="AB40" i="1"/>
  <c r="CU38" i="1"/>
  <c r="CS52" i="1"/>
  <c r="CS37" i="1"/>
  <c r="CS40" i="1"/>
  <c r="CS41" i="1"/>
  <c r="CR52" i="1"/>
  <c r="CR258" i="1" s="1"/>
  <c r="CR41" i="1"/>
  <c r="CR37" i="1"/>
  <c r="CR40" i="1"/>
  <c r="CT38" i="1"/>
  <c r="CQ54" i="1"/>
  <c r="CQ58" i="1"/>
  <c r="CQ53" i="1"/>
  <c r="CQ55" i="1"/>
  <c r="AR139" i="1"/>
  <c r="W86" i="1"/>
  <c r="AB22" i="1" l="1"/>
  <c r="CU56" i="1"/>
  <c r="CT169" i="1"/>
  <c r="CS258" i="1"/>
  <c r="CS279" i="1"/>
  <c r="CS280" i="1" s="1"/>
  <c r="CS264" i="1"/>
  <c r="CS265" i="1" s="1"/>
  <c r="CR264" i="1"/>
  <c r="CR265" i="1" s="1"/>
  <c r="CR279" i="1"/>
  <c r="CR280" i="1" s="1"/>
  <c r="AB85" i="1"/>
  <c r="AB58" i="1"/>
  <c r="AB53" i="1"/>
  <c r="AB142" i="1"/>
  <c r="AD278" i="1"/>
  <c r="AD238" i="1"/>
  <c r="CS142" i="1"/>
  <c r="CV38" i="1"/>
  <c r="CS55" i="1"/>
  <c r="CS54" i="1"/>
  <c r="CS58" i="1"/>
  <c r="CS53" i="1"/>
  <c r="CT41" i="1"/>
  <c r="CT52" i="1"/>
  <c r="CT258" i="1" s="1"/>
  <c r="CT37" i="1"/>
  <c r="CT40" i="1"/>
  <c r="CR54" i="1"/>
  <c r="CR55" i="1"/>
  <c r="CR53" i="1"/>
  <c r="CR58" i="1"/>
  <c r="CR142" i="1"/>
  <c r="CU40" i="1"/>
  <c r="CU52" i="1"/>
  <c r="CU37" i="1"/>
  <c r="CU41" i="1"/>
  <c r="AR140" i="1"/>
  <c r="AR143" i="1" s="1"/>
  <c r="AR141" i="1"/>
  <c r="AR144" i="1" s="1"/>
  <c r="AR277" i="1"/>
  <c r="CA259" i="1"/>
  <c r="CB259" i="1"/>
  <c r="W225" i="1"/>
  <c r="W227" i="1" s="1"/>
  <c r="BU259" i="1"/>
  <c r="AC37" i="1" l="1"/>
  <c r="AC38" i="1" s="1"/>
  <c r="AC18" i="1" s="1"/>
  <c r="CT235" i="1"/>
  <c r="CT233" i="1" s="1"/>
  <c r="CU282" i="1"/>
  <c r="CU226" i="1"/>
  <c r="CU163" i="1"/>
  <c r="CU258" i="1"/>
  <c r="CU279" i="1"/>
  <c r="CU280" i="1" s="1"/>
  <c r="CU264" i="1"/>
  <c r="CU265" i="1" s="1"/>
  <c r="CT279" i="1"/>
  <c r="CT280" i="1" s="1"/>
  <c r="CT264" i="1"/>
  <c r="CT265" i="1" s="1"/>
  <c r="AB235" i="1"/>
  <c r="AB233" i="1" s="1"/>
  <c r="AE154" i="1"/>
  <c r="CT54" i="1"/>
  <c r="CT55" i="1"/>
  <c r="CT53" i="1"/>
  <c r="CT58" i="1"/>
  <c r="CT142" i="1"/>
  <c r="CU142" i="1"/>
  <c r="CW38" i="1"/>
  <c r="CV41" i="1"/>
  <c r="CV37" i="1"/>
  <c r="CV40" i="1"/>
  <c r="CV52" i="1"/>
  <c r="CV258" i="1" s="1"/>
  <c r="CU58" i="1"/>
  <c r="CU54" i="1"/>
  <c r="CU53" i="1"/>
  <c r="CU55" i="1"/>
  <c r="AR276" i="1"/>
  <c r="CA114" i="1"/>
  <c r="AC19" i="1" l="1"/>
  <c r="AC17" i="1"/>
  <c r="AC84" i="1"/>
  <c r="AC39" i="1"/>
  <c r="AC40" i="1"/>
  <c r="AC52" i="1"/>
  <c r="CU165" i="1"/>
  <c r="CV279" i="1"/>
  <c r="CV280" i="1" s="1"/>
  <c r="CV264" i="1"/>
  <c r="CV265" i="1" s="1"/>
  <c r="CY38" i="1"/>
  <c r="CY37" i="1" s="1"/>
  <c r="CW40" i="1"/>
  <c r="CW37" i="1"/>
  <c r="CW52" i="1"/>
  <c r="CW41" i="1"/>
  <c r="CV55" i="1"/>
  <c r="CV53" i="1"/>
  <c r="CV54" i="1"/>
  <c r="CX38" i="1"/>
  <c r="CV142" i="1"/>
  <c r="CF114" i="1"/>
  <c r="W114" i="1"/>
  <c r="W94" i="1"/>
  <c r="W93" i="1"/>
  <c r="AC85" i="1" l="1"/>
  <c r="AC23" i="1"/>
  <c r="AC54" i="1"/>
  <c r="AC58" i="1"/>
  <c r="AC279" i="1"/>
  <c r="AC280" i="1" s="1"/>
  <c r="AC53" i="1"/>
  <c r="AC142" i="1"/>
  <c r="CU169" i="1"/>
  <c r="CV56" i="1"/>
  <c r="CW258" i="1"/>
  <c r="CW264" i="1"/>
  <c r="CW265" i="1" s="1"/>
  <c r="CW279" i="1"/>
  <c r="CW280" i="1" s="1"/>
  <c r="CY41" i="1"/>
  <c r="CY52" i="1"/>
  <c r="CY40" i="1"/>
  <c r="AE155" i="1"/>
  <c r="AE159" i="1" s="1"/>
  <c r="CW142" i="1"/>
  <c r="CW53" i="1"/>
  <c r="CW55" i="1"/>
  <c r="CW54" i="1"/>
  <c r="CX40" i="1"/>
  <c r="CX41" i="1"/>
  <c r="CX52" i="1"/>
  <c r="CX258" i="1" s="1"/>
  <c r="CX37" i="1"/>
  <c r="AD37" i="1" s="1"/>
  <c r="AD38" i="1" s="1"/>
  <c r="W95" i="1"/>
  <c r="X95" i="1"/>
  <c r="X114" i="1"/>
  <c r="W112" i="1"/>
  <c r="W129" i="1" s="1"/>
  <c r="V114" i="1"/>
  <c r="W110" i="1"/>
  <c r="W127" i="1" s="1"/>
  <c r="W111" i="1"/>
  <c r="W128" i="1" s="1"/>
  <c r="AD84" i="1" l="1"/>
  <c r="AD18" i="1"/>
  <c r="AC24" i="1"/>
  <c r="AC22" i="1"/>
  <c r="CV282" i="1"/>
  <c r="CV226" i="1"/>
  <c r="CV58" i="1"/>
  <c r="CV163" i="1"/>
  <c r="CU235" i="1"/>
  <c r="CU233" i="1" s="1"/>
  <c r="CY258" i="1"/>
  <c r="CY264" i="1"/>
  <c r="CY265" i="1" s="1"/>
  <c r="CY279" i="1"/>
  <c r="CY280" i="1" s="1"/>
  <c r="CX264" i="1"/>
  <c r="CX265" i="1" s="1"/>
  <c r="CX279" i="1"/>
  <c r="CX280" i="1" s="1"/>
  <c r="CY54" i="1"/>
  <c r="CY53" i="1"/>
  <c r="AE238" i="1"/>
  <c r="AE278" i="1"/>
  <c r="CZ38" i="1"/>
  <c r="DA38" i="1"/>
  <c r="AD52" i="1"/>
  <c r="AD40" i="1"/>
  <c r="AD39" i="1"/>
  <c r="CY142" i="1"/>
  <c r="CX53" i="1"/>
  <c r="CX55" i="1"/>
  <c r="CX54" i="1"/>
  <c r="CX142" i="1"/>
  <c r="CY55" i="1"/>
  <c r="AT277" i="1"/>
  <c r="W150" i="1"/>
  <c r="AD85" i="1" l="1"/>
  <c r="AD23" i="1"/>
  <c r="AD24" i="1" s="1"/>
  <c r="AD19" i="1"/>
  <c r="AD17" i="1"/>
  <c r="CV165" i="1"/>
  <c r="W79" i="1"/>
  <c r="W117" i="1"/>
  <c r="AC235" i="1"/>
  <c r="AC233" i="1" s="1"/>
  <c r="DA37" i="1"/>
  <c r="DA40" i="1"/>
  <c r="DA52" i="1"/>
  <c r="DA41" i="1"/>
  <c r="DB38" i="1"/>
  <c r="CZ40" i="1"/>
  <c r="CZ52" i="1"/>
  <c r="CZ37" i="1"/>
  <c r="CZ41" i="1"/>
  <c r="AD53" i="1"/>
  <c r="AD279" i="1"/>
  <c r="AD280" i="1" s="1"/>
  <c r="AD54" i="1"/>
  <c r="AD142" i="1"/>
  <c r="AT276" i="1"/>
  <c r="X239" i="1"/>
  <c r="X237" i="1" s="1"/>
  <c r="W239" i="1"/>
  <c r="W237" i="1" s="1"/>
  <c r="W160" i="1"/>
  <c r="W80" i="1" s="1"/>
  <c r="W207" i="1"/>
  <c r="AD22" i="1" l="1"/>
  <c r="CW56" i="1"/>
  <c r="CV169" i="1"/>
  <c r="W120" i="1"/>
  <c r="W119" i="1"/>
  <c r="W121" i="1"/>
  <c r="CZ258" i="1"/>
  <c r="DA258" i="1"/>
  <c r="CZ264" i="1"/>
  <c r="CZ265" i="1" s="1"/>
  <c r="CZ279" i="1"/>
  <c r="CZ280" i="1" s="1"/>
  <c r="DA279" i="1"/>
  <c r="DA280" i="1" s="1"/>
  <c r="DA264" i="1"/>
  <c r="DA265" i="1" s="1"/>
  <c r="DA142" i="1"/>
  <c r="CZ54" i="1"/>
  <c r="CZ55" i="1"/>
  <c r="CZ53" i="1"/>
  <c r="CZ142" i="1"/>
  <c r="DB40" i="1"/>
  <c r="DB52" i="1"/>
  <c r="DB258" i="1" s="1"/>
  <c r="DB37" i="1"/>
  <c r="AE37" i="1" s="1"/>
  <c r="AE38" i="1" s="1"/>
  <c r="DB41" i="1"/>
  <c r="DA53" i="1"/>
  <c r="DA55" i="1"/>
  <c r="DA54" i="1"/>
  <c r="AE84" i="1" l="1"/>
  <c r="AE18" i="1"/>
  <c r="CV235" i="1"/>
  <c r="CV233" i="1" s="1"/>
  <c r="CW226" i="1"/>
  <c r="CW282" i="1"/>
  <c r="CW58" i="1"/>
  <c r="CW163" i="1"/>
  <c r="DB142" i="1"/>
  <c r="DB279" i="1"/>
  <c r="DB280" i="1" s="1"/>
  <c r="DB264" i="1"/>
  <c r="DB265" i="1" s="1"/>
  <c r="AE39" i="1"/>
  <c r="AE40" i="1"/>
  <c r="AE52" i="1"/>
  <c r="DB54" i="1"/>
  <c r="DB53" i="1"/>
  <c r="DB55" i="1"/>
  <c r="AE19" i="1" l="1"/>
  <c r="AE17" i="1"/>
  <c r="AE85" i="1"/>
  <c r="AE23" i="1"/>
  <c r="AE24" i="1" s="1"/>
  <c r="CW165" i="1"/>
  <c r="AE279" i="1"/>
  <c r="AE280" i="1" s="1"/>
  <c r="AE53" i="1"/>
  <c r="AE54" i="1"/>
  <c r="AE142" i="1"/>
  <c r="AV277" i="1"/>
  <c r="AE22" i="1" l="1"/>
  <c r="CW169" i="1"/>
  <c r="CX56" i="1"/>
  <c r="AD56" i="1" s="1"/>
  <c r="AV276" i="1"/>
  <c r="AD282" i="1" l="1"/>
  <c r="AD226" i="1"/>
  <c r="AD58" i="1"/>
  <c r="CX282" i="1"/>
  <c r="CX58" i="1"/>
  <c r="CX226" i="1"/>
  <c r="CX163" i="1"/>
  <c r="CW235" i="1"/>
  <c r="CW233" i="1" s="1"/>
  <c r="AD163" i="1" l="1"/>
  <c r="AD165" i="1" s="1"/>
  <c r="AD169" i="1" s="1"/>
  <c r="CX165" i="1"/>
  <c r="AD235" i="1" l="1"/>
  <c r="AD233" i="1" s="1"/>
  <c r="CX169" i="1"/>
  <c r="CY56" i="1"/>
  <c r="CM112" i="1"/>
  <c r="CN112" i="1" s="1"/>
  <c r="CM111" i="1"/>
  <c r="CN111" i="1" s="1"/>
  <c r="CY58" i="1" l="1"/>
  <c r="CY282" i="1"/>
  <c r="CY226" i="1"/>
  <c r="CY163" i="1"/>
  <c r="CX235" i="1"/>
  <c r="CX233" i="1" s="1"/>
  <c r="CO111" i="1"/>
  <c r="CO112" i="1"/>
  <c r="CY165" i="1" l="1"/>
  <c r="CP111" i="1"/>
  <c r="CP112" i="1"/>
  <c r="W212" i="1"/>
  <c r="CY169" i="1" l="1"/>
  <c r="CZ56" i="1"/>
  <c r="CQ111" i="1"/>
  <c r="CQ112" i="1"/>
  <c r="W215" i="1"/>
  <c r="W188" i="1"/>
  <c r="X229" i="1" s="1"/>
  <c r="CZ58" i="1" l="1"/>
  <c r="CZ282" i="1"/>
  <c r="CZ226" i="1"/>
  <c r="CZ163" i="1"/>
  <c r="CY235" i="1"/>
  <c r="CY233" i="1" s="1"/>
  <c r="CR112" i="1"/>
  <c r="CR111" i="1"/>
  <c r="W217" i="1"/>
  <c r="W216" i="1" s="1"/>
  <c r="W229" i="1"/>
  <c r="W180" i="1"/>
  <c r="X228" i="1" s="1"/>
  <c r="X230" i="1" s="1"/>
  <c r="X231" i="1" s="1"/>
  <c r="X245" i="1" s="1"/>
  <c r="W211" i="1"/>
  <c r="CZ165" i="1" l="1"/>
  <c r="CS111" i="1"/>
  <c r="CS112" i="1"/>
  <c r="W214" i="1"/>
  <c r="W189" i="1"/>
  <c r="W228" i="1"/>
  <c r="W230" i="1" s="1"/>
  <c r="W231" i="1" s="1"/>
  <c r="CZ169" i="1" l="1"/>
  <c r="CZ235" i="1" s="1"/>
  <c r="CZ233" i="1" s="1"/>
  <c r="DA56" i="1"/>
  <c r="CT112" i="1"/>
  <c r="CT111" i="1"/>
  <c r="W213" i="1"/>
  <c r="W218" i="1"/>
  <c r="W242" i="1"/>
  <c r="W245" i="1"/>
  <c r="DA282" i="1" l="1"/>
  <c r="DA58" i="1"/>
  <c r="DA226" i="1"/>
  <c r="DA163" i="1"/>
  <c r="CU111" i="1"/>
  <c r="CU112" i="1"/>
  <c r="W221" i="1"/>
  <c r="W222" i="1" s="1"/>
  <c r="X221" i="1"/>
  <c r="X222" i="1" s="1"/>
  <c r="DA165" i="1" l="1"/>
  <c r="CV111" i="1"/>
  <c r="CV112" i="1"/>
  <c r="W193" i="1"/>
  <c r="X241" i="1" s="1"/>
  <c r="X242" i="1" s="1"/>
  <c r="X243" i="1" s="1"/>
  <c r="DA169" i="1" l="1"/>
  <c r="DA235" i="1" s="1"/>
  <c r="DA233" i="1" s="1"/>
  <c r="DB56" i="1"/>
  <c r="AE56" i="1" s="1"/>
  <c r="CW112" i="1"/>
  <c r="CW111" i="1"/>
  <c r="W200" i="1"/>
  <c r="W139" i="1" s="1"/>
  <c r="W197" i="1"/>
  <c r="W277" i="1"/>
  <c r="W243" i="1"/>
  <c r="AE282" i="1" l="1"/>
  <c r="AE58" i="1"/>
  <c r="AE226" i="1"/>
  <c r="DB58" i="1"/>
  <c r="DB282" i="1"/>
  <c r="DB226" i="1"/>
  <c r="DB163" i="1"/>
  <c r="CX112" i="1"/>
  <c r="CX111" i="1"/>
  <c r="W141" i="1"/>
  <c r="W144" i="1" s="1"/>
  <c r="W140" i="1"/>
  <c r="W143" i="1" s="1"/>
  <c r="W276" i="1"/>
  <c r="W198" i="1"/>
  <c r="AE163" i="1" l="1"/>
  <c r="AE165" i="1" s="1"/>
  <c r="AE169" i="1" s="1"/>
  <c r="DB165" i="1"/>
  <c r="DB169" i="1" s="1"/>
  <c r="DB235" i="1" s="1"/>
  <c r="DB233" i="1" s="1"/>
  <c r="CY112" i="1"/>
  <c r="CY111" i="1"/>
  <c r="C113" i="2"/>
  <c r="C111" i="2"/>
  <c r="C112" i="2"/>
  <c r="AE235" i="1" l="1"/>
  <c r="AE233" i="1" s="1"/>
  <c r="CZ111" i="1"/>
  <c r="CZ112" i="1"/>
  <c r="B98" i="1"/>
  <c r="B99" i="1"/>
  <c r="DA112" i="1" l="1"/>
  <c r="DA111" i="1"/>
  <c r="BV277" i="1"/>
  <c r="BT277" i="1"/>
  <c r="BR277" i="1"/>
  <c r="BP277" i="1"/>
  <c r="BN277" i="1"/>
  <c r="BX277" i="1"/>
  <c r="BL277" i="1"/>
  <c r="BJ277" i="1"/>
  <c r="BH277" i="1"/>
  <c r="BF277" i="1"/>
  <c r="BD277" i="1"/>
  <c r="BZ277" i="1"/>
  <c r="BB277" i="1"/>
  <c r="AZ277" i="1"/>
  <c r="CD277" i="1"/>
  <c r="CB277" i="1"/>
  <c r="AX277" i="1"/>
  <c r="CD276" i="1"/>
  <c r="BZ276" i="1"/>
  <c r="BV276" i="1"/>
  <c r="BR276" i="1"/>
  <c r="BN276" i="1"/>
  <c r="BJ276" i="1"/>
  <c r="BF276" i="1"/>
  <c r="BB276" i="1"/>
  <c r="AX276" i="1"/>
  <c r="CB276" i="1"/>
  <c r="BX276" i="1"/>
  <c r="BT276" i="1"/>
  <c r="BP276" i="1"/>
  <c r="BL276" i="1"/>
  <c r="BH276" i="1"/>
  <c r="BD276" i="1"/>
  <c r="AZ276" i="1"/>
  <c r="DB112" i="1" l="1"/>
  <c r="DB111" i="1"/>
  <c r="AK211" i="1" l="1"/>
  <c r="AM175" i="1" l="1"/>
  <c r="AK175" i="1"/>
  <c r="AO175" i="1" l="1"/>
  <c r="AQ175" i="1" l="1"/>
  <c r="AS175" i="1" l="1"/>
  <c r="AU175" i="1" l="1"/>
  <c r="AW175" i="1" l="1"/>
  <c r="AY175" i="1" l="1"/>
  <c r="BA175" i="1" l="1"/>
  <c r="BC175" i="1" l="1"/>
  <c r="BE175" i="1" l="1"/>
  <c r="BG175" i="1" l="1"/>
  <c r="BI175" i="1" l="1"/>
  <c r="BK175" i="1" l="1"/>
  <c r="BM175" i="1" l="1"/>
  <c r="BO175" i="1" l="1"/>
  <c r="BQ175" i="1" l="1"/>
  <c r="BS175" i="1" l="1"/>
  <c r="BU175" i="1" l="1"/>
  <c r="BW175" i="1" l="1"/>
  <c r="BY175" i="1" l="1"/>
  <c r="AK212" i="1" l="1"/>
  <c r="AK176" i="1" l="1"/>
  <c r="AK180" i="1" s="1"/>
  <c r="AL228" i="1" l="1"/>
  <c r="AK228" i="1"/>
  <c r="AK214" i="1"/>
  <c r="AM176" i="1"/>
  <c r="AM180" i="1" s="1"/>
  <c r="AM214" i="1" l="1"/>
  <c r="AM213" i="1" s="1"/>
  <c r="AN228" i="1"/>
  <c r="AM228" i="1"/>
  <c r="AJ213" i="1"/>
  <c r="AK213" i="1"/>
  <c r="AO176" i="1" l="1"/>
  <c r="AO180" i="1" s="1"/>
  <c r="AP228" i="1" l="1"/>
  <c r="AO214" i="1"/>
  <c r="AO213" i="1" s="1"/>
  <c r="AO228" i="1"/>
  <c r="AQ176" i="1" l="1"/>
  <c r="AQ180" i="1" s="1"/>
  <c r="AQ214" i="1" l="1"/>
  <c r="AQ213" i="1" s="1"/>
  <c r="AR228" i="1"/>
  <c r="AQ228" i="1"/>
  <c r="AS176" i="1" l="1"/>
  <c r="AS180" i="1" s="1"/>
  <c r="AT228" i="1" l="1"/>
  <c r="AS214" i="1"/>
  <c r="AS213" i="1" s="1"/>
  <c r="AS228" i="1"/>
  <c r="AU176" i="1" l="1"/>
  <c r="AU180" i="1" s="1"/>
  <c r="AU214" i="1" l="1"/>
  <c r="AU213" i="1" s="1"/>
  <c r="AV228" i="1"/>
  <c r="AU228" i="1"/>
  <c r="AW176" i="1" l="1"/>
  <c r="AW180" i="1" s="1"/>
  <c r="AW214" i="1" l="1"/>
  <c r="AW213" i="1" s="1"/>
  <c r="AX228" i="1"/>
  <c r="AW228" i="1"/>
  <c r="AY176" i="1" l="1"/>
  <c r="AY180" i="1" s="1"/>
  <c r="AY214" i="1" l="1"/>
  <c r="AY213" i="1" s="1"/>
  <c r="AZ228" i="1"/>
  <c r="AY228" i="1"/>
  <c r="BA176" i="1" l="1"/>
  <c r="BA180" i="1" s="1"/>
  <c r="BB228" i="1" l="1"/>
  <c r="BA214" i="1"/>
  <c r="BA213" i="1" s="1"/>
  <c r="BA228" i="1"/>
  <c r="BC176" i="1" l="1"/>
  <c r="BC180" i="1" s="1"/>
  <c r="BD228" i="1" l="1"/>
  <c r="BC214" i="1"/>
  <c r="BC213" i="1" s="1"/>
  <c r="BC228" i="1"/>
  <c r="BE176" i="1" l="1"/>
  <c r="BE180" i="1" s="1"/>
  <c r="BF228" i="1" l="1"/>
  <c r="BE214" i="1"/>
  <c r="BE213" i="1" s="1"/>
  <c r="BE228" i="1"/>
  <c r="BG176" i="1" l="1"/>
  <c r="BG180" i="1" s="1"/>
  <c r="BG214" i="1" l="1"/>
  <c r="BG213" i="1" s="1"/>
  <c r="BH228" i="1"/>
  <c r="BG228" i="1"/>
  <c r="BI176" i="1" l="1"/>
  <c r="BI180" i="1" s="1"/>
  <c r="BJ228" i="1" l="1"/>
  <c r="BI214" i="1"/>
  <c r="BI213" i="1" s="1"/>
  <c r="BI228" i="1"/>
  <c r="BK176" i="1" l="1"/>
  <c r="BK180" i="1" s="1"/>
  <c r="BL228" i="1" l="1"/>
  <c r="BK214" i="1"/>
  <c r="BK213" i="1" s="1"/>
  <c r="BK228" i="1"/>
  <c r="BM176" i="1" l="1"/>
  <c r="BM180" i="1" s="1"/>
  <c r="BM214" i="1" l="1"/>
  <c r="BM213" i="1" s="1"/>
  <c r="BN228" i="1"/>
  <c r="BM228" i="1"/>
  <c r="BO176" i="1" l="1"/>
  <c r="BO180" i="1" s="1"/>
  <c r="BO214" i="1" l="1"/>
  <c r="BO213" i="1" s="1"/>
  <c r="BP228" i="1"/>
  <c r="BO228" i="1"/>
  <c r="BQ176" i="1" l="1"/>
  <c r="BQ180" i="1" s="1"/>
  <c r="BR228" i="1" l="1"/>
  <c r="BQ214" i="1"/>
  <c r="BQ213" i="1" s="1"/>
  <c r="BQ228" i="1"/>
  <c r="BS176" i="1" l="1"/>
  <c r="BS180" i="1" s="1"/>
  <c r="BT228" i="1" l="1"/>
  <c r="BS214" i="1"/>
  <c r="BS213" i="1" s="1"/>
  <c r="BS228" i="1"/>
  <c r="BU176" i="1" l="1"/>
  <c r="BU180" i="1" s="1"/>
  <c r="BU214" i="1" l="1"/>
  <c r="BU213" i="1" s="1"/>
  <c r="BV228" i="1"/>
  <c r="BU228" i="1"/>
  <c r="BW176" i="1" l="1"/>
  <c r="BW180" i="1" s="1"/>
  <c r="BW214" i="1" l="1"/>
  <c r="BW213" i="1" s="1"/>
  <c r="BX228" i="1"/>
  <c r="BW228" i="1"/>
  <c r="BY176" i="1" l="1"/>
  <c r="BY180" i="1" s="1"/>
  <c r="BZ228" i="1" l="1"/>
  <c r="BY214" i="1"/>
  <c r="BY213" i="1" s="1"/>
  <c r="BY228" i="1"/>
  <c r="AK215" i="1" l="1"/>
  <c r="AK185" i="1" s="1"/>
  <c r="AK188" i="1" s="1"/>
  <c r="AL229" i="1" l="1"/>
  <c r="AL230" i="1" s="1"/>
  <c r="AL231" i="1" s="1"/>
  <c r="AL245" i="1" s="1"/>
  <c r="AK229" i="1"/>
  <c r="AK230" i="1" s="1"/>
  <c r="AK231" i="1" s="1"/>
  <c r="AK217" i="1"/>
  <c r="AK189" i="1"/>
  <c r="AM185" i="1"/>
  <c r="AM188" i="1" s="1"/>
  <c r="AK245" i="1" l="1"/>
  <c r="AK242" i="1"/>
  <c r="AN229" i="1"/>
  <c r="AN230" i="1" s="1"/>
  <c r="AN231" i="1" s="1"/>
  <c r="AN245" i="1" s="1"/>
  <c r="AM217" i="1"/>
  <c r="AM216" i="1" s="1"/>
  <c r="AM229" i="1"/>
  <c r="AM230" i="1" s="1"/>
  <c r="AM231" i="1" s="1"/>
  <c r="AM189" i="1"/>
  <c r="AJ216" i="1"/>
  <c r="AJ218" i="1"/>
  <c r="AK216" i="1"/>
  <c r="AK218" i="1"/>
  <c r="AO185" i="1"/>
  <c r="AO188" i="1" s="1"/>
  <c r="AM218" i="1" l="1"/>
  <c r="AO217" i="1"/>
  <c r="AO216" i="1" s="1"/>
  <c r="AP229" i="1"/>
  <c r="AP230" i="1" s="1"/>
  <c r="AP231" i="1" s="1"/>
  <c r="AP245" i="1" s="1"/>
  <c r="AO229" i="1"/>
  <c r="AO230" i="1" s="1"/>
  <c r="AO231" i="1" s="1"/>
  <c r="AM245" i="1"/>
  <c r="AM242" i="1"/>
  <c r="AK192" i="1"/>
  <c r="AK193" i="1" s="1"/>
  <c r="AO189" i="1"/>
  <c r="AO218" i="1" l="1"/>
  <c r="AL241" i="1"/>
  <c r="AL242" i="1" s="1"/>
  <c r="AL243" i="1" s="1"/>
  <c r="AK243" i="1"/>
  <c r="AO245" i="1"/>
  <c r="AO242" i="1"/>
  <c r="AQ185" i="1"/>
  <c r="AQ188" i="1" s="1"/>
  <c r="AK197" i="1"/>
  <c r="AK200" i="1"/>
  <c r="AL61" i="1" s="1"/>
  <c r="AM192" i="1"/>
  <c r="AM193" i="1" s="1"/>
  <c r="AN241" i="1" s="1"/>
  <c r="AN242" i="1" s="1"/>
  <c r="AN243" i="1" s="1"/>
  <c r="AQ217" i="1" l="1"/>
  <c r="AQ216" i="1" s="1"/>
  <c r="AR229" i="1"/>
  <c r="AR230" i="1" s="1"/>
  <c r="AR231" i="1" s="1"/>
  <c r="AR245" i="1" s="1"/>
  <c r="AQ229" i="1"/>
  <c r="AQ230" i="1" s="1"/>
  <c r="AQ231" i="1" s="1"/>
  <c r="AM243" i="1"/>
  <c r="AQ189" i="1"/>
  <c r="AO192" i="1"/>
  <c r="AO193" i="1" s="1"/>
  <c r="AM197" i="1"/>
  <c r="AM277" i="1"/>
  <c r="AM200" i="1"/>
  <c r="AK198" i="1"/>
  <c r="AM139" i="1" l="1"/>
  <c r="AN61" i="1"/>
  <c r="AQ218" i="1"/>
  <c r="AQ245" i="1"/>
  <c r="AQ242" i="1"/>
  <c r="AP241" i="1"/>
  <c r="AP242" i="1" s="1"/>
  <c r="AP243" i="1" s="1"/>
  <c r="AO243" i="1"/>
  <c r="AS185" i="1"/>
  <c r="AS188" i="1" s="1"/>
  <c r="AO200" i="1"/>
  <c r="AO277" i="1"/>
  <c r="AO197" i="1"/>
  <c r="AM276" i="1"/>
  <c r="AM198" i="1"/>
  <c r="AM140" i="1" l="1"/>
  <c r="AM143" i="1" s="1"/>
  <c r="AM141" i="1"/>
  <c r="AM144" i="1" s="1"/>
  <c r="AO139" i="1"/>
  <c r="AO140" i="1" s="1"/>
  <c r="AO143" i="1" s="1"/>
  <c r="AP61" i="1"/>
  <c r="AS217" i="1"/>
  <c r="AS216" i="1" s="1"/>
  <c r="AT229" i="1"/>
  <c r="AT230" i="1" s="1"/>
  <c r="AT231" i="1" s="1"/>
  <c r="AT245" i="1" s="1"/>
  <c r="AS229" i="1"/>
  <c r="AS230" i="1" s="1"/>
  <c r="AS231" i="1" s="1"/>
  <c r="AO276" i="1"/>
  <c r="AO198" i="1"/>
  <c r="AS189" i="1"/>
  <c r="AQ192" i="1"/>
  <c r="AQ193" i="1" s="1"/>
  <c r="AO141" i="1" l="1"/>
  <c r="AO144" i="1" s="1"/>
  <c r="AS218" i="1"/>
  <c r="AS245" i="1"/>
  <c r="AS242" i="1"/>
  <c r="AR241" i="1"/>
  <c r="AR242" i="1" s="1"/>
  <c r="AR243" i="1" s="1"/>
  <c r="AQ243" i="1"/>
  <c r="AQ197" i="1"/>
  <c r="AQ200" i="1"/>
  <c r="AQ277" i="1"/>
  <c r="AU185" i="1"/>
  <c r="AU188" i="1" s="1"/>
  <c r="AQ139" i="1" l="1"/>
  <c r="AQ141" i="1" s="1"/>
  <c r="AQ144" i="1" s="1"/>
  <c r="AR61" i="1"/>
  <c r="AU217" i="1"/>
  <c r="AU216" i="1" s="1"/>
  <c r="AV229" i="1"/>
  <c r="AV230" i="1" s="1"/>
  <c r="AV231" i="1" s="1"/>
  <c r="AV245" i="1" s="1"/>
  <c r="AU229" i="1"/>
  <c r="AU230" i="1" s="1"/>
  <c r="AU231" i="1" s="1"/>
  <c r="AU189" i="1"/>
  <c r="AS192" i="1"/>
  <c r="AS193" i="1" s="1"/>
  <c r="AQ276" i="1"/>
  <c r="AQ198" i="1"/>
  <c r="AQ140" i="1" l="1"/>
  <c r="AQ143" i="1" s="1"/>
  <c r="AU218" i="1"/>
  <c r="AU245" i="1"/>
  <c r="AU242" i="1"/>
  <c r="AT241" i="1"/>
  <c r="AT242" i="1" s="1"/>
  <c r="AT243" i="1" s="1"/>
  <c r="AS243" i="1"/>
  <c r="AS200" i="1"/>
  <c r="AS277" i="1"/>
  <c r="AS197" i="1"/>
  <c r="AW185" i="1"/>
  <c r="AW188" i="1" s="1"/>
  <c r="AS139" i="1" l="1"/>
  <c r="AS141" i="1" s="1"/>
  <c r="AS144" i="1" s="1"/>
  <c r="AT61" i="1"/>
  <c r="AW217" i="1"/>
  <c r="AW218" i="1" s="1"/>
  <c r="AX229" i="1"/>
  <c r="AX230" i="1" s="1"/>
  <c r="AX231" i="1" s="1"/>
  <c r="AX245" i="1" s="1"/>
  <c r="AW229" i="1"/>
  <c r="AW230" i="1" s="1"/>
  <c r="AW231" i="1" s="1"/>
  <c r="AU192" i="1"/>
  <c r="AU193" i="1" s="1"/>
  <c r="AS276" i="1"/>
  <c r="AS198" i="1"/>
  <c r="AW189" i="1"/>
  <c r="AS140" i="1" l="1"/>
  <c r="AS143" i="1" s="1"/>
  <c r="AW216" i="1"/>
  <c r="AW245" i="1"/>
  <c r="AW242" i="1"/>
  <c r="AV241" i="1"/>
  <c r="AV242" i="1" s="1"/>
  <c r="AV243" i="1" s="1"/>
  <c r="AU243" i="1"/>
  <c r="AU200" i="1"/>
  <c r="AU197" i="1"/>
  <c r="AU277" i="1"/>
  <c r="AY185" i="1"/>
  <c r="AY188" i="1" s="1"/>
  <c r="AU139" i="1" l="1"/>
  <c r="AU141" i="1" s="1"/>
  <c r="AU144" i="1" s="1"/>
  <c r="AV61" i="1"/>
  <c r="AY217" i="1"/>
  <c r="AY216" i="1" s="1"/>
  <c r="AZ229" i="1"/>
  <c r="AZ230" i="1" s="1"/>
  <c r="AZ231" i="1" s="1"/>
  <c r="AZ245" i="1" s="1"/>
  <c r="AY229" i="1"/>
  <c r="AY230" i="1" s="1"/>
  <c r="AY231" i="1" s="1"/>
  <c r="AW192" i="1"/>
  <c r="AW193" i="1" s="1"/>
  <c r="AY189" i="1"/>
  <c r="AU276" i="1"/>
  <c r="AU198" i="1"/>
  <c r="AU140" i="1" l="1"/>
  <c r="AU143" i="1" s="1"/>
  <c r="AY218" i="1"/>
  <c r="AY245" i="1"/>
  <c r="AY242" i="1"/>
  <c r="AX241" i="1"/>
  <c r="AX242" i="1" s="1"/>
  <c r="AX243" i="1" s="1"/>
  <c r="AW243" i="1"/>
  <c r="BA185" i="1"/>
  <c r="BA188" i="1" s="1"/>
  <c r="AW197" i="1"/>
  <c r="AW277" i="1"/>
  <c r="AW200" i="1"/>
  <c r="AW139" i="1" l="1"/>
  <c r="AW140" i="1" s="1"/>
  <c r="AW143" i="1" s="1"/>
  <c r="AX61" i="1"/>
  <c r="BB229" i="1"/>
  <c r="BB230" i="1" s="1"/>
  <c r="BB231" i="1" s="1"/>
  <c r="BB245" i="1" s="1"/>
  <c r="BA217" i="1"/>
  <c r="BA216" i="1" s="1"/>
  <c r="BA229" i="1"/>
  <c r="BA230" i="1" s="1"/>
  <c r="BA231" i="1" s="1"/>
  <c r="AW276" i="1"/>
  <c r="AW198" i="1"/>
  <c r="BA189" i="1"/>
  <c r="AY192" i="1"/>
  <c r="AY193" i="1" s="1"/>
  <c r="AW141" i="1" l="1"/>
  <c r="AW144" i="1" s="1"/>
  <c r="BA218" i="1"/>
  <c r="BA245" i="1"/>
  <c r="BA242" i="1"/>
  <c r="AZ241" i="1"/>
  <c r="AZ242" i="1" s="1"/>
  <c r="AZ243" i="1" s="1"/>
  <c r="AY243" i="1"/>
  <c r="AY197" i="1"/>
  <c r="AY200" i="1"/>
  <c r="AY277" i="1"/>
  <c r="BC185" i="1"/>
  <c r="BC188" i="1" s="1"/>
  <c r="AY139" i="1" l="1"/>
  <c r="AY141" i="1" s="1"/>
  <c r="AY144" i="1" s="1"/>
  <c r="AZ61" i="1"/>
  <c r="BC217" i="1"/>
  <c r="BC216" i="1" s="1"/>
  <c r="BD229" i="1"/>
  <c r="BD230" i="1" s="1"/>
  <c r="BD231" i="1" s="1"/>
  <c r="BD245" i="1" s="1"/>
  <c r="BC229" i="1"/>
  <c r="BC230" i="1" s="1"/>
  <c r="BC231" i="1" s="1"/>
  <c r="AY276" i="1"/>
  <c r="AY198" i="1"/>
  <c r="BC189" i="1"/>
  <c r="BA192" i="1"/>
  <c r="BA193" i="1" s="1"/>
  <c r="AY140" i="1" l="1"/>
  <c r="AY143" i="1" s="1"/>
  <c r="BC218" i="1"/>
  <c r="BC245" i="1"/>
  <c r="BC242" i="1"/>
  <c r="BB241" i="1"/>
  <c r="BB242" i="1" s="1"/>
  <c r="BB243" i="1" s="1"/>
  <c r="BA243" i="1"/>
  <c r="BE185" i="1"/>
  <c r="BE188" i="1" s="1"/>
  <c r="BA200" i="1"/>
  <c r="BA197" i="1"/>
  <c r="BA277" i="1"/>
  <c r="BA139" i="1" l="1"/>
  <c r="BA141" i="1" s="1"/>
  <c r="BA144" i="1" s="1"/>
  <c r="BB61" i="1"/>
  <c r="BE217" i="1"/>
  <c r="BE216" i="1" s="1"/>
  <c r="BF229" i="1"/>
  <c r="BF230" i="1" s="1"/>
  <c r="BF231" i="1" s="1"/>
  <c r="BF245" i="1" s="1"/>
  <c r="BE229" i="1"/>
  <c r="BE230" i="1" s="1"/>
  <c r="BE231" i="1" s="1"/>
  <c r="BC192" i="1"/>
  <c r="BC193" i="1" s="1"/>
  <c r="BA198" i="1"/>
  <c r="BA276" i="1"/>
  <c r="BE189" i="1"/>
  <c r="BA140" i="1" l="1"/>
  <c r="BA143" i="1" s="1"/>
  <c r="BE218" i="1"/>
  <c r="BE245" i="1"/>
  <c r="BE242" i="1"/>
  <c r="BD241" i="1"/>
  <c r="BD242" i="1" s="1"/>
  <c r="BD243" i="1" s="1"/>
  <c r="BC243" i="1"/>
  <c r="BG185" i="1"/>
  <c r="BG188" i="1" s="1"/>
  <c r="BC197" i="1"/>
  <c r="BC200" i="1"/>
  <c r="BC277" i="1"/>
  <c r="BC139" i="1" l="1"/>
  <c r="BC141" i="1" s="1"/>
  <c r="BC144" i="1" s="1"/>
  <c r="BD61" i="1"/>
  <c r="BG217" i="1"/>
  <c r="BG218" i="1" s="1"/>
  <c r="BH229" i="1"/>
  <c r="BH230" i="1" s="1"/>
  <c r="BH231" i="1" s="1"/>
  <c r="BH245" i="1" s="1"/>
  <c r="BG229" i="1"/>
  <c r="BG230" i="1" s="1"/>
  <c r="BG231" i="1" s="1"/>
  <c r="BC276" i="1"/>
  <c r="BC198" i="1"/>
  <c r="BE192" i="1"/>
  <c r="BE193" i="1" s="1"/>
  <c r="BG189" i="1"/>
  <c r="BC140" i="1" l="1"/>
  <c r="BC143" i="1" s="1"/>
  <c r="BG216" i="1"/>
  <c r="BG245" i="1"/>
  <c r="BG242" i="1"/>
  <c r="BF241" i="1"/>
  <c r="BF242" i="1" s="1"/>
  <c r="BF243" i="1" s="1"/>
  <c r="BE243" i="1"/>
  <c r="BE200" i="1"/>
  <c r="BE197" i="1"/>
  <c r="BE277" i="1"/>
  <c r="BI185" i="1"/>
  <c r="BI188" i="1" s="1"/>
  <c r="BE139" i="1" l="1"/>
  <c r="BF61" i="1"/>
  <c r="BI217" i="1"/>
  <c r="BI216" i="1" s="1"/>
  <c r="BJ229" i="1"/>
  <c r="BJ230" i="1" s="1"/>
  <c r="BJ231" i="1" s="1"/>
  <c r="BJ245" i="1" s="1"/>
  <c r="BI229" i="1"/>
  <c r="BI230" i="1" s="1"/>
  <c r="BI231" i="1" s="1"/>
  <c r="BE276" i="1"/>
  <c r="BE198" i="1"/>
  <c r="BG192" i="1"/>
  <c r="BG193" i="1" s="1"/>
  <c r="BI189" i="1"/>
  <c r="BE140" i="1" l="1"/>
  <c r="BE143" i="1" s="1"/>
  <c r="BE141" i="1"/>
  <c r="BE144" i="1" s="1"/>
  <c r="BI218" i="1"/>
  <c r="BI245" i="1"/>
  <c r="BI242" i="1"/>
  <c r="BH241" i="1"/>
  <c r="BH242" i="1" s="1"/>
  <c r="BH243" i="1" s="1"/>
  <c r="BG243" i="1"/>
  <c r="BG277" i="1"/>
  <c r="BG197" i="1"/>
  <c r="BG200" i="1"/>
  <c r="BK185" i="1"/>
  <c r="BK188" i="1" s="1"/>
  <c r="BG139" i="1" l="1"/>
  <c r="BH61" i="1"/>
  <c r="BL229" i="1"/>
  <c r="BL230" i="1" s="1"/>
  <c r="BL231" i="1" s="1"/>
  <c r="BL245" i="1" s="1"/>
  <c r="BK217" i="1"/>
  <c r="BK216" i="1" s="1"/>
  <c r="BK229" i="1"/>
  <c r="BK230" i="1" s="1"/>
  <c r="BK231" i="1" s="1"/>
  <c r="BK189" i="1"/>
  <c r="BG198" i="1"/>
  <c r="BG276" i="1"/>
  <c r="BI192" i="1"/>
  <c r="BI193" i="1" s="1"/>
  <c r="BG141" i="1" l="1"/>
  <c r="BG144" i="1" s="1"/>
  <c r="BG140" i="1"/>
  <c r="BG143" i="1" s="1"/>
  <c r="BK218" i="1"/>
  <c r="BK245" i="1"/>
  <c r="BK242" i="1"/>
  <c r="BJ241" i="1"/>
  <c r="BJ242" i="1" s="1"/>
  <c r="BJ243" i="1" s="1"/>
  <c r="BI243" i="1"/>
  <c r="BI200" i="1"/>
  <c r="BI197" i="1"/>
  <c r="BI277" i="1"/>
  <c r="BM185" i="1"/>
  <c r="BM188" i="1" s="1"/>
  <c r="BI139" i="1" l="1"/>
  <c r="BI141" i="1" s="1"/>
  <c r="BI144" i="1" s="1"/>
  <c r="BJ61" i="1"/>
  <c r="BM217" i="1"/>
  <c r="BM216" i="1" s="1"/>
  <c r="BN229" i="1"/>
  <c r="BN230" i="1" s="1"/>
  <c r="BN231" i="1" s="1"/>
  <c r="BN245" i="1" s="1"/>
  <c r="BM229" i="1"/>
  <c r="BM230" i="1" s="1"/>
  <c r="BM231" i="1" s="1"/>
  <c r="BM189" i="1"/>
  <c r="BI198" i="1"/>
  <c r="BI276" i="1"/>
  <c r="BK192" i="1"/>
  <c r="BK193" i="1" s="1"/>
  <c r="BI140" i="1" l="1"/>
  <c r="BI143" i="1" s="1"/>
  <c r="BM218" i="1"/>
  <c r="BM245" i="1"/>
  <c r="BM242" i="1"/>
  <c r="BL241" i="1"/>
  <c r="BL242" i="1" s="1"/>
  <c r="BL243" i="1" s="1"/>
  <c r="BK243" i="1"/>
  <c r="BK200" i="1"/>
  <c r="BK197" i="1"/>
  <c r="BK277" i="1"/>
  <c r="BO185" i="1"/>
  <c r="BO188" i="1" s="1"/>
  <c r="BK139" i="1" l="1"/>
  <c r="BK141" i="1" s="1"/>
  <c r="BK144" i="1" s="1"/>
  <c r="BL61" i="1"/>
  <c r="BO217" i="1"/>
  <c r="BO216" i="1" s="1"/>
  <c r="BP229" i="1"/>
  <c r="BP230" i="1" s="1"/>
  <c r="BP231" i="1" s="1"/>
  <c r="BP245" i="1" s="1"/>
  <c r="BO229" i="1"/>
  <c r="BO230" i="1" s="1"/>
  <c r="BO231" i="1" s="1"/>
  <c r="BM192" i="1"/>
  <c r="BM193" i="1" s="1"/>
  <c r="BK276" i="1"/>
  <c r="BK198" i="1"/>
  <c r="BO189" i="1"/>
  <c r="BK140" i="1" l="1"/>
  <c r="BK143" i="1" s="1"/>
  <c r="BO218" i="1"/>
  <c r="BO245" i="1"/>
  <c r="BO242" i="1"/>
  <c r="BN241" i="1"/>
  <c r="BN242" i="1" s="1"/>
  <c r="BN243" i="1" s="1"/>
  <c r="BM243" i="1"/>
  <c r="BM277" i="1"/>
  <c r="BM197" i="1"/>
  <c r="BM200" i="1"/>
  <c r="BQ185" i="1"/>
  <c r="BQ188" i="1" s="1"/>
  <c r="BM139" i="1" l="1"/>
  <c r="BM141" i="1" s="1"/>
  <c r="BM144" i="1" s="1"/>
  <c r="BN61" i="1"/>
  <c r="BQ217" i="1"/>
  <c r="BQ216" i="1" s="1"/>
  <c r="BR229" i="1"/>
  <c r="BR230" i="1" s="1"/>
  <c r="BR231" i="1" s="1"/>
  <c r="BR245" i="1" s="1"/>
  <c r="BQ229" i="1"/>
  <c r="BQ230" i="1" s="1"/>
  <c r="BQ231" i="1" s="1"/>
  <c r="BO192" i="1"/>
  <c r="BO193" i="1" s="1"/>
  <c r="BQ189" i="1"/>
  <c r="BM276" i="1"/>
  <c r="BM198" i="1"/>
  <c r="BM140" i="1" l="1"/>
  <c r="BM143" i="1" s="1"/>
  <c r="BQ218" i="1"/>
  <c r="BQ245" i="1"/>
  <c r="BQ242" i="1"/>
  <c r="BP241" i="1"/>
  <c r="BP242" i="1" s="1"/>
  <c r="BP243" i="1" s="1"/>
  <c r="BO243" i="1"/>
  <c r="BS185" i="1"/>
  <c r="BS188" i="1" s="1"/>
  <c r="BO277" i="1"/>
  <c r="BO197" i="1"/>
  <c r="BO200" i="1"/>
  <c r="BO139" i="1" l="1"/>
  <c r="BP61" i="1"/>
  <c r="BS217" i="1"/>
  <c r="BS216" i="1" s="1"/>
  <c r="BT229" i="1"/>
  <c r="BT230" i="1" s="1"/>
  <c r="BT231" i="1" s="1"/>
  <c r="BT245" i="1" s="1"/>
  <c r="BS229" i="1"/>
  <c r="BS230" i="1" s="1"/>
  <c r="BS231" i="1" s="1"/>
  <c r="BO198" i="1"/>
  <c r="BO276" i="1"/>
  <c r="BS189" i="1"/>
  <c r="BQ192" i="1"/>
  <c r="BQ193" i="1" s="1"/>
  <c r="BO140" i="1" l="1"/>
  <c r="BO143" i="1" s="1"/>
  <c r="BO141" i="1"/>
  <c r="BO144" i="1" s="1"/>
  <c r="BS218" i="1"/>
  <c r="BS245" i="1"/>
  <c r="BS242" i="1"/>
  <c r="BR241" i="1"/>
  <c r="BR242" i="1" s="1"/>
  <c r="BR243" i="1" s="1"/>
  <c r="BQ243" i="1"/>
  <c r="BQ197" i="1"/>
  <c r="BQ200" i="1"/>
  <c r="BQ277" i="1"/>
  <c r="BU185" i="1"/>
  <c r="BU188" i="1" s="1"/>
  <c r="BQ139" i="1" l="1"/>
  <c r="BQ141" i="1" s="1"/>
  <c r="BQ144" i="1" s="1"/>
  <c r="BR61" i="1"/>
  <c r="BU217" i="1"/>
  <c r="BU216" i="1" s="1"/>
  <c r="BV229" i="1"/>
  <c r="BV230" i="1" s="1"/>
  <c r="BV231" i="1" s="1"/>
  <c r="BV245" i="1" s="1"/>
  <c r="BU229" i="1"/>
  <c r="BU230" i="1" s="1"/>
  <c r="BU231" i="1" s="1"/>
  <c r="BS192" i="1"/>
  <c r="BS193" i="1" s="1"/>
  <c r="BQ198" i="1"/>
  <c r="BQ276" i="1"/>
  <c r="BU189" i="1"/>
  <c r="BQ140" i="1" l="1"/>
  <c r="BQ143" i="1" s="1"/>
  <c r="BU218" i="1"/>
  <c r="BU245" i="1"/>
  <c r="BU242" i="1"/>
  <c r="BT241" i="1"/>
  <c r="BT242" i="1" s="1"/>
  <c r="BT243" i="1" s="1"/>
  <c r="BS243" i="1"/>
  <c r="BS197" i="1"/>
  <c r="BS200" i="1"/>
  <c r="BS277" i="1"/>
  <c r="BW185" i="1"/>
  <c r="BW188" i="1" s="1"/>
  <c r="BS139" i="1" l="1"/>
  <c r="BS141" i="1" s="1"/>
  <c r="BS144" i="1" s="1"/>
  <c r="BT61" i="1"/>
  <c r="BW217" i="1"/>
  <c r="BW216" i="1" s="1"/>
  <c r="BX229" i="1"/>
  <c r="BX230" i="1" s="1"/>
  <c r="BX231" i="1" s="1"/>
  <c r="BX245" i="1" s="1"/>
  <c r="BW229" i="1"/>
  <c r="BW230" i="1" s="1"/>
  <c r="BW231" i="1" s="1"/>
  <c r="BW189" i="1"/>
  <c r="BS276" i="1"/>
  <c r="BS198" i="1"/>
  <c r="BU192" i="1"/>
  <c r="BU193" i="1" s="1"/>
  <c r="BS140" i="1" l="1"/>
  <c r="BS143" i="1" s="1"/>
  <c r="BW218" i="1"/>
  <c r="BW245" i="1"/>
  <c r="BW242" i="1"/>
  <c r="BV241" i="1"/>
  <c r="BV242" i="1" s="1"/>
  <c r="BV243" i="1" s="1"/>
  <c r="BU243" i="1"/>
  <c r="BU197" i="1"/>
  <c r="BU200" i="1"/>
  <c r="BU277" i="1"/>
  <c r="BY185" i="1"/>
  <c r="BY188" i="1" s="1"/>
  <c r="BU139" i="1" l="1"/>
  <c r="BU141" i="1" s="1"/>
  <c r="BU144" i="1" s="1"/>
  <c r="BV61" i="1"/>
  <c r="BZ229" i="1"/>
  <c r="BZ230" i="1" s="1"/>
  <c r="BZ231" i="1" s="1"/>
  <c r="BZ245" i="1" s="1"/>
  <c r="BY217" i="1"/>
  <c r="BY216" i="1" s="1"/>
  <c r="BY229" i="1"/>
  <c r="BY230" i="1" s="1"/>
  <c r="BY231" i="1" s="1"/>
  <c r="BW192" i="1"/>
  <c r="BW193" i="1" s="1"/>
  <c r="BY189" i="1"/>
  <c r="BU276" i="1"/>
  <c r="BU198" i="1"/>
  <c r="BU140" i="1" l="1"/>
  <c r="BU143" i="1" s="1"/>
  <c r="BY218" i="1"/>
  <c r="BY245" i="1"/>
  <c r="BY242" i="1"/>
  <c r="BX241" i="1"/>
  <c r="BX242" i="1" s="1"/>
  <c r="BX243" i="1" s="1"/>
  <c r="BW243" i="1"/>
  <c r="BW197" i="1"/>
  <c r="BW277" i="1"/>
  <c r="BW200" i="1"/>
  <c r="BW139" i="1" l="1"/>
  <c r="BW140" i="1" s="1"/>
  <c r="BW143" i="1" s="1"/>
  <c r="BX61" i="1"/>
  <c r="BW198" i="1"/>
  <c r="BW276" i="1"/>
  <c r="BY192" i="1"/>
  <c r="BY193" i="1" s="1"/>
  <c r="BW141" i="1" l="1"/>
  <c r="BW144" i="1" s="1"/>
  <c r="BZ241" i="1"/>
  <c r="BZ242" i="1" s="1"/>
  <c r="BZ243" i="1" s="1"/>
  <c r="BY243" i="1"/>
  <c r="BY277" i="1"/>
  <c r="BY200" i="1"/>
  <c r="BY197" i="1"/>
  <c r="BY139" i="1" l="1"/>
  <c r="BY141" i="1" s="1"/>
  <c r="BY144" i="1" s="1"/>
  <c r="BZ61" i="1"/>
  <c r="BY198" i="1"/>
  <c r="BY276" i="1"/>
  <c r="CC176" i="1"/>
  <c r="CC175" i="1"/>
  <c r="CA175" i="1"/>
  <c r="CA185" i="1"/>
  <c r="CA188" i="1" s="1"/>
  <c r="CA176" i="1"/>
  <c r="BY140" i="1" l="1"/>
  <c r="BY143" i="1" s="1"/>
  <c r="CA180" i="1"/>
  <c r="CA214" i="1" s="1"/>
  <c r="CA213" i="1" s="1"/>
  <c r="CB229" i="1"/>
  <c r="CA217" i="1"/>
  <c r="CA216" i="1" s="1"/>
  <c r="CA229" i="1"/>
  <c r="CC185" i="1"/>
  <c r="CC188" i="1" s="1"/>
  <c r="CC180" i="1"/>
  <c r="CA189" i="1" l="1"/>
  <c r="CA228" i="1"/>
  <c r="CA230" i="1" s="1"/>
  <c r="CA231" i="1" s="1"/>
  <c r="CA245" i="1" s="1"/>
  <c r="CB228" i="1"/>
  <c r="CB230" i="1" s="1"/>
  <c r="CB231" i="1" s="1"/>
  <c r="CB245" i="1" s="1"/>
  <c r="CA218" i="1"/>
  <c r="CD228" i="1"/>
  <c r="CC214" i="1"/>
  <c r="CC213" i="1" s="1"/>
  <c r="CC228" i="1"/>
  <c r="CC217" i="1"/>
  <c r="CC216" i="1" s="1"/>
  <c r="CD229" i="1"/>
  <c r="CC229" i="1"/>
  <c r="CC189" i="1"/>
  <c r="CC230" i="1" l="1"/>
  <c r="CC231" i="1" s="1"/>
  <c r="CC245" i="1" s="1"/>
  <c r="CD230" i="1"/>
  <c r="CD231" i="1" s="1"/>
  <c r="CD245" i="1" s="1"/>
  <c r="CA242" i="1"/>
  <c r="CA192" i="1" s="1"/>
  <c r="CA193" i="1" s="1"/>
  <c r="CC218" i="1"/>
  <c r="CC242" i="1" l="1"/>
  <c r="CC192" i="1" s="1"/>
  <c r="CC193" i="1" s="1"/>
  <c r="CB241" i="1"/>
  <c r="CB242" i="1" s="1"/>
  <c r="CB243" i="1" s="1"/>
  <c r="CA243" i="1"/>
  <c r="CA200" i="1"/>
  <c r="CA197" i="1"/>
  <c r="CA277" i="1"/>
  <c r="CA139" i="1" l="1"/>
  <c r="CA140" i="1" s="1"/>
  <c r="CA143" i="1" s="1"/>
  <c r="CB61" i="1"/>
  <c r="CD241" i="1"/>
  <c r="CD242" i="1" s="1"/>
  <c r="CD243" i="1" s="1"/>
  <c r="CC243" i="1"/>
  <c r="CC197" i="1"/>
  <c r="CC200" i="1"/>
  <c r="CC277" i="1"/>
  <c r="CA198" i="1"/>
  <c r="CA276" i="1"/>
  <c r="CA141" i="1" l="1"/>
  <c r="CA144" i="1" s="1"/>
  <c r="CC139" i="1"/>
  <c r="CC140" i="1" s="1"/>
  <c r="CC143" i="1" s="1"/>
  <c r="CD61" i="1"/>
  <c r="CC276" i="1"/>
  <c r="CC198" i="1"/>
  <c r="CC141" i="1" l="1"/>
  <c r="CC144" i="1" s="1"/>
  <c r="CE114" i="1"/>
  <c r="CD114" i="1"/>
  <c r="CC114" i="1"/>
  <c r="CB114" i="1"/>
  <c r="Y114" i="1"/>
  <c r="CI176" i="1" l="1"/>
  <c r="CI185" i="1"/>
  <c r="CI188" i="1" s="1"/>
  <c r="CI175" i="1"/>
  <c r="CJ229" i="1" l="1"/>
  <c r="CI180" i="1"/>
  <c r="CI229" i="1"/>
  <c r="CJ228" i="1" l="1"/>
  <c r="CJ230" i="1" s="1"/>
  <c r="CJ231" i="1" s="1"/>
  <c r="CJ245" i="1" s="1"/>
  <c r="CI189" i="1"/>
  <c r="CI228" i="1"/>
  <c r="CI230" i="1" s="1"/>
  <c r="CI231" i="1" s="1"/>
  <c r="CI245" i="1" s="1"/>
  <c r="CI218" i="1" l="1"/>
  <c r="CI242" i="1"/>
  <c r="CI192" i="1" s="1"/>
  <c r="CI193" i="1" s="1"/>
  <c r="CI243" i="1" l="1"/>
  <c r="CJ241" i="1"/>
  <c r="CJ242" i="1" s="1"/>
  <c r="CI200" i="1"/>
  <c r="CJ61" i="1" s="1"/>
  <c r="CI197" i="1"/>
  <c r="CI277" i="1"/>
  <c r="CI139" i="1" l="1"/>
  <c r="CI140" i="1" s="1"/>
  <c r="CI143" i="1" s="1"/>
  <c r="CJ243" i="1"/>
  <c r="AB176" i="1"/>
  <c r="AB212" i="1" s="1"/>
  <c r="CI276" i="1"/>
  <c r="CI198" i="1"/>
  <c r="CI141" i="1" l="1"/>
  <c r="CI144" i="1" s="1"/>
  <c r="CJ277" i="1"/>
  <c r="CJ200" i="1"/>
  <c r="CK61" i="1" s="1"/>
  <c r="CJ139" i="1" l="1"/>
  <c r="CN61" i="1"/>
  <c r="CO61" i="1" s="1"/>
  <c r="CP61" i="1" s="1"/>
  <c r="CR61" i="1" s="1"/>
  <c r="CS61" i="1" s="1"/>
  <c r="CT61" i="1" s="1"/>
  <c r="CV61" i="1" s="1"/>
  <c r="CW61" i="1" s="1"/>
  <c r="CX61" i="1" s="1"/>
  <c r="CY61" i="1" s="1"/>
  <c r="CZ61" i="1" s="1"/>
  <c r="DA61" i="1" s="1"/>
  <c r="DB61" i="1" s="1"/>
  <c r="CJ276" i="1"/>
  <c r="AB185" i="1"/>
  <c r="AB175" i="1"/>
  <c r="CJ140" i="1" l="1"/>
  <c r="CJ143" i="1" s="1"/>
  <c r="CJ141" i="1"/>
  <c r="CJ144" i="1" s="1"/>
  <c r="AB180" i="1"/>
  <c r="AB211" i="1"/>
  <c r="AB188" i="1"/>
  <c r="AB215" i="1"/>
  <c r="AC176" i="1" l="1"/>
  <c r="AC212" i="1" s="1"/>
  <c r="AB214" i="1"/>
  <c r="AB189" i="1"/>
  <c r="AB228" i="1"/>
  <c r="AB217" i="1"/>
  <c r="AB216" i="1" s="1"/>
  <c r="AB229" i="1"/>
  <c r="AB230" i="1" l="1"/>
  <c r="AB213" i="1"/>
  <c r="AB218" i="1"/>
  <c r="AB221" i="1" s="1"/>
  <c r="AB222" i="1" s="1"/>
  <c r="AC175" i="1" l="1"/>
  <c r="AC185" i="1"/>
  <c r="AC211" i="1" l="1"/>
  <c r="AC180" i="1"/>
  <c r="AC188" i="1"/>
  <c r="AC215" i="1"/>
  <c r="AC214" i="1" l="1"/>
  <c r="AC189" i="1"/>
  <c r="AC228" i="1"/>
  <c r="AD176" i="1"/>
  <c r="AD212" i="1" s="1"/>
  <c r="AC217" i="1"/>
  <c r="AC216" i="1" s="1"/>
  <c r="AC229" i="1"/>
  <c r="AC230" i="1" l="1"/>
  <c r="AC213" i="1"/>
  <c r="AC218" i="1"/>
  <c r="AC221" i="1" s="1"/>
  <c r="AC222" i="1" s="1"/>
  <c r="AD185" i="1" l="1"/>
  <c r="AD175" i="1"/>
  <c r="AD215" i="1" l="1"/>
  <c r="AD188" i="1"/>
  <c r="AE176" i="1"/>
  <c r="AE212" i="1" s="1"/>
  <c r="AD180" i="1"/>
  <c r="AD211" i="1"/>
  <c r="AD217" i="1" l="1"/>
  <c r="AD216" i="1" s="1"/>
  <c r="AD229" i="1"/>
  <c r="AD214" i="1"/>
  <c r="AD189" i="1"/>
  <c r="AD228" i="1"/>
  <c r="AD230" i="1" l="1"/>
  <c r="AD213" i="1"/>
  <c r="AD218" i="1"/>
  <c r="AD221" i="1" s="1"/>
  <c r="AD222" i="1" s="1"/>
  <c r="AE175" i="1"/>
  <c r="AE185" i="1"/>
  <c r="AE188" i="1" l="1"/>
  <c r="AE215" i="1"/>
  <c r="AE180" i="1"/>
  <c r="AE211" i="1"/>
  <c r="AE214" i="1" l="1"/>
  <c r="AE189" i="1"/>
  <c r="AE228" i="1"/>
  <c r="AE217" i="1"/>
  <c r="AE216" i="1" s="1"/>
  <c r="AE229" i="1"/>
  <c r="AE230" i="1" l="1"/>
  <c r="AE213" i="1"/>
  <c r="AE218" i="1"/>
  <c r="AE221" i="1" s="1"/>
  <c r="AE222" i="1" s="1"/>
  <c r="CN258" i="1" l="1"/>
  <c r="CM258" i="1"/>
  <c r="CN142" i="1"/>
  <c r="CM142" i="1"/>
  <c r="CO54" i="1"/>
  <c r="AA23" i="1" l="1"/>
  <c r="AA24" i="1" l="1"/>
  <c r="AA22" i="1"/>
  <c r="AB54" i="1"/>
  <c r="AB279" i="1"/>
  <c r="AB280" i="1" s="1"/>
  <c r="CG114" i="1" l="1"/>
  <c r="CH114" i="1" l="1"/>
  <c r="Z114" i="1" l="1"/>
  <c r="AB241" i="1" l="1"/>
  <c r="CM241" i="1"/>
  <c r="CM60" i="1" l="1"/>
  <c r="CM281" i="1" l="1"/>
  <c r="CM62" i="1"/>
  <c r="CM63" i="1" l="1"/>
  <c r="CM65" i="1" l="1"/>
  <c r="CM73" i="1" s="1"/>
  <c r="CM67" i="1" l="1"/>
  <c r="CM259" i="1"/>
  <c r="CM66" i="1"/>
  <c r="CM149" i="1"/>
  <c r="CM68" i="1"/>
  <c r="CM266" i="1"/>
  <c r="CM225" i="1" l="1"/>
  <c r="CM227" i="1" s="1"/>
  <c r="CM231" i="1" s="1"/>
  <c r="CM245" i="1" s="1"/>
  <c r="CM91" i="1"/>
  <c r="CM150" i="1"/>
  <c r="CM117" i="1" s="1"/>
  <c r="CM119" i="1" s="1"/>
  <c r="CM94" i="1" l="1"/>
  <c r="CM160" i="1"/>
  <c r="CM80" i="1" s="1"/>
  <c r="CM79" i="1"/>
  <c r="CM239" i="1"/>
  <c r="CM237" i="1" s="1"/>
  <c r="CM242" i="1" s="1"/>
  <c r="CM95" i="1" l="1"/>
  <c r="CM110" i="1"/>
  <c r="CI114" i="1"/>
  <c r="CM104" i="1"/>
  <c r="CM103" i="1"/>
  <c r="CM192" i="1"/>
  <c r="CM193" i="1" s="1"/>
  <c r="CM243" i="1" s="1"/>
  <c r="CM106" i="1" l="1"/>
  <c r="CM137" i="1"/>
  <c r="CM131" i="1" s="1"/>
  <c r="CM134" i="1" s="1"/>
  <c r="CM107" i="1"/>
  <c r="CM138" i="1"/>
  <c r="CM132" i="1" s="1"/>
  <c r="CM135" i="1" s="1"/>
  <c r="CM277" i="1"/>
  <c r="CM200" i="1"/>
  <c r="CN241" i="1"/>
  <c r="CM197" i="1"/>
  <c r="CM276" i="1" l="1"/>
  <c r="CM198" i="1"/>
  <c r="CM139" i="1"/>
  <c r="CN60" i="1"/>
  <c r="CM140" i="1" l="1"/>
  <c r="CM143" i="1" s="1"/>
  <c r="CM141" i="1"/>
  <c r="CM144" i="1" s="1"/>
  <c r="CN281" i="1"/>
  <c r="CN62" i="1"/>
  <c r="CN63" i="1" s="1"/>
  <c r="CN65" i="1" l="1"/>
  <c r="CN66" i="1" s="1"/>
  <c r="CN266" i="1" l="1"/>
  <c r="CN68" i="1"/>
  <c r="CN73" i="1"/>
  <c r="CN225" i="1" s="1"/>
  <c r="CN227" i="1" s="1"/>
  <c r="CN231" i="1" s="1"/>
  <c r="CN245" i="1" s="1"/>
  <c r="CN67" i="1"/>
  <c r="CN259" i="1"/>
  <c r="CN149" i="1" l="1"/>
  <c r="CN150" i="1" s="1"/>
  <c r="CN117" i="1" s="1"/>
  <c r="CN119" i="1" s="1"/>
  <c r="CN91" i="1"/>
  <c r="CN94" i="1" s="1"/>
  <c r="CN95" i="1" l="1"/>
  <c r="CN103" i="1"/>
  <c r="CN110" i="1"/>
  <c r="CJ114" i="1"/>
  <c r="CN104" i="1"/>
  <c r="CN239" i="1"/>
  <c r="CN237" i="1" s="1"/>
  <c r="CN242" i="1" s="1"/>
  <c r="CN79" i="1"/>
  <c r="CN160" i="1"/>
  <c r="CN80" i="1" s="1"/>
  <c r="CN107" i="1" l="1"/>
  <c r="CN138" i="1"/>
  <c r="CN132" i="1" s="1"/>
  <c r="CN135" i="1" s="1"/>
  <c r="CN106" i="1"/>
  <c r="CN137" i="1"/>
  <c r="CN131" i="1" s="1"/>
  <c r="CN134" i="1" s="1"/>
  <c r="CN192" i="1"/>
  <c r="CN193" i="1" s="1"/>
  <c r="CN243" i="1" s="1"/>
  <c r="CN277" i="1" l="1"/>
  <c r="CN197" i="1"/>
  <c r="CN200" i="1"/>
  <c r="CO241" i="1"/>
  <c r="CN139" i="1" l="1"/>
  <c r="CO60" i="1"/>
  <c r="CN276" i="1"/>
  <c r="CN198" i="1"/>
  <c r="CO62" i="1" l="1"/>
  <c r="CO63" i="1" s="1"/>
  <c r="CO281" i="1"/>
  <c r="CN140" i="1"/>
  <c r="CN143" i="1" s="1"/>
  <c r="CN141" i="1"/>
  <c r="CN144" i="1" s="1"/>
  <c r="CO65" i="1" l="1"/>
  <c r="CO73" i="1" s="1"/>
  <c r="CO66" i="1" l="1"/>
  <c r="CO266" i="1"/>
  <c r="CO67" i="1"/>
  <c r="CO68" i="1"/>
  <c r="CO259" i="1"/>
  <c r="CO91" i="1"/>
  <c r="CO225" i="1"/>
  <c r="CO227" i="1" s="1"/>
  <c r="CO231" i="1" s="1"/>
  <c r="CO245" i="1" s="1"/>
  <c r="CO149" i="1"/>
  <c r="CO94" i="1" l="1"/>
  <c r="CK114" i="1" s="1"/>
  <c r="CO150" i="1"/>
  <c r="CO117" i="1" s="1"/>
  <c r="CO119" i="1" s="1"/>
  <c r="CO95" i="1" l="1"/>
  <c r="CO110" i="1"/>
  <c r="CO103" i="1"/>
  <c r="CO104" i="1"/>
  <c r="CO160" i="1"/>
  <c r="CO80" i="1" s="1"/>
  <c r="CO239" i="1"/>
  <c r="CO237" i="1" s="1"/>
  <c r="CO242" i="1" s="1"/>
  <c r="CO79" i="1"/>
  <c r="CO107" i="1" l="1"/>
  <c r="CO138" i="1"/>
  <c r="CO132" i="1" s="1"/>
  <c r="CO135" i="1" s="1"/>
  <c r="CO106" i="1"/>
  <c r="CO137" i="1"/>
  <c r="CO131" i="1" s="1"/>
  <c r="CO134" i="1" s="1"/>
  <c r="CO192" i="1"/>
  <c r="CO193" i="1" s="1"/>
  <c r="CO243" i="1" s="1"/>
  <c r="CP241" i="1" l="1"/>
  <c r="CO277" i="1"/>
  <c r="CO200" i="1"/>
  <c r="CO197" i="1"/>
  <c r="CO276" i="1" l="1"/>
  <c r="CO198" i="1"/>
  <c r="CP60" i="1"/>
  <c r="AB60" i="1" s="1"/>
  <c r="CO139" i="1"/>
  <c r="AB62" i="1" l="1"/>
  <c r="AB281" i="1"/>
  <c r="CO140" i="1"/>
  <c r="CO143" i="1" s="1"/>
  <c r="CO141" i="1"/>
  <c r="CO144" i="1" s="1"/>
  <c r="CP281" i="1"/>
  <c r="CP62" i="1"/>
  <c r="CP63" i="1" s="1"/>
  <c r="CP65" i="1" l="1"/>
  <c r="CP66" i="1" s="1"/>
  <c r="AB63" i="1"/>
  <c r="AB64" i="1" s="1"/>
  <c r="CP266" i="1" l="1"/>
  <c r="CP68" i="1"/>
  <c r="CP67" i="1"/>
  <c r="CP73" i="1"/>
  <c r="CP225" i="1" s="1"/>
  <c r="CP227" i="1" s="1"/>
  <c r="CP231" i="1" s="1"/>
  <c r="CP245" i="1" s="1"/>
  <c r="AB65" i="1"/>
  <c r="AB73" i="1" s="1"/>
  <c r="CP259" i="1"/>
  <c r="CP149" i="1" l="1"/>
  <c r="CP150" i="1" s="1"/>
  <c r="CP117" i="1" s="1"/>
  <c r="CP119" i="1" s="1"/>
  <c r="CP91" i="1"/>
  <c r="CP94" i="1" s="1"/>
  <c r="AB66" i="1"/>
  <c r="AB67" i="1"/>
  <c r="AB86" i="1"/>
  <c r="CL114" i="1" l="1"/>
  <c r="CP97" i="1"/>
  <c r="AB149" i="1"/>
  <c r="AB150" i="1" s="1"/>
  <c r="CP95" i="1"/>
  <c r="AB225" i="1"/>
  <c r="AB227" i="1" s="1"/>
  <c r="AB231" i="1" s="1"/>
  <c r="AB245" i="1" s="1"/>
  <c r="AB91" i="1"/>
  <c r="AB76" i="1"/>
  <c r="AB77" i="1" s="1"/>
  <c r="CP103" i="1"/>
  <c r="CP104" i="1"/>
  <c r="CP110" i="1"/>
  <c r="CP160" i="1"/>
  <c r="CP80" i="1" s="1"/>
  <c r="CP239" i="1"/>
  <c r="CP237" i="1" s="1"/>
  <c r="CP242" i="1" s="1"/>
  <c r="CP79" i="1"/>
  <c r="AB117" i="1" l="1"/>
  <c r="AB119" i="1" s="1"/>
  <c r="AB239" i="1"/>
  <c r="AB237" i="1" s="1"/>
  <c r="AB242" i="1" s="1"/>
  <c r="AB207" i="1"/>
  <c r="AB160" i="1"/>
  <c r="AB80" i="1" s="1"/>
  <c r="AB79" i="1"/>
  <c r="CP138" i="1"/>
  <c r="CP132" i="1" s="1"/>
  <c r="CP135" i="1" s="1"/>
  <c r="CP107" i="1"/>
  <c r="AB104" i="1"/>
  <c r="CP106" i="1"/>
  <c r="CP137" i="1"/>
  <c r="CP131" i="1" s="1"/>
  <c r="CP134" i="1" s="1"/>
  <c r="AB103" i="1"/>
  <c r="AB93" i="1"/>
  <c r="AB94" i="1"/>
  <c r="AA114" i="1" s="1"/>
  <c r="CP192" i="1"/>
  <c r="AB121" i="1" l="1"/>
  <c r="AB120" i="1"/>
  <c r="AB110" i="1"/>
  <c r="AB107" i="1"/>
  <c r="AB138" i="1"/>
  <c r="AB132" i="1" s="1"/>
  <c r="AB135" i="1" s="1"/>
  <c r="AB112" i="1"/>
  <c r="AB137" i="1"/>
  <c r="AB131" i="1" s="1"/>
  <c r="AB134" i="1" s="1"/>
  <c r="AB106" i="1"/>
  <c r="AB111" i="1"/>
  <c r="CP193" i="1"/>
  <c r="AB192" i="1"/>
  <c r="AB193" i="1" s="1"/>
  <c r="AB129" i="1" l="1"/>
  <c r="AB128" i="1"/>
  <c r="AB127" i="1"/>
  <c r="AB277" i="1"/>
  <c r="AB200" i="1"/>
  <c r="AB139" i="1" s="1"/>
  <c r="AC241" i="1"/>
  <c r="AB197" i="1"/>
  <c r="AB243" i="1"/>
  <c r="CP197" i="1"/>
  <c r="CQ241" i="1"/>
  <c r="CP200" i="1"/>
  <c r="CP277" i="1"/>
  <c r="CP243" i="1"/>
  <c r="CQ60" i="1" l="1"/>
  <c r="CP139" i="1"/>
  <c r="AB198" i="1"/>
  <c r="AB276" i="1"/>
  <c r="AB140" i="1"/>
  <c r="AB143" i="1" s="1"/>
  <c r="AB141" i="1"/>
  <c r="AB144" i="1" s="1"/>
  <c r="CP198" i="1"/>
  <c r="CP276" i="1"/>
  <c r="CP140" i="1" l="1"/>
  <c r="CP143" i="1" s="1"/>
  <c r="CP141" i="1"/>
  <c r="CP144" i="1" s="1"/>
  <c r="CQ281" i="1"/>
  <c r="CQ62" i="1"/>
  <c r="CQ63" i="1" l="1"/>
  <c r="CQ65" i="1" l="1"/>
  <c r="CQ67" i="1" s="1"/>
  <c r="CQ66" i="1" l="1"/>
  <c r="CQ259" i="1"/>
  <c r="CQ73" i="1"/>
  <c r="CQ149" i="1" s="1"/>
  <c r="CQ266" i="1"/>
  <c r="CQ68" i="1"/>
  <c r="CQ91" i="1" l="1"/>
  <c r="CQ225" i="1"/>
  <c r="CQ227" i="1" s="1"/>
  <c r="CQ231" i="1" s="1"/>
  <c r="CQ245" i="1" s="1"/>
  <c r="CQ150" i="1"/>
  <c r="CQ117" i="1" s="1"/>
  <c r="CQ119" i="1" s="1"/>
  <c r="CQ94" i="1" l="1"/>
  <c r="CQ79" i="1"/>
  <c r="CQ239" i="1"/>
  <c r="CQ237" i="1" s="1"/>
  <c r="CQ242" i="1" s="1"/>
  <c r="CQ192" i="1" s="1"/>
  <c r="CQ193" i="1" s="1"/>
  <c r="CQ160" i="1"/>
  <c r="CQ80" i="1" s="1"/>
  <c r="CQ95" i="1" l="1"/>
  <c r="CQ104" i="1"/>
  <c r="CQ110" i="1"/>
  <c r="CQ103" i="1"/>
  <c r="CQ243" i="1"/>
  <c r="CQ277" i="1"/>
  <c r="CQ197" i="1"/>
  <c r="CQ200" i="1"/>
  <c r="CR241" i="1"/>
  <c r="CQ106" i="1" l="1"/>
  <c r="CQ137" i="1"/>
  <c r="CQ131" i="1" s="1"/>
  <c r="CQ134" i="1" s="1"/>
  <c r="CQ107" i="1"/>
  <c r="CQ138" i="1"/>
  <c r="CQ132" i="1" s="1"/>
  <c r="CQ135" i="1" s="1"/>
  <c r="CQ139" i="1"/>
  <c r="CR60" i="1"/>
  <c r="CQ276" i="1"/>
  <c r="CQ198" i="1"/>
  <c r="CR281" i="1" l="1"/>
  <c r="CR62" i="1"/>
  <c r="CR63" i="1" s="1"/>
  <c r="CQ140" i="1"/>
  <c r="CQ143" i="1" s="1"/>
  <c r="CQ141" i="1"/>
  <c r="CQ144" i="1" s="1"/>
  <c r="CR65" i="1" l="1"/>
  <c r="CR68" i="1" s="1"/>
  <c r="CR67" i="1" l="1"/>
  <c r="CR66" i="1"/>
  <c r="CR266" i="1"/>
  <c r="CR73" i="1"/>
  <c r="CR149" i="1" s="1"/>
  <c r="CR259" i="1"/>
  <c r="CR91" i="1" l="1"/>
  <c r="CR94" i="1" s="1"/>
  <c r="CR225" i="1"/>
  <c r="CR227" i="1" s="1"/>
  <c r="CR231" i="1" s="1"/>
  <c r="CR245" i="1" s="1"/>
  <c r="CR150" i="1"/>
  <c r="CR117" i="1" s="1"/>
  <c r="CR119" i="1" s="1"/>
  <c r="CR95" i="1" l="1"/>
  <c r="CR103" i="1"/>
  <c r="CR110" i="1"/>
  <c r="CR104" i="1"/>
  <c r="CR239" i="1"/>
  <c r="CR237" i="1" s="1"/>
  <c r="CR242" i="1" s="1"/>
  <c r="CR160" i="1"/>
  <c r="CR80" i="1" s="1"/>
  <c r="CR79" i="1"/>
  <c r="CR107" i="1" l="1"/>
  <c r="CR138" i="1"/>
  <c r="CR132" i="1" s="1"/>
  <c r="CR135" i="1" s="1"/>
  <c r="CR137" i="1"/>
  <c r="CR131" i="1" s="1"/>
  <c r="CR134" i="1" s="1"/>
  <c r="CR106" i="1"/>
  <c r="CR192" i="1"/>
  <c r="CR193" i="1" s="1"/>
  <c r="CR243" i="1" s="1"/>
  <c r="CS241" i="1" l="1"/>
  <c r="CR197" i="1"/>
  <c r="CR277" i="1"/>
  <c r="CR200" i="1"/>
  <c r="CR276" i="1" l="1"/>
  <c r="CR198" i="1"/>
  <c r="CS60" i="1"/>
  <c r="CR139" i="1"/>
  <c r="CR141" i="1" l="1"/>
  <c r="CR144" i="1" s="1"/>
  <c r="CR140" i="1"/>
  <c r="CR143" i="1" s="1"/>
  <c r="CS281" i="1"/>
  <c r="CS62" i="1"/>
  <c r="CS63" i="1" s="1"/>
  <c r="CS65" i="1" l="1"/>
  <c r="CS73" i="1" s="1"/>
  <c r="CS266" i="1" l="1"/>
  <c r="CS68" i="1"/>
  <c r="CS67" i="1"/>
  <c r="CS66" i="1"/>
  <c r="CS259" i="1"/>
  <c r="CS225" i="1"/>
  <c r="CS227" i="1" s="1"/>
  <c r="CS231" i="1" s="1"/>
  <c r="CS245" i="1" s="1"/>
  <c r="CS91" i="1"/>
  <c r="CS149" i="1"/>
  <c r="CS94" i="1" l="1"/>
  <c r="CS150" i="1"/>
  <c r="CS117" i="1" s="1"/>
  <c r="CS119" i="1" s="1"/>
  <c r="CS95" i="1" l="1"/>
  <c r="CS103" i="1"/>
  <c r="CS104" i="1"/>
  <c r="CS110" i="1"/>
  <c r="CS239" i="1"/>
  <c r="CS237" i="1" s="1"/>
  <c r="CS242" i="1" s="1"/>
  <c r="CS79" i="1"/>
  <c r="CS160" i="1"/>
  <c r="CS80" i="1" s="1"/>
  <c r="CS107" i="1" l="1"/>
  <c r="CS138" i="1"/>
  <c r="CS132" i="1" s="1"/>
  <c r="CS135" i="1" s="1"/>
  <c r="CS137" i="1"/>
  <c r="CS131" i="1" s="1"/>
  <c r="CS134" i="1" s="1"/>
  <c r="CS106" i="1"/>
  <c r="CS192" i="1"/>
  <c r="CS193" i="1" s="1"/>
  <c r="CS243" i="1" s="1"/>
  <c r="CT241" i="1" l="1"/>
  <c r="CS200" i="1"/>
  <c r="CS197" i="1"/>
  <c r="CS277" i="1"/>
  <c r="CT60" i="1" l="1"/>
  <c r="AC60" i="1" s="1"/>
  <c r="CS139" i="1"/>
  <c r="CS198" i="1"/>
  <c r="CS276" i="1"/>
  <c r="AC62" i="1" l="1"/>
  <c r="AC281" i="1"/>
  <c r="CS141" i="1"/>
  <c r="CS144" i="1" s="1"/>
  <c r="CS140" i="1"/>
  <c r="CS143" i="1" s="1"/>
  <c r="CT62" i="1"/>
  <c r="CT63" i="1" s="1"/>
  <c r="CT281" i="1"/>
  <c r="CT65" i="1" l="1"/>
  <c r="CT73" i="1" s="1"/>
  <c r="AC63" i="1"/>
  <c r="AC64" i="1" s="1"/>
  <c r="CT66" i="1" l="1"/>
  <c r="CT266" i="1"/>
  <c r="CT68" i="1"/>
  <c r="CT67" i="1"/>
  <c r="AC65" i="1"/>
  <c r="AC73" i="1" s="1"/>
  <c r="CT259" i="1"/>
  <c r="CT91" i="1"/>
  <c r="CT225" i="1"/>
  <c r="CT227" i="1" s="1"/>
  <c r="CT231" i="1" s="1"/>
  <c r="CT245" i="1" s="1"/>
  <c r="CT149" i="1"/>
  <c r="AC66" i="1" l="1"/>
  <c r="AC67" i="1"/>
  <c r="AC86" i="1"/>
  <c r="CT94" i="1"/>
  <c r="CT97" i="1" s="1"/>
  <c r="AC76" i="1"/>
  <c r="AC77" i="1" s="1"/>
  <c r="AC225" i="1"/>
  <c r="AC227" i="1" s="1"/>
  <c r="AC231" i="1" s="1"/>
  <c r="AC245" i="1" s="1"/>
  <c r="AC91" i="1"/>
  <c r="AC149" i="1"/>
  <c r="AC150" i="1" s="1"/>
  <c r="AC117" i="1" s="1"/>
  <c r="AC119" i="1" s="1"/>
  <c r="CT150" i="1"/>
  <c r="CT117" i="1" s="1"/>
  <c r="CT119" i="1" s="1"/>
  <c r="CT95" i="1" l="1"/>
  <c r="AC93" i="1"/>
  <c r="AC94" i="1"/>
  <c r="CT110" i="1"/>
  <c r="CT103" i="1"/>
  <c r="CT104" i="1"/>
  <c r="CT160" i="1"/>
  <c r="CT80" i="1" s="1"/>
  <c r="CT239" i="1"/>
  <c r="CT237" i="1" s="1"/>
  <c r="CT242" i="1" s="1"/>
  <c r="CT79" i="1"/>
  <c r="AC79" i="1"/>
  <c r="AC207" i="1"/>
  <c r="AC239" i="1"/>
  <c r="AC237" i="1" s="1"/>
  <c r="AC242" i="1" s="1"/>
  <c r="AC160" i="1"/>
  <c r="AC80" i="1" s="1"/>
  <c r="CT106" i="1" l="1"/>
  <c r="CT137" i="1"/>
  <c r="CT131" i="1" s="1"/>
  <c r="CT134" i="1" s="1"/>
  <c r="AC103" i="1"/>
  <c r="AC120" i="1" s="1"/>
  <c r="CT138" i="1"/>
  <c r="CT132" i="1" s="1"/>
  <c r="CT135" i="1" s="1"/>
  <c r="CT107" i="1"/>
  <c r="AC104" i="1"/>
  <c r="AC121" i="1" s="1"/>
  <c r="AB114" i="1"/>
  <c r="AC110" i="1"/>
  <c r="CT192" i="1"/>
  <c r="AC137" i="1" l="1"/>
  <c r="AC131" i="1" s="1"/>
  <c r="AC134" i="1" s="1"/>
  <c r="AC106" i="1"/>
  <c r="AC111" i="1"/>
  <c r="AC127" i="1"/>
  <c r="AC107" i="1"/>
  <c r="AC138" i="1"/>
  <c r="AC132" i="1" s="1"/>
  <c r="AC135" i="1" s="1"/>
  <c r="AC112" i="1"/>
  <c r="CT193" i="1"/>
  <c r="AC192" i="1"/>
  <c r="AC193" i="1" s="1"/>
  <c r="AC129" i="1" l="1"/>
  <c r="AC128" i="1"/>
  <c r="AC277" i="1"/>
  <c r="AC197" i="1"/>
  <c r="AD241" i="1"/>
  <c r="AC200" i="1"/>
  <c r="AC139" i="1" s="1"/>
  <c r="AC243" i="1"/>
  <c r="CT200" i="1"/>
  <c r="CT277" i="1"/>
  <c r="CT197" i="1"/>
  <c r="CU241" i="1"/>
  <c r="CT243" i="1"/>
  <c r="AC141" i="1" l="1"/>
  <c r="AC144" i="1" s="1"/>
  <c r="AC140" i="1"/>
  <c r="AC143" i="1" s="1"/>
  <c r="CT198" i="1"/>
  <c r="CT276" i="1"/>
  <c r="CT139" i="1"/>
  <c r="CU60" i="1"/>
  <c r="AC198" i="1"/>
  <c r="AC276" i="1"/>
  <c r="CU62" i="1" l="1"/>
  <c r="CU63" i="1" s="1"/>
  <c r="CU65" i="1" s="1"/>
  <c r="CU281" i="1"/>
  <c r="CT140" i="1"/>
  <c r="CT143" i="1" s="1"/>
  <c r="CT141" i="1"/>
  <c r="CT144" i="1" s="1"/>
  <c r="CU259" i="1" l="1"/>
  <c r="CU68" i="1"/>
  <c r="CU66" i="1"/>
  <c r="CU67" i="1"/>
  <c r="CU266" i="1"/>
  <c r="CU73" i="1"/>
  <c r="CU91" i="1" l="1"/>
  <c r="CU225" i="1"/>
  <c r="CU227" i="1" s="1"/>
  <c r="CU231" i="1" s="1"/>
  <c r="CU245" i="1" s="1"/>
  <c r="CU149" i="1"/>
  <c r="CU94" i="1" l="1"/>
  <c r="CU150" i="1"/>
  <c r="CU117" i="1" s="1"/>
  <c r="CU119" i="1" s="1"/>
  <c r="CU95" i="1" l="1"/>
  <c r="CU104" i="1"/>
  <c r="CU110" i="1"/>
  <c r="CU103" i="1"/>
  <c r="CU160" i="1"/>
  <c r="CU80" i="1" s="1"/>
  <c r="CU79" i="1"/>
  <c r="CU239" i="1"/>
  <c r="CU237" i="1" s="1"/>
  <c r="CU242" i="1" s="1"/>
  <c r="CU137" i="1" l="1"/>
  <c r="CU131" i="1" s="1"/>
  <c r="CU134" i="1" s="1"/>
  <c r="CU106" i="1"/>
  <c r="CU138" i="1"/>
  <c r="CU132" i="1" s="1"/>
  <c r="CU135" i="1" s="1"/>
  <c r="CU107" i="1"/>
  <c r="CU192" i="1"/>
  <c r="CU193" i="1" s="1"/>
  <c r="CU243" i="1" s="1"/>
  <c r="CV241" i="1" l="1"/>
  <c r="CU277" i="1"/>
  <c r="CU197" i="1"/>
  <c r="CU200" i="1"/>
  <c r="CV60" i="1" l="1"/>
  <c r="CU139" i="1"/>
  <c r="CU276" i="1"/>
  <c r="CU198" i="1"/>
  <c r="CU141" i="1" l="1"/>
  <c r="CU144" i="1" s="1"/>
  <c r="CU140" i="1"/>
  <c r="CU143" i="1" s="1"/>
  <c r="CV62" i="1"/>
  <c r="CV63" i="1" s="1"/>
  <c r="CV65" i="1" s="1"/>
  <c r="CV281" i="1"/>
  <c r="CV259" i="1" l="1"/>
  <c r="CV266" i="1"/>
  <c r="CV67" i="1"/>
  <c r="CV66" i="1"/>
  <c r="CV68" i="1"/>
  <c r="CV73" i="1"/>
  <c r="CV225" i="1" l="1"/>
  <c r="CV227" i="1" s="1"/>
  <c r="CV231" i="1" s="1"/>
  <c r="CV245" i="1" s="1"/>
  <c r="CV91" i="1"/>
  <c r="CV149" i="1"/>
  <c r="CV94" i="1" l="1"/>
  <c r="CV150" i="1"/>
  <c r="CV117" i="1" s="1"/>
  <c r="CV119" i="1" s="1"/>
  <c r="CV95" i="1" l="1"/>
  <c r="CV110" i="1"/>
  <c r="CV103" i="1"/>
  <c r="CV104" i="1"/>
  <c r="CV79" i="1"/>
  <c r="CV239" i="1"/>
  <c r="CV237" i="1" s="1"/>
  <c r="CV242" i="1" s="1"/>
  <c r="CV192" i="1" s="1"/>
  <c r="CV193" i="1" s="1"/>
  <c r="CV160" i="1"/>
  <c r="CV80" i="1" s="1"/>
  <c r="CV138" i="1" l="1"/>
  <c r="CV132" i="1" s="1"/>
  <c r="CV135" i="1" s="1"/>
  <c r="CV107" i="1"/>
  <c r="CV137" i="1"/>
  <c r="CV131" i="1" s="1"/>
  <c r="CV134" i="1" s="1"/>
  <c r="CV106" i="1"/>
  <c r="CV243" i="1"/>
  <c r="CV197" i="1"/>
  <c r="CV200" i="1"/>
  <c r="CV277" i="1"/>
  <c r="CW241" i="1"/>
  <c r="CV139" i="1" l="1"/>
  <c r="CW60" i="1"/>
  <c r="CV198" i="1"/>
  <c r="CV276" i="1"/>
  <c r="CW62" i="1" l="1"/>
  <c r="CW63" i="1" s="1"/>
  <c r="CW65" i="1" s="1"/>
  <c r="CW281" i="1"/>
  <c r="CV140" i="1"/>
  <c r="CV143" i="1" s="1"/>
  <c r="CV141" i="1"/>
  <c r="CV144" i="1" s="1"/>
  <c r="CW259" i="1" l="1"/>
  <c r="CW66" i="1"/>
  <c r="CW266" i="1"/>
  <c r="CW67" i="1"/>
  <c r="CW73" i="1"/>
  <c r="CW68" i="1"/>
  <c r="CW225" i="1" l="1"/>
  <c r="CW227" i="1" s="1"/>
  <c r="CW231" i="1" s="1"/>
  <c r="CW245" i="1" s="1"/>
  <c r="CW91" i="1"/>
  <c r="CW149" i="1"/>
  <c r="CW94" i="1" l="1"/>
  <c r="CW150" i="1"/>
  <c r="CW117" i="1" s="1"/>
  <c r="CW119" i="1" s="1"/>
  <c r="CW95" i="1" l="1"/>
  <c r="CW110" i="1"/>
  <c r="CW104" i="1"/>
  <c r="CW103" i="1"/>
  <c r="CW160" i="1"/>
  <c r="CW80" i="1" s="1"/>
  <c r="CW239" i="1"/>
  <c r="CW237" i="1" s="1"/>
  <c r="CW242" i="1" s="1"/>
  <c r="CW79" i="1"/>
  <c r="CW137" i="1" l="1"/>
  <c r="CW131" i="1" s="1"/>
  <c r="CW134" i="1" s="1"/>
  <c r="CW106" i="1"/>
  <c r="CW138" i="1"/>
  <c r="CW132" i="1" s="1"/>
  <c r="CW135" i="1" s="1"/>
  <c r="CW107" i="1"/>
  <c r="CW192" i="1"/>
  <c r="CW193" i="1" s="1"/>
  <c r="CW243" i="1" s="1"/>
  <c r="CW277" i="1" l="1"/>
  <c r="CW200" i="1"/>
  <c r="CX241" i="1"/>
  <c r="CW197" i="1"/>
  <c r="CX60" i="1" l="1"/>
  <c r="AD60" i="1" s="1"/>
  <c r="CW139" i="1"/>
  <c r="CW276" i="1"/>
  <c r="CW198" i="1"/>
  <c r="AD62" i="1" l="1"/>
  <c r="AD281" i="1"/>
  <c r="CW140" i="1"/>
  <c r="CW143" i="1" s="1"/>
  <c r="CW141" i="1"/>
  <c r="CW144" i="1" s="1"/>
  <c r="CX281" i="1"/>
  <c r="CX62" i="1"/>
  <c r="CX63" i="1" l="1"/>
  <c r="AD63" i="1" s="1"/>
  <c r="AD64" i="1" l="1"/>
  <c r="AD65" i="1"/>
  <c r="AD73" i="1" s="1"/>
  <c r="CX65" i="1"/>
  <c r="CX259" i="1" l="1"/>
  <c r="CX68" i="1"/>
  <c r="CX67" i="1"/>
  <c r="CX66" i="1"/>
  <c r="CX266" i="1"/>
  <c r="CX73" i="1"/>
  <c r="AD86" i="1"/>
  <c r="AD67" i="1"/>
  <c r="AD66" i="1"/>
  <c r="CX91" i="1" l="1"/>
  <c r="CX225" i="1"/>
  <c r="CX227" i="1" s="1"/>
  <c r="CX231" i="1" s="1"/>
  <c r="CX245" i="1" s="1"/>
  <c r="CX149" i="1"/>
  <c r="AD76" i="1"/>
  <c r="AD77" i="1" s="1"/>
  <c r="AD225" i="1"/>
  <c r="AD227" i="1" s="1"/>
  <c r="AD231" i="1" s="1"/>
  <c r="AD245" i="1" s="1"/>
  <c r="AD91" i="1"/>
  <c r="CX94" i="1" l="1"/>
  <c r="CX97" i="1" s="1"/>
  <c r="AD94" i="1"/>
  <c r="AD93" i="1"/>
  <c r="CX150" i="1"/>
  <c r="CX117" i="1" s="1"/>
  <c r="CX119" i="1" s="1"/>
  <c r="AD149" i="1"/>
  <c r="AD150" i="1" s="1"/>
  <c r="AD117" i="1" s="1"/>
  <c r="AD119" i="1" s="1"/>
  <c r="CX95" i="1" l="1"/>
  <c r="CX110" i="1"/>
  <c r="CX104" i="1"/>
  <c r="CX103" i="1"/>
  <c r="AD160" i="1"/>
  <c r="AD80" i="1" s="1"/>
  <c r="AD239" i="1"/>
  <c r="AD237" i="1" s="1"/>
  <c r="AD242" i="1" s="1"/>
  <c r="AD207" i="1"/>
  <c r="AD79" i="1"/>
  <c r="CX79" i="1"/>
  <c r="CX160" i="1"/>
  <c r="CX80" i="1" s="1"/>
  <c r="CX239" i="1"/>
  <c r="CX237" i="1" s="1"/>
  <c r="CX242" i="1" s="1"/>
  <c r="AD110" i="1"/>
  <c r="AD127" i="1" s="1"/>
  <c r="AC114" i="1"/>
  <c r="CX137" i="1" l="1"/>
  <c r="CX131" i="1" s="1"/>
  <c r="CX134" i="1" s="1"/>
  <c r="CX106" i="1"/>
  <c r="AD103" i="1"/>
  <c r="AD120" i="1" s="1"/>
  <c r="CX107" i="1"/>
  <c r="CX138" i="1"/>
  <c r="CX132" i="1" s="1"/>
  <c r="CX135" i="1" s="1"/>
  <c r="AD104" i="1"/>
  <c r="AD121" i="1" s="1"/>
  <c r="CX192" i="1"/>
  <c r="AD138" i="1" l="1"/>
  <c r="AD132" i="1" s="1"/>
  <c r="AD135" i="1" s="1"/>
  <c r="AD107" i="1"/>
  <c r="AD112" i="1"/>
  <c r="AD106" i="1"/>
  <c r="AD137" i="1"/>
  <c r="AD131" i="1" s="1"/>
  <c r="AD134" i="1" s="1"/>
  <c r="AD111" i="1"/>
  <c r="CX193" i="1"/>
  <c r="AD192" i="1"/>
  <c r="AD193" i="1" s="1"/>
  <c r="AD128" i="1" l="1"/>
  <c r="AD129" i="1"/>
  <c r="AD197" i="1"/>
  <c r="AD200" i="1"/>
  <c r="AD139" i="1" s="1"/>
  <c r="AD277" i="1"/>
  <c r="AE241" i="1"/>
  <c r="AD243" i="1"/>
  <c r="CY241" i="1"/>
  <c r="CX200" i="1"/>
  <c r="CX197" i="1"/>
  <c r="CX277" i="1"/>
  <c r="CX243" i="1"/>
  <c r="CX276" i="1" l="1"/>
  <c r="CX198" i="1"/>
  <c r="AD140" i="1"/>
  <c r="AD143" i="1" s="1"/>
  <c r="AD141" i="1"/>
  <c r="AD144" i="1" s="1"/>
  <c r="CX139" i="1"/>
  <c r="CY60" i="1"/>
  <c r="AD276" i="1"/>
  <c r="AD198" i="1"/>
  <c r="CY281" i="1" l="1"/>
  <c r="CY62" i="1"/>
  <c r="CX140" i="1"/>
  <c r="CX143" i="1" s="1"/>
  <c r="CX141" i="1"/>
  <c r="CX144" i="1" s="1"/>
  <c r="CY63" i="1" l="1"/>
  <c r="CY65" i="1" l="1"/>
  <c r="CY259" i="1" l="1"/>
  <c r="CY66" i="1"/>
  <c r="CY68" i="1"/>
  <c r="CY73" i="1"/>
  <c r="CY67" i="1"/>
  <c r="CY266" i="1"/>
  <c r="CY225" i="1" l="1"/>
  <c r="CY227" i="1" s="1"/>
  <c r="CY231" i="1" s="1"/>
  <c r="CY245" i="1" s="1"/>
  <c r="CY91" i="1"/>
  <c r="CY149" i="1"/>
  <c r="CY94" i="1" l="1"/>
  <c r="CY95" i="1" s="1"/>
  <c r="CY150" i="1"/>
  <c r="CY117" i="1" s="1"/>
  <c r="CY119" i="1" s="1"/>
  <c r="CY104" i="1" l="1"/>
  <c r="CY110" i="1"/>
  <c r="CY103" i="1"/>
  <c r="CY239" i="1"/>
  <c r="CY237" i="1" s="1"/>
  <c r="CY242" i="1" s="1"/>
  <c r="CY160" i="1"/>
  <c r="CY80" i="1" s="1"/>
  <c r="CY79" i="1"/>
  <c r="CY137" i="1" l="1"/>
  <c r="CY131" i="1" s="1"/>
  <c r="CY134" i="1" s="1"/>
  <c r="CY106" i="1"/>
  <c r="CY107" i="1"/>
  <c r="CY138" i="1"/>
  <c r="CY132" i="1" s="1"/>
  <c r="CY135" i="1" s="1"/>
  <c r="CY192" i="1"/>
  <c r="CY193" i="1" s="1"/>
  <c r="CY243" i="1" s="1"/>
  <c r="CY277" i="1" l="1"/>
  <c r="CY197" i="1"/>
  <c r="CZ241" i="1"/>
  <c r="CY200" i="1"/>
  <c r="CZ60" i="1" l="1"/>
  <c r="CY139" i="1"/>
  <c r="CY198" i="1"/>
  <c r="CY276" i="1"/>
  <c r="CY141" i="1" l="1"/>
  <c r="CY144" i="1" s="1"/>
  <c r="CY140" i="1"/>
  <c r="CY143" i="1" s="1"/>
  <c r="CZ281" i="1"/>
  <c r="CZ62" i="1"/>
  <c r="CZ63" i="1" s="1"/>
  <c r="CZ65" i="1" l="1"/>
  <c r="CZ68" i="1" s="1"/>
  <c r="CZ66" i="1" l="1"/>
  <c r="CZ67" i="1"/>
  <c r="CZ266" i="1"/>
  <c r="CZ73" i="1"/>
  <c r="CZ91" i="1" s="1"/>
  <c r="CZ259" i="1"/>
  <c r="CZ225" i="1" l="1"/>
  <c r="CZ227" i="1" s="1"/>
  <c r="CZ231" i="1" s="1"/>
  <c r="CZ245" i="1" s="1"/>
  <c r="CZ149" i="1"/>
  <c r="CZ150" i="1" s="1"/>
  <c r="CZ117" i="1" s="1"/>
  <c r="CZ119" i="1" s="1"/>
  <c r="CZ94" i="1"/>
  <c r="CZ95" i="1" s="1"/>
  <c r="CZ110" i="1" l="1"/>
  <c r="CZ103" i="1"/>
  <c r="CZ104" i="1"/>
  <c r="CZ239" i="1"/>
  <c r="CZ237" i="1" s="1"/>
  <c r="CZ242" i="1" s="1"/>
  <c r="CZ79" i="1"/>
  <c r="CZ160" i="1"/>
  <c r="CZ80" i="1" s="1"/>
  <c r="CZ137" i="1" l="1"/>
  <c r="CZ131" i="1" s="1"/>
  <c r="CZ134" i="1" s="1"/>
  <c r="CZ106" i="1"/>
  <c r="CZ107" i="1"/>
  <c r="CZ138" i="1"/>
  <c r="CZ132" i="1" s="1"/>
  <c r="CZ135" i="1" s="1"/>
  <c r="CZ192" i="1"/>
  <c r="CZ193" i="1" s="1"/>
  <c r="CZ243" i="1" s="1"/>
  <c r="CZ197" i="1" l="1"/>
  <c r="CZ277" i="1"/>
  <c r="DA241" i="1"/>
  <c r="CZ200" i="1"/>
  <c r="DA60" i="1" l="1"/>
  <c r="CZ139" i="1"/>
  <c r="CZ198" i="1"/>
  <c r="CZ276" i="1"/>
  <c r="CZ141" i="1" l="1"/>
  <c r="CZ144" i="1" s="1"/>
  <c r="CZ140" i="1"/>
  <c r="CZ143" i="1" s="1"/>
  <c r="DA281" i="1"/>
  <c r="DA62" i="1"/>
  <c r="DA63" i="1" l="1"/>
  <c r="DA65" i="1" l="1"/>
  <c r="DA266" i="1" s="1"/>
  <c r="DA66" i="1" l="1"/>
  <c r="DA68" i="1"/>
  <c r="DA67" i="1"/>
  <c r="DA73" i="1"/>
  <c r="DA91" i="1" s="1"/>
  <c r="DA94" i="1" s="1"/>
  <c r="DA95" i="1" s="1"/>
  <c r="DA259" i="1"/>
  <c r="DA149" i="1" l="1"/>
  <c r="DA150" i="1" s="1"/>
  <c r="DA117" i="1" s="1"/>
  <c r="DA119" i="1" s="1"/>
  <c r="DA225" i="1"/>
  <c r="DA227" i="1" s="1"/>
  <c r="DA231" i="1" s="1"/>
  <c r="DA245" i="1" s="1"/>
  <c r="DA104" i="1"/>
  <c r="DA103" i="1"/>
  <c r="DA110" i="1"/>
  <c r="DA137" i="1" l="1"/>
  <c r="DA131" i="1" s="1"/>
  <c r="DA134" i="1" s="1"/>
  <c r="DA106" i="1"/>
  <c r="DA138" i="1"/>
  <c r="DA132" i="1" s="1"/>
  <c r="DA135" i="1" s="1"/>
  <c r="DA107" i="1"/>
  <c r="DA160" i="1"/>
  <c r="DA80" i="1" s="1"/>
  <c r="DA239" i="1"/>
  <c r="DA237" i="1" s="1"/>
  <c r="DA242" i="1" s="1"/>
  <c r="DA79" i="1"/>
  <c r="DA192" i="1" l="1"/>
  <c r="DA193" i="1" s="1"/>
  <c r="DA243" i="1" s="1"/>
  <c r="DA197" i="1" l="1"/>
  <c r="DA277" i="1"/>
  <c r="DA200" i="1"/>
  <c r="DB241" i="1"/>
  <c r="DB60" i="1" l="1"/>
  <c r="AE60" i="1" s="1"/>
  <c r="DA139" i="1"/>
  <c r="DA276" i="1"/>
  <c r="DA198" i="1"/>
  <c r="AE62" i="1" l="1"/>
  <c r="AE281" i="1"/>
  <c r="DA141" i="1"/>
  <c r="DA144" i="1" s="1"/>
  <c r="DA140" i="1"/>
  <c r="DA143" i="1" s="1"/>
  <c r="DB281" i="1"/>
  <c r="DB62" i="1"/>
  <c r="DB63" i="1" s="1"/>
  <c r="DB65" i="1" l="1"/>
  <c r="DB259" i="1" s="1"/>
  <c r="AE63" i="1"/>
  <c r="AE64" i="1" s="1"/>
  <c r="DB67" i="1" l="1"/>
  <c r="DB68" i="1"/>
  <c r="DB73" i="1"/>
  <c r="DB149" i="1" s="1"/>
  <c r="DB66" i="1"/>
  <c r="DB266" i="1"/>
  <c r="AE65" i="1"/>
  <c r="AE73" i="1" s="1"/>
  <c r="DB225" i="1" l="1"/>
  <c r="DB227" i="1" s="1"/>
  <c r="DB231" i="1" s="1"/>
  <c r="DB245" i="1" s="1"/>
  <c r="DB91" i="1"/>
  <c r="DB94" i="1" s="1"/>
  <c r="AE86" i="1"/>
  <c r="AE66" i="1"/>
  <c r="AE67" i="1"/>
  <c r="AE149" i="1"/>
  <c r="AE150" i="1" s="1"/>
  <c r="AE117" i="1" s="1"/>
  <c r="AE119" i="1" s="1"/>
  <c r="DB150" i="1"/>
  <c r="DB117" i="1" s="1"/>
  <c r="DB119" i="1" s="1"/>
  <c r="DB104" i="1" l="1"/>
  <c r="DB95" i="1"/>
  <c r="DB110" i="1"/>
  <c r="DB103" i="1"/>
  <c r="AE103" i="1" s="1"/>
  <c r="AE120" i="1" s="1"/>
  <c r="AE225" i="1"/>
  <c r="AE227" i="1" s="1"/>
  <c r="AE231" i="1" s="1"/>
  <c r="AE245" i="1" s="1"/>
  <c r="AE91" i="1"/>
  <c r="AE76" i="1"/>
  <c r="AE77" i="1" s="1"/>
  <c r="DB160" i="1"/>
  <c r="DB80" i="1" s="1"/>
  <c r="DB239" i="1"/>
  <c r="DB237" i="1" s="1"/>
  <c r="DB242" i="1" s="1"/>
  <c r="DB79" i="1"/>
  <c r="AE160" i="1"/>
  <c r="AE80" i="1" s="1"/>
  <c r="AE207" i="1"/>
  <c r="AE239" i="1"/>
  <c r="AE237" i="1" s="1"/>
  <c r="AE79" i="1"/>
  <c r="AE104" i="1" l="1"/>
  <c r="DB107" i="1"/>
  <c r="DB138" i="1"/>
  <c r="DB132" i="1" s="1"/>
  <c r="DB135" i="1" s="1"/>
  <c r="DB137" i="1"/>
  <c r="DB131" i="1" s="1"/>
  <c r="DB134" i="1" s="1"/>
  <c r="DB106" i="1"/>
  <c r="AE137" i="1"/>
  <c r="AE131" i="1" s="1"/>
  <c r="AE134" i="1" s="1"/>
  <c r="AE106" i="1"/>
  <c r="AE242" i="1"/>
  <c r="AE94" i="1"/>
  <c r="AE93" i="1"/>
  <c r="DB192" i="1"/>
  <c r="AE107" i="1" l="1"/>
  <c r="AE138" i="1"/>
  <c r="AE132" i="1" s="1"/>
  <c r="AE135" i="1" s="1"/>
  <c r="AE121" i="1"/>
  <c r="AD114" i="1"/>
  <c r="AE110" i="1"/>
  <c r="AE111" i="1"/>
  <c r="AE112" i="1"/>
  <c r="DB193" i="1"/>
  <c r="AE192" i="1"/>
  <c r="AE193" i="1" s="1"/>
  <c r="AE127" i="1" l="1"/>
  <c r="AE129" i="1"/>
  <c r="AE128" i="1"/>
  <c r="AE200" i="1"/>
  <c r="AE139" i="1" s="1"/>
  <c r="AE277" i="1"/>
  <c r="AE197" i="1"/>
  <c r="AE243" i="1"/>
  <c r="DB277" i="1"/>
  <c r="DB197" i="1"/>
  <c r="DB200" i="1"/>
  <c r="DB139" i="1" s="1"/>
  <c r="DB243" i="1"/>
  <c r="DB141" i="1" l="1"/>
  <c r="DB144" i="1" s="1"/>
  <c r="DB140" i="1"/>
  <c r="DB143" i="1" s="1"/>
  <c r="AE276" i="1"/>
  <c r="AE198" i="1"/>
  <c r="DB276" i="1"/>
  <c r="DB198" i="1"/>
  <c r="AE140" i="1"/>
  <c r="AE143" i="1" s="1"/>
  <c r="AE141" i="1"/>
  <c r="AE1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<sst xmlns="http://schemas.openxmlformats.org/spreadsheetml/2006/main" count="708" uniqueCount="552">
  <si>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</si>
  <si>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</si>
  <si>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</si>
  <si>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</si>
  <si>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</si>
  <si>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</si>
  <si>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</si>
  <si>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</si>
  <si>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</si>
  <si>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</si>
  <si>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</si>
  <si>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</si>
  <si>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</si>
  <si>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</si>
  <si>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</si>
  <si>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</si>
  <si>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</si>
  <si>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</si>
  <si>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</si>
  <si>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</si>
  <si>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</si>
  <si>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</si>
  <si>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</si>
  <si>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</si>
  <si>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</si>
  <si>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</si>
  <si>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</si>
  <si>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</si>
  <si>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</si>
  <si>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</si>
  <si>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</si>
  <si>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</si>
  <si>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</si>
  <si>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</si>
  <si>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</si>
  <si>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</si>
  <si>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</si>
  <si>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</si>
  <si>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</si>
  <si>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</si>
  <si>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</si>
  <si>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</si>
  <si>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</si>
  <si>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</si>
  <si>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</si>
  <si>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</si>
  <si>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</si>
  <si>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</si>
  <si>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</si>
  <si>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</si>
  <si>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</si>
  <si>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</si>
  <si>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</si>
  <si>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</si>
  <si>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</si>
  <si>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</si>
  <si>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</si>
  <si>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</si>
  <si>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</si>
  <si>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</si>
  <si>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</si>
  <si>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</si>
  <si>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</si>
  <si>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</si>
  <si>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</si>
  <si>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</si>
  <si>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</si>
  <si>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</si>
  <si>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</si>
  <si>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</si>
  <si>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</si>
  <si>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</si>
  <si>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</si>
  <si>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</si>
  <si>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</si>
  <si>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</si>
  <si>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</si>
  <si>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</si>
  <si>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</si>
  <si>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</si>
  <si>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</si>
  <si>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</si>
  <si>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</si>
  <si>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</si>
  <si>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</si>
  <si>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</si>
  <si>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</si>
  <si>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</si>
  <si>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</si>
  <si>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</si>
  <si>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</si>
  <si>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</si>
  <si>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</si>
  <si>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</si>
  <si>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</si>
  <si>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</si>
  <si>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</si>
  <si>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</si>
  <si>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</si>
  <si>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</si>
  <si>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</si>
  <si>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</si>
  <si>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</si>
  <si>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</si>
  <si>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</si>
  <si>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</si>
  <si>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</si>
  <si>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</si>
  <si>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</si>
  <si>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</si>
  <si>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</si>
  <si>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</si>
  <si>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</si>
  <si>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</si>
  <si>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</si>
  <si>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</si>
  <si>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</si>
  <si>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</si>
  <si>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</si>
  <si>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</si>
  <si>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</si>
  <si>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</si>
  <si>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</si>
  <si>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</si>
  <si>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</si>
  <si>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</si>
  <si>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</si>
  <si>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</si>
  <si>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</si>
  <si>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</si>
  <si>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</si>
  <si>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</si>
  <si>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</si>
  <si>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</si>
  <si>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</si>
  <si>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</si>
  <si>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</si>
  <si>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</si>
  <si>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</si>
  <si>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</si>
  <si>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</si>
  <si>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</si>
  <si>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</si>
  <si>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</si>
  <si>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</si>
  <si>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</si>
  <si>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</si>
  <si>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</si>
  <si>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</si>
  <si>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</si>
  <si>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</si>
  <si>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</si>
  <si>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</si>
  <si>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</si>
  <si>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</si>
  <si>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</si>
  <si>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</si>
  <si>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</si>
  <si>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</si>
  <si>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</si>
  <si>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</si>
  <si>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</si>
  <si>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</si>
  <si>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</si>
  <si>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</si>
  <si>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</si>
  <si>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</si>
  <si>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</si>
  <si>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</si>
  <si>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</si>
  <si>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</si>
  <si>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</si>
  <si>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</si>
  <si>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</si>
  <si>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</si>
  <si>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</si>
  <si>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</si>
  <si>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</si>
  <si>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</si>
  <si>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</si>
  <si>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</si>
  <si>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</si>
  <si>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</si>
  <si>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</si>
  <si>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</si>
  <si>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</si>
  <si>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</si>
  <si>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</si>
  <si>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</si>
  <si>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</si>
  <si>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</si>
  <si>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</si>
  <si>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</si>
  <si>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</si>
  <si>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</si>
  <si>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</si>
  <si>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</si>
  <si>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</si>
  <si>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</si>
  <si>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</si>
  <si>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</si>
  <si>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</si>
  <si>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</si>
  <si>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</si>
  <si>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</si>
  <si>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</si>
  <si>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</si>
  <si>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</si>
  <si>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</si>
  <si>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</si>
  <si>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</si>
  <si>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</si>
  <si>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</si>
  <si>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</si>
  <si>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</si>
  <si>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</si>
  <si>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</si>
  <si>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</si>
  <si>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</si>
  <si>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</si>
  <si>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</si>
  <si>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</si>
  <si>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</si>
  <si>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</si>
  <si>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</si>
  <si>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</si>
  <si>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</si>
  <si>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</si>
  <si>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</si>
  <si>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</si>
  <si>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</si>
  <si>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</si>
  <si>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</si>
  <si>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</si>
  <si>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</si>
  <si>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</si>
  <si>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</si>
  <si>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</si>
  <si>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</si>
  <si>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</si>
  <si>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</si>
  <si>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</si>
  <si>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</si>
  <si>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</si>
  <si>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</si>
  <si>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</si>
  <si>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</si>
  <si>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</si>
  <si>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</si>
  <si>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</si>
  <si>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</si>
  <si>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</si>
  <si>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</si>
  <si>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</si>
  <si>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</si>
  <si>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</si>
  <si>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</si>
  <si>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</si>
  <si>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</si>
  <si>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</si>
  <si>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</si>
  <si>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</si>
  <si>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</si>
  <si>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</si>
  <si>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</si>
  <si>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</si>
  <si>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</si>
  <si>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</si>
  <si>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</si>
  <si>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</si>
  <si>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</si>
  <si>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</si>
  <si>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</si>
  <si>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</si>
  <si>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</si>
  <si>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</si>
  <si>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</si>
  <si>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</si>
  <si>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</si>
  <si>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</si>
  <si>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</si>
  <si>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</si>
  <si>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</si>
  <si>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</si>
  <si>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</si>
  <si>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</si>
  <si>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</si>
  <si>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</si>
  <si>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</si>
  <si>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</si>
  <si>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</si>
  <si>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</si>
  <si>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</si>
  <si>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</si>
  <si>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</si>
  <si>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</si>
  <si>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</si>
  <si>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</si>
  <si>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</si>
  <si>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</si>
  <si>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</si>
  <si>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</si>
  <si>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</si>
  <si>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</si>
  <si>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</si>
  <si>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</si>
  <si>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</si>
  <si>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</si>
  <si>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</si>
  <si>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</si>
  <si>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</si>
  <si>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</si>
  <si>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</si>
  <si>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</si>
  <si>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</si>
  <si>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</si>
  <si>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</si>
  <si>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</si>
  <si>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</si>
  <si>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</si>
  <si>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</si>
  <si>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</si>
  <si>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</si>
  <si>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</si>
  <si>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</si>
  <si>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</si>
  <si>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</si>
  <si>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</si>
  <si>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</si>
  <si>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</si>
  <si>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</si>
  <si>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</si>
  <si>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</si>
  <si>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</si>
  <si>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</si>
  <si>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</si>
  <si>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</si>
  <si>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</si>
  <si>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</si>
  <si>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</si>
  <si>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</si>
  <si>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</si>
  <si>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</si>
  <si>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</si>
  <si>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</si>
  <si>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Share Price High</t>
  </si>
  <si>
    <t>Share Price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</si>
  <si>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</si>
  <si>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</si>
  <si>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</si>
  <si>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</si>
  <si>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</si>
  <si>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</si>
  <si>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</si>
  <si>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</si>
  <si>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</si>
  <si>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</si>
  <si>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</si>
  <si>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</si>
  <si>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</si>
  <si>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</si>
  <si>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</si>
  <si>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</si>
  <si>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</si>
  <si>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</si>
  <si>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</si>
  <si>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</si>
  <si>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</si>
  <si>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</si>
  <si>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</si>
  <si>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</si>
  <si>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</si>
  <si>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</si>
  <si>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</si>
  <si>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</si>
  <si>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</si>
  <si>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</si>
  <si>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</si>
  <si>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</si>
  <si>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</si>
  <si>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</si>
  <si>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</si>
  <si>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</si>
  <si>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</si>
  <si>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</si>
  <si>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</si>
  <si>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</si>
  <si>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</si>
  <si>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</si>
  <si>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</si>
  <si>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</si>
  <si>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</si>
  <si>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</si>
  <si>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</si>
  <si>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</si>
  <si>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</si>
  <si>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</si>
  <si>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</si>
  <si>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</si>
  <si>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</si>
  <si>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</si>
  <si>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</si>
  <si>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</si>
  <si>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</si>
  <si>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</si>
  <si>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</si>
  <si>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</si>
  <si>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</si>
  <si>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</si>
  <si>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</si>
  <si>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</si>
  <si>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</si>
  <si>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</si>
  <si>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</si>
  <si>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</si>
  <si>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</si>
  <si>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</si>
  <si>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</si>
  <si>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</si>
  <si>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</si>
  <si>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</si>
  <si>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</si>
  <si>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</si>
  <si>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</si>
  <si>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</si>
  <si>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</si>
  <si>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</si>
  <si>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</si>
  <si>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</si>
  <si>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</si>
  <si>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</si>
  <si>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</si>
  <si>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</si>
  <si>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Assts to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</si>
  <si>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</si>
  <si>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</si>
  <si>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</si>
  <si>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</si>
  <si>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</si>
  <si>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</si>
  <si>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</si>
  <si>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</si>
  <si>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</si>
  <si>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</si>
  <si>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</si>
  <si>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</si>
  <si>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</si>
  <si>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</si>
  <si>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</si>
  <si>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</si>
  <si>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</si>
  <si>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</si>
  <si>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</si>
  <si>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</si>
  <si>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</si>
  <si>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</si>
  <si>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</si>
  <si>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</si>
  <si>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</si>
  <si>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</si>
  <si>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</si>
  <si>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</si>
  <si>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</si>
  <si>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</si>
  <si>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</si>
  <si>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</si>
  <si>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</si>
  <si>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</si>
  <si>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</si>
  <si>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</si>
  <si>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</si>
  <si>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</si>
  <si>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</si>
  <si>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</si>
  <si>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</si>
  <si>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</si>
  <si>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</si>
  <si>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</si>
  <si>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</si>
  <si>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</si>
  <si>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</si>
  <si>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</si>
  <si>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</si>
  <si>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</si>
  <si>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</si>
  <si>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</si>
  <si>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</si>
  <si>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</si>
  <si>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</si>
  <si>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</si>
  <si>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</si>
  <si>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</si>
  <si>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</si>
  <si>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</si>
  <si>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</si>
  <si>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</si>
  <si>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</si>
  <si>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</si>
  <si>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</si>
  <si>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</si>
  <si>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</si>
  <si>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</si>
  <si>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</si>
  <si>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</si>
  <si>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</si>
  <si>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</si>
  <si>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</si>
  <si>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</si>
  <si>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</si>
  <si>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</si>
  <si>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</si>
  <si>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</si>
  <si>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</si>
  <si>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</si>
  <si>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</si>
  <si>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Monthly Volume</t>
  </si>
  <si>
    <t>Month</t>
  </si>
  <si>
    <t>M&amp; HCV</t>
  </si>
  <si>
    <t>LCV</t>
  </si>
  <si>
    <t>CV</t>
  </si>
  <si>
    <t>3M Rolling'</t>
  </si>
  <si>
    <t>3M YoY%</t>
  </si>
  <si>
    <t>12M Rolling</t>
  </si>
  <si>
    <t>12M YoY%</t>
  </si>
  <si>
    <t>Volume YoY%</t>
  </si>
  <si>
    <t>Miscellaneous Expenses (Expenses Capitalised)</t>
  </si>
  <si>
    <t>Foreign Exchange Gain/loss</t>
  </si>
  <si>
    <t>Product Development Expenditure</t>
  </si>
  <si>
    <t>Other Fixed Cost</t>
  </si>
  <si>
    <t>Foreign Currency translation account</t>
  </si>
  <si>
    <t>Miscellaneous Expenditure</t>
  </si>
  <si>
    <t>Registrations</t>
  </si>
  <si>
    <t>YoY%</t>
  </si>
  <si>
    <t>3M Rolling</t>
  </si>
  <si>
    <t>QoQ%</t>
  </si>
  <si>
    <t>Vahan Registrations</t>
  </si>
  <si>
    <t>Vahan Data</t>
  </si>
  <si>
    <t>Realisation</t>
  </si>
  <si>
    <t>RM</t>
  </si>
  <si>
    <t>Delta</t>
  </si>
  <si>
    <t>Other Cost</t>
  </si>
  <si>
    <t>EBITDA margin %</t>
  </si>
  <si>
    <t>Delta Margin %</t>
  </si>
  <si>
    <t>Employee cost %</t>
  </si>
  <si>
    <t>Unit Matrix</t>
  </si>
  <si>
    <t>CV Export</t>
  </si>
  <si>
    <t>Co. reported Volume TTM</t>
  </si>
  <si>
    <t>Vahan Volume TTM</t>
  </si>
  <si>
    <t>Co. reported Volume TTM Growth YoY</t>
  </si>
  <si>
    <t>Vahan Volume TTM Growth YoY</t>
  </si>
  <si>
    <t>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</si>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</sst>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164" fontId="14" fillId="0" borderId="0" applyFon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2" fontId="9" fillId="7" borderId="0" xfId="0" applyNumberFormat="1" applyFont="1" applyFill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0" fontId="0" fillId="9" borderId="0" xfId="0" applyFill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11" fillId="0" borderId="0" xfId="1" applyNumberFormat="1" applyFont="1" applyBorder="1"/>
    <xf numFmtId="167" fontId="11" fillId="7" borderId="0" xfId="1" applyNumberFormat="1" applyFont="1" applyFill="1" applyBorder="1"/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167" fontId="11" fillId="0" borderId="0" xfId="1" applyNumberFormat="1" applyFont="1" applyFill="1" applyBorder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9" fontId="7" fillId="0" borderId="0" xfId="1" applyFont="1"/>
    <xf numFmtId="9" fontId="7" fillId="7" borderId="0" xfId="1" applyFont="1" applyFill="1" applyBorder="1"/>
    <xf numFmtId="9" fontId="7" fillId="7" borderId="0" xfId="1" applyFont="1" applyFill="1"/>
    <xf numFmtId="9" fontId="7" fillId="0" borderId="0" xfId="1" applyFont="1" applyFill="1"/>
    <xf numFmtId="0" fontId="12" fillId="0" borderId="0" xfId="0" applyFont="1"/>
    <xf numFmtId="17" fontId="0" fillId="0" borderId="0" xfId="0" applyNumberFormat="1"/>
    <xf numFmtId="17" fontId="12" fillId="0" borderId="0" xfId="0" applyNumberFormat="1" applyFont="1"/>
    <xf numFmtId="17" fontId="12" fillId="7" borderId="0" xfId="0" applyNumberFormat="1" applyFont="1" applyFill="1"/>
    <xf numFmtId="0" fontId="0" fillId="7" borderId="0" xfId="0" applyFill="1"/>
    <xf numFmtId="0" fontId="21" fillId="10" borderId="0" xfId="0" applyFont="1" applyFill="1"/>
    <xf numFmtId="9" fontId="0" fillId="0" borderId="0" xfId="1" applyFont="1"/>
    <xf numFmtId="9" fontId="21" fillId="10" borderId="0" xfId="1" applyFont="1" applyFill="1"/>
    <xf numFmtId="9" fontId="0" fillId="7" borderId="0" xfId="1" applyFont="1" applyFill="1"/>
    <xf numFmtId="1" fontId="21" fillId="10" borderId="0" xfId="0" applyNumberFormat="1" applyFont="1" applyFill="1"/>
    <xf numFmtId="1" fontId="0" fillId="7" borderId="0" xfId="0" applyNumberFormat="1" applyFill="1"/>
    <xf numFmtId="166" fontId="20" fillId="2" borderId="0" xfId="2" applyNumberFormat="1" applyFont="1" applyFill="1" applyAlignment="1">
      <alignment horizontal="left"/>
    </xf>
    <xf numFmtId="166" fontId="20" fillId="2" borderId="0" xfId="2" applyNumberFormat="1" applyFont="1" applyFill="1" applyAlignment="1">
      <alignment horizontal="center"/>
    </xf>
    <xf numFmtId="166" fontId="20" fillId="7" borderId="0" xfId="2" applyNumberFormat="1" applyFont="1" applyFill="1" applyAlignment="1">
      <alignment horizontal="center"/>
    </xf>
    <xf numFmtId="166" fontId="7" fillId="0" borderId="0" xfId="2" applyNumberFormat="1" applyFont="1" applyAlignment="1">
      <alignment horizontal="center"/>
    </xf>
    <xf numFmtId="166" fontId="20" fillId="0" borderId="0" xfId="2" applyNumberFormat="1" applyFont="1" applyFill="1" applyAlignment="1">
      <alignment horizontal="center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166" fontId="20" fillId="2" borderId="0" xfId="2" applyNumberFormat="1" applyFont="1" applyFill="1" applyAlignment="1"/>
    <xf numFmtId="9" fontId="20" fillId="2" borderId="0" xfId="1" applyFont="1" applyFill="1" applyAlignment="1"/>
    <xf numFmtId="166" fontId="20" fillId="2" borderId="0" xfId="2" applyNumberFormat="1" applyFont="1" applyFill="1" applyAlignment="1">
      <alignment horizontal="right"/>
    </xf>
    <xf numFmtId="37" fontId="2" fillId="0" borderId="0" xfId="2" applyNumberFormat="1" applyFont="1"/>
    <xf numFmtId="1" fontId="2" fillId="7" borderId="0" xfId="2" applyNumberFormat="1" applyFont="1" applyFill="1" applyBorder="1"/>
    <xf numFmtId="43" fontId="11" fillId="0" borderId="0" xfId="2" applyFont="1" applyBorder="1"/>
    <xf numFmtId="0" fontId="23" fillId="11" borderId="0" xfId="0" applyFont="1" applyFill="1"/>
    <xf numFmtId="167" fontId="23" fillId="11" borderId="0" xfId="1" applyNumberFormat="1" applyFont="1" applyFill="1"/>
    <xf numFmtId="0" fontId="8" fillId="7" borderId="0" xfId="0" applyFont="1" applyFill="1"/>
    <xf numFmtId="17" fontId="8" fillId="7" borderId="0" xfId="0" applyNumberFormat="1" applyFont="1" applyFill="1"/>
    <xf numFmtId="167" fontId="8" fillId="7" borderId="0" xfId="1" applyNumberFormat="1" applyFont="1" applyFill="1"/>
    <xf numFmtId="0" fontId="8" fillId="0" borderId="0" xfId="0" applyFont="1"/>
    <xf numFmtId="10" fontId="8" fillId="0" borderId="0" xfId="1" applyNumberFormat="1" applyFont="1"/>
    <xf numFmtId="166" fontId="8" fillId="0" borderId="0" xfId="0" applyNumberFormat="1" applyFont="1"/>
    <xf numFmtId="167" fontId="8" fillId="0" borderId="0" xfId="1" applyNumberFormat="1" applyFont="1"/>
    <xf numFmtId="166" fontId="18" fillId="2" borderId="0" xfId="2" applyNumberFormat="1" applyFont="1" applyFill="1" applyAlignment="1">
      <alignment horizontal="left"/>
    </xf>
    <xf numFmtId="166" fontId="18" fillId="2" borderId="0" xfId="2" applyNumberFormat="1" applyFont="1" applyFill="1" applyAlignment="1">
      <alignment horizontal="center"/>
    </xf>
    <xf numFmtId="166" fontId="18" fillId="7" borderId="0" xfId="2" applyNumberFormat="1" applyFont="1" applyFill="1" applyAlignment="1">
      <alignment horizontal="center"/>
    </xf>
    <xf numFmtId="166" fontId="4" fillId="0" borderId="0" xfId="2" applyNumberFormat="1" applyFont="1" applyAlignment="1">
      <alignment horizontal="center"/>
    </xf>
    <xf numFmtId="166" fontId="18" fillId="2" borderId="0" xfId="2" applyNumberFormat="1" applyFont="1" applyFill="1" applyAlignment="1">
      <alignment horizontal="right"/>
    </xf>
    <xf numFmtId="166" fontId="18" fillId="0" borderId="0" xfId="2" applyNumberFormat="1" applyFont="1" applyFill="1" applyAlignment="1">
      <alignment horizontal="center"/>
    </xf>
    <xf numFmtId="166" fontId="18" fillId="2" borderId="1" xfId="2" applyNumberFormat="1" applyFont="1" applyFill="1" applyBorder="1" applyAlignment="1">
      <alignment horizontal="left"/>
    </xf>
    <xf numFmtId="166" fontId="18" fillId="2" borderId="1" xfId="2" applyNumberFormat="1" applyFont="1" applyFill="1" applyBorder="1" applyAlignment="1">
      <alignment horizontal="center"/>
    </xf>
    <xf numFmtId="166" fontId="18" fillId="7" borderId="1" xfId="2" applyNumberFormat="1" applyFont="1" applyFill="1" applyBorder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166" fontId="18" fillId="2" borderId="1" xfId="2" applyNumberFormat="1" applyFont="1" applyFill="1" applyBorder="1" applyAlignment="1">
      <alignment horizontal="right"/>
    </xf>
    <xf numFmtId="166" fontId="18" fillId="0" borderId="1" xfId="2" applyNumberFormat="1" applyFont="1" applyFill="1" applyBorder="1" applyAlignment="1">
      <alignment horizontal="center"/>
    </xf>
    <xf numFmtId="43" fontId="18" fillId="2" borderId="0" xfId="2" applyFont="1" applyFill="1" applyAlignment="1">
      <alignment horizontal="left"/>
    </xf>
    <xf numFmtId="166" fontId="5" fillId="7" borderId="0" xfId="2" applyNumberFormat="1" applyFont="1" applyFill="1" applyBorder="1"/>
    <xf numFmtId="0" fontId="22" fillId="0" borderId="0" xfId="0" applyFont="1"/>
    <xf numFmtId="9" fontId="16" fillId="3" borderId="0" xfId="1" applyFont="1" applyFill="1" applyBorder="1" applyAlignment="1">
      <alignment horizontal="right"/>
    </xf>
    <xf numFmtId="9" fontId="16" fillId="7" borderId="0" xfId="1" applyFont="1" applyFill="1" applyBorder="1" applyAlignment="1">
      <alignment horizontal="right"/>
    </xf>
    <xf numFmtId="9" fontId="16" fillId="0" borderId="0" xfId="1" applyFont="1" applyFill="1" applyBorder="1" applyAlignment="1">
      <alignment horizontal="right"/>
    </xf>
    <xf numFmtId="9" fontId="16" fillId="3" borderId="0" xfId="1" applyFont="1" applyFill="1" applyBorder="1" applyAlignment="1">
      <alignment horizontal="left"/>
    </xf>
    <xf numFmtId="164" fontId="9" fillId="2" borderId="0" xfId="5" applyFont="1" applyFill="1" applyAlignment="1">
      <alignment horizontal="left"/>
    </xf>
    <xf numFmtId="9" fontId="3" fillId="2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6">
    <cellStyle name="Comma" xfId="2" builtinId="3"/>
    <cellStyle name="Comma 2" xfId="5" xr:uid="{9405A1C4-E010-48A6-B06C-F458495352DA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'Monthly Nos Company'!$AC$27:$AC$168</c:f>
              <c:numCache>
                <c:formatCode>0%</c:formatCode>
                <c:ptCount val="142"/>
                <c:pt idx="0">
                  <c:v>-0.27643698845036513</c:v>
                </c:pt>
                <c:pt idx="1">
                  <c:v>-0.30060606268655177</c:v>
                </c:pt>
                <c:pt idx="2">
                  <c:v>-0.30938696653532383</c:v>
                </c:pt>
                <c:pt idx="3">
                  <c:v>-0.3196517892508246</c:v>
                </c:pt>
                <c:pt idx="4">
                  <c:v>-0.32913073623472122</c:v>
                </c:pt>
                <c:pt idx="5">
                  <c:v>-0.32845910355218177</c:v>
                </c:pt>
                <c:pt idx="6">
                  <c:v>-0.31641458419902246</c:v>
                </c:pt>
                <c:pt idx="7">
                  <c:v>-0.31025473921195013</c:v>
                </c:pt>
                <c:pt idx="8">
                  <c:v>-0.2878627895296737</c:v>
                </c:pt>
                <c:pt idx="9">
                  <c:v>-0.25211423272910916</c:v>
                </c:pt>
                <c:pt idx="10">
                  <c:v>-0.22456849221055519</c:v>
                </c:pt>
                <c:pt idx="11">
                  <c:v>-0.18030466281066992</c:v>
                </c:pt>
                <c:pt idx="12">
                  <c:v>-0.13234296648349164</c:v>
                </c:pt>
                <c:pt idx="13">
                  <c:v>-0.10643817059164218</c:v>
                </c:pt>
                <c:pt idx="14">
                  <c:v>-8.6227722349596858E-2</c:v>
                </c:pt>
                <c:pt idx="15">
                  <c:v>-6.3481963682639142E-2</c:v>
                </c:pt>
                <c:pt idx="16">
                  <c:v>-4.0710706054006063E-2</c:v>
                </c:pt>
                <c:pt idx="17">
                  <c:v>-2.3279518715568104E-2</c:v>
                </c:pt>
                <c:pt idx="18">
                  <c:v>-1.4948685447929044E-2</c:v>
                </c:pt>
                <c:pt idx="19">
                  <c:v>-1.0335187017009861E-3</c:v>
                </c:pt>
                <c:pt idx="20">
                  <c:v>-3.4957462404762163E-3</c:v>
                </c:pt>
                <c:pt idx="21">
                  <c:v>-9.5200141693230211E-4</c:v>
                </c:pt>
                <c:pt idx="22">
                  <c:v>1.5587921297038898E-2</c:v>
                </c:pt>
                <c:pt idx="23">
                  <c:v>2.246403115100315E-2</c:v>
                </c:pt>
                <c:pt idx="24">
                  <c:v>3.9018248745793072E-2</c:v>
                </c:pt>
                <c:pt idx="25">
                  <c:v>4.8529957017893199E-2</c:v>
                </c:pt>
                <c:pt idx="26">
                  <c:v>5.8412755993800136E-2</c:v>
                </c:pt>
                <c:pt idx="27">
                  <c:v>6.3865370544580413E-2</c:v>
                </c:pt>
                <c:pt idx="28">
                  <c:v>6.521715170585729E-2</c:v>
                </c:pt>
                <c:pt idx="29">
                  <c:v>6.8405446594222097E-2</c:v>
                </c:pt>
                <c:pt idx="30">
                  <c:v>7.2850339401888897E-2</c:v>
                </c:pt>
                <c:pt idx="31">
                  <c:v>9.1634538041217128E-2</c:v>
                </c:pt>
                <c:pt idx="32">
                  <c:v>9.1325269648613983E-2</c:v>
                </c:pt>
                <c:pt idx="33">
                  <c:v>7.9822714681440532E-2</c:v>
                </c:pt>
                <c:pt idx="34">
                  <c:v>5.5291695488537629E-2</c:v>
                </c:pt>
                <c:pt idx="35">
                  <c:v>4.2854414940683094E-2</c:v>
                </c:pt>
                <c:pt idx="36">
                  <c:v>1.6449400472019482E-2</c:v>
                </c:pt>
                <c:pt idx="37">
                  <c:v>-1.9026913758103614E-2</c:v>
                </c:pt>
                <c:pt idx="38">
                  <c:v>-3.7491139378549088E-2</c:v>
                </c:pt>
                <c:pt idx="39">
                  <c:v>-4.8243890331054584E-2</c:v>
                </c:pt>
                <c:pt idx="40">
                  <c:v>-4.2975206611570282E-2</c:v>
                </c:pt>
                <c:pt idx="41">
                  <c:v>-3.0158791684432251E-2</c:v>
                </c:pt>
                <c:pt idx="42">
                  <c:v>-1.4653195665687346E-2</c:v>
                </c:pt>
                <c:pt idx="43">
                  <c:v>-2.799015161332119E-2</c:v>
                </c:pt>
                <c:pt idx="44">
                  <c:v>1.2916518795207166E-2</c:v>
                </c:pt>
                <c:pt idx="45">
                  <c:v>6.0536253001415963E-2</c:v>
                </c:pt>
                <c:pt idx="46">
                  <c:v>9.5555882436432427E-2</c:v>
                </c:pt>
                <c:pt idx="47">
                  <c:v>0.12201644870032569</c:v>
                </c:pt>
                <c:pt idx="48">
                  <c:v>0.16687574182723908</c:v>
                </c:pt>
                <c:pt idx="49">
                  <c:v>0.25608860620916341</c:v>
                </c:pt>
                <c:pt idx="50">
                  <c:v>0.30412309950039385</c:v>
                </c:pt>
                <c:pt idx="51">
                  <c:v>0.35280966028714622</c:v>
                </c:pt>
                <c:pt idx="52">
                  <c:v>0.36894056721831658</c:v>
                </c:pt>
                <c:pt idx="53">
                  <c:v>0.37756385320025365</c:v>
                </c:pt>
                <c:pt idx="54">
                  <c:v>0.38232168286145085</c:v>
                </c:pt>
                <c:pt idx="55">
                  <c:v>0.39926179777336879</c:v>
                </c:pt>
                <c:pt idx="56">
                  <c:v>0.34409217398318237</c:v>
                </c:pt>
                <c:pt idx="57">
                  <c:v>0.2741779426918296</c:v>
                </c:pt>
                <c:pt idx="58">
                  <c:v>0.23113379769108833</c:v>
                </c:pt>
                <c:pt idx="59">
                  <c:v>0.19260428949370545</c:v>
                </c:pt>
                <c:pt idx="60">
                  <c:v>0.15690848266452395</c:v>
                </c:pt>
                <c:pt idx="61">
                  <c:v>8.6429332148573845E-2</c:v>
                </c:pt>
                <c:pt idx="62">
                  <c:v>3.7287869134597029E-2</c:v>
                </c:pt>
                <c:pt idx="63">
                  <c:v>-3.6226645460825102E-3</c:v>
                </c:pt>
                <c:pt idx="64">
                  <c:v>-4.8027373134681972E-2</c:v>
                </c:pt>
                <c:pt idx="65">
                  <c:v>-0.1065512099168503</c:v>
                </c:pt>
                <c:pt idx="66">
                  <c:v>-0.16944565956342827</c:v>
                </c:pt>
                <c:pt idx="67">
                  <c:v>-0.21018552594953377</c:v>
                </c:pt>
                <c:pt idx="68">
                  <c:v>-0.22096845879614957</c:v>
                </c:pt>
                <c:pt idx="69">
                  <c:v>-0.22265421071715363</c:v>
                </c:pt>
                <c:pt idx="70">
                  <c:v>-0.22862248685549846</c:v>
                </c:pt>
                <c:pt idx="71">
                  <c:v>-0.24957117361590264</c:v>
                </c:pt>
                <c:pt idx="72">
                  <c:v>-0.34596374983887324</c:v>
                </c:pt>
                <c:pt idx="73">
                  <c:v>-0.38274076117688727</c:v>
                </c:pt>
                <c:pt idx="74">
                  <c:v>-0.42035760009891232</c:v>
                </c:pt>
                <c:pt idx="75">
                  <c:v>-0.47597002652306053</c:v>
                </c:pt>
                <c:pt idx="76">
                  <c:v>-0.48764821417090287</c:v>
                </c:pt>
                <c:pt idx="77">
                  <c:v>-0.48030437512177171</c:v>
                </c:pt>
                <c:pt idx="78">
                  <c:v>-0.45987368613055468</c:v>
                </c:pt>
                <c:pt idx="79">
                  <c:v>-0.43856246407697641</c:v>
                </c:pt>
                <c:pt idx="80">
                  <c:v>-0.43487638718374622</c:v>
                </c:pt>
                <c:pt idx="81">
                  <c:v>-0.42965050540079175</c:v>
                </c:pt>
                <c:pt idx="82">
                  <c:v>-0.42307558748096297</c:v>
                </c:pt>
                <c:pt idx="83">
                  <c:v>-0.38780735862915616</c:v>
                </c:pt>
                <c:pt idx="84">
                  <c:v>-0.20032180919127052</c:v>
                </c:pt>
                <c:pt idx="85">
                  <c:v>-0.10451172388871099</c:v>
                </c:pt>
                <c:pt idx="86">
                  <c:v>-9.5161423499298126E-3</c:v>
                </c:pt>
                <c:pt idx="87">
                  <c:v>0.16277513470687555</c:v>
                </c:pt>
                <c:pt idx="88">
                  <c:v>0.26902369714290342</c:v>
                </c:pt>
                <c:pt idx="89">
                  <c:v>0.35541087131294691</c:v>
                </c:pt>
                <c:pt idx="90">
                  <c:v>0.40878198688020806</c:v>
                </c:pt>
                <c:pt idx="91">
                  <c:v>0.42790819163815907</c:v>
                </c:pt>
                <c:pt idx="92">
                  <c:v>0.46191823068862403</c:v>
                </c:pt>
                <c:pt idx="93">
                  <c:v>0.47500053522875674</c:v>
                </c:pt>
                <c:pt idx="94">
                  <c:v>0.49117346105230575</c:v>
                </c:pt>
                <c:pt idx="95">
                  <c:v>0.47055171227560866</c:v>
                </c:pt>
                <c:pt idx="96">
                  <c:v>0.31310671576182725</c:v>
                </c:pt>
                <c:pt idx="97">
                  <c:v>0.31387589956707496</c:v>
                </c:pt>
                <c:pt idx="98">
                  <c:v>0.36361836483754661</c:v>
                </c:pt>
                <c:pt idx="99">
                  <c:v>0.34867628964185071</c:v>
                </c:pt>
                <c:pt idx="100">
                  <c:v>0.33353961185612402</c:v>
                </c:pt>
                <c:pt idx="101">
                  <c:v>0.29006035945221642</c:v>
                </c:pt>
                <c:pt idx="102">
                  <c:v>0.26268083372286744</c:v>
                </c:pt>
                <c:pt idx="103">
                  <c:v>0.24105283034455094</c:v>
                </c:pt>
                <c:pt idx="104">
                  <c:v>0.21633638988685799</c:v>
                </c:pt>
                <c:pt idx="105">
                  <c:v>0.21122332565990964</c:v>
                </c:pt>
                <c:pt idx="106">
                  <c:v>0.19581187759126739</c:v>
                </c:pt>
                <c:pt idx="107">
                  <c:v>0.18039773942960813</c:v>
                </c:pt>
                <c:pt idx="108">
                  <c:v>0.15846340889481536</c:v>
                </c:pt>
                <c:pt idx="109">
                  <c:v>9.1675961699078101E-2</c:v>
                </c:pt>
                <c:pt idx="110">
                  <c:v>2.2367244633618943E-2</c:v>
                </c:pt>
                <c:pt idx="111">
                  <c:v>-2.2894042398736492E-2</c:v>
                </c:pt>
                <c:pt idx="112">
                  <c:v>-4.987633176575279E-2</c:v>
                </c:pt>
                <c:pt idx="113">
                  <c:v>-5.23554846163925E-2</c:v>
                </c:pt>
                <c:pt idx="114">
                  <c:v>-4.6120404274354154E-2</c:v>
                </c:pt>
                <c:pt idx="115">
                  <c:v>-4.1052218669392682E-2</c:v>
                </c:pt>
                <c:pt idx="116">
                  <c:v>-3.6172603205707143E-2</c:v>
                </c:pt>
                <c:pt idx="117">
                  <c:v>-3.5152346006264934E-2</c:v>
                </c:pt>
                <c:pt idx="118">
                  <c:v>-3.1023283737549812E-2</c:v>
                </c:pt>
                <c:pt idx="119">
                  <c:v>-3.2288781581860326E-2</c:v>
                </c:pt>
                <c:pt idx="120">
                  <c:v>-4.2786774645196757E-2</c:v>
                </c:pt>
                <c:pt idx="121">
                  <c:v>-5.681243259385016E-3</c:v>
                </c:pt>
                <c:pt idx="122">
                  <c:v>5.5535623523783606E-3</c:v>
                </c:pt>
                <c:pt idx="123">
                  <c:v>7.1433412062358315E-3</c:v>
                </c:pt>
                <c:pt idx="124">
                  <c:v>-4.6474976271578816E-3</c:v>
                </c:pt>
                <c:pt idx="125">
                  <c:v>-1.8353997606765371E-2</c:v>
                </c:pt>
                <c:pt idx="126">
                  <c:v>-5.1017260338041881E-2</c:v>
                </c:pt>
                <c:pt idx="127">
                  <c:v>-5.4466528000555292E-2</c:v>
                </c:pt>
                <c:pt idx="128">
                  <c:v>-5.3036836728860726E-2</c:v>
                </c:pt>
                <c:pt idx="129">
                  <c:v>-5.4337836025177944E-2</c:v>
                </c:pt>
                <c:pt idx="130">
                  <c:v>-5.2977710096893116E-2</c:v>
                </c:pt>
                <c:pt idx="131">
                  <c:v>-5.5850811426402247E-2</c:v>
                </c:pt>
                <c:pt idx="132">
                  <c:v>-4.7852063307607828E-2</c:v>
                </c:pt>
                <c:pt idx="133">
                  <c:v>-7.0254733910660727E-2</c:v>
                </c:pt>
                <c:pt idx="134">
                  <c:v>-7.5697546785994829E-2</c:v>
                </c:pt>
                <c:pt idx="135">
                  <c:v>-7.4662499781936398E-2</c:v>
                </c:pt>
                <c:pt idx="136">
                  <c:v>-5.6007608313498936E-2</c:v>
                </c:pt>
                <c:pt idx="137">
                  <c:v>-3.7432744239885074E-2</c:v>
                </c:pt>
                <c:pt idx="138">
                  <c:v>6.4227759499813075E-4</c:v>
                </c:pt>
                <c:pt idx="139">
                  <c:v>9.3708130897725006E-3</c:v>
                </c:pt>
                <c:pt idx="140">
                  <c:v>2.8469517380395049E-2</c:v>
                </c:pt>
                <c:pt idx="141">
                  <c:v>5.1970191673736954E-2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A-4765-AEAC-F0B63762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899439"/>
        <c:axId val="1293896559"/>
      </c:lineChart>
      <c:catAx>
        <c:axId val="1293899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96559"/>
        <c:crosses val="autoZero"/>
        <c:auto val="1"/>
        <c:lblAlgn val="ctr"/>
        <c:lblOffset val="100"/>
        <c:noMultiLvlLbl val="0"/>
      </c:catAx>
      <c:valAx>
        <c:axId val="129389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9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170</xdr:row>
      <xdr:rowOff>23811</xdr:rowOff>
    </xdr:from>
    <xdr:to>
      <xdr:col>26</xdr:col>
      <xdr:colOff>428625</xdr:colOff>
      <xdr:row>187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912E4-147D-3CED-5E55-7A704AB4E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83"/>
  <sheetViews>
    <sheetView tabSelected="1" zoomScaleNormal="100" workbookViewId="0">
      <pane xSplit="1" ySplit="1" topLeftCell="CK84" activePane="bottomRight" state="frozen"/>
      <selection pane="topRight" activeCell="B1" sqref="B1"/>
      <selection pane="bottomLeft" activeCell="A2" sqref="A2"/>
      <selection pane="bottomRight" activeCell="CM103" sqref="CM103"/>
    </sheetView>
  </sheetViews>
  <sheetFormatPr defaultColWidth="8.7109375" defaultRowHeight="12" outlineLevelRow="1" x14ac:dyDescent="0.2"/>
  <cols>
    <col min="1" max="1" width="46.5703125" style="2" customWidth="1"/>
    <col min="2" max="26" width="10.28515625" style="2" customWidth="1"/>
    <col min="27" max="31" width="10" style="19" bestFit="1" customWidth="1"/>
    <col min="32" max="34" width="8.7109375" style="2"/>
    <col min="35" max="67" width="10.28515625" style="2" customWidth="1"/>
    <col min="68" max="68" width="10.5703125" style="2" bestFit="1" customWidth="1"/>
    <col min="69" max="89" width="11.42578125" style="2" bestFit="1" customWidth="1"/>
    <col min="90" max="91" width="11.42578125" style="24" bestFit="1" customWidth="1"/>
    <col min="92" max="106" width="11.42578125" style="24" customWidth="1"/>
    <col min="107" max="108" width="8.7109375" style="2"/>
    <col min="109" max="109" width="10.7109375" style="123" bestFit="1" customWidth="1"/>
    <col min="110" max="16384" width="8.7109375" style="2"/>
  </cols>
  <sheetData>
    <row r="1" spans="1:110" s="81" customFormat="1" x14ac:dyDescent="0.2">
      <c r="A1" s="78" t="str">
        <f>+'Annual Raw'!C4</f>
        <v>Tata Motors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:CL1" si="16">EOMONTH(CJ1,3)</f>
        <v>46022</v>
      </c>
      <c r="CL1" s="79">
        <f t="shared" si="16"/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447</v>
      </c>
      <c r="DF1" s="230">
        <v>46112</v>
      </c>
    </row>
    <row r="2" spans="1:110" s="107" customFormat="1" x14ac:dyDescent="0.2">
      <c r="A2" s="151" t="s">
        <v>502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6"/>
      <c r="AB2" s="106"/>
      <c r="AC2" s="106"/>
      <c r="AD2" s="106"/>
      <c r="AE2" s="106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7" customFormat="1" x14ac:dyDescent="0.2">
      <c r="A4" s="221" t="s">
        <v>536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>
        <f>+SUM(BW4:BZ4)</f>
        <v>382995</v>
      </c>
      <c r="Y4" s="210">
        <f>+SUM(CA4:CD4)</f>
        <v>369972</v>
      </c>
      <c r="Z4" s="210">
        <f>+SUM(CE4:CH4)</f>
        <v>350232</v>
      </c>
      <c r="AA4" s="106"/>
      <c r="AB4" s="106"/>
      <c r="AC4" s="106"/>
      <c r="AD4" s="106"/>
      <c r="AE4" s="106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>
        <f>+'Monthly Nos Vahan'!$E$21</f>
        <v>97144</v>
      </c>
      <c r="BX4" s="105">
        <f>+'Monthly Nos Vahan'!$E$24</f>
        <v>90110</v>
      </c>
      <c r="BY4" s="105">
        <f>+'Monthly Nos Vahan'!$E$27</f>
        <v>90519</v>
      </c>
      <c r="BZ4" s="105">
        <f>+'Monthly Nos Vahan'!$E$30</f>
        <v>105222</v>
      </c>
      <c r="CA4" s="105">
        <f>+'Monthly Nos Vahan'!$E$33</f>
        <v>89546</v>
      </c>
      <c r="CB4" s="105">
        <f>+'Monthly Nos Vahan'!$E$36</f>
        <v>88114</v>
      </c>
      <c r="CC4" s="105">
        <f>+'Monthly Nos Vahan'!$E$39</f>
        <v>92136</v>
      </c>
      <c r="CD4" s="105">
        <f>+'Monthly Nos Vahan'!$E$42</f>
        <v>100176</v>
      </c>
      <c r="CE4" s="105">
        <f>+'Monthly Nos Vahan'!$E$45</f>
        <v>91641</v>
      </c>
      <c r="CF4" s="105">
        <f>+'Monthly Nos Vahan'!$E$48</f>
        <v>81058</v>
      </c>
      <c r="CG4" s="105">
        <f>+'Monthly Nos Vahan'!$E$51</f>
        <v>85315</v>
      </c>
      <c r="CH4" s="105">
        <f>+'Monthly Nos Vahan'!$E$54</f>
        <v>92218</v>
      </c>
      <c r="CI4" s="105">
        <f>+'Monthly Nos Vahan'!$E$57</f>
        <v>85244</v>
      </c>
      <c r="CJ4" s="105">
        <f>+'Monthly Nos Vahan'!$E$60</f>
        <v>77120</v>
      </c>
      <c r="CK4" s="105">
        <f>'Monthly Nos Vahan'!E63</f>
        <v>99958</v>
      </c>
      <c r="CL4" s="105">
        <f>'Monthly Nos Vahan'!E66</f>
        <v>112511</v>
      </c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E4" s="117"/>
    </row>
    <row r="5" spans="1:110" s="192" customFormat="1" x14ac:dyDescent="0.2">
      <c r="A5" s="189" t="s">
        <v>524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>
        <f t="shared" ref="Y5" si="33">+Y4/X4-1</f>
        <v>-3.400305487016797E-2</v>
      </c>
      <c r="Z5" s="190">
        <f>+Z4/Y4-1</f>
        <v>-5.3355389056469193E-2</v>
      </c>
      <c r="AA5" s="191"/>
      <c r="AB5" s="191"/>
      <c r="AC5" s="191"/>
      <c r="AD5" s="191"/>
      <c r="AE5" s="191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  <c r="BK5" s="190"/>
      <c r="BL5" s="190"/>
      <c r="BM5" s="190"/>
      <c r="BN5" s="190"/>
      <c r="BO5" s="190"/>
      <c r="BP5" s="190"/>
      <c r="BQ5" s="190"/>
      <c r="BR5" s="190"/>
      <c r="BS5" s="190"/>
      <c r="BT5" s="190"/>
      <c r="BU5" s="190"/>
      <c r="BV5" s="190"/>
      <c r="BW5" s="190"/>
      <c r="BX5" s="190"/>
      <c r="BY5" s="190"/>
      <c r="BZ5" s="190"/>
      <c r="CA5" s="190">
        <f t="shared" ref="CA5" si="34">+CA4/BW4-1</f>
        <v>-7.8213785720168016E-2</v>
      </c>
      <c r="CB5" s="190">
        <f t="shared" ref="CB5" si="35">+CB4/BX4-1</f>
        <v>-2.2150704694262613E-2</v>
      </c>
      <c r="CC5" s="190">
        <f t="shared" ref="CC5" si="36">+CC4/BY4-1</f>
        <v>1.7863652934742902E-2</v>
      </c>
      <c r="CD5" s="190">
        <f t="shared" ref="CD5" si="37">+CD4/BZ4-1</f>
        <v>-4.7955750698523092E-2</v>
      </c>
      <c r="CE5" s="190">
        <f t="shared" ref="CE5" si="38">+CE4/CA4-1</f>
        <v>2.3395796573828065E-2</v>
      </c>
      <c r="CF5" s="190">
        <f t="shared" ref="CF5" si="39">+CF4/CB4-1</f>
        <v>-8.0078080668225304E-2</v>
      </c>
      <c r="CG5" s="190">
        <f t="shared" ref="CG5" si="40">+CG4/CC4-1</f>
        <v>-7.4031865937310037E-2</v>
      </c>
      <c r="CH5" s="190">
        <f t="shared" ref="CH5" si="41">+CH4/CD4-1</f>
        <v>-7.944018527391794E-2</v>
      </c>
      <c r="CI5" s="190">
        <f t="shared" ref="CI5" si="42">+CI4/CE4-1</f>
        <v>-6.9804999945439317E-2</v>
      </c>
      <c r="CJ5" s="190">
        <f>+CJ4/CF4-1</f>
        <v>-4.8582496483999149E-2</v>
      </c>
      <c r="CK5" s="190">
        <f t="shared" ref="CK5:CL5" si="43">+CK4/CG4-1</f>
        <v>0.17163453085623859</v>
      </c>
      <c r="CL5" s="190">
        <f t="shared" si="43"/>
        <v>0.22005465310459993</v>
      </c>
      <c r="CM5" s="191"/>
      <c r="CN5" s="191"/>
      <c r="CO5" s="191"/>
      <c r="CP5" s="191"/>
      <c r="CQ5" s="191"/>
      <c r="CR5" s="191"/>
      <c r="CS5" s="191"/>
      <c r="CT5" s="191"/>
      <c r="CU5" s="191"/>
      <c r="CV5" s="191"/>
      <c r="CW5" s="191"/>
      <c r="CX5" s="191"/>
      <c r="CY5" s="191"/>
      <c r="CZ5" s="191"/>
      <c r="DA5" s="191"/>
      <c r="DB5" s="191"/>
      <c r="DE5" s="193"/>
    </row>
    <row r="6" spans="1:110" s="158" customFormat="1" x14ac:dyDescent="0.2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221" t="s">
        <v>546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85">
        <f>N12</f>
        <v>580711</v>
      </c>
      <c r="O7" s="185">
        <f t="shared" ref="O7:Z7" si="44">O12</f>
        <v>420181</v>
      </c>
      <c r="P7" s="185">
        <f t="shared" si="44"/>
        <v>364573</v>
      </c>
      <c r="Q7" s="185">
        <f t="shared" si="44"/>
        <v>378798</v>
      </c>
      <c r="R7" s="185">
        <f t="shared" si="44"/>
        <v>385029</v>
      </c>
      <c r="S7" s="185">
        <f t="shared" si="44"/>
        <v>449281</v>
      </c>
      <c r="T7" s="185">
        <f t="shared" si="44"/>
        <v>519777</v>
      </c>
      <c r="U7" s="185">
        <f t="shared" si="44"/>
        <v>339953</v>
      </c>
      <c r="V7" s="185">
        <f t="shared" si="44"/>
        <v>271853</v>
      </c>
      <c r="W7" s="185">
        <f t="shared" si="44"/>
        <v>356972</v>
      </c>
      <c r="X7" s="185">
        <f t="shared" si="44"/>
        <v>413539</v>
      </c>
      <c r="Y7" s="185">
        <f t="shared" si="44"/>
        <v>395845</v>
      </c>
      <c r="Z7" s="185">
        <f t="shared" si="44"/>
        <v>376903</v>
      </c>
      <c r="AA7" s="157"/>
      <c r="AB7" s="157"/>
      <c r="AC7" s="157"/>
      <c r="AD7" s="157"/>
      <c r="AE7" s="157"/>
      <c r="AI7" s="156"/>
      <c r="AJ7" s="156"/>
      <c r="AK7" s="156"/>
      <c r="AL7" s="185">
        <f>SUM(AI12:AL12)</f>
        <v>580711</v>
      </c>
      <c r="AM7" s="185">
        <f t="shared" ref="AM7:CL7" si="45">SUM(AJ12:AM12)</f>
        <v>570574</v>
      </c>
      <c r="AN7" s="185">
        <f t="shared" si="45"/>
        <v>536663</v>
      </c>
      <c r="AO7" s="185">
        <f t="shared" si="45"/>
        <v>483154</v>
      </c>
      <c r="AP7" s="185">
        <f t="shared" si="45"/>
        <v>420181</v>
      </c>
      <c r="AQ7" s="185">
        <f t="shared" si="45"/>
        <v>388189</v>
      </c>
      <c r="AR7" s="185">
        <f t="shared" si="45"/>
        <v>366855</v>
      </c>
      <c r="AS7" s="185">
        <f t="shared" si="45"/>
        <v>361344</v>
      </c>
      <c r="AT7" s="185">
        <f t="shared" si="45"/>
        <v>364573</v>
      </c>
      <c r="AU7" s="185">
        <f t="shared" si="45"/>
        <v>363546</v>
      </c>
      <c r="AV7" s="185">
        <f t="shared" si="45"/>
        <v>361371</v>
      </c>
      <c r="AW7" s="185">
        <f t="shared" si="45"/>
        <v>361000</v>
      </c>
      <c r="AX7" s="185">
        <f t="shared" si="45"/>
        <v>378798</v>
      </c>
      <c r="AY7" s="185">
        <f t="shared" si="45"/>
        <v>386764</v>
      </c>
      <c r="AZ7" s="185">
        <f t="shared" si="45"/>
        <v>387697</v>
      </c>
      <c r="BA7" s="185">
        <f t="shared" si="45"/>
        <v>389816</v>
      </c>
      <c r="BB7" s="185">
        <f t="shared" si="45"/>
        <v>385029</v>
      </c>
      <c r="BC7" s="185">
        <f t="shared" si="45"/>
        <v>368105</v>
      </c>
      <c r="BD7" s="185">
        <f t="shared" si="45"/>
        <v>382016</v>
      </c>
      <c r="BE7" s="185">
        <f t="shared" si="45"/>
        <v>413414</v>
      </c>
      <c r="BF7" s="185">
        <f t="shared" si="45"/>
        <v>449281</v>
      </c>
      <c r="BG7" s="185">
        <f t="shared" si="45"/>
        <v>497976</v>
      </c>
      <c r="BH7" s="185">
        <f t="shared" si="45"/>
        <v>528069</v>
      </c>
      <c r="BI7" s="185">
        <f t="shared" si="45"/>
        <v>526763</v>
      </c>
      <c r="BJ7" s="185">
        <f t="shared" si="45"/>
        <v>519777</v>
      </c>
      <c r="BK7" s="185">
        <f t="shared" si="45"/>
        <v>496172</v>
      </c>
      <c r="BL7" s="185">
        <f t="shared" si="45"/>
        <v>438590</v>
      </c>
      <c r="BM7" s="185">
        <f t="shared" si="45"/>
        <v>409477</v>
      </c>
      <c r="BN7" s="185">
        <f t="shared" si="45"/>
        <v>339953</v>
      </c>
      <c r="BO7" s="185">
        <f t="shared" si="45"/>
        <v>260009</v>
      </c>
      <c r="BP7" s="185">
        <f t="shared" si="45"/>
        <v>236894</v>
      </c>
      <c r="BQ7" s="185">
        <f t="shared" si="45"/>
        <v>233545</v>
      </c>
      <c r="BR7" s="185">
        <f t="shared" si="45"/>
        <v>271853</v>
      </c>
      <c r="BS7" s="185">
        <f t="shared" si="45"/>
        <v>302332</v>
      </c>
      <c r="BT7" s="185">
        <f t="shared" si="45"/>
        <v>333732</v>
      </c>
      <c r="BU7" s="185">
        <f t="shared" si="45"/>
        <v>344479</v>
      </c>
      <c r="BV7" s="185">
        <f t="shared" si="45"/>
        <v>356972</v>
      </c>
      <c r="BW7" s="185">
        <f t="shared" si="45"/>
        <v>407748</v>
      </c>
      <c r="BX7" s="185">
        <f t="shared" si="45"/>
        <v>421397</v>
      </c>
      <c r="BY7" s="185">
        <f t="shared" si="45"/>
        <v>417241</v>
      </c>
      <c r="BZ7" s="185">
        <f t="shared" si="45"/>
        <v>413539</v>
      </c>
      <c r="CA7" s="185">
        <f t="shared" si="45"/>
        <v>398413</v>
      </c>
      <c r="CB7" s="185">
        <f t="shared" si="45"/>
        <v>401962</v>
      </c>
      <c r="CC7" s="185">
        <f t="shared" si="45"/>
        <v>402574</v>
      </c>
      <c r="CD7" s="185">
        <f t="shared" si="45"/>
        <v>395845</v>
      </c>
      <c r="CE7" s="185">
        <f t="shared" si="45"/>
        <v>401259</v>
      </c>
      <c r="CF7" s="185">
        <f t="shared" si="45"/>
        <v>381455</v>
      </c>
      <c r="CG7" s="185">
        <f t="shared" si="45"/>
        <v>380699</v>
      </c>
      <c r="CH7" s="185">
        <f t="shared" si="45"/>
        <v>376903</v>
      </c>
      <c r="CI7" s="185">
        <f t="shared" si="45"/>
        <v>371300</v>
      </c>
      <c r="CJ7" s="185">
        <f t="shared" si="45"/>
        <v>381700</v>
      </c>
      <c r="CK7" s="185">
        <f t="shared" si="45"/>
        <v>400484</v>
      </c>
      <c r="CL7" s="185">
        <f t="shared" si="45"/>
        <v>427306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221" t="s">
        <v>547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85">
        <f>N4</f>
        <v>0</v>
      </c>
      <c r="O8" s="185">
        <f t="shared" ref="O8:Z8" si="46">O4</f>
        <v>0</v>
      </c>
      <c r="P8" s="185">
        <f t="shared" si="46"/>
        <v>0</v>
      </c>
      <c r="Q8" s="185">
        <f t="shared" si="46"/>
        <v>0</v>
      </c>
      <c r="R8" s="185">
        <f t="shared" si="46"/>
        <v>0</v>
      </c>
      <c r="S8" s="185">
        <f t="shared" si="46"/>
        <v>0</v>
      </c>
      <c r="T8" s="185">
        <f t="shared" si="46"/>
        <v>0</v>
      </c>
      <c r="U8" s="185">
        <f t="shared" si="46"/>
        <v>0</v>
      </c>
      <c r="V8" s="185">
        <f t="shared" si="46"/>
        <v>0</v>
      </c>
      <c r="W8" s="185">
        <f t="shared" si="46"/>
        <v>0</v>
      </c>
      <c r="X8" s="185">
        <f t="shared" si="46"/>
        <v>382995</v>
      </c>
      <c r="Y8" s="185">
        <f t="shared" si="46"/>
        <v>369972</v>
      </c>
      <c r="Z8" s="185">
        <f t="shared" si="46"/>
        <v>350232</v>
      </c>
      <c r="AA8" s="157"/>
      <c r="AB8" s="157"/>
      <c r="AC8" s="157"/>
      <c r="AD8" s="157"/>
      <c r="AE8" s="157"/>
      <c r="AI8" s="156"/>
      <c r="AJ8" s="156"/>
      <c r="AK8" s="156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>
        <f>SUM(BW4:BZ4)</f>
        <v>382995</v>
      </c>
      <c r="CA8" s="185">
        <f t="shared" ref="CA8:CL8" si="47">SUM(BX4:CA4)</f>
        <v>375397</v>
      </c>
      <c r="CB8" s="185">
        <f t="shared" si="47"/>
        <v>373401</v>
      </c>
      <c r="CC8" s="185">
        <f t="shared" si="47"/>
        <v>375018</v>
      </c>
      <c r="CD8" s="185">
        <f t="shared" si="47"/>
        <v>369972</v>
      </c>
      <c r="CE8" s="185">
        <f t="shared" si="47"/>
        <v>372067</v>
      </c>
      <c r="CF8" s="185">
        <f t="shared" si="47"/>
        <v>365011</v>
      </c>
      <c r="CG8" s="185">
        <f t="shared" si="47"/>
        <v>358190</v>
      </c>
      <c r="CH8" s="185">
        <f t="shared" si="47"/>
        <v>350232</v>
      </c>
      <c r="CI8" s="185">
        <f t="shared" si="47"/>
        <v>343835</v>
      </c>
      <c r="CJ8" s="185">
        <f t="shared" si="47"/>
        <v>339897</v>
      </c>
      <c r="CK8" s="185">
        <f t="shared" si="47"/>
        <v>354540</v>
      </c>
      <c r="CL8" s="185">
        <f t="shared" si="47"/>
        <v>374833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228" t="s">
        <v>548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85"/>
      <c r="O9" s="229">
        <f>O7/N7-1</f>
        <v>-0.27643698845036513</v>
      </c>
      <c r="P9" s="229">
        <f t="shared" ref="P9:Z10" si="48">P7/O7-1</f>
        <v>-0.13234296648349164</v>
      </c>
      <c r="Q9" s="229">
        <f t="shared" si="48"/>
        <v>3.9018248745793072E-2</v>
      </c>
      <c r="R9" s="229">
        <f t="shared" si="48"/>
        <v>1.6449400472019482E-2</v>
      </c>
      <c r="S9" s="229">
        <f t="shared" si="48"/>
        <v>0.16687574182723908</v>
      </c>
      <c r="T9" s="229">
        <f t="shared" si="48"/>
        <v>0.15690848266452395</v>
      </c>
      <c r="U9" s="229">
        <f t="shared" si="48"/>
        <v>-0.34596374983887324</v>
      </c>
      <c r="V9" s="229">
        <f t="shared" si="48"/>
        <v>-0.20032180919127052</v>
      </c>
      <c r="W9" s="229">
        <f t="shared" si="48"/>
        <v>0.31310671576182725</v>
      </c>
      <c r="X9" s="229">
        <f t="shared" si="48"/>
        <v>0.15846340889481536</v>
      </c>
      <c r="Y9" s="229">
        <f t="shared" si="48"/>
        <v>-4.2786774645196757E-2</v>
      </c>
      <c r="Z9" s="229">
        <f t="shared" si="48"/>
        <v>-4.7852063307607828E-2</v>
      </c>
      <c r="AA9" s="157"/>
      <c r="AB9" s="157"/>
      <c r="AC9" s="157"/>
      <c r="AD9" s="157"/>
      <c r="AE9" s="157"/>
      <c r="AI9" s="156"/>
      <c r="AJ9" s="156"/>
      <c r="AK9" s="156"/>
      <c r="AL9" s="185"/>
      <c r="AM9" s="185"/>
      <c r="AN9" s="185"/>
      <c r="AO9" s="185"/>
      <c r="AP9" s="229">
        <f>AP7/AL7-1</f>
        <v>-0.27643698845036513</v>
      </c>
      <c r="AQ9" s="229">
        <f t="shared" ref="AQ9:CJ9" si="49">AQ7/AM7-1</f>
        <v>-0.3196517892508246</v>
      </c>
      <c r="AR9" s="229">
        <f t="shared" si="49"/>
        <v>-0.31641458419902246</v>
      </c>
      <c r="AS9" s="229">
        <f t="shared" si="49"/>
        <v>-0.25211423272910916</v>
      </c>
      <c r="AT9" s="229">
        <f t="shared" si="49"/>
        <v>-0.13234296648349164</v>
      </c>
      <c r="AU9" s="229">
        <f t="shared" si="49"/>
        <v>-6.3481963682639142E-2</v>
      </c>
      <c r="AV9" s="229">
        <f t="shared" si="49"/>
        <v>-1.4948685447929044E-2</v>
      </c>
      <c r="AW9" s="229">
        <f t="shared" si="49"/>
        <v>-9.5200141693230211E-4</v>
      </c>
      <c r="AX9" s="229">
        <f t="shared" si="49"/>
        <v>3.9018248745793072E-2</v>
      </c>
      <c r="AY9" s="229">
        <f t="shared" si="49"/>
        <v>6.3865370544580413E-2</v>
      </c>
      <c r="AZ9" s="229">
        <f t="shared" si="49"/>
        <v>7.2850339401888897E-2</v>
      </c>
      <c r="BA9" s="229">
        <f t="shared" si="49"/>
        <v>7.9822714681440532E-2</v>
      </c>
      <c r="BB9" s="229">
        <f t="shared" si="49"/>
        <v>1.6449400472019482E-2</v>
      </c>
      <c r="BC9" s="229">
        <f t="shared" si="49"/>
        <v>-4.8243890331054584E-2</v>
      </c>
      <c r="BD9" s="229">
        <f t="shared" si="49"/>
        <v>-1.4653195665687346E-2</v>
      </c>
      <c r="BE9" s="229">
        <f t="shared" si="49"/>
        <v>6.0536253001415963E-2</v>
      </c>
      <c r="BF9" s="229">
        <f t="shared" si="49"/>
        <v>0.16687574182723908</v>
      </c>
      <c r="BG9" s="229">
        <f t="shared" si="49"/>
        <v>0.35280966028714622</v>
      </c>
      <c r="BH9" s="229">
        <f t="shared" si="49"/>
        <v>0.38232168286145085</v>
      </c>
      <c r="BI9" s="229">
        <f t="shared" si="49"/>
        <v>0.2741779426918296</v>
      </c>
      <c r="BJ9" s="229">
        <f t="shared" si="49"/>
        <v>0.15690848266452395</v>
      </c>
      <c r="BK9" s="229">
        <f t="shared" si="49"/>
        <v>-3.6226645460825102E-3</v>
      </c>
      <c r="BL9" s="229">
        <f t="shared" si="49"/>
        <v>-0.16944565956342827</v>
      </c>
      <c r="BM9" s="229">
        <f t="shared" si="49"/>
        <v>-0.22265421071715363</v>
      </c>
      <c r="BN9" s="229">
        <f t="shared" si="49"/>
        <v>-0.34596374983887324</v>
      </c>
      <c r="BO9" s="229">
        <f t="shared" si="49"/>
        <v>-0.47597002652306053</v>
      </c>
      <c r="BP9" s="229">
        <f t="shared" si="49"/>
        <v>-0.45987368613055468</v>
      </c>
      <c r="BQ9" s="229">
        <f t="shared" si="49"/>
        <v>-0.42965050540079175</v>
      </c>
      <c r="BR9" s="229">
        <f t="shared" si="49"/>
        <v>-0.20032180919127052</v>
      </c>
      <c r="BS9" s="229">
        <f t="shared" si="49"/>
        <v>0.16277513470687555</v>
      </c>
      <c r="BT9" s="229">
        <f t="shared" si="49"/>
        <v>0.40878198688020806</v>
      </c>
      <c r="BU9" s="229">
        <f t="shared" si="49"/>
        <v>0.47500053522875674</v>
      </c>
      <c r="BV9" s="229">
        <f t="shared" si="49"/>
        <v>0.31310671576182725</v>
      </c>
      <c r="BW9" s="229">
        <f t="shared" si="49"/>
        <v>0.34867628964185071</v>
      </c>
      <c r="BX9" s="229">
        <f t="shared" si="49"/>
        <v>0.26268083372286744</v>
      </c>
      <c r="BY9" s="229">
        <f t="shared" si="49"/>
        <v>0.21122332565990964</v>
      </c>
      <c r="BZ9" s="229">
        <f t="shared" si="49"/>
        <v>0.15846340889481536</v>
      </c>
      <c r="CA9" s="229">
        <f t="shared" si="49"/>
        <v>-2.2894042398736492E-2</v>
      </c>
      <c r="CB9" s="229">
        <f t="shared" si="49"/>
        <v>-4.6120404274354154E-2</v>
      </c>
      <c r="CC9" s="229">
        <f t="shared" si="49"/>
        <v>-3.5152346006264934E-2</v>
      </c>
      <c r="CD9" s="229">
        <f t="shared" si="49"/>
        <v>-4.2786774645196757E-2</v>
      </c>
      <c r="CE9" s="229">
        <f t="shared" si="49"/>
        <v>7.1433412062358315E-3</v>
      </c>
      <c r="CF9" s="229">
        <f t="shared" si="49"/>
        <v>-5.1017260338041881E-2</v>
      </c>
      <c r="CG9" s="229">
        <f t="shared" si="49"/>
        <v>-5.4337836025177944E-2</v>
      </c>
      <c r="CH9" s="229">
        <f t="shared" si="49"/>
        <v>-4.7852063307607828E-2</v>
      </c>
      <c r="CI9" s="229">
        <f t="shared" si="49"/>
        <v>-7.4662499781936398E-2</v>
      </c>
      <c r="CJ9" s="229">
        <f t="shared" si="49"/>
        <v>6.4227759499813075E-4</v>
      </c>
      <c r="CK9" s="229">
        <f t="shared" ref="CK9:CK10" si="50">CK7/CG7-1</f>
        <v>5.1970191673736954E-2</v>
      </c>
      <c r="CL9" s="229">
        <f t="shared" ref="CL9:CL10" si="51">CL7/CH7-1</f>
        <v>0.13372936803368507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228" t="s">
        <v>549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85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>
        <f t="shared" si="48"/>
        <v>-3.400305487016797E-2</v>
      </c>
      <c r="Z10" s="229">
        <f t="shared" si="48"/>
        <v>-5.3355389056469193E-2</v>
      </c>
      <c r="AA10" s="157"/>
      <c r="AB10" s="157"/>
      <c r="AC10" s="157"/>
      <c r="AD10" s="157"/>
      <c r="AE10" s="157"/>
      <c r="AI10" s="156"/>
      <c r="AJ10" s="156"/>
      <c r="AK10" s="156"/>
      <c r="AL10" s="185"/>
      <c r="AM10" s="185"/>
      <c r="AN10" s="185"/>
      <c r="AO10" s="185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>
        <f t="shared" ref="CD10" si="52">CD8/BZ8-1</f>
        <v>-3.400305487016797E-2</v>
      </c>
      <c r="CE10" s="229">
        <f t="shared" ref="CE10" si="53">CE8/CA8-1</f>
        <v>-8.8706089819577949E-3</v>
      </c>
      <c r="CF10" s="229">
        <f t="shared" ref="CF10" si="54">CF8/CB8-1</f>
        <v>-2.246914175377146E-2</v>
      </c>
      <c r="CG10" s="229">
        <f t="shared" ref="CG10" si="55">CG8/CC8-1</f>
        <v>-4.4872512786052976E-2</v>
      </c>
      <c r="CH10" s="229">
        <f t="shared" ref="CH10" si="56">CH8/CD8-1</f>
        <v>-5.3355389056469193E-2</v>
      </c>
      <c r="CI10" s="229">
        <f t="shared" ref="CI10" si="57">CI8/CE8-1</f>
        <v>-7.587880677404879E-2</v>
      </c>
      <c r="CJ10" s="229">
        <f t="shared" ref="CJ10" si="58">CJ8/CF8-1</f>
        <v>-6.8803405924752981E-2</v>
      </c>
      <c r="CK10" s="229">
        <f t="shared" si="50"/>
        <v>-1.0190122560652215E-2</v>
      </c>
      <c r="CL10" s="229">
        <f t="shared" si="51"/>
        <v>7.0242011009844951E-2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212" customFormat="1" x14ac:dyDescent="0.2">
      <c r="A12" s="209" t="s">
        <v>515</v>
      </c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>
        <f>+SUM(AI12:AL12)</f>
        <v>580711</v>
      </c>
      <c r="O12" s="210">
        <f>+SUM(AM12:AP12)</f>
        <v>420181</v>
      </c>
      <c r="P12" s="210">
        <f>+SUM(AQ12:AT12)</f>
        <v>364573</v>
      </c>
      <c r="Q12" s="210">
        <f>+SUM(AU12:AX12)</f>
        <v>378798</v>
      </c>
      <c r="R12" s="210">
        <f>+SUM(AY12:BB12)</f>
        <v>385029</v>
      </c>
      <c r="S12" s="210">
        <f>+SUM(BC12:BF12)</f>
        <v>449281</v>
      </c>
      <c r="T12" s="210">
        <f>+SUM(BG12:BJ12)</f>
        <v>519777</v>
      </c>
      <c r="U12" s="210">
        <f>+SUM(BK12:BN12)</f>
        <v>339953</v>
      </c>
      <c r="V12" s="210">
        <f>+SUM(BO12:BR12)</f>
        <v>271853</v>
      </c>
      <c r="W12" s="210">
        <f>+SUM(BS12:BV12)</f>
        <v>356972</v>
      </c>
      <c r="X12" s="210">
        <f>+SUM(BW12:BZ12)</f>
        <v>413539</v>
      </c>
      <c r="Y12" s="210">
        <f>+SUM(CA12:CD12)</f>
        <v>395845</v>
      </c>
      <c r="Z12" s="210">
        <f>+SUM(CE12:CH12)</f>
        <v>376903</v>
      </c>
      <c r="AA12" s="222">
        <f>SUM(CI12:CL12)</f>
        <v>427306</v>
      </c>
      <c r="AB12" s="222">
        <f>+SUM(CM12:CP12)</f>
        <v>477140.16000000003</v>
      </c>
      <c r="AC12" s="222">
        <f>+SUM(CQ12:CT12)</f>
        <v>532952.23440000007</v>
      </c>
      <c r="AD12" s="222">
        <f>+SUM(CU12:CX12)</f>
        <v>595479.24441600009</v>
      </c>
      <c r="AE12" s="222">
        <f>+SUM(CY12:DB12)</f>
        <v>665551.40555424022</v>
      </c>
      <c r="AI12" s="210">
        <f>+'Monthly Nos Company'!$K$6</f>
        <v>126634</v>
      </c>
      <c r="AJ12" s="210">
        <f>+'Monthly Nos Company'!$K$9</f>
        <v>148667</v>
      </c>
      <c r="AK12" s="210">
        <f>+'Monthly Nos Company'!$K$12</f>
        <v>148965</v>
      </c>
      <c r="AL12" s="210">
        <f>+'Monthly Nos Company'!$K$15</f>
        <v>156445</v>
      </c>
      <c r="AM12" s="210">
        <f>+'Monthly Nos Company'!$K$18</f>
        <v>116497</v>
      </c>
      <c r="AN12" s="210">
        <f>+'Monthly Nos Company'!$K$21</f>
        <v>114756</v>
      </c>
      <c r="AO12" s="210">
        <f>+'Monthly Nos Company'!$K$24</f>
        <v>95456</v>
      </c>
      <c r="AP12" s="210">
        <f>+'Monthly Nos Company'!$K$27</f>
        <v>93472</v>
      </c>
      <c r="AQ12" s="210">
        <f>+'Monthly Nos Company'!$K$30</f>
        <v>84505</v>
      </c>
      <c r="AR12" s="210">
        <f>+'Monthly Nos Company'!$K$33</f>
        <v>93422</v>
      </c>
      <c r="AS12" s="210">
        <f>+'Monthly Nos Company'!$K$36</f>
        <v>89945</v>
      </c>
      <c r="AT12" s="210">
        <f>+'Monthly Nos Company'!$K$39</f>
        <v>96701</v>
      </c>
      <c r="AU12" s="210">
        <f>+'Monthly Nos Company'!$K$42</f>
        <v>83478</v>
      </c>
      <c r="AV12" s="210">
        <f>+'Monthly Nos Company'!$K$45</f>
        <v>91247</v>
      </c>
      <c r="AW12" s="210">
        <f>+'Monthly Nos Company'!$K$48</f>
        <v>89574</v>
      </c>
      <c r="AX12" s="210">
        <f>+'Monthly Nos Company'!$K$51</f>
        <v>114499</v>
      </c>
      <c r="AY12" s="210">
        <f>+'Monthly Nos Company'!$K$54</f>
        <v>91444</v>
      </c>
      <c r="AZ12" s="210">
        <f>+'Monthly Nos Company'!$K$57</f>
        <v>92180</v>
      </c>
      <c r="BA12" s="210">
        <f>+'Monthly Nos Company'!$K$60</f>
        <v>91693</v>
      </c>
      <c r="BB12" s="210">
        <f>+'Monthly Nos Company'!$K$63</f>
        <v>109712</v>
      </c>
      <c r="BC12" s="210">
        <f>+'Monthly Nos Company'!$K$66</f>
        <v>74520</v>
      </c>
      <c r="BD12" s="210">
        <f>+'Monthly Nos Company'!$K$69</f>
        <v>106091</v>
      </c>
      <c r="BE12" s="210">
        <f>+'Monthly Nos Company'!$K$72</f>
        <v>123091</v>
      </c>
      <c r="BF12" s="210">
        <f>+'Monthly Nos Company'!$K$75</f>
        <v>145579</v>
      </c>
      <c r="BG12" s="210">
        <f>+'Monthly Nos Company'!$K$78</f>
        <v>123215</v>
      </c>
      <c r="BH12" s="210">
        <f>+'Monthly Nos Company'!$K$81</f>
        <v>136184</v>
      </c>
      <c r="BI12" s="210">
        <f>+'Monthly Nos Company'!$K$84</f>
        <v>121785</v>
      </c>
      <c r="BJ12" s="210">
        <f>+'Monthly Nos Company'!$K$87</f>
        <v>138593</v>
      </c>
      <c r="BK12" s="210">
        <f>+'Monthly Nos Company'!$K$90</f>
        <v>99610</v>
      </c>
      <c r="BL12" s="210">
        <f>+'Monthly Nos Company'!$K$93</f>
        <v>78602</v>
      </c>
      <c r="BM12" s="210">
        <f>+'Monthly Nos Company'!$K$96</f>
        <v>92672</v>
      </c>
      <c r="BN12" s="210">
        <f>+'Monthly Nos Company'!$K$99</f>
        <v>69069</v>
      </c>
      <c r="BO12" s="210">
        <f>+'Monthly Nos Company'!$K$102</f>
        <v>19666</v>
      </c>
      <c r="BP12" s="210">
        <f>+'Monthly Nos Company'!$K$105</f>
        <v>55487</v>
      </c>
      <c r="BQ12" s="210">
        <f>+'Monthly Nos Company'!$K$108</f>
        <v>89323</v>
      </c>
      <c r="BR12" s="210">
        <f>+'Monthly Nos Company'!$K$111</f>
        <v>107377</v>
      </c>
      <c r="BS12" s="210">
        <f>+'Monthly Nos Company'!$K$114</f>
        <v>50145</v>
      </c>
      <c r="BT12" s="210">
        <f>+'Monthly Nos Company'!$K$117</f>
        <v>86887</v>
      </c>
      <c r="BU12" s="210">
        <f>+'Monthly Nos Company'!$K$120</f>
        <v>100070</v>
      </c>
      <c r="BV12" s="210">
        <f>+'Monthly Nos Company'!$K$123</f>
        <v>119870</v>
      </c>
      <c r="BW12" s="210">
        <f>+'Monthly Nos Company'!$K$126</f>
        <v>100921</v>
      </c>
      <c r="BX12" s="210">
        <f>+'Monthly Nos Company'!$K$129</f>
        <v>100536</v>
      </c>
      <c r="BY12" s="210">
        <f>+'Monthly Nos Company'!$K$132</f>
        <v>95914</v>
      </c>
      <c r="BZ12" s="210">
        <f>+'Monthly Nos Company'!$K$135</f>
        <v>116168</v>
      </c>
      <c r="CA12" s="210">
        <f>+'Monthly Nos Company'!$K$138</f>
        <v>85795</v>
      </c>
      <c r="CB12" s="210">
        <f>+'Monthly Nos Company'!$K$141</f>
        <v>104085</v>
      </c>
      <c r="CC12" s="210">
        <f>+'Monthly Nos Company'!$K$144</f>
        <v>96526</v>
      </c>
      <c r="CD12" s="210">
        <f>+'Monthly Nos Company'!$K$147</f>
        <v>109439</v>
      </c>
      <c r="CE12" s="210">
        <f>+'Monthly Nos Company'!$K$150</f>
        <v>91209</v>
      </c>
      <c r="CF12" s="210">
        <f>+'Monthly Nos Company'!$K$153</f>
        <v>84281</v>
      </c>
      <c r="CG12" s="210">
        <f>+'Monthly Nos Company'!$K$156</f>
        <v>95770</v>
      </c>
      <c r="CH12" s="210">
        <f>+'Monthly Nos Company'!$K$159</f>
        <v>105643</v>
      </c>
      <c r="CI12" s="210">
        <f>+'Monthly Nos Company'!$K$162</f>
        <v>85606</v>
      </c>
      <c r="CJ12" s="210">
        <f>+'Monthly Nos Company'!$K$165</f>
        <v>94681</v>
      </c>
      <c r="CK12" s="210">
        <f>+'Monthly Nos Company'!$K$168</f>
        <v>114554</v>
      </c>
      <c r="CL12" s="210">
        <f>+'Monthly Nos Company'!$K$171</f>
        <v>132465</v>
      </c>
      <c r="CM12" s="211">
        <f>+'Monthly Nos Company'!$K$174</f>
        <v>95538</v>
      </c>
      <c r="CN12" s="211">
        <f>+'Monthly Nos Company'!$K$177</f>
        <v>105843.18000000001</v>
      </c>
      <c r="CO12" s="211">
        <f>+'Monthly Nos Company'!$K$180</f>
        <v>128026.56</v>
      </c>
      <c r="CP12" s="211">
        <f>+'Monthly Nos Company'!$K$183</f>
        <v>147732.42000000001</v>
      </c>
      <c r="CQ12" s="211">
        <f>+'Monthly Nos Company'!$K$186</f>
        <v>106655.19600000001</v>
      </c>
      <c r="CR12" s="211">
        <f>+'Monthly Nos Company'!$K$189</f>
        <v>118358.74920000002</v>
      </c>
      <c r="CS12" s="211">
        <f>+'Monthly Nos Company'!$K$192</f>
        <v>143128.77840000001</v>
      </c>
      <c r="CT12" s="211">
        <f>+'Monthly Nos Company'!$K$195</f>
        <v>164809.51080000005</v>
      </c>
      <c r="CU12" s="211">
        <f>+'Monthly Nos Company'!$K$198</f>
        <v>119102.98704000005</v>
      </c>
      <c r="CV12" s="211">
        <f>+'Monthly Nos Company'!$K$201</f>
        <v>132396.25048800002</v>
      </c>
      <c r="CW12" s="211">
        <f>+'Monthly Nos Company'!$K$204</f>
        <v>160063.15737600002</v>
      </c>
      <c r="CX12" s="211">
        <f>+'Monthly Nos Company'!$K$207</f>
        <v>183916.84951200004</v>
      </c>
      <c r="CY12" s="211">
        <f>+'Monthly Nos Company'!$K$210</f>
        <v>133045.07518560006</v>
      </c>
      <c r="CZ12" s="211">
        <f>+'Monthly Nos Company'!$K$213</f>
        <v>148145.72959632004</v>
      </c>
      <c r="DA12" s="211">
        <f>+'Monthly Nos Company'!$K$216</f>
        <v>179057.98440864004</v>
      </c>
      <c r="DB12" s="211">
        <f>+'Monthly Nos Company'!$K$219</f>
        <v>205302.61636368008</v>
      </c>
      <c r="DE12" s="214"/>
    </row>
    <row r="13" spans="1:110" s="192" customFormat="1" x14ac:dyDescent="0.2">
      <c r="A13" s="184" t="s">
        <v>524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>
        <f t="shared" ref="O13:Y13" si="59">+O12/N12-1</f>
        <v>-0.27643698845036513</v>
      </c>
      <c r="P13" s="190">
        <f t="shared" si="59"/>
        <v>-0.13234296648349164</v>
      </c>
      <c r="Q13" s="190">
        <f t="shared" si="59"/>
        <v>3.9018248745793072E-2</v>
      </c>
      <c r="R13" s="190">
        <f t="shared" si="59"/>
        <v>1.6449400472019482E-2</v>
      </c>
      <c r="S13" s="190">
        <f t="shared" si="59"/>
        <v>0.16687574182723908</v>
      </c>
      <c r="T13" s="190">
        <f t="shared" si="59"/>
        <v>0.15690848266452395</v>
      </c>
      <c r="U13" s="190">
        <f t="shared" si="59"/>
        <v>-0.34596374983887324</v>
      </c>
      <c r="V13" s="190">
        <f t="shared" si="59"/>
        <v>-0.20032180919127052</v>
      </c>
      <c r="W13" s="190">
        <f t="shared" si="59"/>
        <v>0.31310671576182725</v>
      </c>
      <c r="X13" s="190">
        <f t="shared" si="59"/>
        <v>0.15846340889481536</v>
      </c>
      <c r="Y13" s="190">
        <f t="shared" si="59"/>
        <v>-4.2786774645196757E-2</v>
      </c>
      <c r="Z13" s="190">
        <f>+Z12/Y12-1</f>
        <v>-4.7852063307607828E-2</v>
      </c>
      <c r="AA13" s="191">
        <f t="shared" ref="AA13:AE13" si="60">+AA12/Z12-1</f>
        <v>0.13372936803368507</v>
      </c>
      <c r="AB13" s="191">
        <f t="shared" si="60"/>
        <v>0.1166240586371361</v>
      </c>
      <c r="AC13" s="191">
        <f t="shared" si="60"/>
        <v>0.11697207462058956</v>
      </c>
      <c r="AD13" s="191">
        <f t="shared" si="60"/>
        <v>0.11732197743085404</v>
      </c>
      <c r="AE13" s="191">
        <f t="shared" si="60"/>
        <v>0.11767355755104703</v>
      </c>
      <c r="AI13" s="190"/>
      <c r="AJ13" s="190"/>
      <c r="AK13" s="190"/>
      <c r="AL13" s="190"/>
      <c r="AM13" s="190">
        <f t="shared" ref="AM13:CI13" si="61">+AM12/AI12-1</f>
        <v>-8.0049591736816361E-2</v>
      </c>
      <c r="AN13" s="190">
        <f t="shared" si="61"/>
        <v>-0.22810038542514477</v>
      </c>
      <c r="AO13" s="190">
        <f t="shared" si="61"/>
        <v>-0.35920518242540189</v>
      </c>
      <c r="AP13" s="190">
        <f t="shared" si="61"/>
        <v>-0.40252484898846241</v>
      </c>
      <c r="AQ13" s="190">
        <f t="shared" si="61"/>
        <v>-0.27461651372996732</v>
      </c>
      <c r="AR13" s="190">
        <f t="shared" si="61"/>
        <v>-0.18590749067586876</v>
      </c>
      <c r="AS13" s="190">
        <f t="shared" si="61"/>
        <v>-5.7733405967147156E-2</v>
      </c>
      <c r="AT13" s="190">
        <f t="shared" si="61"/>
        <v>3.454510441629588E-2</v>
      </c>
      <c r="AU13" s="190">
        <f t="shared" si="61"/>
        <v>-1.2153127033903366E-2</v>
      </c>
      <c r="AV13" s="190">
        <f t="shared" si="61"/>
        <v>-2.3281454047226591E-2</v>
      </c>
      <c r="AW13" s="190">
        <f t="shared" si="61"/>
        <v>-4.1247428984378942E-3</v>
      </c>
      <c r="AX13" s="190">
        <f t="shared" si="61"/>
        <v>0.18405187123194167</v>
      </c>
      <c r="AY13" s="190">
        <f t="shared" si="61"/>
        <v>9.5426339873978749E-2</v>
      </c>
      <c r="AZ13" s="190">
        <f t="shared" si="61"/>
        <v>1.0224993698422891E-2</v>
      </c>
      <c r="BA13" s="190">
        <f t="shared" si="61"/>
        <v>2.3656418157054437E-2</v>
      </c>
      <c r="BB13" s="190">
        <f t="shared" si="61"/>
        <v>-4.1808225399348475E-2</v>
      </c>
      <c r="BC13" s="190">
        <f t="shared" si="61"/>
        <v>-0.18507501859061282</v>
      </c>
      <c r="BD13" s="190">
        <f t="shared" si="61"/>
        <v>0.15091126057713167</v>
      </c>
      <c r="BE13" s="190">
        <f t="shared" si="61"/>
        <v>0.34242526692332032</v>
      </c>
      <c r="BF13" s="190">
        <f t="shared" si="61"/>
        <v>0.32691957124106752</v>
      </c>
      <c r="BG13" s="190">
        <f t="shared" si="61"/>
        <v>0.65344873859366603</v>
      </c>
      <c r="BH13" s="190">
        <f t="shared" si="61"/>
        <v>0.28365271323674968</v>
      </c>
      <c r="BI13" s="190">
        <f t="shared" si="61"/>
        <v>-1.0610036477077922E-2</v>
      </c>
      <c r="BJ13" s="190">
        <f t="shared" si="61"/>
        <v>-4.7987690532288352E-2</v>
      </c>
      <c r="BK13" s="190">
        <f t="shared" si="61"/>
        <v>-0.19157570101042898</v>
      </c>
      <c r="BL13" s="190">
        <f t="shared" si="61"/>
        <v>-0.42282500146860136</v>
      </c>
      <c r="BM13" s="190">
        <f t="shared" si="61"/>
        <v>-0.23905242845999097</v>
      </c>
      <c r="BN13" s="190">
        <f t="shared" si="61"/>
        <v>-0.50164149704530536</v>
      </c>
      <c r="BO13" s="190">
        <f t="shared" si="61"/>
        <v>-0.80257002309005121</v>
      </c>
      <c r="BP13" s="190">
        <f t="shared" si="61"/>
        <v>-0.29407648660339436</v>
      </c>
      <c r="BQ13" s="190">
        <f t="shared" si="61"/>
        <v>-3.6138207872928207E-2</v>
      </c>
      <c r="BR13" s="190">
        <f t="shared" si="61"/>
        <v>0.55463377202507647</v>
      </c>
      <c r="BS13" s="190">
        <f t="shared" si="61"/>
        <v>1.5498321977016172</v>
      </c>
      <c r="BT13" s="190">
        <f t="shared" si="61"/>
        <v>0.5658983185250599</v>
      </c>
      <c r="BU13" s="190">
        <f t="shared" si="61"/>
        <v>0.1203161559732655</v>
      </c>
      <c r="BV13" s="190">
        <f t="shared" si="61"/>
        <v>0.11634707618950046</v>
      </c>
      <c r="BW13" s="190">
        <f t="shared" si="61"/>
        <v>1.0125835078273009</v>
      </c>
      <c r="BX13" s="190">
        <f t="shared" si="61"/>
        <v>0.15708909272963734</v>
      </c>
      <c r="BY13" s="190">
        <f t="shared" si="61"/>
        <v>-4.1530928350154928E-2</v>
      </c>
      <c r="BZ13" s="190">
        <f t="shared" si="61"/>
        <v>-3.0883457078501708E-2</v>
      </c>
      <c r="CA13" s="190">
        <f t="shared" si="61"/>
        <v>-0.14987960880292506</v>
      </c>
      <c r="CB13" s="190">
        <f t="shared" si="61"/>
        <v>3.5300787777512443E-2</v>
      </c>
      <c r="CC13" s="190">
        <f t="shared" si="61"/>
        <v>6.3807160581355049E-3</v>
      </c>
      <c r="CD13" s="190">
        <f t="shared" si="61"/>
        <v>-5.7924729701811173E-2</v>
      </c>
      <c r="CE13" s="190">
        <f t="shared" si="61"/>
        <v>6.3103910484293868E-2</v>
      </c>
      <c r="CF13" s="190">
        <f t="shared" si="61"/>
        <v>-0.19026756977470338</v>
      </c>
      <c r="CG13" s="190">
        <f t="shared" si="61"/>
        <v>-7.8320866916685716E-3</v>
      </c>
      <c r="CH13" s="190">
        <f t="shared" si="61"/>
        <v>-3.4685989455312982E-2</v>
      </c>
      <c r="CI13" s="190">
        <f t="shared" si="61"/>
        <v>-6.1430341304038016E-2</v>
      </c>
      <c r="CJ13" s="190">
        <f>+CJ12/CF12-1</f>
        <v>0.12339673235960658</v>
      </c>
      <c r="CK13" s="190">
        <f>+CK12/CG12-1</f>
        <v>0.19613657721624733</v>
      </c>
      <c r="CL13" s="190">
        <f>+CL12/CH12-1</f>
        <v>0.25389282773113231</v>
      </c>
      <c r="CM13" s="191">
        <f t="shared" ref="CM13:DB13" si="62">+CM12/CI12-1</f>
        <v>0.11601990514683558</v>
      </c>
      <c r="CN13" s="191">
        <f t="shared" si="62"/>
        <v>0.11789250219156977</v>
      </c>
      <c r="CO13" s="191">
        <f t="shared" si="62"/>
        <v>0.1176088133107529</v>
      </c>
      <c r="CP13" s="191">
        <f t="shared" si="62"/>
        <v>0.11525625636960712</v>
      </c>
      <c r="CQ13" s="191">
        <f t="shared" si="62"/>
        <v>0.11636412736293433</v>
      </c>
      <c r="CR13" s="191">
        <f t="shared" si="62"/>
        <v>0.11824634520618149</v>
      </c>
      <c r="CS13" s="191">
        <f t="shared" si="62"/>
        <v>0.11796160421712498</v>
      </c>
      <c r="CT13" s="191">
        <f t="shared" si="62"/>
        <v>0.11559474081586174</v>
      </c>
      <c r="CU13" s="191">
        <f t="shared" si="62"/>
        <v>0.11671059176526222</v>
      </c>
      <c r="CV13" s="191">
        <f t="shared" si="62"/>
        <v>0.11860129802723529</v>
      </c>
      <c r="CW13" s="191">
        <f t="shared" si="62"/>
        <v>0.11831568162116035</v>
      </c>
      <c r="CX13" s="191">
        <f t="shared" si="62"/>
        <v>0.11593589847607255</v>
      </c>
      <c r="CY13" s="191">
        <f t="shared" si="62"/>
        <v>0.11705909727450936</v>
      </c>
      <c r="CZ13" s="191">
        <f t="shared" si="62"/>
        <v>0.11895713851615097</v>
      </c>
      <c r="DA13" s="191">
        <f t="shared" si="62"/>
        <v>0.1186708255917992</v>
      </c>
      <c r="DB13" s="191">
        <f t="shared" si="62"/>
        <v>0.11627954104490401</v>
      </c>
      <c r="DE13" s="193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07" customFormat="1" x14ac:dyDescent="0.2">
      <c r="A15" s="221" t="s">
        <v>544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6"/>
      <c r="AB15" s="106"/>
      <c r="AC15" s="106"/>
      <c r="AD15" s="106"/>
      <c r="AE15" s="106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  <c r="DE15" s="117"/>
    </row>
    <row r="16" spans="1:110" s="218" customFormat="1" x14ac:dyDescent="0.2">
      <c r="A16" s="215" t="s">
        <v>537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>
        <f t="shared" ref="N16:AE16" si="63">+N32*10^7/N12</f>
        <v>823222.94386465044</v>
      </c>
      <c r="O16" s="216">
        <f t="shared" si="63"/>
        <v>865397.75991774956</v>
      </c>
      <c r="P16" s="216">
        <f t="shared" si="63"/>
        <v>1043984.0216845461</v>
      </c>
      <c r="Q16" s="216">
        <f t="shared" si="63"/>
        <v>1262029.6305682713</v>
      </c>
      <c r="R16" s="216">
        <f t="shared" si="63"/>
        <v>1289159.7775751958</v>
      </c>
      <c r="S16" s="216">
        <f t="shared" si="63"/>
        <v>1316443.1614067813</v>
      </c>
      <c r="T16" s="216">
        <f t="shared" si="63"/>
        <v>1339817.6525702369</v>
      </c>
      <c r="U16" s="216">
        <f t="shared" si="63"/>
        <v>1305197.4831814987</v>
      </c>
      <c r="V16" s="216">
        <f t="shared" si="63"/>
        <v>1747398.4101702021</v>
      </c>
      <c r="W16" s="216">
        <f t="shared" si="63"/>
        <v>1324016.4494694264</v>
      </c>
      <c r="X16" s="216">
        <f t="shared" si="63"/>
        <v>1590111.9362381781</v>
      </c>
      <c r="Y16" s="216">
        <f t="shared" si="63"/>
        <v>1851810.6834745924</v>
      </c>
      <c r="Z16" s="216">
        <f t="shared" si="63"/>
        <v>1841826.6768903404</v>
      </c>
      <c r="AA16" s="217">
        <f t="shared" si="63"/>
        <v>1624573.4906600891</v>
      </c>
      <c r="AB16" s="217">
        <f t="shared" si="63"/>
        <v>1831037.7322049404</v>
      </c>
      <c r="AC16" s="217">
        <f t="shared" si="63"/>
        <v>1777220.6003911151</v>
      </c>
      <c r="AD16" s="217">
        <f t="shared" si="63"/>
        <v>1774676.455078091</v>
      </c>
      <c r="AE16" s="217">
        <f t="shared" si="63"/>
        <v>1774089.9769778142</v>
      </c>
      <c r="AI16" s="219">
        <f t="shared" ref="AI16:BN16" si="64">+AI32*10^7/AI12</f>
        <v>835984.8066080201</v>
      </c>
      <c r="AJ16" s="219">
        <f t="shared" si="64"/>
        <v>839550.13553781272</v>
      </c>
      <c r="AK16" s="219">
        <f t="shared" si="64"/>
        <v>713596.48239519354</v>
      </c>
      <c r="AL16" s="219">
        <f t="shared" si="64"/>
        <v>707455.65534213313</v>
      </c>
      <c r="AM16" s="219">
        <f t="shared" si="64"/>
        <v>781522.27095976705</v>
      </c>
      <c r="AN16" s="219">
        <f t="shared" si="64"/>
        <v>772809.26487503923</v>
      </c>
      <c r="AO16" s="219">
        <f t="shared" si="64"/>
        <v>813953.02547770715</v>
      </c>
      <c r="AP16" s="219">
        <f t="shared" si="64"/>
        <v>914229.92981855525</v>
      </c>
      <c r="AQ16" s="219">
        <f t="shared" si="64"/>
        <v>911751.96733921068</v>
      </c>
      <c r="AR16" s="219">
        <f t="shared" si="64"/>
        <v>936832.86592023273</v>
      </c>
      <c r="AS16" s="219">
        <f t="shared" si="64"/>
        <v>1006846.4061370838</v>
      </c>
      <c r="AT16" s="219">
        <f t="shared" si="64"/>
        <v>1115219.0773621784</v>
      </c>
      <c r="AU16" s="219">
        <f t="shared" si="64"/>
        <v>1116964.9488487984</v>
      </c>
      <c r="AV16" s="219">
        <f t="shared" si="64"/>
        <v>1171949.7627319254</v>
      </c>
      <c r="AW16" s="219">
        <f t="shared" si="64"/>
        <v>1121060.7988925355</v>
      </c>
      <c r="AX16" s="219">
        <f t="shared" si="64"/>
        <v>1117885.7457270368</v>
      </c>
      <c r="AY16" s="219">
        <f t="shared" si="64"/>
        <v>1125248.2393596082</v>
      </c>
      <c r="AZ16" s="219">
        <f t="shared" si="64"/>
        <v>1115444.781948362</v>
      </c>
      <c r="BA16" s="219">
        <f t="shared" si="64"/>
        <v>1112998.8112505863</v>
      </c>
      <c r="BB16" s="219">
        <f t="shared" si="64"/>
        <v>1237252.0781682953</v>
      </c>
      <c r="BC16" s="219">
        <f t="shared" si="64"/>
        <v>1219514.2243692966</v>
      </c>
      <c r="BD16" s="219">
        <f t="shared" si="64"/>
        <v>1300588.1743031929</v>
      </c>
      <c r="BE16" s="219">
        <f t="shared" si="64"/>
        <v>1296795.8664727721</v>
      </c>
      <c r="BF16" s="219">
        <f t="shared" si="64"/>
        <v>1317048.4753982374</v>
      </c>
      <c r="BG16" s="219">
        <f t="shared" si="64"/>
        <v>1353324.6763786874</v>
      </c>
      <c r="BH16" s="219">
        <f t="shared" si="64"/>
        <v>1304021.7646713271</v>
      </c>
      <c r="BI16" s="219">
        <f t="shared" si="64"/>
        <v>1330842.8788438644</v>
      </c>
      <c r="BJ16" s="219">
        <f t="shared" si="64"/>
        <v>1339274.7108439819</v>
      </c>
      <c r="BK16" s="219">
        <f t="shared" si="64"/>
        <v>1340418.632667403</v>
      </c>
      <c r="BL16" s="219">
        <f t="shared" si="64"/>
        <v>1272293.3258695707</v>
      </c>
      <c r="BM16" s="219">
        <f t="shared" si="64"/>
        <v>1170030.8615331491</v>
      </c>
      <c r="BN16" s="219">
        <f t="shared" si="64"/>
        <v>1409151.7178473698</v>
      </c>
      <c r="BO16" s="219">
        <f t="shared" ref="BO16:CJ16" si="65">+BO32*10^7/BO12</f>
        <v>1366251.3983524865</v>
      </c>
      <c r="BP16" s="219">
        <f t="shared" si="65"/>
        <v>1742408.1316344368</v>
      </c>
      <c r="BQ16" s="219">
        <f t="shared" si="65"/>
        <v>1637943.1949218006</v>
      </c>
      <c r="BR16" s="219">
        <f t="shared" si="65"/>
        <v>1866870.9313912662</v>
      </c>
      <c r="BS16" s="219">
        <f t="shared" si="65"/>
        <v>2373953.5347492271</v>
      </c>
      <c r="BT16" s="219">
        <f t="shared" si="65"/>
        <v>1265554.1105113539</v>
      </c>
      <c r="BU16" s="219">
        <f t="shared" si="65"/>
        <v>1234413.9102628161</v>
      </c>
      <c r="BV16" s="219">
        <f t="shared" si="65"/>
        <v>1446422.7913573037</v>
      </c>
      <c r="BW16" s="219">
        <f t="shared" si="65"/>
        <v>1473869.6604274635</v>
      </c>
      <c r="BX16" s="219">
        <f t="shared" si="65"/>
        <v>1486709.2384817381</v>
      </c>
      <c r="BY16" s="219">
        <f t="shared" si="65"/>
        <v>1646681.4020893718</v>
      </c>
      <c r="BZ16" s="219">
        <f t="shared" si="65"/>
        <v>1733879.38158529</v>
      </c>
      <c r="CA16" s="219">
        <f t="shared" si="65"/>
        <v>1845395.4193134801</v>
      </c>
      <c r="CB16" s="219">
        <f t="shared" si="65"/>
        <v>1781399.8174568862</v>
      </c>
      <c r="CC16" s="219">
        <f t="shared" si="65"/>
        <v>1934044.7133414831</v>
      </c>
      <c r="CD16" s="219">
        <f t="shared" si="65"/>
        <v>1851281.5358327467</v>
      </c>
      <c r="CE16" s="219">
        <f t="shared" si="65"/>
        <v>1848721.0691927331</v>
      </c>
      <c r="CF16" s="219">
        <f t="shared" si="65"/>
        <v>1841221.6276503601</v>
      </c>
      <c r="CG16" s="219">
        <f t="shared" si="65"/>
        <v>1779262.8171661273</v>
      </c>
      <c r="CH16" s="219">
        <f t="shared" si="65"/>
        <v>1893073.8430373995</v>
      </c>
      <c r="CI16" s="219">
        <f t="shared" si="65"/>
        <v>1831880.9429245614</v>
      </c>
      <c r="CJ16" s="219">
        <f t="shared" si="65"/>
        <v>1811134.2296764927</v>
      </c>
      <c r="CK16" s="219">
        <f t="shared" ref="CK16" si="66">+CK32*10^7/CK12</f>
        <v>1800984.688443878</v>
      </c>
      <c r="CL16" s="219">
        <f t="shared" ref="CL16" si="67">+CL32*10^7/CL12</f>
        <v>1865851.3569622163</v>
      </c>
      <c r="CM16" s="217">
        <f>+AVERAGE(CI16:CL16)</f>
        <v>1827462.8045017871</v>
      </c>
      <c r="CN16" s="217">
        <f t="shared" ref="CN16:CP16" si="68">+AVERAGE(CJ16:CM16)</f>
        <v>1826358.2698960935</v>
      </c>
      <c r="CO16" s="217">
        <f t="shared" si="68"/>
        <v>1830164.2799509938</v>
      </c>
      <c r="CP16" s="217">
        <f t="shared" si="68"/>
        <v>1837459.1778277727</v>
      </c>
      <c r="CQ16" s="217">
        <f>+AVERAGE(CM16:CP16)*0.98</f>
        <v>1793753.9103832785</v>
      </c>
      <c r="CR16" s="217">
        <f t="shared" ref="CR16:CT16" si="69">+AVERAGE(CN16:CQ16)*0.98</f>
        <v>1785495.2313242441</v>
      </c>
      <c r="CS16" s="217">
        <f t="shared" si="69"/>
        <v>1775483.7868741408</v>
      </c>
      <c r="CT16" s="217">
        <f t="shared" si="69"/>
        <v>1762087.0660703117</v>
      </c>
      <c r="CU16" s="217">
        <f t="shared" ref="CU16:DB16" si="70">+AVERAGE(CQ16:CT16)</f>
        <v>1779204.9986629938</v>
      </c>
      <c r="CV16" s="217">
        <f t="shared" si="70"/>
        <v>1775567.7707329225</v>
      </c>
      <c r="CW16" s="217">
        <f t="shared" si="70"/>
        <v>1773085.905585092</v>
      </c>
      <c r="CX16" s="217">
        <f t="shared" si="70"/>
        <v>1772486.43526283</v>
      </c>
      <c r="CY16" s="217">
        <f t="shared" si="70"/>
        <v>1775086.2775609596</v>
      </c>
      <c r="CZ16" s="217">
        <f t="shared" si="70"/>
        <v>1774056.5972854511</v>
      </c>
      <c r="DA16" s="217">
        <f t="shared" si="70"/>
        <v>1773678.8039235831</v>
      </c>
      <c r="DB16" s="217">
        <f t="shared" si="70"/>
        <v>1773827.0285082059</v>
      </c>
      <c r="DE16" s="220"/>
      <c r="DF16" s="218">
        <v>1834268.4260205829</v>
      </c>
    </row>
    <row r="17" spans="1:110" s="187" customFormat="1" x14ac:dyDescent="0.2">
      <c r="A17" s="184" t="s">
        <v>538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>
        <f t="shared" ref="N17" si="71">+N16-N18</f>
        <v>567668.42715223227</v>
      </c>
      <c r="O17" s="185">
        <f t="shared" ref="O17" si="72">+O16-O18</f>
        <v>616743.97462046123</v>
      </c>
      <c r="P17" s="185">
        <f t="shared" ref="P17" si="73">+P16-P18</f>
        <v>741734.85145636136</v>
      </c>
      <c r="Q17" s="185">
        <f t="shared" ref="Q17" si="74">+Q16-Q18</f>
        <v>768468.15453091112</v>
      </c>
      <c r="R17" s="185">
        <f t="shared" ref="R17" si="75">+R16-R18</f>
        <v>814106.98934365995</v>
      </c>
      <c r="S17" s="185">
        <f t="shared" ref="S17" si="76">+S16-S18</f>
        <v>950071.55877947202</v>
      </c>
      <c r="T17" s="185">
        <f t="shared" ref="T17" si="77">+T16-T18</f>
        <v>973797.99413979473</v>
      </c>
      <c r="U17" s="185">
        <f t="shared" ref="U17" si="78">+U16-U18</f>
        <v>958206.28145655408</v>
      </c>
      <c r="V17" s="185">
        <f t="shared" ref="V17" si="79">+V16-V18</f>
        <v>1303361.0076033738</v>
      </c>
      <c r="W17" s="185">
        <f t="shared" ref="W17" si="80">+W16-W18</f>
        <v>1017425.4563383121</v>
      </c>
      <c r="X17" s="185">
        <f t="shared" ref="X17" si="81">+X16-X18</f>
        <v>1191491.4917335487</v>
      </c>
      <c r="Y17" s="185">
        <f t="shared" ref="Y17" si="82">+Y16-Y18</f>
        <v>1318420.088671071</v>
      </c>
      <c r="Z17" s="185">
        <f t="shared" ref="Z17" si="83">+Z16-Z18</f>
        <v>1260695.7227721722</v>
      </c>
      <c r="AA17" s="186">
        <f t="shared" ref="AA17" si="84">+AA16-AA18</f>
        <v>1111990.002480658</v>
      </c>
      <c r="AB17" s="186">
        <f t="shared" ref="AB17" si="85">+AB16-AB18</f>
        <v>1255701.5550988279</v>
      </c>
      <c r="AC17" s="186">
        <f t="shared" ref="AC17" si="86">+AC16-AC18</f>
        <v>1219421.9574592244</v>
      </c>
      <c r="AD17" s="186">
        <f t="shared" ref="AD17" si="87">+AD16-AD18</f>
        <v>1217782.1250959835</v>
      </c>
      <c r="AE17" s="186">
        <f t="shared" ref="AE17" si="88">+AE16-AE18</f>
        <v>1217393.6114194891</v>
      </c>
      <c r="AI17" s="196">
        <f t="shared" ref="AI17:CI17" si="89">+AI16-AI18</f>
        <v>586951.37166953587</v>
      </c>
      <c r="AJ17" s="196">
        <f t="shared" si="89"/>
        <v>623870.79849596752</v>
      </c>
      <c r="AK17" s="196">
        <f t="shared" si="89"/>
        <v>537531.6349478066</v>
      </c>
      <c r="AL17" s="196">
        <f t="shared" si="89"/>
        <v>527347.63015756337</v>
      </c>
      <c r="AM17" s="196">
        <f t="shared" si="89"/>
        <v>567435.21292393806</v>
      </c>
      <c r="AN17" s="196">
        <f t="shared" si="89"/>
        <v>573697.23587437696</v>
      </c>
      <c r="AO17" s="196">
        <f t="shared" si="89"/>
        <v>624667.9098223265</v>
      </c>
      <c r="AP17" s="196">
        <f t="shared" si="89"/>
        <v>722955.53748716193</v>
      </c>
      <c r="AQ17" s="196">
        <f t="shared" si="89"/>
        <v>674689.07165256504</v>
      </c>
      <c r="AR17" s="196">
        <f t="shared" si="89"/>
        <v>711183.66123611131</v>
      </c>
      <c r="AS17" s="196">
        <f t="shared" si="89"/>
        <v>777273.88959919964</v>
      </c>
      <c r="AT17" s="196">
        <f t="shared" si="89"/>
        <v>796783.90089037339</v>
      </c>
      <c r="AU17" s="196">
        <f t="shared" si="89"/>
        <v>762257.12163683842</v>
      </c>
      <c r="AV17" s="196">
        <f t="shared" si="89"/>
        <v>805694.43378960388</v>
      </c>
      <c r="AW17" s="196">
        <f t="shared" si="89"/>
        <v>785883.18038716563</v>
      </c>
      <c r="AX17" s="196">
        <f t="shared" si="89"/>
        <v>729705.93629638664</v>
      </c>
      <c r="AY17" s="196">
        <f t="shared" si="89"/>
        <v>753086.04173045815</v>
      </c>
      <c r="AZ17" s="196">
        <f t="shared" si="89"/>
        <v>805214.79713603831</v>
      </c>
      <c r="BA17" s="196">
        <f t="shared" si="89"/>
        <v>815668.58975058096</v>
      </c>
      <c r="BB17" s="196">
        <f t="shared" si="89"/>
        <v>871480.7860580429</v>
      </c>
      <c r="BC17" s="196">
        <f t="shared" si="89"/>
        <v>861340.57971014502</v>
      </c>
      <c r="BD17" s="196">
        <f t="shared" si="89"/>
        <v>971722.38926958945</v>
      </c>
      <c r="BE17" s="196">
        <f t="shared" si="89"/>
        <v>957295.00938330172</v>
      </c>
      <c r="BF17" s="196">
        <f t="shared" si="89"/>
        <v>973606.08329498046</v>
      </c>
      <c r="BG17" s="196">
        <f t="shared" si="89"/>
        <v>980097.39073976374</v>
      </c>
      <c r="BH17" s="196">
        <f t="shared" si="89"/>
        <v>947982.14180814219</v>
      </c>
      <c r="BI17" s="196">
        <f t="shared" si="89"/>
        <v>970596.54308822937</v>
      </c>
      <c r="BJ17" s="196">
        <f t="shared" si="89"/>
        <v>996377.88344288664</v>
      </c>
      <c r="BK17" s="196">
        <f t="shared" si="89"/>
        <v>963159.32135327789</v>
      </c>
      <c r="BL17" s="196">
        <f t="shared" si="89"/>
        <v>951589.01809114276</v>
      </c>
      <c r="BM17" s="196">
        <f t="shared" si="89"/>
        <v>867761.56767955783</v>
      </c>
      <c r="BN17" s="196">
        <f t="shared" si="89"/>
        <v>1079946.140815706</v>
      </c>
      <c r="BO17" s="196">
        <f t="shared" si="89"/>
        <v>986474.11776670394</v>
      </c>
      <c r="BP17" s="196">
        <f t="shared" si="89"/>
        <v>1306670.0308180293</v>
      </c>
      <c r="BQ17" s="196">
        <f t="shared" si="89"/>
        <v>1218005.4409278685</v>
      </c>
      <c r="BR17" s="196">
        <f t="shared" si="89"/>
        <v>1430692.7926837215</v>
      </c>
      <c r="BS17" s="196">
        <f t="shared" si="89"/>
        <v>1821639.2461860604</v>
      </c>
      <c r="BT17" s="196">
        <f t="shared" si="89"/>
        <v>968271.43301069201</v>
      </c>
      <c r="BU17" s="196">
        <f t="shared" si="89"/>
        <v>964726.69131607888</v>
      </c>
      <c r="BV17" s="196">
        <f t="shared" si="89"/>
        <v>1127278.7186118294</v>
      </c>
      <c r="BW17" s="196">
        <f t="shared" si="89"/>
        <v>1115978.8349302923</v>
      </c>
      <c r="BX17" s="196">
        <f t="shared" si="89"/>
        <v>1147573.00867351</v>
      </c>
      <c r="BY17" s="196">
        <f t="shared" si="89"/>
        <v>1212932.4186250183</v>
      </c>
      <c r="BZ17" s="196">
        <f t="shared" si="89"/>
        <v>1277398.2508091726</v>
      </c>
      <c r="CA17" s="196">
        <f t="shared" si="89"/>
        <v>1333064.8639198088</v>
      </c>
      <c r="CB17" s="196">
        <f t="shared" si="89"/>
        <v>1280145.0737378104</v>
      </c>
      <c r="CC17" s="196">
        <f t="shared" si="89"/>
        <v>1355980.7720199742</v>
      </c>
      <c r="CD17" s="196">
        <f t="shared" si="89"/>
        <v>1310190.1515912972</v>
      </c>
      <c r="CE17" s="196">
        <f t="shared" si="89"/>
        <v>1266980.2322139263</v>
      </c>
      <c r="CF17" s="196">
        <f t="shared" si="89"/>
        <v>1249273.2644368245</v>
      </c>
      <c r="CG17" s="196">
        <f t="shared" si="89"/>
        <v>1325268.873342383</v>
      </c>
      <c r="CH17" s="196">
        <f t="shared" si="89"/>
        <v>1403159.6982289408</v>
      </c>
      <c r="CI17" s="196">
        <f t="shared" si="89"/>
        <v>1229002.6400018691</v>
      </c>
      <c r="CJ17" s="196">
        <f>+CJ16-CJ18</f>
        <v>1228546.382061871</v>
      </c>
      <c r="CK17" s="196">
        <f t="shared" ref="CK17" si="90">+CK16-CK18</f>
        <v>1245788.0126403267</v>
      </c>
      <c r="CL17" s="196">
        <f t="shared" ref="CL17" si="91">+CL16-CL18</f>
        <v>1287132.4500811533</v>
      </c>
      <c r="CM17" s="186">
        <f t="shared" ref="CM17:DB17" si="92">+CM16-CM18</f>
        <v>1247617.3711963049</v>
      </c>
      <c r="CN17" s="186">
        <f t="shared" si="92"/>
        <v>1252271.0539949141</v>
      </c>
      <c r="CO17" s="186">
        <f t="shared" si="92"/>
        <v>1258202.221978175</v>
      </c>
      <c r="CP17" s="186">
        <f t="shared" si="92"/>
        <v>1261305.7743126368</v>
      </c>
      <c r="CQ17" s="186">
        <f t="shared" si="92"/>
        <v>1218241.8827096245</v>
      </c>
      <c r="CR17" s="186">
        <f t="shared" si="92"/>
        <v>1211066.5550585471</v>
      </c>
      <c r="CS17" s="186">
        <f t="shared" si="92"/>
        <v>1200969.7455173144</v>
      </c>
      <c r="CT17" s="186">
        <f t="shared" si="92"/>
        <v>1186935.0288674834</v>
      </c>
      <c r="CU17" s="186">
        <f t="shared" si="92"/>
        <v>1204303.3030382423</v>
      </c>
      <c r="CV17" s="186">
        <f t="shared" si="92"/>
        <v>1200818.6581203965</v>
      </c>
      <c r="CW17" s="186">
        <f t="shared" si="92"/>
        <v>1198256.6838858589</v>
      </c>
      <c r="CX17" s="186">
        <f t="shared" si="92"/>
        <v>1197578.4184779953</v>
      </c>
      <c r="CY17" s="186">
        <f t="shared" si="92"/>
        <v>1200239.2658806234</v>
      </c>
      <c r="CZ17" s="186">
        <f t="shared" si="92"/>
        <v>1199223.2565912185</v>
      </c>
      <c r="DA17" s="186">
        <f t="shared" si="92"/>
        <v>1198824.406208924</v>
      </c>
      <c r="DB17" s="186">
        <f t="shared" si="92"/>
        <v>1198966.3367896904</v>
      </c>
      <c r="DE17" s="188"/>
      <c r="DF17" s="187">
        <v>1276624.183233252</v>
      </c>
    </row>
    <row r="18" spans="1:110" s="212" customFormat="1" x14ac:dyDescent="0.2">
      <c r="A18" s="209" t="s">
        <v>539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>
        <f t="shared" ref="N18:AE18" si="93">+N38*10^7/N12</f>
        <v>255554.51671241815</v>
      </c>
      <c r="O18" s="210">
        <f t="shared" si="93"/>
        <v>248653.78529728836</v>
      </c>
      <c r="P18" s="210">
        <f t="shared" si="93"/>
        <v>302249.17022818478</v>
      </c>
      <c r="Q18" s="210">
        <f t="shared" si="93"/>
        <v>493561.47603736015</v>
      </c>
      <c r="R18" s="210">
        <f t="shared" si="93"/>
        <v>475052.78823153587</v>
      </c>
      <c r="S18" s="210">
        <f t="shared" si="93"/>
        <v>366371.60262730933</v>
      </c>
      <c r="T18" s="210">
        <f t="shared" si="93"/>
        <v>366019.65843044216</v>
      </c>
      <c r="U18" s="210">
        <f t="shared" si="93"/>
        <v>346991.20172494464</v>
      </c>
      <c r="V18" s="210">
        <f t="shared" si="93"/>
        <v>444037.40256682824</v>
      </c>
      <c r="W18" s="210">
        <f t="shared" si="93"/>
        <v>306590.99313111429</v>
      </c>
      <c r="X18" s="210">
        <f t="shared" si="93"/>
        <v>398620.44450462924</v>
      </c>
      <c r="Y18" s="210">
        <f t="shared" si="93"/>
        <v>533390.59480352153</v>
      </c>
      <c r="Z18" s="210">
        <f t="shared" si="93"/>
        <v>581130.95411816833</v>
      </c>
      <c r="AA18" s="211">
        <f t="shared" si="93"/>
        <v>512583.48817943112</v>
      </c>
      <c r="AB18" s="211">
        <f t="shared" si="93"/>
        <v>575336.17710611247</v>
      </c>
      <c r="AC18" s="211">
        <f t="shared" si="93"/>
        <v>557798.64293189056</v>
      </c>
      <c r="AD18" s="211">
        <f t="shared" si="93"/>
        <v>556894.32998210762</v>
      </c>
      <c r="AE18" s="211">
        <f t="shared" si="93"/>
        <v>556696.3655583252</v>
      </c>
      <c r="AI18" s="213">
        <f t="shared" ref="AI18:BN18" si="94">+AI38*10^7/AI12</f>
        <v>249033.43493848419</v>
      </c>
      <c r="AJ18" s="213">
        <f t="shared" si="94"/>
        <v>215679.33704184523</v>
      </c>
      <c r="AK18" s="213">
        <f t="shared" si="94"/>
        <v>176064.84744738697</v>
      </c>
      <c r="AL18" s="213">
        <f t="shared" si="94"/>
        <v>180108.02518456976</v>
      </c>
      <c r="AM18" s="213">
        <f t="shared" si="94"/>
        <v>214087.05803582902</v>
      </c>
      <c r="AN18" s="213">
        <f t="shared" si="94"/>
        <v>199112.0290006623</v>
      </c>
      <c r="AO18" s="213">
        <f t="shared" si="94"/>
        <v>189285.11565538062</v>
      </c>
      <c r="AP18" s="213">
        <f t="shared" si="94"/>
        <v>191274.39233139329</v>
      </c>
      <c r="AQ18" s="213">
        <f t="shared" si="94"/>
        <v>237062.89568664567</v>
      </c>
      <c r="AR18" s="213">
        <f t="shared" si="94"/>
        <v>225649.20468412136</v>
      </c>
      <c r="AS18" s="213">
        <f t="shared" si="94"/>
        <v>229572.51653788419</v>
      </c>
      <c r="AT18" s="213">
        <f t="shared" si="94"/>
        <v>318435.17647180497</v>
      </c>
      <c r="AU18" s="213">
        <f t="shared" si="94"/>
        <v>354707.82721195999</v>
      </c>
      <c r="AV18" s="213">
        <f t="shared" si="94"/>
        <v>366255.32894232153</v>
      </c>
      <c r="AW18" s="213">
        <f t="shared" si="94"/>
        <v>335177.61850536981</v>
      </c>
      <c r="AX18" s="213">
        <f t="shared" si="94"/>
        <v>388179.80943065014</v>
      </c>
      <c r="AY18" s="213">
        <f t="shared" si="94"/>
        <v>372162.19762914994</v>
      </c>
      <c r="AZ18" s="213">
        <f t="shared" si="94"/>
        <v>310229.9848123237</v>
      </c>
      <c r="BA18" s="213">
        <f t="shared" si="94"/>
        <v>297330.2215000054</v>
      </c>
      <c r="BB18" s="213">
        <f t="shared" si="94"/>
        <v>365771.29211025249</v>
      </c>
      <c r="BC18" s="213">
        <f t="shared" si="94"/>
        <v>358173.64465915161</v>
      </c>
      <c r="BD18" s="213">
        <f t="shared" si="94"/>
        <v>328865.78503360349</v>
      </c>
      <c r="BE18" s="213">
        <f t="shared" si="94"/>
        <v>339500.85708947032</v>
      </c>
      <c r="BF18" s="213">
        <f t="shared" si="94"/>
        <v>343442.39210325683</v>
      </c>
      <c r="BG18" s="213">
        <f t="shared" si="94"/>
        <v>373227.28563892364</v>
      </c>
      <c r="BH18" s="213">
        <f t="shared" si="94"/>
        <v>356039.62286318489</v>
      </c>
      <c r="BI18" s="213">
        <f t="shared" si="94"/>
        <v>360246.33575563511</v>
      </c>
      <c r="BJ18" s="213">
        <f t="shared" si="94"/>
        <v>342896.82740109524</v>
      </c>
      <c r="BK18" s="213">
        <f t="shared" si="94"/>
        <v>377259.31131412502</v>
      </c>
      <c r="BL18" s="213">
        <f t="shared" si="94"/>
        <v>320704.30777842796</v>
      </c>
      <c r="BM18" s="213">
        <f t="shared" si="94"/>
        <v>302269.29385359131</v>
      </c>
      <c r="BN18" s="213">
        <f t="shared" si="94"/>
        <v>329205.57703166374</v>
      </c>
      <c r="BO18" s="213">
        <f t="shared" ref="BO18:CJ18" si="95">+BO38*10^7/BO12</f>
        <v>379777.28058578254</v>
      </c>
      <c r="BP18" s="213">
        <f t="shared" si="95"/>
        <v>435738.10081640759</v>
      </c>
      <c r="BQ18" s="213">
        <f t="shared" si="95"/>
        <v>419937.75399393216</v>
      </c>
      <c r="BR18" s="213">
        <f t="shared" si="95"/>
        <v>436178.13870754454</v>
      </c>
      <c r="BS18" s="213">
        <f t="shared" si="95"/>
        <v>552314.28856316686</v>
      </c>
      <c r="BT18" s="213">
        <f t="shared" si="95"/>
        <v>297282.67750066199</v>
      </c>
      <c r="BU18" s="213">
        <f t="shared" si="95"/>
        <v>269687.2189467373</v>
      </c>
      <c r="BV18" s="213">
        <f t="shared" si="95"/>
        <v>319144.07274547429</v>
      </c>
      <c r="BW18" s="213">
        <f t="shared" si="95"/>
        <v>357890.82549717126</v>
      </c>
      <c r="BX18" s="213">
        <f t="shared" si="95"/>
        <v>339136.22980822815</v>
      </c>
      <c r="BY18" s="213">
        <f t="shared" si="95"/>
        <v>433748.98346435349</v>
      </c>
      <c r="BZ18" s="213">
        <f t="shared" si="95"/>
        <v>456481.13077611721</v>
      </c>
      <c r="CA18" s="213">
        <f t="shared" si="95"/>
        <v>512330.55539367133</v>
      </c>
      <c r="CB18" s="213">
        <f t="shared" si="95"/>
        <v>501254.74371907592</v>
      </c>
      <c r="CC18" s="213">
        <f t="shared" si="95"/>
        <v>578063.94132150896</v>
      </c>
      <c r="CD18" s="213">
        <f t="shared" si="95"/>
        <v>541091.38424144941</v>
      </c>
      <c r="CE18" s="213">
        <f t="shared" si="95"/>
        <v>581740.83697880688</v>
      </c>
      <c r="CF18" s="213">
        <f t="shared" si="95"/>
        <v>591948.36321353563</v>
      </c>
      <c r="CG18" s="213">
        <f t="shared" si="95"/>
        <v>453993.94382374437</v>
      </c>
      <c r="CH18" s="213">
        <f t="shared" si="95"/>
        <v>489914.14480845851</v>
      </c>
      <c r="CI18" s="213">
        <f t="shared" si="95"/>
        <v>602878.30292269238</v>
      </c>
      <c r="CJ18" s="213">
        <f t="shared" si="95"/>
        <v>582587.84761462174</v>
      </c>
      <c r="CK18" s="213">
        <f t="shared" ref="CK18" si="96">+CK38*10^7/CK12</f>
        <v>555196.67580355122</v>
      </c>
      <c r="CL18" s="213">
        <f t="shared" ref="CL18" si="97">+CL38*10^7/CL12</f>
        <v>578718.9068810629</v>
      </c>
      <c r="CM18" s="186">
        <f t="shared" ref="CM18:DB18" si="98">+AVERAGE(CI18:CL18)</f>
        <v>579845.43330548203</v>
      </c>
      <c r="CN18" s="186">
        <f t="shared" si="98"/>
        <v>574087.21590117947</v>
      </c>
      <c r="CO18" s="186">
        <f t="shared" si="98"/>
        <v>571962.05797281885</v>
      </c>
      <c r="CP18" s="186">
        <f t="shared" si="98"/>
        <v>576153.40351513587</v>
      </c>
      <c r="CQ18" s="186">
        <f t="shared" si="98"/>
        <v>575512.02767365403</v>
      </c>
      <c r="CR18" s="186">
        <f t="shared" si="98"/>
        <v>574428.67626569699</v>
      </c>
      <c r="CS18" s="186">
        <f t="shared" si="98"/>
        <v>574514.04135682643</v>
      </c>
      <c r="CT18" s="186">
        <f t="shared" si="98"/>
        <v>575152.03720282833</v>
      </c>
      <c r="CU18" s="186">
        <f t="shared" si="98"/>
        <v>574901.6956247515</v>
      </c>
      <c r="CV18" s="186">
        <f t="shared" si="98"/>
        <v>574749.11261252582</v>
      </c>
      <c r="CW18" s="186">
        <f t="shared" si="98"/>
        <v>574829.22169923305</v>
      </c>
      <c r="CX18" s="186">
        <f t="shared" si="98"/>
        <v>574908.01678483468</v>
      </c>
      <c r="CY18" s="186">
        <f t="shared" si="98"/>
        <v>574847.01168033632</v>
      </c>
      <c r="CZ18" s="186">
        <f t="shared" si="98"/>
        <v>574833.34069423249</v>
      </c>
      <c r="DA18" s="186">
        <f t="shared" si="98"/>
        <v>574854.39771465911</v>
      </c>
      <c r="DB18" s="186">
        <f t="shared" si="98"/>
        <v>574860.69171851559</v>
      </c>
      <c r="DE18" s="214"/>
      <c r="DF18" s="212">
        <v>557644.24278733088</v>
      </c>
    </row>
    <row r="19" spans="1:110" s="192" customFormat="1" x14ac:dyDescent="0.2">
      <c r="A19" s="195" t="s">
        <v>542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>
        <f t="shared" ref="N19" si="99">+N18/N16</f>
        <v>0.31043172280003284</v>
      </c>
      <c r="O19" s="190">
        <f t="shared" ref="O19" si="100">+O18/O16</f>
        <v>0.28732889870309036</v>
      </c>
      <c r="P19" s="190">
        <f t="shared" ref="P19" si="101">+P18/P16</f>
        <v>0.28951513045236382</v>
      </c>
      <c r="Q19" s="190">
        <f t="shared" ref="Q19" si="102">+Q18/Q16</f>
        <v>0.3910854896609024</v>
      </c>
      <c r="R19" s="190">
        <f t="shared" ref="R19" si="103">+R18/R16</f>
        <v>0.36849799109081061</v>
      </c>
      <c r="S19" s="190">
        <f t="shared" ref="S19" si="104">+S18/S16</f>
        <v>0.27830415574934225</v>
      </c>
      <c r="T19" s="190">
        <f t="shared" ref="T19" si="105">+T18/T16</f>
        <v>0.27318617405009477</v>
      </c>
      <c r="U19" s="190">
        <f t="shared" ref="U19" si="106">+U18/U16</f>
        <v>0.26585341007487417</v>
      </c>
      <c r="V19" s="190">
        <f t="shared" ref="V19" si="107">+V18/V16</f>
        <v>0.2541134294173803</v>
      </c>
      <c r="W19" s="190">
        <f t="shared" ref="W19" si="108">+W18/W16</f>
        <v>0.2315613172736446</v>
      </c>
      <c r="X19" s="190">
        <f t="shared" ref="X19" si="109">+X18/X16</f>
        <v>0.25068703367366024</v>
      </c>
      <c r="Y19" s="190">
        <f t="shared" ref="Y19" si="110">+Y18/Y16</f>
        <v>0.28803732452969177</v>
      </c>
      <c r="Z19" s="190">
        <f t="shared" ref="Z19" si="111">+Z18/Z16</f>
        <v>0.31551880609055161</v>
      </c>
      <c r="AA19" s="191">
        <f t="shared" ref="AA19" si="112">+AA18/AA16</f>
        <v>0.31551880609055155</v>
      </c>
      <c r="AB19" s="191">
        <f t="shared" ref="AB19" si="113">+AB18/AB16</f>
        <v>0.31421317375764352</v>
      </c>
      <c r="AC19" s="191">
        <f t="shared" ref="AC19" si="114">+AC18/AC16</f>
        <v>0.31386010426006494</v>
      </c>
      <c r="AD19" s="191">
        <f t="shared" ref="AD19" si="115">+AD18/AD16</f>
        <v>0.3138004836817439</v>
      </c>
      <c r="AE19" s="191">
        <f t="shared" ref="AE19" si="116">+AE18/AE16</f>
        <v>0.31379263328383422</v>
      </c>
      <c r="AI19" s="190">
        <f t="shared" ref="AI19:CI19" si="117">+AI18/AI16</f>
        <v>0.29789229776666504</v>
      </c>
      <c r="AJ19" s="190">
        <f t="shared" si="117"/>
        <v>0.25689869837693713</v>
      </c>
      <c r="AK19" s="190">
        <f t="shared" si="117"/>
        <v>0.24672886118555909</v>
      </c>
      <c r="AL19" s="190">
        <f t="shared" si="117"/>
        <v>0.25458560381069761</v>
      </c>
      <c r="AM19" s="190">
        <f t="shared" si="117"/>
        <v>0.27393596573123158</v>
      </c>
      <c r="AN19" s="190">
        <f t="shared" si="117"/>
        <v>0.25764705219063083</v>
      </c>
      <c r="AO19" s="190">
        <f t="shared" si="117"/>
        <v>0.23255041719918618</v>
      </c>
      <c r="AP19" s="190">
        <f t="shared" si="117"/>
        <v>0.20921913196317582</v>
      </c>
      <c r="AQ19" s="190">
        <f t="shared" si="117"/>
        <v>0.26000809888951754</v>
      </c>
      <c r="AR19" s="190">
        <f t="shared" si="117"/>
        <v>0.24086388607051112</v>
      </c>
      <c r="AS19" s="190">
        <f t="shared" si="117"/>
        <v>0.22801145749595844</v>
      </c>
      <c r="AT19" s="190">
        <f t="shared" si="117"/>
        <v>0.28553598385798595</v>
      </c>
      <c r="AU19" s="190">
        <f t="shared" si="117"/>
        <v>0.31756397331674563</v>
      </c>
      <c r="AV19" s="190">
        <f t="shared" si="117"/>
        <v>0.3125179428242264</v>
      </c>
      <c r="AW19" s="190">
        <f t="shared" si="117"/>
        <v>0.29898255191554496</v>
      </c>
      <c r="AX19" s="190">
        <f t="shared" si="117"/>
        <v>0.34724461861546552</v>
      </c>
      <c r="AY19" s="190">
        <f t="shared" si="117"/>
        <v>0.33073786264349259</v>
      </c>
      <c r="AZ19" s="190">
        <f t="shared" si="117"/>
        <v>0.27812222517231283</v>
      </c>
      <c r="BA19" s="190">
        <f t="shared" si="117"/>
        <v>0.2671433414793315</v>
      </c>
      <c r="BB19" s="190">
        <f t="shared" si="117"/>
        <v>0.29563198847219796</v>
      </c>
      <c r="BC19" s="190">
        <f t="shared" si="117"/>
        <v>0.29370189990558776</v>
      </c>
      <c r="BD19" s="190">
        <f t="shared" si="117"/>
        <v>0.25285927669594382</v>
      </c>
      <c r="BE19" s="190">
        <f t="shared" si="117"/>
        <v>0.26179976807984262</v>
      </c>
      <c r="BF19" s="190">
        <f t="shared" si="117"/>
        <v>0.26076670564415616</v>
      </c>
      <c r="BG19" s="190">
        <f t="shared" si="117"/>
        <v>0.2757854727349161</v>
      </c>
      <c r="BH19" s="190">
        <f t="shared" si="117"/>
        <v>0.27303196350631703</v>
      </c>
      <c r="BI19" s="190">
        <f t="shared" si="117"/>
        <v>0.27069035833034616</v>
      </c>
      <c r="BJ19" s="190">
        <f t="shared" si="117"/>
        <v>0.25603173465808898</v>
      </c>
      <c r="BK19" s="190">
        <f t="shared" si="117"/>
        <v>0.28144887135997765</v>
      </c>
      <c r="BL19" s="190">
        <f t="shared" si="117"/>
        <v>0.25206790074076441</v>
      </c>
      <c r="BM19" s="190">
        <f t="shared" si="117"/>
        <v>0.25834300939507948</v>
      </c>
      <c r="BN19" s="190">
        <f t="shared" si="117"/>
        <v>0.23361968258078022</v>
      </c>
      <c r="BO19" s="190">
        <f t="shared" si="117"/>
        <v>0.27797027768369886</v>
      </c>
      <c r="BP19" s="190">
        <f t="shared" si="117"/>
        <v>0.25007809186913676</v>
      </c>
      <c r="BQ19" s="190">
        <f t="shared" si="117"/>
        <v>0.25638114636446901</v>
      </c>
      <c r="BR19" s="190">
        <f t="shared" si="117"/>
        <v>0.23364129323203256</v>
      </c>
      <c r="BS19" s="190">
        <f t="shared" si="117"/>
        <v>0.23265589678928178</v>
      </c>
      <c r="BT19" s="190">
        <f t="shared" si="117"/>
        <v>0.23490317405752278</v>
      </c>
      <c r="BU19" s="190">
        <f t="shared" si="117"/>
        <v>0.21847389818324295</v>
      </c>
      <c r="BV19" s="190">
        <f t="shared" si="117"/>
        <v>0.22064369743924858</v>
      </c>
      <c r="BW19" s="190">
        <f t="shared" si="117"/>
        <v>0.24282393152280027</v>
      </c>
      <c r="BX19" s="190">
        <f t="shared" si="117"/>
        <v>0.22811200807130377</v>
      </c>
      <c r="BY19" s="190">
        <f t="shared" si="117"/>
        <v>0.26340795670249045</v>
      </c>
      <c r="BZ19" s="190">
        <f t="shared" si="117"/>
        <v>0.26327156065421081</v>
      </c>
      <c r="CA19" s="190">
        <f t="shared" si="117"/>
        <v>0.27762643714823321</v>
      </c>
      <c r="CB19" s="190">
        <f t="shared" si="117"/>
        <v>0.28138250537976572</v>
      </c>
      <c r="CC19" s="190">
        <f t="shared" si="117"/>
        <v>0.29888861272642331</v>
      </c>
      <c r="CD19" s="190">
        <f t="shared" si="117"/>
        <v>0.29227936095525026</v>
      </c>
      <c r="CE19" s="190">
        <f t="shared" si="117"/>
        <v>0.31467204364844026</v>
      </c>
      <c r="CF19" s="190">
        <f t="shared" si="117"/>
        <v>0.32149761567212265</v>
      </c>
      <c r="CG19" s="190">
        <f t="shared" si="117"/>
        <v>0.25515845070422533</v>
      </c>
      <c r="CH19" s="190">
        <f t="shared" si="117"/>
        <v>0.2587929396469823</v>
      </c>
      <c r="CI19" s="190">
        <f t="shared" si="117"/>
        <v>0.32910343068486164</v>
      </c>
      <c r="CJ19" s="190">
        <f>+CJ18/CJ16</f>
        <v>0.32167016561698158</v>
      </c>
      <c r="CK19" s="190">
        <f t="shared" ref="CK19" si="118">+CK18/CK16</f>
        <v>0.30827395666715141</v>
      </c>
      <c r="CL19" s="190">
        <f t="shared" ref="CL19" si="119">+CL18/CL16</f>
        <v>0.31016345687004371</v>
      </c>
      <c r="CM19" s="191">
        <f t="shared" ref="CM19:DB19" si="120">+CM18/CM16</f>
        <v>0.31729534077360477</v>
      </c>
      <c r="CN19" s="191">
        <f t="shared" si="120"/>
        <v>0.3143343917586558</v>
      </c>
      <c r="CO19" s="191">
        <f t="shared" si="120"/>
        <v>0.31251951764031488</v>
      </c>
      <c r="CP19" s="191">
        <f t="shared" si="120"/>
        <v>0.31355983875313037</v>
      </c>
      <c r="CQ19" s="191">
        <f t="shared" si="120"/>
        <v>0.32084224281951923</v>
      </c>
      <c r="CR19" s="191">
        <f t="shared" si="120"/>
        <v>0.32171952419030647</v>
      </c>
      <c r="CS19" s="191">
        <f t="shared" si="120"/>
        <v>0.32358168832862011</v>
      </c>
      <c r="CT19" s="191">
        <f t="shared" si="120"/>
        <v>0.32640386975059854</v>
      </c>
      <c r="CU19" s="191">
        <f t="shared" si="120"/>
        <v>0.32312279701145663</v>
      </c>
      <c r="CV19" s="191">
        <f t="shared" si="120"/>
        <v>0.32369877516715667</v>
      </c>
      <c r="CW19" s="191">
        <f t="shared" si="120"/>
        <v>0.32419705096553003</v>
      </c>
      <c r="CX19" s="191">
        <f t="shared" si="120"/>
        <v>0.3243511517759996</v>
      </c>
      <c r="CY19" s="191">
        <f t="shared" si="120"/>
        <v>0.32384173036941022</v>
      </c>
      <c r="CZ19" s="191">
        <f t="shared" si="120"/>
        <v>0.32402198530407994</v>
      </c>
      <c r="DA19" s="191">
        <f t="shared" si="120"/>
        <v>0.32410287389295883</v>
      </c>
      <c r="DB19" s="191">
        <f t="shared" si="120"/>
        <v>0.32407933946185002</v>
      </c>
      <c r="DE19" s="193"/>
      <c r="DF19" s="192">
        <v>0.3040145241976015</v>
      </c>
    </row>
    <row r="20" spans="1:110" s="187" customFormat="1" x14ac:dyDescent="0.2">
      <c r="A20" s="194" t="s">
        <v>8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>
        <f t="shared" ref="N20:AE20" si="121">+N45*10^7/N12</f>
        <v>48853.90495444378</v>
      </c>
      <c r="O20" s="185">
        <f t="shared" si="121"/>
        <v>68486.913972787923</v>
      </c>
      <c r="P20" s="185">
        <f t="shared" si="121"/>
        <v>84796.734810312337</v>
      </c>
      <c r="Q20" s="185">
        <f t="shared" si="121"/>
        <v>84186.558535155957</v>
      </c>
      <c r="R20" s="185">
        <f t="shared" si="121"/>
        <v>97767.960335455253</v>
      </c>
      <c r="S20" s="185">
        <f t="shared" si="121"/>
        <v>88290.624353133127</v>
      </c>
      <c r="T20" s="185">
        <f t="shared" si="121"/>
        <v>82210.255551900147</v>
      </c>
      <c r="U20" s="185">
        <f t="shared" si="121"/>
        <v>128968.12206393234</v>
      </c>
      <c r="V20" s="185">
        <f t="shared" si="121"/>
        <v>154973.09207549668</v>
      </c>
      <c r="W20" s="185">
        <f t="shared" si="121"/>
        <v>100890.54603722421</v>
      </c>
      <c r="X20" s="185">
        <f t="shared" si="121"/>
        <v>97249.110724744227</v>
      </c>
      <c r="Y20" s="185">
        <f t="shared" si="121"/>
        <v>108830.47657542725</v>
      </c>
      <c r="Z20" s="185">
        <f t="shared" si="121"/>
        <v>119739.03099736536</v>
      </c>
      <c r="AA20" s="186">
        <f t="shared" si="121"/>
        <v>105615.17975408724</v>
      </c>
      <c r="AB20" s="186">
        <f t="shared" si="121"/>
        <v>104412.08721563073</v>
      </c>
      <c r="AC20" s="186">
        <f t="shared" si="121"/>
        <v>100021.24122814259</v>
      </c>
      <c r="AD20" s="186">
        <f t="shared" si="121"/>
        <v>95785.038042658343</v>
      </c>
      <c r="AE20" s="186">
        <f t="shared" si="121"/>
        <v>91699.39649481549</v>
      </c>
      <c r="AI20" s="196">
        <f t="shared" ref="AI20:BN20" si="122">+AI45*10^7/AI12</f>
        <v>55819.132302541184</v>
      </c>
      <c r="AJ20" s="196">
        <f t="shared" si="122"/>
        <v>50393.833197683416</v>
      </c>
      <c r="AK20" s="196">
        <f t="shared" si="122"/>
        <v>49100.79548887322</v>
      </c>
      <c r="AL20" s="196">
        <f t="shared" si="122"/>
        <v>41517.466202179683</v>
      </c>
      <c r="AM20" s="196">
        <f t="shared" si="122"/>
        <v>64163.884048516273</v>
      </c>
      <c r="AN20" s="196">
        <f t="shared" si="122"/>
        <v>60716.650981212311</v>
      </c>
      <c r="AO20" s="196">
        <f t="shared" si="122"/>
        <v>75472.468990948706</v>
      </c>
      <c r="AP20" s="196">
        <f t="shared" si="122"/>
        <v>76280.597398151323</v>
      </c>
      <c r="AQ20" s="196">
        <f t="shared" si="122"/>
        <v>87509.614815691384</v>
      </c>
      <c r="AR20" s="196">
        <f t="shared" si="122"/>
        <v>80387.917192952416</v>
      </c>
      <c r="AS20" s="196">
        <f t="shared" si="122"/>
        <v>85019.734282061254</v>
      </c>
      <c r="AT20" s="196">
        <f t="shared" si="122"/>
        <v>86472.735545651027</v>
      </c>
      <c r="AU20" s="196">
        <f t="shared" si="122"/>
        <v>96821.917151824426</v>
      </c>
      <c r="AV20" s="196">
        <f t="shared" si="122"/>
        <v>84330.443740616131</v>
      </c>
      <c r="AW20" s="196">
        <f t="shared" si="122"/>
        <v>92100.386272802367</v>
      </c>
      <c r="AX20" s="196">
        <f t="shared" si="122"/>
        <v>68590.992061066034</v>
      </c>
      <c r="AY20" s="196">
        <f t="shared" si="122"/>
        <v>98304.97353571585</v>
      </c>
      <c r="AZ20" s="196">
        <f t="shared" si="122"/>
        <v>95649.815578216527</v>
      </c>
      <c r="BA20" s="196">
        <f t="shared" si="122"/>
        <v>92193.515317417899</v>
      </c>
      <c r="BB20" s="196">
        <f t="shared" si="122"/>
        <v>89683.89966457634</v>
      </c>
      <c r="BC20" s="196">
        <f t="shared" si="122"/>
        <v>125825.28180354268</v>
      </c>
      <c r="BD20" s="196">
        <f t="shared" si="122"/>
        <v>88788.869932416506</v>
      </c>
      <c r="BE20" s="196">
        <f t="shared" si="122"/>
        <v>79901.048817541494</v>
      </c>
      <c r="BF20" s="196">
        <f t="shared" si="122"/>
        <v>75807.637090514429</v>
      </c>
      <c r="BG20" s="196">
        <f t="shared" si="122"/>
        <v>83830.702430710546</v>
      </c>
      <c r="BH20" s="196">
        <f t="shared" si="122"/>
        <v>76763.790166245672</v>
      </c>
      <c r="BI20" s="196">
        <f t="shared" si="122"/>
        <v>87047.665968715373</v>
      </c>
      <c r="BJ20" s="196">
        <f t="shared" si="122"/>
        <v>81870.657248201562</v>
      </c>
      <c r="BK20" s="196">
        <f t="shared" si="122"/>
        <v>115383.99759060335</v>
      </c>
      <c r="BL20" s="196">
        <f t="shared" si="122"/>
        <v>135758.63209587542</v>
      </c>
      <c r="BM20" s="196">
        <f t="shared" si="122"/>
        <v>109878.92783149173</v>
      </c>
      <c r="BN20" s="196">
        <f t="shared" si="122"/>
        <v>166443.70122630996</v>
      </c>
      <c r="BO20" s="196">
        <f t="shared" ref="BO20:CJ20" si="123">+BO45*10^7/BO12</f>
        <v>491579.37557205331</v>
      </c>
      <c r="BP20" s="196">
        <f t="shared" si="123"/>
        <v>190783.42674860777</v>
      </c>
      <c r="BQ20" s="196">
        <f t="shared" si="123"/>
        <v>123807.97778847552</v>
      </c>
      <c r="BR20" s="196">
        <f t="shared" si="123"/>
        <v>100744.10721104147</v>
      </c>
      <c r="BS20" s="196">
        <f t="shared" si="123"/>
        <v>235399.34190846546</v>
      </c>
      <c r="BT20" s="196">
        <f t="shared" si="123"/>
        <v>102000.29923924178</v>
      </c>
      <c r="BU20" s="196">
        <f t="shared" si="123"/>
        <v>91745.7779554312</v>
      </c>
      <c r="BV20" s="196">
        <f t="shared" si="123"/>
        <v>73045.799616250937</v>
      </c>
      <c r="BW20" s="196">
        <f t="shared" si="123"/>
        <v>105315.04840419734</v>
      </c>
      <c r="BX20" s="196">
        <f t="shared" si="123"/>
        <v>95928.82151667065</v>
      </c>
      <c r="BY20" s="196">
        <f t="shared" si="123"/>
        <v>101369.97727130554</v>
      </c>
      <c r="BZ20" s="196">
        <f t="shared" si="123"/>
        <v>87982.060464155365</v>
      </c>
      <c r="CA20" s="196">
        <f t="shared" si="123"/>
        <v>124071.33282825339</v>
      </c>
      <c r="CB20" s="196">
        <f t="shared" si="123"/>
        <v>104333.95782293318</v>
      </c>
      <c r="CC20" s="196">
        <f t="shared" si="123"/>
        <v>115044.65118206493</v>
      </c>
      <c r="CD20" s="196">
        <f t="shared" si="123"/>
        <v>95694.405102385805</v>
      </c>
      <c r="CE20" s="196">
        <f t="shared" si="123"/>
        <v>126193.68702649958</v>
      </c>
      <c r="CF20" s="196">
        <f t="shared" si="123"/>
        <v>135380.45348299143</v>
      </c>
      <c r="CG20" s="196">
        <f t="shared" si="123"/>
        <v>116007.10034457555</v>
      </c>
      <c r="CH20" s="196">
        <f t="shared" si="123"/>
        <v>105070.85183116724</v>
      </c>
      <c r="CI20" s="196">
        <f t="shared" si="123"/>
        <v>135971.77767913463</v>
      </c>
      <c r="CJ20" s="196">
        <f t="shared" si="123"/>
        <v>122516.66120974641</v>
      </c>
      <c r="CK20" s="196">
        <f t="shared" ref="CK20" si="124">+CK45*10^7/CK12</f>
        <v>100563.92618328474</v>
      </c>
      <c r="CL20" s="196">
        <f t="shared" ref="CL20" si="125">+CL45*10^7/CL12</f>
        <v>89080.134375117952</v>
      </c>
      <c r="CM20" s="186">
        <f t="shared" ref="CM20:DB20" si="126">+CI20</f>
        <v>135971.77767913463</v>
      </c>
      <c r="CN20" s="186">
        <f t="shared" si="126"/>
        <v>122516.66120974641</v>
      </c>
      <c r="CO20" s="186">
        <f t="shared" si="126"/>
        <v>100563.92618328474</v>
      </c>
      <c r="CP20" s="186">
        <f t="shared" si="126"/>
        <v>89080.134375117952</v>
      </c>
      <c r="CQ20" s="186">
        <f t="shared" si="126"/>
        <v>135971.77767913463</v>
      </c>
      <c r="CR20" s="186">
        <f t="shared" si="126"/>
        <v>122516.66120974641</v>
      </c>
      <c r="CS20" s="186">
        <f t="shared" si="126"/>
        <v>100563.92618328474</v>
      </c>
      <c r="CT20" s="186">
        <f t="shared" si="126"/>
        <v>89080.134375117952</v>
      </c>
      <c r="CU20" s="186">
        <f t="shared" si="126"/>
        <v>135971.77767913463</v>
      </c>
      <c r="CV20" s="186">
        <f t="shared" si="126"/>
        <v>122516.66120974641</v>
      </c>
      <c r="CW20" s="186">
        <f t="shared" si="126"/>
        <v>100563.92618328474</v>
      </c>
      <c r="CX20" s="186">
        <f t="shared" si="126"/>
        <v>89080.134375117952</v>
      </c>
      <c r="CY20" s="186">
        <f t="shared" si="126"/>
        <v>135971.77767913463</v>
      </c>
      <c r="CZ20" s="186">
        <f t="shared" si="126"/>
        <v>122516.66120974641</v>
      </c>
      <c r="DA20" s="186">
        <f t="shared" si="126"/>
        <v>100563.92618328474</v>
      </c>
      <c r="DB20" s="186">
        <f t="shared" si="126"/>
        <v>89080.134375117952</v>
      </c>
      <c r="DE20" s="188"/>
      <c r="DF20" s="187">
        <v>105070.85183116724</v>
      </c>
    </row>
    <row r="21" spans="1:110" s="192" customFormat="1" x14ac:dyDescent="0.2">
      <c r="A21" s="195" t="s">
        <v>543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>
        <f t="shared" ref="N21" si="127">+N20/N16</f>
        <v>5.9344683379568268E-2</v>
      </c>
      <c r="O21" s="190">
        <f t="shared" ref="O21" si="128">+O20/O16</f>
        <v>7.9139231859459813E-2</v>
      </c>
      <c r="P21" s="190">
        <f t="shared" ref="P21" si="129">+P20/P16</f>
        <v>8.1224169191293244E-2</v>
      </c>
      <c r="Q21" s="190">
        <f t="shared" ref="Q21" si="130">+Q20/Q16</f>
        <v>6.6707275721607368E-2</v>
      </c>
      <c r="R21" s="190">
        <f t="shared" ref="R21" si="131">+R20/R16</f>
        <v>7.5838512833024313E-2</v>
      </c>
      <c r="S21" s="190">
        <f t="shared" ref="S21" si="132">+S20/S16</f>
        <v>6.7067555167960119E-2</v>
      </c>
      <c r="T21" s="190">
        <f t="shared" ref="T21" si="133">+T20/T16</f>
        <v>6.1359286761293402E-2</v>
      </c>
      <c r="U21" s="190">
        <f t="shared" ref="U21" si="134">+U20/U16</f>
        <v>9.8811194264307539E-2</v>
      </c>
      <c r="V21" s="190">
        <f t="shared" ref="V21" si="135">+V20/V16</f>
        <v>8.8687898062355344E-2</v>
      </c>
      <c r="W21" s="190">
        <f t="shared" ref="W21" si="136">+W20/W16</f>
        <v>7.6200372040433575E-2</v>
      </c>
      <c r="X21" s="190">
        <f t="shared" ref="X21" si="137">+X20/X16</f>
        <v>6.1158657141340757E-2</v>
      </c>
      <c r="Y21" s="190">
        <f t="shared" ref="Y21" si="138">+Y20/Y16</f>
        <v>5.8769763856868065E-2</v>
      </c>
      <c r="Z21" s="190">
        <f t="shared" ref="Z21" si="139">+Z20/Z16</f>
        <v>6.5011020037741826E-2</v>
      </c>
      <c r="AA21" s="191">
        <f t="shared" ref="AA21" si="140">+AA20/AA16</f>
        <v>6.5011020037741826E-2</v>
      </c>
      <c r="AB21" s="191">
        <f t="shared" ref="AB21" si="141">+AB20/AB16</f>
        <v>5.7023449260052893E-2</v>
      </c>
      <c r="AC21" s="191">
        <f t="shared" ref="AC21" si="142">+AC20/AC16</f>
        <v>5.6279586904479276E-2</v>
      </c>
      <c r="AD21" s="191">
        <f t="shared" ref="AD21" si="143">+AD20/AD16</f>
        <v>5.3973239893151968E-2</v>
      </c>
      <c r="AE21" s="191">
        <f t="shared" ref="AE21" si="144">+AE20/AE16</f>
        <v>5.1688131766026109E-2</v>
      </c>
      <c r="AI21" s="190">
        <f t="shared" ref="AI21:CI21" si="145">+AI20/AI16</f>
        <v>6.6770510494114615E-2</v>
      </c>
      <c r="AJ21" s="190">
        <f t="shared" si="145"/>
        <v>6.0024805028947213E-2</v>
      </c>
      <c r="AK21" s="190">
        <f t="shared" si="145"/>
        <v>6.8807507744525195E-2</v>
      </c>
      <c r="AL21" s="190">
        <f t="shared" si="145"/>
        <v>5.868560932218627E-2</v>
      </c>
      <c r="AM21" s="190">
        <f t="shared" si="145"/>
        <v>8.2101158767642388E-2</v>
      </c>
      <c r="AN21" s="190">
        <f t="shared" si="145"/>
        <v>7.8566153048165124E-2</v>
      </c>
      <c r="AO21" s="190">
        <f t="shared" si="145"/>
        <v>9.2723371777694533E-2</v>
      </c>
      <c r="AP21" s="190">
        <f t="shared" si="145"/>
        <v>8.3436994250768545E-2</v>
      </c>
      <c r="AQ21" s="190">
        <f t="shared" si="145"/>
        <v>9.5979628177905618E-2</v>
      </c>
      <c r="AR21" s="190">
        <f t="shared" si="145"/>
        <v>8.5808173599875706E-2</v>
      </c>
      <c r="AS21" s="190">
        <f t="shared" si="145"/>
        <v>8.4441612706601527E-2</v>
      </c>
      <c r="AT21" s="190">
        <f t="shared" si="145"/>
        <v>7.7538787939482282E-2</v>
      </c>
      <c r="AU21" s="190">
        <f t="shared" si="145"/>
        <v>8.6683039831835437E-2</v>
      </c>
      <c r="AV21" s="190">
        <f t="shared" si="145"/>
        <v>7.1957387954952878E-2</v>
      </c>
      <c r="AW21" s="190">
        <f t="shared" si="145"/>
        <v>8.2154675610623215E-2</v>
      </c>
      <c r="AX21" s="190">
        <f t="shared" si="145"/>
        <v>6.1357783944598621E-2</v>
      </c>
      <c r="AY21" s="190">
        <f t="shared" si="145"/>
        <v>8.7362921440039182E-2</v>
      </c>
      <c r="AZ21" s="190">
        <f t="shared" si="145"/>
        <v>8.5750381485620239E-2</v>
      </c>
      <c r="BA21" s="190">
        <f t="shared" si="145"/>
        <v>8.2833435566591077E-2</v>
      </c>
      <c r="BB21" s="190">
        <f t="shared" si="145"/>
        <v>7.248636009353078E-2</v>
      </c>
      <c r="BC21" s="190">
        <f t="shared" si="145"/>
        <v>0.10317655939488241</v>
      </c>
      <c r="BD21" s="190">
        <f t="shared" si="145"/>
        <v>6.8268243312289312E-2</v>
      </c>
      <c r="BE21" s="190">
        <f t="shared" si="145"/>
        <v>6.1614206895082756E-2</v>
      </c>
      <c r="BF21" s="190">
        <f t="shared" si="145"/>
        <v>5.7558729618962877E-2</v>
      </c>
      <c r="BG21" s="190">
        <f t="shared" si="145"/>
        <v>6.1944265034042011E-2</v>
      </c>
      <c r="BH21" s="190">
        <f t="shared" si="145"/>
        <v>5.8866954713438883E-2</v>
      </c>
      <c r="BI21" s="190">
        <f t="shared" si="145"/>
        <v>6.5407921064533026E-2</v>
      </c>
      <c r="BJ21" s="190">
        <f t="shared" si="145"/>
        <v>6.113059298835595E-2</v>
      </c>
      <c r="BK21" s="190">
        <f t="shared" si="145"/>
        <v>8.6080568248288067E-2</v>
      </c>
      <c r="BL21" s="190">
        <f t="shared" si="145"/>
        <v>0.10670387821384573</v>
      </c>
      <c r="BM21" s="190">
        <f t="shared" si="145"/>
        <v>9.3911136401574877E-2</v>
      </c>
      <c r="BN21" s="190">
        <f t="shared" si="145"/>
        <v>0.11811623909494326</v>
      </c>
      <c r="BO21" s="190">
        <f t="shared" si="145"/>
        <v>0.35980155348044379</v>
      </c>
      <c r="BP21" s="190">
        <f t="shared" si="145"/>
        <v>0.1094941094941095</v>
      </c>
      <c r="BQ21" s="190">
        <f t="shared" si="145"/>
        <v>7.5587467362924279E-2</v>
      </c>
      <c r="BR21" s="190">
        <f t="shared" si="145"/>
        <v>5.3964152270539113E-2</v>
      </c>
      <c r="BS21" s="190">
        <f t="shared" si="145"/>
        <v>9.9159203608141344E-2</v>
      </c>
      <c r="BT21" s="190">
        <f t="shared" si="145"/>
        <v>8.0597343402431063E-2</v>
      </c>
      <c r="BU21" s="190">
        <f t="shared" si="145"/>
        <v>7.4323350695147158E-2</v>
      </c>
      <c r="BV21" s="190">
        <f t="shared" si="145"/>
        <v>5.0501001541676305E-2</v>
      </c>
      <c r="BW21" s="190">
        <f t="shared" si="145"/>
        <v>7.1454790903052456E-2</v>
      </c>
      <c r="BX21" s="190">
        <f t="shared" si="145"/>
        <v>6.4524265427068558E-2</v>
      </c>
      <c r="BY21" s="190">
        <f t="shared" si="145"/>
        <v>6.1560164062509887E-2</v>
      </c>
      <c r="BZ21" s="190">
        <f t="shared" si="145"/>
        <v>5.0742895612330981E-2</v>
      </c>
      <c r="CA21" s="190">
        <f t="shared" si="145"/>
        <v>6.7232925545252592E-2</v>
      </c>
      <c r="CB21" s="190">
        <f t="shared" si="145"/>
        <v>5.8568523921754746E-2</v>
      </c>
      <c r="CC21" s="190">
        <f t="shared" si="145"/>
        <v>5.9483966626242189E-2</v>
      </c>
      <c r="CD21" s="190">
        <f t="shared" si="145"/>
        <v>5.169089803477156E-2</v>
      </c>
      <c r="CE21" s="190">
        <f t="shared" si="145"/>
        <v>6.8259992883406478E-2</v>
      </c>
      <c r="CF21" s="190">
        <f t="shared" si="145"/>
        <v>7.3527516432529971E-2</v>
      </c>
      <c r="CG21" s="190">
        <f t="shared" si="145"/>
        <v>6.5199530516431917E-2</v>
      </c>
      <c r="CH21" s="190">
        <f t="shared" si="145"/>
        <v>5.5502775138756941E-2</v>
      </c>
      <c r="CI21" s="190">
        <f t="shared" si="145"/>
        <v>7.4225226374186951E-2</v>
      </c>
      <c r="CJ21" s="190">
        <f>+CJ20/CJ16</f>
        <v>6.7646372754840214E-2</v>
      </c>
      <c r="CK21" s="190">
        <f t="shared" ref="CK21" si="146">+CK20/CK16</f>
        <v>5.5838301584993456E-2</v>
      </c>
      <c r="CL21" s="190">
        <f t="shared" ref="CL21" si="147">+CL20/CL16</f>
        <v>4.774235313157469E-2</v>
      </c>
      <c r="CM21" s="191">
        <f t="shared" ref="CM21:DB21" si="148">+CM20/CM16</f>
        <v>7.4404675895006239E-2</v>
      </c>
      <c r="CN21" s="191">
        <f t="shared" si="148"/>
        <v>6.7082490456112268E-2</v>
      </c>
      <c r="CO21" s="191">
        <f t="shared" si="148"/>
        <v>5.4948032417055773E-2</v>
      </c>
      <c r="CP21" s="191">
        <f t="shared" si="148"/>
        <v>4.8480061734175593E-2</v>
      </c>
      <c r="CQ21" s="191">
        <f t="shared" si="148"/>
        <v>7.5802916382259486E-2</v>
      </c>
      <c r="CR21" s="191">
        <f t="shared" si="148"/>
        <v>6.8617747648017952E-2</v>
      </c>
      <c r="CS21" s="191">
        <f t="shared" si="148"/>
        <v>5.664029540947503E-2</v>
      </c>
      <c r="CT21" s="191">
        <f t="shared" si="148"/>
        <v>5.055376439132403E-2</v>
      </c>
      <c r="CU21" s="191">
        <f t="shared" si="148"/>
        <v>7.6422771845466003E-2</v>
      </c>
      <c r="CV21" s="191">
        <f t="shared" si="148"/>
        <v>6.9001399568755256E-2</v>
      </c>
      <c r="CW21" s="191">
        <f t="shared" si="148"/>
        <v>5.6716894464343588E-2</v>
      </c>
      <c r="CX21" s="191">
        <f t="shared" si="148"/>
        <v>5.0257160000160374E-2</v>
      </c>
      <c r="CY21" s="191">
        <f t="shared" si="148"/>
        <v>7.6600095104090007E-2</v>
      </c>
      <c r="CZ21" s="191">
        <f t="shared" si="148"/>
        <v>6.9060176207012575E-2</v>
      </c>
      <c r="DA21" s="191">
        <f t="shared" si="148"/>
        <v>5.669793536508734E-2</v>
      </c>
      <c r="DB21" s="191">
        <f t="shared" si="148"/>
        <v>5.0219177486563966E-2</v>
      </c>
      <c r="DE21" s="193"/>
      <c r="DF21" s="192">
        <v>5.7282156930061119E-2</v>
      </c>
    </row>
    <row r="22" spans="1:110" s="187" customFormat="1" x14ac:dyDescent="0.2">
      <c r="A22" s="184" t="s">
        <v>540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>
        <f t="shared" ref="N22" si="149">+N18-N20-N23</f>
        <v>124771.35786992154</v>
      </c>
      <c r="O22" s="185">
        <f t="shared" ref="O22" si="150">+O18-O20-O23</f>
        <v>152477.55134096963</v>
      </c>
      <c r="P22" s="185">
        <f t="shared" ref="P22" si="151">+P18-P20-P23</f>
        <v>203141.75761781586</v>
      </c>
      <c r="Q22" s="185">
        <f t="shared" ref="Q22" si="152">+Q18-Q20-Q23</f>
        <v>200648.36667564241</v>
      </c>
      <c r="R22" s="185">
        <f t="shared" ref="R22" si="153">+R18-R20-R23</f>
        <v>203850.3593235834</v>
      </c>
      <c r="S22" s="185">
        <f t="shared" ref="S22" si="154">+S18-S20-S23</f>
        <v>197074.21413324843</v>
      </c>
      <c r="T22" s="185">
        <f t="shared" ref="T22" si="155">+T18-T20-T23</f>
        <v>176212.29873580401</v>
      </c>
      <c r="U22" s="185">
        <f t="shared" ref="U22" si="156">+U18-U20-U23</f>
        <v>217133.83908952109</v>
      </c>
      <c r="V22" s="185">
        <f t="shared" ref="V22" si="157">+V18-V20-V23</f>
        <v>216731.836691153</v>
      </c>
      <c r="W22" s="185">
        <f t="shared" ref="W22" si="158">+W18-W20-W23</f>
        <v>159877.80554217138</v>
      </c>
      <c r="X22" s="185">
        <f t="shared" ref="X22" si="159">+X18-X20-X23</f>
        <v>185038.65415353811</v>
      </c>
      <c r="Y22" s="185">
        <f t="shared" ref="Y22" si="160">+Y18-Y20-Y23</f>
        <v>225744.92541272464</v>
      </c>
      <c r="Z22" s="185">
        <f t="shared" ref="Z22" si="161">+Z18-Z20-Z23</f>
        <v>246960.09318047349</v>
      </c>
      <c r="AA22" s="186">
        <f t="shared" ref="AA22" si="162">+AA18-AA20-AA23</f>
        <v>217829.8455907476</v>
      </c>
      <c r="AB22" s="186">
        <f t="shared" ref="AB22" si="163">+AB18-AB20-AB23</f>
        <v>475441.58314317366</v>
      </c>
      <c r="AC22" s="186">
        <f t="shared" ref="AC22" si="164">+AC18-AC20-AC23</f>
        <v>452033.905325667</v>
      </c>
      <c r="AD22" s="186">
        <f t="shared" ref="AD22" si="165">+AD18-AD20-AD23</f>
        <v>453142.544399078</v>
      </c>
      <c r="AE22" s="186">
        <f t="shared" ref="AE22" si="166">+AE18-AE20-AE23</f>
        <v>461154.61273850111</v>
      </c>
      <c r="AI22" s="196">
        <f t="shared" ref="AI22:CI22" si="167">+AI18-AI20-AI23</f>
        <v>137951.89285657881</v>
      </c>
      <c r="AJ22" s="196">
        <f t="shared" si="167"/>
        <v>121329.54858845611</v>
      </c>
      <c r="AK22" s="196">
        <f t="shared" si="167"/>
        <v>117212.76809988923</v>
      </c>
      <c r="AL22" s="196">
        <f t="shared" si="167"/>
        <v>124566.46105660139</v>
      </c>
      <c r="AM22" s="196">
        <f t="shared" si="167"/>
        <v>140893.75692077909</v>
      </c>
      <c r="AN22" s="196">
        <f t="shared" si="167"/>
        <v>131309.03830736526</v>
      </c>
      <c r="AO22" s="196">
        <f t="shared" si="167"/>
        <v>161906.00905129057</v>
      </c>
      <c r="AP22" s="196">
        <f t="shared" si="167"/>
        <v>183251.66894899</v>
      </c>
      <c r="AQ22" s="196">
        <f t="shared" si="167"/>
        <v>184368.97225016265</v>
      </c>
      <c r="AR22" s="196">
        <f t="shared" si="167"/>
        <v>173332.8338078825</v>
      </c>
      <c r="AS22" s="196">
        <f t="shared" si="167"/>
        <v>206992.05069764855</v>
      </c>
      <c r="AT22" s="196">
        <f t="shared" si="167"/>
        <v>215516.90261734626</v>
      </c>
      <c r="AU22" s="196">
        <f t="shared" si="167"/>
        <v>201499.79635353026</v>
      </c>
      <c r="AV22" s="196">
        <f t="shared" si="167"/>
        <v>196748.38624831504</v>
      </c>
      <c r="AW22" s="196">
        <f t="shared" si="167"/>
        <v>187544.37671645789</v>
      </c>
      <c r="AX22" s="196">
        <f t="shared" si="167"/>
        <v>213387.0164804933</v>
      </c>
      <c r="AY22" s="196">
        <f t="shared" si="167"/>
        <v>213327.28227111674</v>
      </c>
      <c r="AZ22" s="196">
        <f t="shared" si="167"/>
        <v>185733.34779778702</v>
      </c>
      <c r="BA22" s="196">
        <f t="shared" si="167"/>
        <v>198371.74048182523</v>
      </c>
      <c r="BB22" s="196">
        <f t="shared" si="167"/>
        <v>239692.10296047831</v>
      </c>
      <c r="BC22" s="196">
        <f t="shared" si="167"/>
        <v>240284.48738593658</v>
      </c>
      <c r="BD22" s="196">
        <f t="shared" si="167"/>
        <v>163957.3573630185</v>
      </c>
      <c r="BE22" s="196">
        <f t="shared" si="167"/>
        <v>165235.47619241048</v>
      </c>
      <c r="BF22" s="196">
        <f t="shared" si="167"/>
        <v>226193.33832489571</v>
      </c>
      <c r="BG22" s="196">
        <f t="shared" si="167"/>
        <v>180967.41468165402</v>
      </c>
      <c r="BH22" s="196">
        <f t="shared" si="167"/>
        <v>176613.99283322567</v>
      </c>
      <c r="BI22" s="196">
        <f t="shared" si="167"/>
        <v>165689.53483598144</v>
      </c>
      <c r="BJ22" s="196">
        <f t="shared" si="167"/>
        <v>180836.69449394994</v>
      </c>
      <c r="BK22" s="196">
        <f t="shared" si="167"/>
        <v>187741.19064350968</v>
      </c>
      <c r="BL22" s="196">
        <f t="shared" si="167"/>
        <v>250298.97458079946</v>
      </c>
      <c r="BM22" s="196">
        <f t="shared" si="167"/>
        <v>198067.37741712702</v>
      </c>
      <c r="BN22" s="196">
        <f t="shared" si="167"/>
        <v>267394.92391666304</v>
      </c>
      <c r="BO22" s="196">
        <f t="shared" si="167"/>
        <v>316393.77606020548</v>
      </c>
      <c r="BP22" s="196">
        <f t="shared" si="167"/>
        <v>226624.25432984301</v>
      </c>
      <c r="BQ22" s="196">
        <f t="shared" si="167"/>
        <v>201004.22063746181</v>
      </c>
      <c r="BR22" s="196">
        <f t="shared" si="167"/>
        <v>206454.8273838904</v>
      </c>
      <c r="BS22" s="196">
        <f t="shared" si="167"/>
        <v>299076.67763485905</v>
      </c>
      <c r="BT22" s="196">
        <f t="shared" si="167"/>
        <v>167500.31650304419</v>
      </c>
      <c r="BU22" s="196">
        <f t="shared" si="167"/>
        <v>147842.51024283</v>
      </c>
      <c r="BV22" s="196">
        <f t="shared" si="167"/>
        <v>152944.85692833911</v>
      </c>
      <c r="BW22" s="196">
        <f t="shared" si="167"/>
        <v>184025.12856590794</v>
      </c>
      <c r="BX22" s="196">
        <f t="shared" si="167"/>
        <v>178425.63857722603</v>
      </c>
      <c r="BY22" s="196">
        <f t="shared" si="167"/>
        <v>189963.92601705698</v>
      </c>
      <c r="BZ22" s="196">
        <f t="shared" si="167"/>
        <v>189425.65938984914</v>
      </c>
      <c r="CA22" s="196">
        <f t="shared" si="167"/>
        <v>233433.18375196695</v>
      </c>
      <c r="CB22" s="196">
        <f t="shared" si="167"/>
        <v>206690.68549742998</v>
      </c>
      <c r="CC22" s="196">
        <f t="shared" si="167"/>
        <v>242009.40679195244</v>
      </c>
      <c r="CD22" s="196">
        <f t="shared" si="167"/>
        <v>223498.93548003913</v>
      </c>
      <c r="CE22" s="196">
        <f t="shared" si="167"/>
        <v>245480.16094902909</v>
      </c>
      <c r="CF22" s="196">
        <f t="shared" si="167"/>
        <v>260438.29570128492</v>
      </c>
      <c r="CG22" s="196">
        <f t="shared" si="167"/>
        <v>229299.36305732487</v>
      </c>
      <c r="CH22" s="196">
        <f t="shared" si="167"/>
        <v>253495.26234582506</v>
      </c>
      <c r="CI22" s="196">
        <f t="shared" si="167"/>
        <v>246127.60787795254</v>
      </c>
      <c r="CJ22" s="196">
        <f>+CJ18-CJ20-CJ23</f>
        <v>240702.99215259665</v>
      </c>
      <c r="CK22" s="196">
        <f t="shared" ref="CK22" si="168">+CK18-CK20-CK23</f>
        <v>227141.78466050953</v>
      </c>
      <c r="CL22" s="196">
        <f t="shared" ref="CL22" si="169">+CL18-CL20-CL23</f>
        <v>239987.92133771183</v>
      </c>
      <c r="CM22" s="186">
        <f t="shared" ref="CM22:DB22" si="170">+CM18-CM20-CM23</f>
        <v>223094.73826074219</v>
      </c>
      <c r="CN22" s="186">
        <f t="shared" si="170"/>
        <v>232202.36043915438</v>
      </c>
      <c r="CO22" s="186">
        <f t="shared" si="170"/>
        <v>243907.16682977715</v>
      </c>
      <c r="CP22" s="186">
        <f t="shared" si="170"/>
        <v>237422.4179717848</v>
      </c>
      <c r="CQ22" s="186">
        <f t="shared" si="170"/>
        <v>218761.33262891418</v>
      </c>
      <c r="CR22" s="186">
        <f t="shared" si="170"/>
        <v>232543.8208036719</v>
      </c>
      <c r="CS22" s="186">
        <f t="shared" si="170"/>
        <v>246459.15021378474</v>
      </c>
      <c r="CT22" s="186">
        <f t="shared" si="170"/>
        <v>236421.05165947726</v>
      </c>
      <c r="CU22" s="186">
        <f t="shared" si="170"/>
        <v>218151.00058001166</v>
      </c>
      <c r="CV22" s="186">
        <f t="shared" si="170"/>
        <v>232864.25715050072</v>
      </c>
      <c r="CW22" s="186">
        <f t="shared" si="170"/>
        <v>246774.33055619136</v>
      </c>
      <c r="CX22" s="186">
        <f t="shared" si="170"/>
        <v>236177.03124148361</v>
      </c>
      <c r="CY22" s="186">
        <f t="shared" si="170"/>
        <v>218096.31663559648</v>
      </c>
      <c r="CZ22" s="186">
        <f t="shared" si="170"/>
        <v>232948.4852322074</v>
      </c>
      <c r="DA22" s="186">
        <f t="shared" si="170"/>
        <v>246799.50657161741</v>
      </c>
      <c r="DB22" s="186">
        <f t="shared" si="170"/>
        <v>236129.70617516452</v>
      </c>
      <c r="DE22" s="188"/>
      <c r="DF22" s="187">
        <v>321225.36032469745</v>
      </c>
    </row>
    <row r="23" spans="1:110" s="218" customFormat="1" x14ac:dyDescent="0.2">
      <c r="A23" s="215" t="s">
        <v>13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>
        <f t="shared" ref="N23:AE23" si="171">+N52*10^7/N12</f>
        <v>81929.25388805283</v>
      </c>
      <c r="O23" s="216">
        <f t="shared" si="171"/>
        <v>27689.31998353079</v>
      </c>
      <c r="P23" s="216">
        <f t="shared" si="171"/>
        <v>14310.677800056574</v>
      </c>
      <c r="Q23" s="216">
        <f t="shared" si="171"/>
        <v>208726.55082656178</v>
      </c>
      <c r="R23" s="216">
        <f t="shared" si="171"/>
        <v>173434.46857249722</v>
      </c>
      <c r="S23" s="216">
        <f t="shared" si="171"/>
        <v>81006.764140927757</v>
      </c>
      <c r="T23" s="216">
        <f t="shared" si="171"/>
        <v>107597.10414273801</v>
      </c>
      <c r="U23" s="216">
        <f t="shared" si="171"/>
        <v>889.24057149118005</v>
      </c>
      <c r="V23" s="216">
        <f t="shared" si="171"/>
        <v>72332.473800178544</v>
      </c>
      <c r="W23" s="216">
        <f t="shared" si="171"/>
        <v>45822.641551718698</v>
      </c>
      <c r="X23" s="216">
        <f t="shared" si="171"/>
        <v>116332.6796263469</v>
      </c>
      <c r="Y23" s="216">
        <f t="shared" si="171"/>
        <v>198815.19281536966</v>
      </c>
      <c r="Z23" s="216">
        <f t="shared" si="171"/>
        <v>214431.82994032948</v>
      </c>
      <c r="AA23" s="217">
        <f t="shared" si="171"/>
        <v>189138.46283459628</v>
      </c>
      <c r="AB23" s="217">
        <f t="shared" si="171"/>
        <v>-4517.493252691911</v>
      </c>
      <c r="AC23" s="217">
        <f t="shared" si="171"/>
        <v>5743.4963780809867</v>
      </c>
      <c r="AD23" s="217">
        <f t="shared" si="171"/>
        <v>7966.7475403712879</v>
      </c>
      <c r="AE23" s="217">
        <f t="shared" si="171"/>
        <v>3842.3563250086113</v>
      </c>
      <c r="AI23" s="219">
        <f t="shared" ref="AI23:BN23" si="172">+AI52*10^7/AI12</f>
        <v>55262.409779364185</v>
      </c>
      <c r="AJ23" s="219">
        <f t="shared" si="172"/>
        <v>43955.955255705703</v>
      </c>
      <c r="AK23" s="219">
        <f t="shared" si="172"/>
        <v>9751.2838586245234</v>
      </c>
      <c r="AL23" s="219">
        <f t="shared" si="172"/>
        <v>14024.09792578871</v>
      </c>
      <c r="AM23" s="219">
        <f t="shared" si="172"/>
        <v>9029.4170665336333</v>
      </c>
      <c r="AN23" s="219">
        <f t="shared" si="172"/>
        <v>7086.3397120847467</v>
      </c>
      <c r="AO23" s="219">
        <f t="shared" si="172"/>
        <v>-48093.362386858666</v>
      </c>
      <c r="AP23" s="219">
        <f t="shared" si="172"/>
        <v>-68257.874015748035</v>
      </c>
      <c r="AQ23" s="219">
        <f t="shared" si="172"/>
        <v>-34815.691379208387</v>
      </c>
      <c r="AR23" s="219">
        <f t="shared" si="172"/>
        <v>-28071.546316713557</v>
      </c>
      <c r="AS23" s="219">
        <f t="shared" si="172"/>
        <v>-62439.268441825625</v>
      </c>
      <c r="AT23" s="219">
        <f t="shared" si="172"/>
        <v>16445.538308807678</v>
      </c>
      <c r="AU23" s="219">
        <f t="shared" si="172"/>
        <v>56386.113706605312</v>
      </c>
      <c r="AV23" s="219">
        <f t="shared" si="172"/>
        <v>85176.498953390357</v>
      </c>
      <c r="AW23" s="219">
        <f t="shared" si="172"/>
        <v>55532.855516109565</v>
      </c>
      <c r="AX23" s="219">
        <f t="shared" si="172"/>
        <v>106201.80088909082</v>
      </c>
      <c r="AY23" s="219">
        <f t="shared" si="172"/>
        <v>60529.941822317356</v>
      </c>
      <c r="AZ23" s="219">
        <f t="shared" si="172"/>
        <v>28846.821436320177</v>
      </c>
      <c r="BA23" s="219">
        <f t="shared" si="172"/>
        <v>6764.9657007622482</v>
      </c>
      <c r="BB23" s="219">
        <f t="shared" si="172"/>
        <v>36395.289485197827</v>
      </c>
      <c r="BC23" s="219">
        <f t="shared" si="172"/>
        <v>-7936.1245303276564</v>
      </c>
      <c r="BD23" s="219">
        <f t="shared" si="172"/>
        <v>76119.557738168471</v>
      </c>
      <c r="BE23" s="219">
        <f t="shared" si="172"/>
        <v>94364.332079518324</v>
      </c>
      <c r="BF23" s="219">
        <f t="shared" si="172"/>
        <v>41441.416687846722</v>
      </c>
      <c r="BG23" s="219">
        <f t="shared" si="172"/>
        <v>108429.16852655906</v>
      </c>
      <c r="BH23" s="219">
        <f t="shared" si="172"/>
        <v>102661.83986371357</v>
      </c>
      <c r="BI23" s="219">
        <f t="shared" si="172"/>
        <v>107509.13495093829</v>
      </c>
      <c r="BJ23" s="219">
        <f t="shared" si="172"/>
        <v>80189.475658943746</v>
      </c>
      <c r="BK23" s="219">
        <f t="shared" si="172"/>
        <v>74134.123080011981</v>
      </c>
      <c r="BL23" s="219">
        <f t="shared" si="172"/>
        <v>-65353.298898246925</v>
      </c>
      <c r="BM23" s="219">
        <f t="shared" si="172"/>
        <v>-5677.0113950274417</v>
      </c>
      <c r="BN23" s="219">
        <f t="shared" si="172"/>
        <v>-104633.04811130925</v>
      </c>
      <c r="BO23" s="219">
        <f t="shared" ref="BO23:CJ23" si="173">+BO52*10^7/BO12</f>
        <v>-428195.87104647624</v>
      </c>
      <c r="BP23" s="219">
        <f t="shared" si="173"/>
        <v>18330.419737956807</v>
      </c>
      <c r="BQ23" s="219">
        <f t="shared" si="173"/>
        <v>95125.555567994816</v>
      </c>
      <c r="BR23" s="219">
        <f t="shared" si="173"/>
        <v>128979.20411261266</v>
      </c>
      <c r="BS23" s="219">
        <f t="shared" si="173"/>
        <v>17838.26901984233</v>
      </c>
      <c r="BT23" s="219">
        <f t="shared" si="173"/>
        <v>27782.061758376014</v>
      </c>
      <c r="BU23" s="219">
        <f t="shared" si="173"/>
        <v>30098.930748476094</v>
      </c>
      <c r="BV23" s="219">
        <f t="shared" si="173"/>
        <v>93153.416200884254</v>
      </c>
      <c r="BW23" s="219">
        <f t="shared" si="173"/>
        <v>68550.648527065976</v>
      </c>
      <c r="BX23" s="219">
        <f t="shared" si="173"/>
        <v>64781.769714331494</v>
      </c>
      <c r="BY23" s="219">
        <f t="shared" si="173"/>
        <v>142415.080175991</v>
      </c>
      <c r="BZ23" s="219">
        <f t="shared" si="173"/>
        <v>179073.41092211267</v>
      </c>
      <c r="CA23" s="219">
        <f t="shared" si="173"/>
        <v>154826.03881345098</v>
      </c>
      <c r="CB23" s="219">
        <f t="shared" si="173"/>
        <v>190230.10039871273</v>
      </c>
      <c r="CC23" s="219">
        <f t="shared" si="173"/>
        <v>221009.88334749162</v>
      </c>
      <c r="CD23" s="219">
        <f t="shared" si="173"/>
        <v>221898.04365902449</v>
      </c>
      <c r="CE23" s="219">
        <f t="shared" si="173"/>
        <v>210066.9890032782</v>
      </c>
      <c r="CF23" s="219">
        <f t="shared" si="173"/>
        <v>196129.61402925928</v>
      </c>
      <c r="CG23" s="219">
        <f t="shared" si="173"/>
        <v>108687.48042184397</v>
      </c>
      <c r="CH23" s="219">
        <f t="shared" si="173"/>
        <v>131348.03063146622</v>
      </c>
      <c r="CI23" s="219">
        <f t="shared" si="173"/>
        <v>220778.91736560522</v>
      </c>
      <c r="CJ23" s="219">
        <f t="shared" si="173"/>
        <v>219368.19425227871</v>
      </c>
      <c r="CK23" s="219">
        <f t="shared" ref="CK23" si="174">+CK52*10^7/CK12</f>
        <v>227490.96495975697</v>
      </c>
      <c r="CL23" s="219">
        <f t="shared" ref="CL23" si="175">+CL52*10^7/CL12</f>
        <v>249650.85116823312</v>
      </c>
      <c r="CM23" s="217">
        <f t="shared" ref="CM23:DB23" si="176">+CI23</f>
        <v>220778.91736560522</v>
      </c>
      <c r="CN23" s="217">
        <f t="shared" si="176"/>
        <v>219368.19425227871</v>
      </c>
      <c r="CO23" s="217">
        <f t="shared" si="176"/>
        <v>227490.96495975697</v>
      </c>
      <c r="CP23" s="217">
        <f t="shared" si="176"/>
        <v>249650.85116823312</v>
      </c>
      <c r="CQ23" s="217">
        <f t="shared" si="176"/>
        <v>220778.91736560522</v>
      </c>
      <c r="CR23" s="217">
        <f t="shared" si="176"/>
        <v>219368.19425227871</v>
      </c>
      <c r="CS23" s="217">
        <f t="shared" si="176"/>
        <v>227490.96495975697</v>
      </c>
      <c r="CT23" s="217">
        <f t="shared" si="176"/>
        <v>249650.85116823312</v>
      </c>
      <c r="CU23" s="217">
        <f t="shared" si="176"/>
        <v>220778.91736560522</v>
      </c>
      <c r="CV23" s="217">
        <f t="shared" si="176"/>
        <v>219368.19425227871</v>
      </c>
      <c r="CW23" s="217">
        <f t="shared" si="176"/>
        <v>227490.96495975697</v>
      </c>
      <c r="CX23" s="217">
        <f t="shared" si="176"/>
        <v>249650.85116823312</v>
      </c>
      <c r="CY23" s="217">
        <f t="shared" si="176"/>
        <v>220778.91736560522</v>
      </c>
      <c r="CZ23" s="217">
        <f t="shared" si="176"/>
        <v>219368.19425227871</v>
      </c>
      <c r="DA23" s="217">
        <f t="shared" si="176"/>
        <v>227490.96495975697</v>
      </c>
      <c r="DB23" s="217">
        <f t="shared" si="176"/>
        <v>249650.85116823312</v>
      </c>
      <c r="DE23" s="220"/>
      <c r="DF23" s="218">
        <v>131348.03063146622</v>
      </c>
    </row>
    <row r="24" spans="1:110" s="192" customFormat="1" x14ac:dyDescent="0.2">
      <c r="A24" s="195" t="s">
        <v>541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>
        <f t="shared" ref="N24" si="177">+N23/N16</f>
        <v>9.9522558862891908E-2</v>
      </c>
      <c r="O24" s="190">
        <f t="shared" ref="O24" si="178">+O23/O16</f>
        <v>3.1996061540721439E-2</v>
      </c>
      <c r="P24" s="190">
        <f t="shared" ref="P24" si="179">+P23/P16</f>
        <v>1.370775558132128E-2</v>
      </c>
      <c r="Q24" s="190">
        <f t="shared" ref="Q24" si="180">+Q23/Q16</f>
        <v>0.16538958022132622</v>
      </c>
      <c r="R24" s="190">
        <f t="shared" ref="R24" si="181">+R23/R16</f>
        <v>0.13453295052279191</v>
      </c>
      <c r="S24" s="190">
        <f t="shared" ref="S24" si="182">+S23/S16</f>
        <v>6.1534570208380338E-2</v>
      </c>
      <c r="T24" s="190">
        <f t="shared" ref="T24" si="183">+T23/T16</f>
        <v>8.030727460287547E-2</v>
      </c>
      <c r="U24" s="190">
        <f t="shared" ref="U24" si="184">+U23/U16</f>
        <v>6.8130729866533435E-4</v>
      </c>
      <c r="V24" s="190">
        <f t="shared" ref="V24" si="185">+V23/V16</f>
        <v>4.1394379998968368E-2</v>
      </c>
      <c r="W24" s="190">
        <f t="shared" ref="W24" si="186">+W23/W16</f>
        <v>3.4608815902613006E-2</v>
      </c>
      <c r="X24" s="190">
        <f t="shared" ref="X24" si="187">+X23/X16</f>
        <v>7.3160056833207615E-2</v>
      </c>
      <c r="Y24" s="190">
        <f t="shared" ref="Y24" si="188">+Y23/Y16</f>
        <v>0.10736259088986809</v>
      </c>
      <c r="Z24" s="190">
        <f t="shared" ref="Z24" si="189">+Z23/Z16</f>
        <v>0.11642345755484811</v>
      </c>
      <c r="AA24" s="191">
        <f t="shared" ref="AA24" si="190">+AA23/AA16</f>
        <v>0.11642345755484809</v>
      </c>
      <c r="AB24" s="191">
        <f t="shared" ref="AB24" si="191">+AB23/AB16</f>
        <v>-2.4671764940921966E-3</v>
      </c>
      <c r="AC24" s="191">
        <f t="shared" ref="AC24" si="192">+AC23/AC16</f>
        <v>3.2317295764054325E-3</v>
      </c>
      <c r="AD24" s="191">
        <f t="shared" ref="AD24" si="193">+AD23/AD16</f>
        <v>4.4891267462162437E-3</v>
      </c>
      <c r="AE24" s="191">
        <f t="shared" ref="AE24" si="194">+AE23/AE16</f>
        <v>2.1658181799516824E-3</v>
      </c>
      <c r="AI24" s="190">
        <f t="shared" ref="AI24:CI24" si="195">+AI23/AI16</f>
        <v>6.6104562358722196E-2</v>
      </c>
      <c r="AJ24" s="190">
        <f t="shared" si="195"/>
        <v>5.2356557869587719E-2</v>
      </c>
      <c r="AK24" s="190">
        <f t="shared" si="195"/>
        <v>1.366498308104637E-2</v>
      </c>
      <c r="AL24" s="190">
        <f t="shared" si="195"/>
        <v>1.9823289021566316E-2</v>
      </c>
      <c r="AM24" s="190">
        <f t="shared" si="195"/>
        <v>1.1553627327145575E-2</v>
      </c>
      <c r="AN24" s="190">
        <f t="shared" si="195"/>
        <v>9.1695843129295102E-3</v>
      </c>
      <c r="AO24" s="190">
        <f t="shared" si="195"/>
        <v>-5.9086164534658231E-2</v>
      </c>
      <c r="AP24" s="190">
        <f t="shared" si="195"/>
        <v>-7.4661605127382985E-2</v>
      </c>
      <c r="AQ24" s="190">
        <f t="shared" si="195"/>
        <v>-3.8185485336337602E-2</v>
      </c>
      <c r="AR24" s="190">
        <f t="shared" si="195"/>
        <v>-2.996430562791947E-2</v>
      </c>
      <c r="AS24" s="190">
        <f t="shared" si="195"/>
        <v>-6.2014690682944559E-2</v>
      </c>
      <c r="AT24" s="190">
        <f t="shared" si="195"/>
        <v>1.4746464298033907E-2</v>
      </c>
      <c r="AU24" s="190">
        <f t="shared" si="195"/>
        <v>5.0481542652452742E-2</v>
      </c>
      <c r="AV24" s="190">
        <f t="shared" si="195"/>
        <v>7.2679309013072291E-2</v>
      </c>
      <c r="AW24" s="190">
        <f t="shared" si="195"/>
        <v>4.9535989101544636E-2</v>
      </c>
      <c r="AX24" s="190">
        <f t="shared" si="195"/>
        <v>9.5002375059376573E-2</v>
      </c>
      <c r="AY24" s="190">
        <f t="shared" si="195"/>
        <v>5.3792523022978156E-2</v>
      </c>
      <c r="AZ24" s="190">
        <f t="shared" si="195"/>
        <v>2.5861272474584585E-2</v>
      </c>
      <c r="BA24" s="190">
        <f t="shared" si="195"/>
        <v>6.0781427907914886E-3</v>
      </c>
      <c r="BB24" s="190">
        <f t="shared" si="195"/>
        <v>2.9416228210406136E-2</v>
      </c>
      <c r="BC24" s="190">
        <f t="shared" si="195"/>
        <v>-6.5076112863152779E-3</v>
      </c>
      <c r="BD24" s="190">
        <f t="shared" si="195"/>
        <v>5.8527025881156054E-2</v>
      </c>
      <c r="BE24" s="190">
        <f t="shared" si="195"/>
        <v>7.2767298631345248E-2</v>
      </c>
      <c r="BF24" s="190">
        <f t="shared" si="195"/>
        <v>3.1465369317796775E-2</v>
      </c>
      <c r="BG24" s="190">
        <f t="shared" si="195"/>
        <v>8.0120587778463301E-2</v>
      </c>
      <c r="BH24" s="190">
        <f t="shared" si="195"/>
        <v>7.8727090793295942E-2</v>
      </c>
      <c r="BI24" s="190">
        <f t="shared" si="195"/>
        <v>8.078274051729839E-2</v>
      </c>
      <c r="BJ24" s="190">
        <f t="shared" si="195"/>
        <v>5.987530042168128E-2</v>
      </c>
      <c r="BK24" s="190">
        <f t="shared" si="195"/>
        <v>5.5306693948655984E-2</v>
      </c>
      <c r="BL24" s="190">
        <f t="shared" si="195"/>
        <v>-5.1366534406348544E-2</v>
      </c>
      <c r="BM24" s="190">
        <f t="shared" si="195"/>
        <v>-4.8520185079465117E-3</v>
      </c>
      <c r="BN24" s="190">
        <f t="shared" si="195"/>
        <v>-7.4252507225515393E-2</v>
      </c>
      <c r="BO24" s="190">
        <f t="shared" si="195"/>
        <v>-0.31340928292027531</v>
      </c>
      <c r="BP24" s="190">
        <f t="shared" si="195"/>
        <v>1.0520164251507633E-2</v>
      </c>
      <c r="BQ24" s="190">
        <f t="shared" si="195"/>
        <v>5.8076223804902065E-2</v>
      </c>
      <c r="BR24" s="190">
        <f t="shared" si="195"/>
        <v>6.9088442025551408E-2</v>
      </c>
      <c r="BS24" s="190">
        <f t="shared" si="195"/>
        <v>7.5141609802934399E-3</v>
      </c>
      <c r="BT24" s="190">
        <f t="shared" si="195"/>
        <v>2.1952488263935647E-2</v>
      </c>
      <c r="BU24" s="190">
        <f t="shared" si="195"/>
        <v>2.4383175285239457E-2</v>
      </c>
      <c r="BV24" s="190">
        <f t="shared" si="195"/>
        <v>6.4402619177115109E-2</v>
      </c>
      <c r="BW24" s="190">
        <f t="shared" si="195"/>
        <v>4.6510658552523815E-2</v>
      </c>
      <c r="BX24" s="190">
        <f t="shared" si="195"/>
        <v>4.3573933649923464E-2</v>
      </c>
      <c r="BY24" s="190">
        <f t="shared" si="195"/>
        <v>8.6486116862247511E-2</v>
      </c>
      <c r="BZ24" s="190">
        <f t="shared" si="195"/>
        <v>0.10327904744930148</v>
      </c>
      <c r="CA24" s="190">
        <f t="shared" si="195"/>
        <v>8.3898571110059994E-2</v>
      </c>
      <c r="CB24" s="190">
        <f t="shared" si="195"/>
        <v>0.10678686420339027</v>
      </c>
      <c r="CC24" s="190">
        <f t="shared" si="195"/>
        <v>0.114273409411331</v>
      </c>
      <c r="CD24" s="190">
        <f t="shared" si="195"/>
        <v>0.11986185751007879</v>
      </c>
      <c r="CE24" s="190">
        <f t="shared" si="195"/>
        <v>0.11362827659826831</v>
      </c>
      <c r="CF24" s="190">
        <f t="shared" si="195"/>
        <v>0.10652145895089574</v>
      </c>
      <c r="CG24" s="190">
        <f t="shared" si="195"/>
        <v>6.1085680751173689E-2</v>
      </c>
      <c r="CH24" s="190">
        <f t="shared" si="195"/>
        <v>6.9383469173458598E-2</v>
      </c>
      <c r="CI24" s="190">
        <f t="shared" si="195"/>
        <v>0.12052034179313863</v>
      </c>
      <c r="CJ24" s="190">
        <f>+CJ23/CJ16</f>
        <v>0.12112199673431304</v>
      </c>
      <c r="CK24" s="190">
        <f>+CK23/CK16</f>
        <v>0.12631476903688624</v>
      </c>
      <c r="CL24" s="190" t="s">
        <v>550</v>
      </c>
      <c r="CM24" s="191">
        <f t="shared" ref="CM24:DB24" si="196">+CM23/CM16</f>
        <v>0.12081171601508747</v>
      </c>
      <c r="CN24" s="191">
        <f t="shared" si="196"/>
        <v>0.12011235575633206</v>
      </c>
      <c r="CO24" s="191">
        <f t="shared" si="196"/>
        <v>0.12430084416566609</v>
      </c>
      <c r="CP24" s="191">
        <f t="shared" si="196"/>
        <v>0.13586742724993109</v>
      </c>
      <c r="CQ24" s="191">
        <f t="shared" si="196"/>
        <v>0.12308205495057598</v>
      </c>
      <c r="CR24" s="191">
        <f t="shared" si="196"/>
        <v>0.12286126022839076</v>
      </c>
      <c r="CS24" s="191">
        <f t="shared" si="196"/>
        <v>0.12812900159469784</v>
      </c>
      <c r="CT24" s="191">
        <f t="shared" si="196"/>
        <v>0.14167906681534623</v>
      </c>
      <c r="CU24" s="191">
        <f t="shared" si="196"/>
        <v>0.12408852129547317</v>
      </c>
      <c r="CV24" s="191">
        <f t="shared" si="196"/>
        <v>0.1235481956071592</v>
      </c>
      <c r="CW24" s="191">
        <f t="shared" si="196"/>
        <v>0.12830228035944391</v>
      </c>
      <c r="CX24" s="191">
        <f t="shared" si="196"/>
        <v>0.14084782044112742</v>
      </c>
      <c r="CY24" s="191">
        <f t="shared" si="196"/>
        <v>0.12437644308138328</v>
      </c>
      <c r="CZ24" s="191">
        <f t="shared" si="196"/>
        <v>0.12365343619134926</v>
      </c>
      <c r="DA24" s="191">
        <f t="shared" si="196"/>
        <v>0.12825939198039724</v>
      </c>
      <c r="DB24" s="191">
        <f t="shared" si="196"/>
        <v>0.14074137283734495</v>
      </c>
      <c r="DE24" s="193"/>
      <c r="DF24" s="192">
        <v>7.1607856717254711E-2</v>
      </c>
    </row>
    <row r="25" spans="1:110" s="158" customFormat="1" x14ac:dyDescent="0.2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7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10" s="158" customFormat="1" x14ac:dyDescent="0.2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7"/>
      <c r="AB26" s="157"/>
      <c r="AC26" s="157"/>
      <c r="AD26" s="157"/>
      <c r="AE26" s="157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7"/>
      <c r="CN26" s="157"/>
      <c r="CO26" s="157"/>
      <c r="CP26" s="157"/>
      <c r="CQ26" s="157"/>
      <c r="CR26" s="157"/>
      <c r="CS26" s="157"/>
      <c r="CT26" s="157"/>
      <c r="CU26" s="157"/>
      <c r="CV26" s="157"/>
      <c r="CW26" s="157"/>
      <c r="CX26" s="157"/>
      <c r="CY26" s="157"/>
      <c r="CZ26" s="157"/>
      <c r="DA26" s="157"/>
      <c r="DB26" s="157"/>
      <c r="DE26" s="159"/>
    </row>
    <row r="27" spans="1:110" s="104" customFormat="1" x14ac:dyDescent="0.2">
      <c r="A27" s="151" t="s">
        <v>503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3"/>
      <c r="AB27" s="103"/>
      <c r="AC27" s="103"/>
      <c r="AD27" s="103"/>
      <c r="AE27" s="103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3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3"/>
      <c r="DB27" s="103"/>
      <c r="DE27" s="118"/>
    </row>
    <row r="28" spans="1:110" s="104" customFormat="1" x14ac:dyDescent="0.2">
      <c r="A28" s="151" t="s">
        <v>488</v>
      </c>
      <c r="B28" s="102"/>
      <c r="C28" s="102"/>
      <c r="D28" s="102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03"/>
      <c r="AC28" s="103"/>
      <c r="AD28" s="103"/>
      <c r="AE28" s="103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  <c r="DA28" s="103"/>
      <c r="DB28" s="103"/>
      <c r="DE28" s="118"/>
    </row>
    <row r="29" spans="1:110" s="25" customFormat="1" outlineLevel="1" x14ac:dyDescent="0.2">
      <c r="A29" s="25" t="s">
        <v>431</v>
      </c>
      <c r="B29" s="25">
        <f>'Annual Raw'!C6</f>
        <v>0</v>
      </c>
      <c r="C29" s="25">
        <f>'Annual Raw'!D6</f>
        <v>0</v>
      </c>
      <c r="D29" s="25">
        <f>'Annual Raw'!E6</f>
        <v>0</v>
      </c>
      <c r="E29" s="25">
        <v>15018.59</v>
      </c>
      <c r="F29" s="25">
        <v>19940.72</v>
      </c>
      <c r="G29" s="25">
        <v>22912.09</v>
      </c>
      <c r="H29" s="25">
        <v>30710.670000000002</v>
      </c>
      <c r="I29" s="25">
        <v>31933.409999999996</v>
      </c>
      <c r="J29" s="25">
        <v>27426.120000000003</v>
      </c>
      <c r="K29" s="25">
        <v>37134.35</v>
      </c>
      <c r="L29" s="25">
        <v>50611.05</v>
      </c>
      <c r="M29" s="25">
        <v>57401.681615458496</v>
      </c>
      <c r="N29" s="25">
        <v>47412.781895458502</v>
      </c>
      <c r="O29" s="25">
        <v>35981.229615999997</v>
      </c>
      <c r="P29" s="25">
        <v>37656.598673760003</v>
      </c>
      <c r="Q29" s="25">
        <v>47383.61</v>
      </c>
      <c r="R29" s="25">
        <v>49054.490000000005</v>
      </c>
      <c r="S29" s="25">
        <v>58689.810000000012</v>
      </c>
      <c r="T29" s="25">
        <v>69202.759999999995</v>
      </c>
      <c r="U29" s="25">
        <v>43928.170000000006</v>
      </c>
      <c r="V29" s="25">
        <v>47031.469999999994</v>
      </c>
      <c r="W29" s="25">
        <v>46880.970000000008</v>
      </c>
      <c r="X29" s="25">
        <v>65298.839999999989</v>
      </c>
      <c r="Y29" s="25">
        <v>72746</v>
      </c>
      <c r="Z29" s="25">
        <v>68869</v>
      </c>
      <c r="AA29" s="25">
        <v>68869</v>
      </c>
      <c r="AB29" s="17">
        <f>+SUM(CM29:CP29)</f>
        <v>87366.163651030249</v>
      </c>
      <c r="AC29" s="17">
        <f>+SUM(CQ29:CT29)</f>
        <v>94717.369000015446</v>
      </c>
      <c r="AD29" s="17">
        <f>+SUM(CU29:CX29)</f>
        <v>105678.2994552767</v>
      </c>
      <c r="AE29" s="17">
        <f>+SUM(CY29:DB29)</f>
        <v>118074.8077757274</v>
      </c>
      <c r="AI29" s="25">
        <v>11581.7</v>
      </c>
      <c r="AJ29" s="25">
        <v>13714.36</v>
      </c>
      <c r="AK29" s="25">
        <v>11584.57</v>
      </c>
      <c r="AL29" s="25">
        <v>12046.42</v>
      </c>
      <c r="AM29" s="25">
        <v>10013.049999999999</v>
      </c>
      <c r="AN29" s="25">
        <v>9657.43</v>
      </c>
      <c r="AO29" s="25">
        <v>8458.27</v>
      </c>
      <c r="AP29" s="25">
        <v>9248.11</v>
      </c>
      <c r="AQ29" s="25">
        <v>8256.4599999999991</v>
      </c>
      <c r="AR29" s="25">
        <v>9377.2199999999993</v>
      </c>
      <c r="AS29" s="25">
        <v>9681.92</v>
      </c>
      <c r="AT29" s="25">
        <v>11804.5</v>
      </c>
      <c r="AU29" s="25">
        <v>10262.76</v>
      </c>
      <c r="AV29" s="25">
        <v>11601</v>
      </c>
      <c r="AW29" s="25">
        <v>10892.22</v>
      </c>
      <c r="AX29" s="25">
        <v>14147.98</v>
      </c>
      <c r="AY29" s="25">
        <v>11434.91</v>
      </c>
      <c r="AZ29" s="25">
        <v>11365.86</v>
      </c>
      <c r="BA29" s="25">
        <v>11207.2</v>
      </c>
      <c r="BB29" s="25">
        <v>15080.560000000001</v>
      </c>
      <c r="BC29" s="25">
        <v>10366.189999999999</v>
      </c>
      <c r="BD29" s="25">
        <v>13310.37</v>
      </c>
      <c r="BE29" s="25">
        <v>15962.39</v>
      </c>
      <c r="BF29" s="25">
        <v>19173.46</v>
      </c>
      <c r="BG29" s="25">
        <v>16674.989999999998</v>
      </c>
      <c r="BH29" s="25">
        <v>17758.689999999999</v>
      </c>
      <c r="BI29" s="25">
        <v>16207.670000000002</v>
      </c>
      <c r="BJ29" s="25">
        <v>18561.41</v>
      </c>
      <c r="BK29" s="25">
        <v>13351.91</v>
      </c>
      <c r="BL29" s="25">
        <v>10000.48</v>
      </c>
      <c r="BM29" s="25">
        <v>10842.91</v>
      </c>
      <c r="BN29" s="25">
        <v>9732.869999999999</v>
      </c>
      <c r="BO29" s="25">
        <v>2686.87</v>
      </c>
      <c r="BP29" s="25">
        <v>9668.1</v>
      </c>
      <c r="BQ29" s="25">
        <v>14630.6</v>
      </c>
      <c r="BR29" s="25">
        <v>20045.900000000001</v>
      </c>
      <c r="BS29" s="25">
        <v>11904.19</v>
      </c>
      <c r="BT29" s="25">
        <v>10996.02</v>
      </c>
      <c r="BU29" s="25">
        <v>12352.78</v>
      </c>
      <c r="BV29" s="25">
        <v>17338.27</v>
      </c>
      <c r="BW29" s="25">
        <v>14874.440000000002</v>
      </c>
      <c r="BX29" s="25">
        <v>14946.780000000002</v>
      </c>
      <c r="BY29" s="25">
        <v>15793.98</v>
      </c>
      <c r="BZ29" s="25">
        <v>20142.129999999997</v>
      </c>
      <c r="CA29" s="25">
        <v>15832.570000000002</v>
      </c>
      <c r="CB29" s="25">
        <v>18541.7</v>
      </c>
      <c r="CC29" s="25">
        <v>18668.560000000001</v>
      </c>
      <c r="CD29" s="25">
        <v>20260.239999999998</v>
      </c>
      <c r="CE29" s="25">
        <v>16862</v>
      </c>
      <c r="CF29" s="25">
        <v>15518</v>
      </c>
      <c r="CG29" s="25">
        <v>17040</v>
      </c>
      <c r="CH29" s="25">
        <v>19999</v>
      </c>
      <c r="CI29" s="25">
        <v>15682</v>
      </c>
      <c r="CJ29" s="25">
        <f>'QTR Raw'!BD6+'QTR Raw'!BD8</f>
        <v>16861</v>
      </c>
      <c r="CK29" s="25">
        <f>'QTR Raw'!BE6+'QTR Raw'!BE8</f>
        <v>20404</v>
      </c>
      <c r="CL29" s="25">
        <f>'QTR Raw'!BF6+'QTR Raw'!BF8</f>
        <v>24452</v>
      </c>
      <c r="CM29" s="17">
        <f t="shared" ref="CM29:DB29" si="197">+CM12*CM16/10^7</f>
        <v>17459.214141649172</v>
      </c>
      <c r="CN29" s="17">
        <f t="shared" si="197"/>
        <v>19330.756710510082</v>
      </c>
      <c r="CO29" s="17">
        <f t="shared" si="197"/>
        <v>23430.963699700271</v>
      </c>
      <c r="CP29" s="17">
        <f t="shared" si="197"/>
        <v>27145.229099170723</v>
      </c>
      <c r="CQ29" s="17">
        <f t="shared" si="197"/>
        <v>19131.317488769502</v>
      </c>
      <c r="CR29" s="17">
        <f t="shared" si="197"/>
        <v>21132.898228210222</v>
      </c>
      <c r="CS29" s="17">
        <f t="shared" si="197"/>
        <v>25412.282548430176</v>
      </c>
      <c r="CT29" s="17">
        <f t="shared" si="197"/>
        <v>29040.870734605542</v>
      </c>
      <c r="CU29" s="17">
        <f t="shared" si="197"/>
        <v>21190.862989726185</v>
      </c>
      <c r="CV29" s="17">
        <f t="shared" si="197"/>
        <v>23507.851533237579</v>
      </c>
      <c r="CW29" s="17">
        <f t="shared" si="197"/>
        <v>28380.572834683411</v>
      </c>
      <c r="CX29" s="17">
        <f t="shared" si="197"/>
        <v>32599.012097629529</v>
      </c>
      <c r="CY29" s="17">
        <f t="shared" si="197"/>
        <v>23616.64872590248</v>
      </c>
      <c r="CZ29" s="17">
        <f t="shared" si="197"/>
        <v>26281.890895001809</v>
      </c>
      <c r="DA29" s="17">
        <f t="shared" si="197"/>
        <v>31759.135161888429</v>
      </c>
      <c r="DB29" s="17">
        <f t="shared" si="197"/>
        <v>36417.132992934683</v>
      </c>
      <c r="DE29" s="119"/>
      <c r="DF29" s="25">
        <v>24297.636705281653</v>
      </c>
    </row>
    <row r="30" spans="1:110" s="75" customFormat="1" outlineLevel="1" x14ac:dyDescent="0.2">
      <c r="A30" s="75" t="s">
        <v>253</v>
      </c>
      <c r="E30" s="75">
        <v>103.88</v>
      </c>
      <c r="F30" s="75">
        <v>105.67999999999999</v>
      </c>
      <c r="G30" s="75">
        <v>132.04000000000002</v>
      </c>
      <c r="H30" s="75">
        <v>208.26999999999998</v>
      </c>
      <c r="I30" s="75">
        <v>208.91</v>
      </c>
      <c r="J30" s="75">
        <v>255.95999999999998</v>
      </c>
      <c r="K30" s="75">
        <v>219.26999999999998</v>
      </c>
      <c r="L30" s="75">
        <v>233.04000000000002</v>
      </c>
      <c r="M30" s="75">
        <v>301.15999999999997</v>
      </c>
      <c r="N30" s="75">
        <v>392.68</v>
      </c>
      <c r="O30" s="75">
        <v>381.14</v>
      </c>
      <c r="P30" s="75">
        <v>404.24</v>
      </c>
      <c r="Q30" s="75">
        <v>421.82</v>
      </c>
      <c r="R30" s="75">
        <v>581.9</v>
      </c>
      <c r="S30" s="75">
        <v>455.48</v>
      </c>
      <c r="T30" s="75">
        <v>437.88</v>
      </c>
      <c r="U30" s="75">
        <v>442.41</v>
      </c>
      <c r="V30" s="75">
        <v>472.08000000000004</v>
      </c>
      <c r="W30" s="75">
        <v>382.71</v>
      </c>
      <c r="X30" s="75">
        <v>458.48999999999995</v>
      </c>
      <c r="Y30" s="75">
        <v>557</v>
      </c>
      <c r="Z30" s="75">
        <v>550</v>
      </c>
      <c r="AA30" s="75">
        <v>550</v>
      </c>
      <c r="AB30" s="76"/>
      <c r="AC30" s="76"/>
      <c r="AD30" s="76"/>
      <c r="AE30" s="76"/>
      <c r="AI30" s="75">
        <v>75.77000000000001</v>
      </c>
      <c r="AJ30" s="75">
        <v>84.97</v>
      </c>
      <c r="AK30" s="75">
        <v>101.43</v>
      </c>
      <c r="AL30" s="75">
        <v>130.51</v>
      </c>
      <c r="AM30" s="75">
        <v>68.89</v>
      </c>
      <c r="AN30" s="75">
        <v>107.35</v>
      </c>
      <c r="AO30" s="75">
        <v>98.27</v>
      </c>
      <c r="AP30" s="75">
        <v>106.63</v>
      </c>
      <c r="AQ30" s="75">
        <v>91.87</v>
      </c>
      <c r="AR30" s="75">
        <v>94.22999999999999</v>
      </c>
      <c r="AS30" s="75">
        <v>112.50999999999999</v>
      </c>
      <c r="AT30" s="75">
        <v>108.09</v>
      </c>
      <c r="AU30" s="75">
        <v>137.59</v>
      </c>
      <c r="AV30" s="75">
        <v>192.9</v>
      </c>
      <c r="AW30" s="75">
        <v>163.05000000000001</v>
      </c>
      <c r="AX30" s="75">
        <v>0</v>
      </c>
      <c r="AY30" s="75">
        <v>0</v>
      </c>
      <c r="AZ30" s="75">
        <v>0</v>
      </c>
      <c r="BA30" s="75">
        <v>0</v>
      </c>
      <c r="BB30" s="75">
        <v>0</v>
      </c>
      <c r="BC30" s="75">
        <v>0</v>
      </c>
      <c r="BD30" s="75">
        <v>0</v>
      </c>
      <c r="BE30" s="75">
        <v>0</v>
      </c>
      <c r="BF30" s="75">
        <v>0</v>
      </c>
      <c r="BG30" s="75">
        <v>0</v>
      </c>
      <c r="BH30" s="75">
        <v>0</v>
      </c>
      <c r="BI30" s="75">
        <v>0</v>
      </c>
      <c r="BJ30" s="75">
        <v>0</v>
      </c>
      <c r="BK30" s="75">
        <v>0</v>
      </c>
      <c r="BL30" s="75">
        <v>0</v>
      </c>
      <c r="BM30" s="75">
        <v>0</v>
      </c>
      <c r="BN30" s="75">
        <v>0</v>
      </c>
      <c r="BO30" s="75">
        <v>0</v>
      </c>
      <c r="BP30" s="75">
        <v>0</v>
      </c>
      <c r="BQ30" s="75">
        <v>0</v>
      </c>
      <c r="BR30" s="75">
        <v>0</v>
      </c>
      <c r="BS30" s="75">
        <v>0</v>
      </c>
      <c r="BT30" s="75">
        <v>0</v>
      </c>
      <c r="BU30" s="75">
        <v>0</v>
      </c>
      <c r="BV30" s="75">
        <v>0</v>
      </c>
      <c r="BW30" s="75">
        <v>0</v>
      </c>
      <c r="BX30" s="75">
        <v>0</v>
      </c>
      <c r="BY30" s="75">
        <v>0</v>
      </c>
      <c r="BZ30" s="75">
        <v>0</v>
      </c>
      <c r="CA30" s="75">
        <v>0</v>
      </c>
      <c r="CB30" s="75">
        <v>0</v>
      </c>
      <c r="CC30" s="75">
        <v>0</v>
      </c>
      <c r="CD30" s="75">
        <v>0</v>
      </c>
      <c r="CE30" s="75">
        <v>0</v>
      </c>
      <c r="CF30" s="75">
        <v>0</v>
      </c>
      <c r="CG30" s="75">
        <v>0</v>
      </c>
      <c r="CH30" s="75">
        <v>0</v>
      </c>
      <c r="CI30" s="75">
        <v>0</v>
      </c>
      <c r="CJ30" s="75">
        <v>0</v>
      </c>
      <c r="CK30" s="75">
        <v>0</v>
      </c>
      <c r="CL30" s="75">
        <v>0</v>
      </c>
      <c r="CM30" s="198"/>
      <c r="CN30" s="198"/>
      <c r="CO30" s="198"/>
      <c r="CP30" s="198"/>
      <c r="CQ30" s="198"/>
      <c r="CR30" s="198"/>
      <c r="CS30" s="198"/>
      <c r="CT30" s="198"/>
      <c r="CU30" s="198"/>
      <c r="CV30" s="198"/>
      <c r="CW30" s="198"/>
      <c r="CX30" s="76"/>
      <c r="CY30" s="76"/>
      <c r="CZ30" s="76"/>
      <c r="DA30" s="76"/>
      <c r="DB30" s="76"/>
      <c r="DE30" s="132"/>
    </row>
    <row r="31" spans="1:110" s="92" customFormat="1" outlineLevel="1" x14ac:dyDescent="0.2">
      <c r="A31" s="92" t="s">
        <v>109</v>
      </c>
      <c r="B31" s="92">
        <f>'Annual Raw'!C7+'Annual Raw'!C8+'Annual Raw'!C9</f>
        <v>0</v>
      </c>
      <c r="C31" s="92">
        <f>'Annual Raw'!D7+'Annual Raw'!D8+'Annual Raw'!D9</f>
        <v>0</v>
      </c>
      <c r="D31" s="92">
        <f>'Annual Raw'!E7+'Annual Raw'!E8+'Annual Raw'!E9</f>
        <v>0</v>
      </c>
      <c r="E31" s="92">
        <f>'Annual Raw'!F7+'Annual Raw'!F8+'Annual Raw'!F9</f>
        <v>0</v>
      </c>
      <c r="F31" s="92">
        <f>'Annual Raw'!G7+'Annual Raw'!G8+'Annual Raw'!G9</f>
        <v>0</v>
      </c>
      <c r="G31" s="92">
        <f>'Annual Raw'!H7+'Annual Raw'!H8+'Annual Raw'!H9</f>
        <v>0</v>
      </c>
      <c r="H31" s="92">
        <f>'Annual Raw'!I7+'Annual Raw'!I8+'Annual Raw'!I9</f>
        <v>0</v>
      </c>
      <c r="I31" s="92">
        <f>'Annual Raw'!J7+'Annual Raw'!J8+'Annual Raw'!J9</f>
        <v>0</v>
      </c>
      <c r="J31" s="92">
        <f>'Annual Raw'!K7+'Annual Raw'!K8+'Annual Raw'!K9</f>
        <v>0</v>
      </c>
      <c r="K31" s="92">
        <f>'Annual Raw'!L7+'Annual Raw'!L8+'Annual Raw'!L9</f>
        <v>0</v>
      </c>
      <c r="L31" s="92">
        <f>'Annual Raw'!M7+'Annual Raw'!M8+'Annual Raw'!M9</f>
        <v>0</v>
      </c>
      <c r="M31" s="92">
        <f>'Annual Raw'!N7+'Annual Raw'!N8+'Annual Raw'!N9</f>
        <v>0</v>
      </c>
      <c r="N31" s="92">
        <f>'Annual Raw'!O7+'Annual Raw'!O8+'Annual Raw'!O9</f>
        <v>0</v>
      </c>
      <c r="O31" s="92">
        <f>'Annual Raw'!P7+'Annual Raw'!P8+'Annual Raw'!P9</f>
        <v>0</v>
      </c>
      <c r="P31" s="92">
        <f>'Annual Raw'!Q7+'Annual Raw'!Q8+'Annual Raw'!Q9</f>
        <v>0</v>
      </c>
      <c r="Q31" s="92">
        <f>'Annual Raw'!R7+'Annual Raw'!R8+'Annual Raw'!R9</f>
        <v>0</v>
      </c>
      <c r="R31" s="92">
        <f>'Annual Raw'!S7+'Annual Raw'!S8+'Annual Raw'!S9</f>
        <v>0</v>
      </c>
      <c r="S31" s="92">
        <f>'Annual Raw'!T7+'Annual Raw'!T8+'Annual Raw'!T9</f>
        <v>0</v>
      </c>
      <c r="T31" s="92">
        <f>'Annual Raw'!U7+'Annual Raw'!U8+'Annual Raw'!U9</f>
        <v>0</v>
      </c>
      <c r="U31" s="92">
        <f>'Annual Raw'!V7+'Annual Raw'!V8+'Annual Raw'!V9</f>
        <v>0</v>
      </c>
      <c r="V31" s="92">
        <f>'Annual Raw'!W7+'Annual Raw'!W8+'Annual Raw'!W9</f>
        <v>0</v>
      </c>
      <c r="W31" s="92">
        <f>'Annual Raw'!X7+'Annual Raw'!X8+'Annual Raw'!X9</f>
        <v>0</v>
      </c>
      <c r="X31" s="92">
        <f>'Annual Raw'!Y7+'Annual Raw'!Y8+'Annual Raw'!Y9</f>
        <v>0</v>
      </c>
      <c r="Y31" s="92">
        <f>'Annual Raw'!Z7+'Annual Raw'!Z8+'Annual Raw'!Z9</f>
        <v>0</v>
      </c>
      <c r="Z31" s="92">
        <f>'Annual Raw'!AA7+'Annual Raw'!AA8+'Annual Raw'!AA9</f>
        <v>0</v>
      </c>
      <c r="AA31" s="92">
        <f>'Annual Raw'!AB7+'Annual Raw'!AB8+'Annual Raw'!AB9</f>
        <v>0</v>
      </c>
      <c r="AB31" s="74"/>
      <c r="AC31" s="74"/>
      <c r="AD31" s="74"/>
      <c r="AE31" s="74"/>
      <c r="AI31" s="92">
        <v>1071.06</v>
      </c>
      <c r="AJ31" s="92">
        <v>1317.99</v>
      </c>
      <c r="AK31" s="92">
        <v>1055.9100000000001</v>
      </c>
      <c r="AL31" s="92">
        <v>1109.1400000000001</v>
      </c>
      <c r="AM31" s="92">
        <v>977.44000000000017</v>
      </c>
      <c r="AN31" s="92">
        <v>896.33000000000015</v>
      </c>
      <c r="AO31" s="92">
        <v>786.87</v>
      </c>
      <c r="AP31" s="92">
        <v>809.25</v>
      </c>
      <c r="AQ31" s="92">
        <v>643.57000000000005</v>
      </c>
      <c r="AR31" s="92">
        <v>719.37</v>
      </c>
      <c r="AS31" s="92">
        <v>738.35</v>
      </c>
      <c r="AT31" s="92">
        <v>1128.31</v>
      </c>
      <c r="AU31" s="92">
        <v>1076.1500000000001</v>
      </c>
      <c r="AV31" s="92">
        <v>1100.21</v>
      </c>
      <c r="AW31" s="92">
        <v>1013.4799999999999</v>
      </c>
      <c r="AX31" s="92">
        <v>1348.3</v>
      </c>
      <c r="AY31" s="92">
        <v>1145.19</v>
      </c>
      <c r="AZ31" s="92">
        <v>1083.69</v>
      </c>
      <c r="BA31" s="92">
        <v>1001.78</v>
      </c>
      <c r="BB31" s="92">
        <v>1506.42</v>
      </c>
      <c r="BC31" s="92">
        <v>1278.3700000000001</v>
      </c>
      <c r="BD31" s="92">
        <v>-487.7</v>
      </c>
      <c r="BE31" s="92">
        <v>0</v>
      </c>
      <c r="BF31" s="92">
        <v>0</v>
      </c>
      <c r="BG31" s="92">
        <v>0</v>
      </c>
      <c r="BH31" s="92">
        <v>0</v>
      </c>
      <c r="BI31" s="92">
        <v>0</v>
      </c>
      <c r="BJ31" s="92">
        <v>0</v>
      </c>
      <c r="BK31" s="92">
        <v>0</v>
      </c>
      <c r="BL31" s="92">
        <v>0</v>
      </c>
      <c r="BM31" s="92">
        <v>0</v>
      </c>
      <c r="BN31" s="92">
        <v>0</v>
      </c>
      <c r="BO31" s="92">
        <v>0</v>
      </c>
      <c r="BP31" s="92">
        <v>0</v>
      </c>
      <c r="BQ31" s="92">
        <v>0</v>
      </c>
      <c r="BR31" s="92">
        <v>0</v>
      </c>
      <c r="BS31" s="92">
        <v>0</v>
      </c>
      <c r="BT31" s="92">
        <v>0</v>
      </c>
      <c r="BU31" s="92">
        <v>0</v>
      </c>
      <c r="BV31" s="92">
        <v>0</v>
      </c>
      <c r="BW31" s="92">
        <v>0</v>
      </c>
      <c r="BX31" s="92">
        <v>0</v>
      </c>
      <c r="BY31" s="92">
        <v>0</v>
      </c>
      <c r="BZ31" s="92">
        <v>0</v>
      </c>
      <c r="CA31" s="92">
        <v>0</v>
      </c>
      <c r="CB31" s="92">
        <v>0</v>
      </c>
      <c r="CC31" s="92">
        <v>0</v>
      </c>
      <c r="CD31" s="92">
        <v>0</v>
      </c>
      <c r="CE31" s="92">
        <v>0</v>
      </c>
      <c r="CF31" s="92">
        <v>0</v>
      </c>
      <c r="CG31" s="92">
        <v>0</v>
      </c>
      <c r="CH31" s="92">
        <v>0</v>
      </c>
      <c r="CI31" s="92">
        <v>0</v>
      </c>
      <c r="CJ31" s="92">
        <f>'QTR Raw'!BD21+'QTR Raw'!BD20+'QTR Raw'!BD19+'QTR Raw'!BD13+'QTR Raw'!BD7</f>
        <v>-287</v>
      </c>
      <c r="CK31" s="92">
        <f>'QTR Raw'!BE21+'QTR Raw'!BE20+'QTR Raw'!BE19+'QTR Raw'!BE13+'QTR Raw'!BE7</f>
        <v>-227</v>
      </c>
      <c r="CL31" s="92">
        <f>'QTR Raw'!BF21+'QTR Raw'!BF20+'QTR Raw'!BF19+'QTR Raw'!BF13+'QTR Raw'!BF7</f>
        <v>-264</v>
      </c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E31" s="120"/>
    </row>
    <row r="32" spans="1:110" s="26" customFormat="1" x14ac:dyDescent="0.2">
      <c r="A32" s="26" t="s">
        <v>432</v>
      </c>
      <c r="B32" s="26">
        <f>+B29-B31</f>
        <v>0</v>
      </c>
      <c r="C32" s="26">
        <f>+C29-C31</f>
        <v>0</v>
      </c>
      <c r="D32" s="26">
        <f>+D29-D31</f>
        <v>0</v>
      </c>
      <c r="E32" s="26">
        <f t="shared" ref="E32:AE32" si="198">+E29-E31+E30</f>
        <v>15122.47</v>
      </c>
      <c r="F32" s="26">
        <f t="shared" si="198"/>
        <v>20046.400000000001</v>
      </c>
      <c r="G32" s="26">
        <f t="shared" si="198"/>
        <v>23044.13</v>
      </c>
      <c r="H32" s="26">
        <f t="shared" si="198"/>
        <v>30918.940000000002</v>
      </c>
      <c r="I32" s="26">
        <f t="shared" si="198"/>
        <v>32142.319999999996</v>
      </c>
      <c r="J32" s="26">
        <f t="shared" si="198"/>
        <v>27682.080000000002</v>
      </c>
      <c r="K32" s="26">
        <f t="shared" si="198"/>
        <v>37353.619999999995</v>
      </c>
      <c r="L32" s="26">
        <f t="shared" si="198"/>
        <v>50844.090000000004</v>
      </c>
      <c r="M32" s="26">
        <f t="shared" si="198"/>
        <v>57702.841615458499</v>
      </c>
      <c r="N32" s="26">
        <f t="shared" si="198"/>
        <v>47805.461895458502</v>
      </c>
      <c r="O32" s="26">
        <f t="shared" si="198"/>
        <v>36362.369615999996</v>
      </c>
      <c r="P32" s="26">
        <f t="shared" si="198"/>
        <v>38060.838673760001</v>
      </c>
      <c r="Q32" s="26">
        <f t="shared" si="198"/>
        <v>47805.43</v>
      </c>
      <c r="R32" s="26">
        <f t="shared" si="198"/>
        <v>49636.390000000007</v>
      </c>
      <c r="S32" s="26">
        <f t="shared" si="198"/>
        <v>59145.290000000015</v>
      </c>
      <c r="T32" s="26">
        <f t="shared" si="198"/>
        <v>69640.639999999999</v>
      </c>
      <c r="U32" s="26">
        <f t="shared" si="198"/>
        <v>44370.580000000009</v>
      </c>
      <c r="V32" s="26">
        <f t="shared" si="198"/>
        <v>47503.549999999996</v>
      </c>
      <c r="W32" s="26">
        <f t="shared" si="198"/>
        <v>47263.680000000008</v>
      </c>
      <c r="X32" s="26">
        <f t="shared" si="198"/>
        <v>65757.329999999987</v>
      </c>
      <c r="Y32" s="26">
        <f t="shared" si="198"/>
        <v>73303</v>
      </c>
      <c r="Z32" s="26">
        <f t="shared" si="198"/>
        <v>69419</v>
      </c>
      <c r="AA32" s="26">
        <f t="shared" ref="AA32" si="199">+AA29-AA31+AA30</f>
        <v>69419</v>
      </c>
      <c r="AB32" s="27">
        <f t="shared" si="198"/>
        <v>87366.163651030249</v>
      </c>
      <c r="AC32" s="27">
        <f t="shared" si="198"/>
        <v>94717.369000015446</v>
      </c>
      <c r="AD32" s="27">
        <f t="shared" si="198"/>
        <v>105678.2994552767</v>
      </c>
      <c r="AE32" s="27">
        <f t="shared" si="198"/>
        <v>118074.8077757274</v>
      </c>
      <c r="AI32" s="26">
        <f t="shared" ref="AI32:BN32" si="200">+AI29-AI31+AI30</f>
        <v>10586.410000000002</v>
      </c>
      <c r="AJ32" s="26">
        <f t="shared" si="200"/>
        <v>12481.34</v>
      </c>
      <c r="AK32" s="26">
        <f t="shared" si="200"/>
        <v>10630.09</v>
      </c>
      <c r="AL32" s="26">
        <f t="shared" si="200"/>
        <v>11067.79</v>
      </c>
      <c r="AM32" s="26">
        <f t="shared" si="200"/>
        <v>9104.4999999999982</v>
      </c>
      <c r="AN32" s="26">
        <f t="shared" si="200"/>
        <v>8868.4500000000007</v>
      </c>
      <c r="AO32" s="26">
        <f t="shared" si="200"/>
        <v>7769.670000000001</v>
      </c>
      <c r="AP32" s="26">
        <f t="shared" si="200"/>
        <v>8545.49</v>
      </c>
      <c r="AQ32" s="26">
        <f t="shared" si="200"/>
        <v>7704.7599999999993</v>
      </c>
      <c r="AR32" s="26">
        <f t="shared" si="200"/>
        <v>8752.0799999999981</v>
      </c>
      <c r="AS32" s="26">
        <f t="shared" si="200"/>
        <v>9056.08</v>
      </c>
      <c r="AT32" s="26">
        <f t="shared" si="200"/>
        <v>10784.28</v>
      </c>
      <c r="AU32" s="26">
        <f t="shared" si="200"/>
        <v>9324.2000000000007</v>
      </c>
      <c r="AV32" s="26">
        <f t="shared" si="200"/>
        <v>10693.69</v>
      </c>
      <c r="AW32" s="26">
        <f t="shared" si="200"/>
        <v>10041.789999999999</v>
      </c>
      <c r="AX32" s="26">
        <f t="shared" si="200"/>
        <v>12799.68</v>
      </c>
      <c r="AY32" s="26">
        <f t="shared" si="200"/>
        <v>10289.719999999999</v>
      </c>
      <c r="AZ32" s="26">
        <f t="shared" si="200"/>
        <v>10282.17</v>
      </c>
      <c r="BA32" s="26">
        <f t="shared" si="200"/>
        <v>10205.42</v>
      </c>
      <c r="BB32" s="26">
        <f t="shared" si="200"/>
        <v>13574.140000000001</v>
      </c>
      <c r="BC32" s="26">
        <f t="shared" si="200"/>
        <v>9087.8199999999979</v>
      </c>
      <c r="BD32" s="26">
        <f t="shared" si="200"/>
        <v>13798.070000000002</v>
      </c>
      <c r="BE32" s="26">
        <f t="shared" si="200"/>
        <v>15962.39</v>
      </c>
      <c r="BF32" s="26">
        <f t="shared" si="200"/>
        <v>19173.46</v>
      </c>
      <c r="BG32" s="26">
        <f t="shared" si="200"/>
        <v>16674.989999999998</v>
      </c>
      <c r="BH32" s="26">
        <f t="shared" si="200"/>
        <v>17758.689999999999</v>
      </c>
      <c r="BI32" s="26">
        <f t="shared" si="200"/>
        <v>16207.670000000002</v>
      </c>
      <c r="BJ32" s="26">
        <f t="shared" si="200"/>
        <v>18561.41</v>
      </c>
      <c r="BK32" s="26">
        <f t="shared" si="200"/>
        <v>13351.91</v>
      </c>
      <c r="BL32" s="26">
        <f t="shared" si="200"/>
        <v>10000.48</v>
      </c>
      <c r="BM32" s="26">
        <f t="shared" si="200"/>
        <v>10842.91</v>
      </c>
      <c r="BN32" s="26">
        <f t="shared" si="200"/>
        <v>9732.869999999999</v>
      </c>
      <c r="BO32" s="26">
        <f t="shared" ref="BO32:CL32" si="201">+BO29-BO31+BO30</f>
        <v>2686.87</v>
      </c>
      <c r="BP32" s="26">
        <f t="shared" si="201"/>
        <v>9668.1</v>
      </c>
      <c r="BQ32" s="26">
        <f t="shared" si="201"/>
        <v>14630.6</v>
      </c>
      <c r="BR32" s="26">
        <f t="shared" si="201"/>
        <v>20045.900000000001</v>
      </c>
      <c r="BS32" s="26">
        <f t="shared" si="201"/>
        <v>11904.19</v>
      </c>
      <c r="BT32" s="26">
        <f t="shared" si="201"/>
        <v>10996.02</v>
      </c>
      <c r="BU32" s="26">
        <f t="shared" si="201"/>
        <v>12352.78</v>
      </c>
      <c r="BV32" s="26">
        <f t="shared" si="201"/>
        <v>17338.27</v>
      </c>
      <c r="BW32" s="26">
        <f t="shared" si="201"/>
        <v>14874.440000000002</v>
      </c>
      <c r="BX32" s="26">
        <f t="shared" si="201"/>
        <v>14946.780000000002</v>
      </c>
      <c r="BY32" s="26">
        <f t="shared" si="201"/>
        <v>15793.98</v>
      </c>
      <c r="BZ32" s="26">
        <f t="shared" si="201"/>
        <v>20142.129999999997</v>
      </c>
      <c r="CA32" s="26">
        <f t="shared" si="201"/>
        <v>15832.570000000002</v>
      </c>
      <c r="CB32" s="26">
        <f t="shared" si="201"/>
        <v>18541.7</v>
      </c>
      <c r="CC32" s="26">
        <f t="shared" si="201"/>
        <v>18668.560000000001</v>
      </c>
      <c r="CD32" s="26">
        <f t="shared" si="201"/>
        <v>20260.239999999998</v>
      </c>
      <c r="CE32" s="26">
        <f t="shared" si="201"/>
        <v>16862</v>
      </c>
      <c r="CF32" s="26">
        <f t="shared" si="201"/>
        <v>15518</v>
      </c>
      <c r="CG32" s="26">
        <f t="shared" si="201"/>
        <v>17040</v>
      </c>
      <c r="CH32" s="26">
        <f t="shared" si="201"/>
        <v>19999</v>
      </c>
      <c r="CI32" s="26">
        <f t="shared" si="201"/>
        <v>15682</v>
      </c>
      <c r="CJ32" s="26">
        <f t="shared" si="201"/>
        <v>17148</v>
      </c>
      <c r="CK32" s="26">
        <f t="shared" si="201"/>
        <v>20631</v>
      </c>
      <c r="CL32" s="26">
        <f t="shared" si="201"/>
        <v>24716</v>
      </c>
      <c r="CM32" s="27">
        <f t="shared" ref="CM32:DB32" si="202">+CM29-CM31</f>
        <v>17459.214141649172</v>
      </c>
      <c r="CN32" s="27">
        <f t="shared" si="202"/>
        <v>19330.756710510082</v>
      </c>
      <c r="CO32" s="27">
        <f t="shared" si="202"/>
        <v>23430.963699700271</v>
      </c>
      <c r="CP32" s="27">
        <f t="shared" si="202"/>
        <v>27145.229099170723</v>
      </c>
      <c r="CQ32" s="27">
        <f t="shared" si="202"/>
        <v>19131.317488769502</v>
      </c>
      <c r="CR32" s="27">
        <f t="shared" si="202"/>
        <v>21132.898228210222</v>
      </c>
      <c r="CS32" s="27">
        <f t="shared" si="202"/>
        <v>25412.282548430176</v>
      </c>
      <c r="CT32" s="27">
        <f t="shared" si="202"/>
        <v>29040.870734605542</v>
      </c>
      <c r="CU32" s="27">
        <f t="shared" si="202"/>
        <v>21190.862989726185</v>
      </c>
      <c r="CV32" s="27">
        <f t="shared" si="202"/>
        <v>23507.851533237579</v>
      </c>
      <c r="CW32" s="27">
        <f t="shared" si="202"/>
        <v>28380.572834683411</v>
      </c>
      <c r="CX32" s="27">
        <f t="shared" si="202"/>
        <v>32599.012097629529</v>
      </c>
      <c r="CY32" s="27">
        <f t="shared" si="202"/>
        <v>23616.64872590248</v>
      </c>
      <c r="CZ32" s="27">
        <f t="shared" si="202"/>
        <v>26281.890895001809</v>
      </c>
      <c r="DA32" s="27">
        <f t="shared" si="202"/>
        <v>31759.135161888429</v>
      </c>
      <c r="DB32" s="27">
        <f t="shared" si="202"/>
        <v>36417.132992934683</v>
      </c>
      <c r="DE32" s="121"/>
      <c r="DF32" s="26">
        <v>24297.636705281653</v>
      </c>
    </row>
    <row r="33" spans="1:110" s="39" customFormat="1" x14ac:dyDescent="0.2">
      <c r="A33" s="39" t="s">
        <v>486</v>
      </c>
      <c r="C33" s="39" t="e">
        <f>C32/B32-1</f>
        <v>#DIV/0!</v>
      </c>
      <c r="D33" s="39" t="e">
        <f t="shared" ref="D33:R33" si="203">D32/C32-1</f>
        <v>#DIV/0!</v>
      </c>
      <c r="F33" s="39">
        <f t="shared" si="203"/>
        <v>0.32560355550382991</v>
      </c>
      <c r="G33" s="39">
        <f t="shared" si="203"/>
        <v>0.14953956820177194</v>
      </c>
      <c r="H33" s="39">
        <f t="shared" si="203"/>
        <v>0.34172737265412056</v>
      </c>
      <c r="I33" s="39">
        <f t="shared" si="203"/>
        <v>3.9567333162132678E-2</v>
      </c>
      <c r="J33" s="39">
        <f t="shared" si="203"/>
        <v>-0.13876534114525629</v>
      </c>
      <c r="K33" s="39">
        <f>K32/J32-1</f>
        <v>0.34937909290053315</v>
      </c>
      <c r="L33" s="39">
        <f t="shared" si="203"/>
        <v>0.3611556256127253</v>
      </c>
      <c r="M33" s="39">
        <f t="shared" si="203"/>
        <v>0.13489771604641754</v>
      </c>
      <c r="N33" s="39">
        <f t="shared" si="203"/>
        <v>-0.17152326372343685</v>
      </c>
      <c r="O33" s="39">
        <f t="shared" si="203"/>
        <v>-0.23936788445810608</v>
      </c>
      <c r="P33" s="39">
        <f t="shared" si="203"/>
        <v>4.6709526240904076E-2</v>
      </c>
      <c r="Q33" s="39">
        <f t="shared" si="203"/>
        <v>0.25602671054534953</v>
      </c>
      <c r="R33" s="39">
        <f t="shared" si="203"/>
        <v>3.8300251665972063E-2</v>
      </c>
      <c r="S33" s="39">
        <f t="shared" ref="S33:AA33" si="204">S32/R32-1</f>
        <v>0.19157114367100436</v>
      </c>
      <c r="T33" s="39">
        <f t="shared" si="204"/>
        <v>0.17745030923003302</v>
      </c>
      <c r="U33" s="39">
        <f t="shared" si="204"/>
        <v>-0.36286369568114241</v>
      </c>
      <c r="V33" s="39">
        <f t="shared" si="204"/>
        <v>7.0609173916590384E-2</v>
      </c>
      <c r="W33" s="39">
        <f t="shared" si="204"/>
        <v>-5.0495173518607661E-3</v>
      </c>
      <c r="X33" s="39">
        <f t="shared" si="204"/>
        <v>0.3912867131801836</v>
      </c>
      <c r="Y33" s="39">
        <f t="shared" si="204"/>
        <v>0.11475024913572396</v>
      </c>
      <c r="Z33" s="39">
        <f t="shared" si="204"/>
        <v>-5.2985553115152184E-2</v>
      </c>
      <c r="AA33" s="39">
        <f t="shared" si="204"/>
        <v>0</v>
      </c>
      <c r="AB33" s="40">
        <f t="shared" ref="AB33" si="205">AB32/AA32-1</f>
        <v>0.25853388338970951</v>
      </c>
      <c r="AC33" s="40">
        <f t="shared" ref="AC33" si="206">AC32/AB32-1</f>
        <v>8.4142476237692776E-2</v>
      </c>
      <c r="AD33" s="40">
        <f t="shared" ref="AD33" si="207">AD32/AC32-1</f>
        <v>0.11572249705605175</v>
      </c>
      <c r="AE33" s="40">
        <f t="shared" ref="AE33" si="208">AE32/AD32-1</f>
        <v>0.11730419948418014</v>
      </c>
      <c r="AM33" s="39">
        <f>+AM32/AI32-1</f>
        <v>-0.13998229805949358</v>
      </c>
      <c r="AN33" s="39">
        <f t="shared" ref="AN33" si="209">+AN32/AJ32-1</f>
        <v>-0.28946331083040755</v>
      </c>
      <c r="AO33" s="39">
        <f t="shared" ref="AO33" si="210">+AO32/AK32-1</f>
        <v>-0.26908709145454079</v>
      </c>
      <c r="AP33" s="39">
        <f t="shared" ref="AP33" si="211">+AP32/AL32-1</f>
        <v>-0.22789554192842476</v>
      </c>
      <c r="AQ33" s="39">
        <f t="shared" ref="AQ33" si="212">+AQ32/AM32-1</f>
        <v>-0.15374155637322195</v>
      </c>
      <c r="AR33" s="39">
        <f t="shared" ref="AR33" si="213">+AR32/AN32-1</f>
        <v>-1.3121796931820362E-2</v>
      </c>
      <c r="AS33" s="39">
        <f t="shared" ref="AS33" si="214">+AS32/AO32-1</f>
        <v>0.16556816441367506</v>
      </c>
      <c r="AT33" s="39">
        <f t="shared" ref="AT33" si="215">+AT32/AP32-1</f>
        <v>0.26198497687084066</v>
      </c>
      <c r="AU33" s="39">
        <f t="shared" ref="AU33" si="216">+AU32/AQ32-1</f>
        <v>0.21018694936636595</v>
      </c>
      <c r="AV33" s="39">
        <f t="shared" ref="AV33" si="217">+AV32/AR32-1</f>
        <v>0.22184554985786265</v>
      </c>
      <c r="AW33" s="39">
        <f t="shared" ref="AW33" si="218">+AW32/AS32-1</f>
        <v>0.10884510737537645</v>
      </c>
      <c r="AX33" s="39">
        <f t="shared" ref="AX33" si="219">+AX32/AT32-1</f>
        <v>0.18688312988906075</v>
      </c>
      <c r="AY33" s="39">
        <f t="shared" ref="AY33" si="220">+AY32/AU32-1</f>
        <v>0.10354990240449569</v>
      </c>
      <c r="AZ33" s="39">
        <f t="shared" ref="AZ33" si="221">+AZ32/AV32-1</f>
        <v>-3.8482506973738784E-2</v>
      </c>
      <c r="BA33" s="39">
        <f t="shared" ref="BA33" si="222">+BA32/AW32-1</f>
        <v>1.6294903597864563E-2</v>
      </c>
      <c r="BB33" s="39">
        <f t="shared" ref="BB33" si="223">+BB32/AX32-1</f>
        <v>6.0506200155003853E-2</v>
      </c>
      <c r="BC33" s="39">
        <f t="shared" ref="BC33" si="224">+BC32/AY32-1</f>
        <v>-0.1168058994802581</v>
      </c>
      <c r="BD33" s="39">
        <f t="shared" ref="BD33" si="225">+BD32/AZ32-1</f>
        <v>0.34194143843177094</v>
      </c>
      <c r="BE33" s="39">
        <f t="shared" ref="BE33" si="226">+BE32/BA32-1</f>
        <v>0.56410907145418809</v>
      </c>
      <c r="BF33" s="39">
        <f t="shared" ref="BF33" si="227">+BF32/BB32-1</f>
        <v>0.41249906071397513</v>
      </c>
      <c r="BG33" s="39">
        <f t="shared" ref="BG33" si="228">+BG32/BC32-1</f>
        <v>0.83487238963799926</v>
      </c>
      <c r="BH33" s="39">
        <f t="shared" ref="BH33" si="229">+BH32/BD32-1</f>
        <v>0.28704159349822089</v>
      </c>
      <c r="BI33" s="39">
        <f t="shared" ref="BI33" si="230">+BI32/BE32-1</f>
        <v>1.5366119985791737E-2</v>
      </c>
      <c r="BJ33" s="39">
        <f t="shared" ref="BJ33" si="231">+BJ32/BF32-1</f>
        <v>-3.1921729307073377E-2</v>
      </c>
      <c r="BK33" s="39">
        <f t="shared" ref="BK33" si="232">+BK32/BG32-1</f>
        <v>-0.19928527693269971</v>
      </c>
      <c r="BL33" s="39">
        <f t="shared" ref="BL33" si="233">+BL32/BH32-1</f>
        <v>-0.43686837261081757</v>
      </c>
      <c r="BM33" s="39">
        <f t="shared" ref="BM33" si="234">+BM32/BI32-1</f>
        <v>-0.33100130987365872</v>
      </c>
      <c r="BN33" s="39">
        <f t="shared" ref="BN33" si="235">+BN32/BJ32-1</f>
        <v>-0.47563951229998158</v>
      </c>
      <c r="BO33" s="39">
        <f t="shared" ref="BO33" si="236">+BO32/BK32-1</f>
        <v>-0.79876512049586912</v>
      </c>
      <c r="BP33" s="39">
        <f t="shared" ref="BP33" si="237">+BP32/BL32-1</f>
        <v>-3.3236404652576601E-2</v>
      </c>
      <c r="BQ33" s="39">
        <f t="shared" ref="BQ33" si="238">+BQ32/BM32-1</f>
        <v>0.34932412055435313</v>
      </c>
      <c r="BR33" s="39">
        <f t="shared" ref="BR33" si="239">+BR32/BN32-1</f>
        <v>1.0596083169712536</v>
      </c>
      <c r="BS33" s="39">
        <f t="shared" ref="BS33" si="240">+BS32/BO32-1</f>
        <v>3.4305046392270562</v>
      </c>
      <c r="BT33" s="39">
        <f t="shared" ref="BT33" si="241">+BT32/BP32-1</f>
        <v>0.13735066869395229</v>
      </c>
      <c r="BU33" s="39">
        <f t="shared" ref="BU33" si="242">+BU32/BQ32-1</f>
        <v>-0.1556887619099695</v>
      </c>
      <c r="BV33" s="39">
        <f t="shared" ref="BV33" si="243">+BV32/BR32-1</f>
        <v>-0.13507151088252467</v>
      </c>
      <c r="BW33" s="39">
        <f t="shared" ref="BW33" si="244">+BW32/BS32-1</f>
        <v>0.24951298660387655</v>
      </c>
      <c r="BX33" s="39">
        <f t="shared" ref="BX33" si="245">+BX32/BT32-1</f>
        <v>0.35928999765369674</v>
      </c>
      <c r="BY33" s="39">
        <f t="shared" ref="BY33" si="246">+BY32/BU32-1</f>
        <v>0.27857696809948851</v>
      </c>
      <c r="BZ33" s="39">
        <f t="shared" ref="BZ33" si="247">+BZ32/BV32-1</f>
        <v>0.16171509614280999</v>
      </c>
      <c r="CA33" s="39">
        <f t="shared" ref="CA33" si="248">+CA32/BW32-1</f>
        <v>6.441452585778018E-2</v>
      </c>
      <c r="CB33" s="39">
        <f t="shared" ref="CB33" si="249">+CB32/BX32-1</f>
        <v>0.24051467941590077</v>
      </c>
      <c r="CC33" s="39">
        <f t="shared" ref="CC33" si="250">+CC32/BY32-1</f>
        <v>0.18200478916650531</v>
      </c>
      <c r="CD33" s="39">
        <f t="shared" ref="CD33" si="251">+CD32/BZ32-1</f>
        <v>5.8638287013339507E-3</v>
      </c>
      <c r="CE33" s="39">
        <f t="shared" ref="CE33" si="252">+CE32/CA32-1</f>
        <v>6.5019766216097397E-2</v>
      </c>
      <c r="CF33" s="39">
        <f t="shared" ref="CF33" si="253">+CF32/CB32-1</f>
        <v>-0.16307566188645062</v>
      </c>
      <c r="CG33" s="39">
        <f t="shared" ref="CG33" si="254">+CG32/CC32-1</f>
        <v>-8.723543754847729E-2</v>
      </c>
      <c r="CH33" s="39">
        <f t="shared" ref="CH33:CI33" si="255">+CH32/CD32-1</f>
        <v>-1.2894220404101708E-2</v>
      </c>
      <c r="CI33" s="39">
        <f t="shared" si="255"/>
        <v>-6.997983631834892E-2</v>
      </c>
      <c r="CJ33" s="39">
        <f>+IF(CF32&lt;0,1-CJ32/CF32,CJ32/CF32-1)</f>
        <v>0.10503930918932847</v>
      </c>
      <c r="CK33" s="39">
        <f>+IF(CG32&lt;0,1-CK32/CG32,CK32/CG32-1)</f>
        <v>0.21073943661971839</v>
      </c>
      <c r="CL33" s="39">
        <f>+IF(CH32&lt;0,1-CL32/CH32,CL32/CH32-1)</f>
        <v>0.23586179308965449</v>
      </c>
      <c r="CM33" s="40">
        <f t="shared" ref="CM33" si="256">+AVERAGE(CI33:CL33)</f>
        <v>0.12041517564508811</v>
      </c>
      <c r="CN33" s="40">
        <f t="shared" ref="CN33" si="257">+AVERAGE(CJ33:CM33)</f>
        <v>0.16801392863594736</v>
      </c>
      <c r="CO33" s="40">
        <f t="shared" ref="CO33" si="258">+AVERAGE(CK33:CN33)</f>
        <v>0.18375758349760207</v>
      </c>
      <c r="CP33" s="40">
        <f t="shared" ref="CP33" si="259">+AVERAGE(CL33:CO33)</f>
        <v>0.17701212021707299</v>
      </c>
      <c r="CQ33" s="40">
        <f t="shared" ref="CQ33" si="260">+AVERAGE(CM33:CP33)</f>
        <v>0.16229970199892763</v>
      </c>
      <c r="CR33" s="40">
        <f t="shared" ref="CR33" si="261">+AVERAGE(CN33:CQ33)</f>
        <v>0.17277083358738751</v>
      </c>
      <c r="CS33" s="40">
        <f t="shared" ref="CS33" si="262">+AVERAGE(CO33:CR33)</f>
        <v>0.17396005982524756</v>
      </c>
      <c r="CT33" s="40">
        <f t="shared" ref="CT33" si="263">+AVERAGE(CP33:CS33)</f>
        <v>0.17151067890715893</v>
      </c>
      <c r="CU33" s="40">
        <f t="shared" ref="CU33" si="264">+AVERAGE(CQ33:CT33)</f>
        <v>0.17013531857968039</v>
      </c>
      <c r="CV33" s="40">
        <f t="shared" ref="CV33" si="265">+AVERAGE(CR33:CU33)</f>
        <v>0.17209422272486857</v>
      </c>
      <c r="CW33" s="40">
        <f t="shared" ref="CW33" si="266">+AVERAGE(CS33:CV33)</f>
        <v>0.17192507000923885</v>
      </c>
      <c r="CX33" s="40">
        <f t="shared" ref="CX33" si="267">+AVERAGE(CT33:CW33)</f>
        <v>0.17141632255523667</v>
      </c>
      <c r="CY33" s="40">
        <f t="shared" ref="CY33" si="268">+AVERAGE(CU33:CX33)</f>
        <v>0.17139273346725611</v>
      </c>
      <c r="CZ33" s="40">
        <f t="shared" ref="CZ33" si="269">+AVERAGE(CV33:CY33)</f>
        <v>0.17170708718915006</v>
      </c>
      <c r="DA33" s="40">
        <f t="shared" ref="DA33" si="270">+AVERAGE(CW33:CZ33)</f>
        <v>0.17161030330522042</v>
      </c>
      <c r="DB33" s="40">
        <f t="shared" ref="DB33" si="271">+AVERAGE(CX33:DA33)</f>
        <v>0.17153161162921582</v>
      </c>
      <c r="DE33" s="122"/>
      <c r="DF33" s="39">
        <v>5.8226172271649057E-2</v>
      </c>
    </row>
    <row r="34" spans="1:110" s="39" customFormat="1" x14ac:dyDescent="0.2">
      <c r="A34" s="39" t="s">
        <v>448</v>
      </c>
      <c r="AB34" s="40"/>
      <c r="AC34" s="40"/>
      <c r="AD34" s="40"/>
      <c r="AE34" s="40"/>
      <c r="AJ34" s="39">
        <f>+AJ32/AI32-1</f>
        <v>0.178996468113364</v>
      </c>
      <c r="AK34" s="39">
        <f t="shared" ref="AK34" si="272">+AK32/AJ32-1</f>
        <v>-0.14832141420712841</v>
      </c>
      <c r="AL34" s="39">
        <f t="shared" ref="AL34" si="273">+AL32/AK32-1</f>
        <v>4.1175568598196266E-2</v>
      </c>
      <c r="AM34" s="39">
        <f t="shared" ref="AM34" si="274">+AM32/AL32-1</f>
        <v>-0.17738771696969335</v>
      </c>
      <c r="AN34" s="39">
        <f t="shared" ref="AN34" si="275">+AN32/AM32-1</f>
        <v>-2.5926739524410713E-2</v>
      </c>
      <c r="AO34" s="39">
        <f t="shared" ref="AO34" si="276">+AO32/AN32-1</f>
        <v>-0.12389763712937429</v>
      </c>
      <c r="AP34" s="39">
        <f t="shared" ref="AP34" si="277">+AP32/AO32-1</f>
        <v>9.9852374682579681E-2</v>
      </c>
      <c r="AQ34" s="39">
        <f t="shared" ref="AQ34" si="278">+AQ32/AP32-1</f>
        <v>-9.8382889688010899E-2</v>
      </c>
      <c r="AR34" s="39">
        <f t="shared" ref="AR34" si="279">+AR32/AQ32-1</f>
        <v>0.13593155400038404</v>
      </c>
      <c r="AS34" s="39">
        <f t="shared" ref="AS34" si="280">+AS32/AR32-1</f>
        <v>3.4734600232173563E-2</v>
      </c>
      <c r="AT34" s="39">
        <f t="shared" ref="AT34" si="281">+AT32/AS32-1</f>
        <v>0.19083311984876472</v>
      </c>
      <c r="AU34" s="39">
        <f t="shared" ref="AU34" si="282">+AU32/AT32-1</f>
        <v>-0.13538965976402684</v>
      </c>
      <c r="AV34" s="39">
        <f t="shared" ref="AV34" si="283">+AV32/AU32-1</f>
        <v>0.14687479891036226</v>
      </c>
      <c r="AW34" s="39">
        <f t="shared" ref="AW34" si="284">+AW32/AV32-1</f>
        <v>-6.0961183651293549E-2</v>
      </c>
      <c r="AX34" s="39">
        <f t="shared" ref="AX34" si="285">+AX32/AW32-1</f>
        <v>0.27464127411547157</v>
      </c>
      <c r="AY34" s="39">
        <f t="shared" ref="AY34" si="286">+AY32/AX32-1</f>
        <v>-0.19609552738818481</v>
      </c>
      <c r="AZ34" s="39">
        <f t="shared" ref="AZ34" si="287">+AZ32/AY32-1</f>
        <v>-7.3374202602205507E-4</v>
      </c>
      <c r="BA34" s="39">
        <f t="shared" ref="BA34" si="288">+BA32/AZ32-1</f>
        <v>-7.4643776556894137E-3</v>
      </c>
      <c r="BB34" s="39">
        <f t="shared" ref="BB34" si="289">+BB32/BA32-1</f>
        <v>0.3300912652296526</v>
      </c>
      <c r="BC34" s="39">
        <f t="shared" ref="BC34" si="290">+BC32/BB32-1</f>
        <v>-0.33050491596521059</v>
      </c>
      <c r="BD34" s="39">
        <f t="shared" ref="BD34" si="291">+BD32/BC32-1</f>
        <v>0.51830361956993043</v>
      </c>
      <c r="BE34" s="39">
        <f t="shared" ref="BE34" si="292">+BE32/BD32-1</f>
        <v>0.15685671981661176</v>
      </c>
      <c r="BF34" s="39">
        <f t="shared" ref="BF34" si="293">+BF32/BE32-1</f>
        <v>0.20116473786193678</v>
      </c>
      <c r="BG34" s="39">
        <f t="shared" ref="BG34" si="294">+BG32/BF32-1</f>
        <v>-0.13030877056097345</v>
      </c>
      <c r="BH34" s="39">
        <f t="shared" ref="BH34" si="295">+BH32/BG32-1</f>
        <v>6.4989544221615736E-2</v>
      </c>
      <c r="BI34" s="39">
        <f t="shared" ref="BI34" si="296">+BI32/BH32-1</f>
        <v>-8.7338649416144776E-2</v>
      </c>
      <c r="BJ34" s="39">
        <f t="shared" ref="BJ34" si="297">+BJ32/BI32-1</f>
        <v>0.1452238353816433</v>
      </c>
      <c r="BK34" s="39">
        <f t="shared" ref="BK34" si="298">+BK32/BJ32-1</f>
        <v>-0.28066294532581304</v>
      </c>
      <c r="BL34" s="39">
        <f t="shared" ref="BL34" si="299">+BL32/BK32-1</f>
        <v>-0.25100753375359786</v>
      </c>
      <c r="BM34" s="39">
        <f t="shared" ref="BM34" si="300">+BM32/BL32-1</f>
        <v>8.4238956530086506E-2</v>
      </c>
      <c r="BN34" s="39">
        <f t="shared" ref="BN34" si="301">+BN32/BM32-1</f>
        <v>-0.10237473150657905</v>
      </c>
      <c r="BO34" s="39">
        <f t="shared" ref="BO34" si="302">+BO32/BN32-1</f>
        <v>-0.7239385710484163</v>
      </c>
      <c r="BP34" s="39">
        <f t="shared" ref="BP34" si="303">+BP32/BO32-1</f>
        <v>2.598276060992903</v>
      </c>
      <c r="BQ34" s="39">
        <f t="shared" ref="BQ34" si="304">+BQ32/BP32-1</f>
        <v>0.51328596104715496</v>
      </c>
      <c r="BR34" s="39">
        <f t="shared" ref="BR34" si="305">+BR32/BQ32-1</f>
        <v>0.37013519609585388</v>
      </c>
      <c r="BS34" s="39">
        <f t="shared" ref="BS34" si="306">+BS32/BR32-1</f>
        <v>-0.40615337799749573</v>
      </c>
      <c r="BT34" s="39">
        <f t="shared" ref="BT34" si="307">+BT32/BS32-1</f>
        <v>-7.6289944968956358E-2</v>
      </c>
      <c r="BU34" s="39">
        <f t="shared" ref="BU34" si="308">+BU32/BT32-1</f>
        <v>0.12338646164703237</v>
      </c>
      <c r="BV34" s="39">
        <f t="shared" ref="BV34" si="309">+BV32/BU32-1</f>
        <v>0.40359255163614982</v>
      </c>
      <c r="BW34" s="39">
        <f t="shared" ref="BW34" si="310">+BW32/BV32-1</f>
        <v>-0.14210356627275955</v>
      </c>
      <c r="BX34" s="39">
        <f t="shared" ref="BX34" si="311">+BX32/BW32-1</f>
        <v>4.8633763691272591E-3</v>
      </c>
      <c r="BY34" s="39">
        <f t="shared" ref="BY34" si="312">+BY32/BX32-1</f>
        <v>5.6681104558975015E-2</v>
      </c>
      <c r="BZ34" s="39">
        <f t="shared" ref="BZ34" si="313">+BZ32/BY32-1</f>
        <v>0.27530426149710197</v>
      </c>
      <c r="CA34" s="39">
        <f t="shared" ref="CA34" si="314">+CA32/BZ32-1</f>
        <v>-0.21395751094844473</v>
      </c>
      <c r="CB34" s="39">
        <f t="shared" ref="CB34" si="315">+CB32/CA32-1</f>
        <v>0.17111119672927377</v>
      </c>
      <c r="CC34" s="39">
        <f t="shared" ref="CC34" si="316">+CC32/CB32-1</f>
        <v>6.8418753404488886E-3</v>
      </c>
      <c r="CD34" s="39">
        <f t="shared" ref="CD34" si="317">+CD32/CC32-1</f>
        <v>8.5259923636316737E-2</v>
      </c>
      <c r="CE34" s="39">
        <f t="shared" ref="CE34" si="318">+CE32/CD32-1</f>
        <v>-0.16772950369788309</v>
      </c>
      <c r="CF34" s="39">
        <f t="shared" ref="CF34" si="319">+CF32/CE32-1</f>
        <v>-7.9705847467678836E-2</v>
      </c>
      <c r="CG34" s="39">
        <f t="shared" ref="CG34" si="320">+CG32/CF32-1</f>
        <v>9.8079649439360761E-2</v>
      </c>
      <c r="CH34" s="39">
        <f t="shared" ref="CH34:CI34" si="321">+CH32/CG32-1</f>
        <v>0.17365023474178409</v>
      </c>
      <c r="CI34" s="39">
        <f t="shared" si="321"/>
        <v>-0.215860793039652</v>
      </c>
      <c r="CJ34" s="39">
        <f>+IF(CI32&lt;0,1-CJ32/CI32,CJ32/CI32-1)</f>
        <v>9.3482974110445038E-2</v>
      </c>
      <c r="CK34" s="39">
        <f>+IF(CJ32&lt;0,1-CK32/CJ32,CK32/CJ32-1)</f>
        <v>0.20311406578026592</v>
      </c>
      <c r="CL34" s="39">
        <f>+IF(CK32&lt;0,1-CL32/CK32,CL32/CK32-1)</f>
        <v>0.19800300518636993</v>
      </c>
      <c r="CM34" s="40">
        <f t="shared" ref="CM34" si="322">+CM32/CL32-1</f>
        <v>-0.2936068076691547</v>
      </c>
      <c r="CN34" s="40">
        <f t="shared" ref="CN34" si="323">+CN32/CM32-1</f>
        <v>0.10719512079276927</v>
      </c>
      <c r="CO34" s="40">
        <f t="shared" ref="CO34" si="324">+CO32/CN32-1</f>
        <v>0.21210794024224189</v>
      </c>
      <c r="CP34" s="40">
        <f t="shared" ref="CP34" si="325">+CP32/CO32-1</f>
        <v>0.15851953197801949</v>
      </c>
      <c r="CQ34" s="40">
        <f t="shared" ref="CQ34" si="326">+CQ32/CP32-1</f>
        <v>-0.29522357616226724</v>
      </c>
      <c r="CR34" s="40">
        <f t="shared" ref="CR34" si="327">+CR32/CQ32-1</f>
        <v>0.10462325663748406</v>
      </c>
      <c r="CS34" s="40">
        <f t="shared" ref="CS34" si="328">+CS32/CR32-1</f>
        <v>0.20249869535203735</v>
      </c>
      <c r="CT34" s="40">
        <f t="shared" ref="CT34" si="329">+CT32/CS32-1</f>
        <v>0.14278875497547627</v>
      </c>
      <c r="CU34" s="40">
        <f t="shared" ref="CU34" si="330">+CU32/CT32-1</f>
        <v>-0.27030896616764211</v>
      </c>
      <c r="CV34" s="40">
        <f t="shared" ref="CV34" si="331">+CV32/CU32-1</f>
        <v>0.10933903657603383</v>
      </c>
      <c r="CW34" s="40">
        <f t="shared" ref="CW34" si="332">+CW32/CV32-1</f>
        <v>0.20728058855384246</v>
      </c>
      <c r="CX34" s="40">
        <f t="shared" ref="CX34" si="333">+CX32/CW32-1</f>
        <v>0.14863827053521761</v>
      </c>
      <c r="CY34" s="40">
        <f t="shared" ref="CY34" si="334">+CY32/CX32-1</f>
        <v>-0.27554096869028166</v>
      </c>
      <c r="CZ34" s="40">
        <f t="shared" ref="CZ34" si="335">+CZ32/CY32-1</f>
        <v>0.11285437658968611</v>
      </c>
      <c r="DA34" s="40">
        <f t="shared" ref="DA34" si="336">+DA32/CZ32-1</f>
        <v>0.20840373657925282</v>
      </c>
      <c r="DB34" s="40">
        <f t="shared" ref="DB34" si="337">+DB32/DA32-1</f>
        <v>0.14666639400924053</v>
      </c>
      <c r="DE34" s="122"/>
      <c r="DF34" s="39">
        <v>0.17772462339594064</v>
      </c>
    </row>
    <row r="35" spans="1:110" s="23" customFormat="1" outlineLevel="1" x14ac:dyDescent="0.2">
      <c r="A35" s="23" t="s">
        <v>2</v>
      </c>
      <c r="B35" s="23">
        <f>'Annual Raw'!C11</f>
        <v>0</v>
      </c>
      <c r="C35" s="23">
        <f>'Annual Raw'!D11</f>
        <v>0</v>
      </c>
      <c r="D35" s="23">
        <f>'Annual Raw'!E11</f>
        <v>0</v>
      </c>
      <c r="E35" s="23">
        <v>141.97999999999999</v>
      </c>
      <c r="F35" s="23">
        <v>-144</v>
      </c>
      <c r="G35" s="23">
        <v>-256.90999999999997</v>
      </c>
      <c r="H35" s="23">
        <v>-349.68</v>
      </c>
      <c r="I35" s="23">
        <v>40.480000000000004</v>
      </c>
      <c r="J35" s="23">
        <v>238.04000000000002</v>
      </c>
      <c r="K35" s="23">
        <v>-606.63</v>
      </c>
      <c r="L35" s="23">
        <v>-354.21999999999997</v>
      </c>
      <c r="M35" s="23">
        <v>-623.83999999999992</v>
      </c>
      <c r="N35" s="23">
        <v>-143.6</v>
      </c>
      <c r="O35" s="23">
        <v>371.71999999999997</v>
      </c>
      <c r="P35" s="23">
        <v>-878.82</v>
      </c>
      <c r="Q35" s="23">
        <v>10.050000000000001</v>
      </c>
      <c r="R35" s="23">
        <v>-252.14000000000001</v>
      </c>
      <c r="S35" s="23">
        <v>842.05</v>
      </c>
      <c r="T35" s="23">
        <v>144.69</v>
      </c>
      <c r="U35" s="23">
        <v>722.68000000000006</v>
      </c>
      <c r="V35" s="23">
        <v>-69.02000000000001</v>
      </c>
      <c r="W35" s="23">
        <v>-403.87</v>
      </c>
      <c r="X35" s="23">
        <v>484.68999999999994</v>
      </c>
      <c r="Y35" s="23">
        <v>-600</v>
      </c>
      <c r="Z35" s="23">
        <v>284</v>
      </c>
      <c r="AA35" s="23">
        <v>284</v>
      </c>
      <c r="AB35" s="76">
        <f>+SUM(CM35:CP35)</f>
        <v>0</v>
      </c>
      <c r="AC35" s="76">
        <f>+SUM(CQ35:CT35)</f>
        <v>0</v>
      </c>
      <c r="AD35" s="76">
        <f>+SUM(CU35:CX35)</f>
        <v>0</v>
      </c>
      <c r="AE35" s="76">
        <f>+SUM(CY35:DB35)</f>
        <v>0</v>
      </c>
      <c r="AI35" s="23">
        <v>-982.01</v>
      </c>
      <c r="AJ35" s="23">
        <v>89.36</v>
      </c>
      <c r="AK35" s="23">
        <v>348.41</v>
      </c>
      <c r="AL35" s="23">
        <v>400.64</v>
      </c>
      <c r="AM35" s="23">
        <v>-426.13</v>
      </c>
      <c r="AN35" s="23">
        <v>44.92</v>
      </c>
      <c r="AO35" s="23">
        <v>415.82</v>
      </c>
      <c r="AP35" s="23">
        <v>337.11</v>
      </c>
      <c r="AQ35" s="23">
        <v>-541.79999999999995</v>
      </c>
      <c r="AR35" s="23">
        <v>-128.28</v>
      </c>
      <c r="AS35" s="23">
        <v>-31.57</v>
      </c>
      <c r="AT35" s="23">
        <v>-177.17000000000002</v>
      </c>
      <c r="AU35" s="23">
        <v>-418.81000000000006</v>
      </c>
      <c r="AV35" s="23">
        <v>37.43</v>
      </c>
      <c r="AW35" s="23">
        <v>408.96999999999997</v>
      </c>
      <c r="AX35" s="23">
        <v>-17.54</v>
      </c>
      <c r="AY35" s="23">
        <v>-836.16000000000008</v>
      </c>
      <c r="AZ35" s="23">
        <v>-105.22999999999999</v>
      </c>
      <c r="BA35" s="23">
        <v>-99.14</v>
      </c>
      <c r="BB35" s="23">
        <v>789.89</v>
      </c>
      <c r="BC35" s="23">
        <v>-482.6</v>
      </c>
      <c r="BD35" s="23">
        <v>663.73</v>
      </c>
      <c r="BE35" s="23">
        <v>153.72999999999999</v>
      </c>
      <c r="BF35" s="23">
        <v>507.18999999999994</v>
      </c>
      <c r="BG35" s="23">
        <v>-1090.6799999999998</v>
      </c>
      <c r="BH35" s="23">
        <v>-119.6</v>
      </c>
      <c r="BI35" s="23">
        <v>-149.62</v>
      </c>
      <c r="BJ35" s="23">
        <v>1504.59</v>
      </c>
      <c r="BK35" s="23">
        <v>-1458.96</v>
      </c>
      <c r="BL35" s="23">
        <v>644.83000000000004</v>
      </c>
      <c r="BM35" s="23">
        <v>1063.21</v>
      </c>
      <c r="BN35" s="23">
        <v>473.6</v>
      </c>
      <c r="BO35" s="23">
        <v>309.56</v>
      </c>
      <c r="BP35" s="23">
        <v>-174.85999999999999</v>
      </c>
      <c r="BQ35" s="23">
        <v>-591.5</v>
      </c>
      <c r="BR35" s="23">
        <v>387.78000000000003</v>
      </c>
      <c r="BS35" s="23">
        <v>-1401.54</v>
      </c>
      <c r="BT35" s="23">
        <v>-26.29</v>
      </c>
      <c r="BU35" s="23">
        <v>-188.35</v>
      </c>
      <c r="BV35" s="23">
        <v>870.43</v>
      </c>
      <c r="BW35" s="23">
        <v>-919.2299999999999</v>
      </c>
      <c r="BX35" s="23">
        <v>349.83000000000004</v>
      </c>
      <c r="BY35" s="23">
        <v>-65.260000000000005</v>
      </c>
      <c r="BZ35" s="23">
        <v>1119.3399999999999</v>
      </c>
      <c r="CA35" s="23">
        <v>-1395.71</v>
      </c>
      <c r="CB35" s="23">
        <v>-9.0599999999999987</v>
      </c>
      <c r="CC35" s="23">
        <v>-861.32999999999993</v>
      </c>
      <c r="CD35" s="23">
        <v>1665.6599999999999</v>
      </c>
      <c r="CE35" s="23">
        <v>-601</v>
      </c>
      <c r="CF35" s="23">
        <v>222</v>
      </c>
      <c r="CG35" s="23">
        <v>229</v>
      </c>
      <c r="CH35" s="23">
        <v>555</v>
      </c>
      <c r="CI35" s="23">
        <v>-1175</v>
      </c>
      <c r="CJ35" s="23">
        <f>'QTR Raw'!BD10</f>
        <v>263</v>
      </c>
      <c r="CK35" s="23">
        <f>'QTR Raw'!BE10</f>
        <v>317</v>
      </c>
      <c r="CL35" s="23">
        <f>'QTR Raw'!BF10</f>
        <v>164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-431</v>
      </c>
    </row>
    <row r="36" spans="1:110" s="23" customFormat="1" outlineLevel="1" x14ac:dyDescent="0.2">
      <c r="A36" s="23" t="s">
        <v>3</v>
      </c>
      <c r="B36" s="23">
        <v>0</v>
      </c>
      <c r="C36" s="23">
        <v>0</v>
      </c>
      <c r="D36" s="23">
        <v>0</v>
      </c>
      <c r="E36" s="23">
        <v>467.98</v>
      </c>
      <c r="F36" s="23">
        <v>665.12</v>
      </c>
      <c r="G36" s="23">
        <v>998.74</v>
      </c>
      <c r="H36" s="23">
        <v>1459.2</v>
      </c>
      <c r="I36" s="23">
        <v>1598.1100000000001</v>
      </c>
      <c r="J36" s="23">
        <v>2180.3200000000002</v>
      </c>
      <c r="K36" s="23">
        <v>4513.2300000000005</v>
      </c>
      <c r="L36" s="23">
        <v>7363.13</v>
      </c>
      <c r="M36" s="23">
        <v>0</v>
      </c>
      <c r="N36" s="23">
        <v>0</v>
      </c>
      <c r="O36" s="23">
        <v>5049.82</v>
      </c>
      <c r="P36" s="23">
        <v>5765.24</v>
      </c>
      <c r="Q36" s="23">
        <v>4101.9699999999993</v>
      </c>
      <c r="R36" s="23">
        <v>3945.97</v>
      </c>
      <c r="S36" s="23">
        <v>4762.41</v>
      </c>
      <c r="T36" s="23">
        <v>6722.32</v>
      </c>
      <c r="U36" s="23">
        <v>5679.9800000000005</v>
      </c>
      <c r="V36" s="23">
        <v>5490.67</v>
      </c>
      <c r="W36" s="23">
        <v>5030</v>
      </c>
      <c r="X36" s="23">
        <v>6561.32</v>
      </c>
      <c r="Y36" s="23">
        <v>7764</v>
      </c>
      <c r="Z36" s="23">
        <v>7367</v>
      </c>
      <c r="AA36" s="23">
        <v>7367</v>
      </c>
      <c r="AB36" s="76">
        <f>+SUM(CM36:CP36)</f>
        <v>0</v>
      </c>
      <c r="AC36" s="76">
        <f>+SUM(CQ36:CT36)</f>
        <v>0</v>
      </c>
      <c r="AD36" s="76">
        <f>+SUM(CU36:CX36)</f>
        <v>0</v>
      </c>
      <c r="AE36" s="76">
        <f>+SUM(CY36:DB36)</f>
        <v>0</v>
      </c>
      <c r="AI36" s="23">
        <v>8414.8100000000013</v>
      </c>
      <c r="AJ36" s="23">
        <v>9185.5399999999991</v>
      </c>
      <c r="AK36" s="23">
        <v>7658.93</v>
      </c>
      <c r="AL36" s="23">
        <v>7849.45</v>
      </c>
      <c r="AM36" s="23">
        <v>7036.58</v>
      </c>
      <c r="AN36" s="23">
        <v>6538.6</v>
      </c>
      <c r="AO36" s="23">
        <v>5547.01</v>
      </c>
      <c r="AP36" s="23">
        <v>6420.5</v>
      </c>
      <c r="AQ36" s="23">
        <v>6243.26</v>
      </c>
      <c r="AR36" s="23">
        <v>6772.3</v>
      </c>
      <c r="AS36" s="23">
        <v>7022.76</v>
      </c>
      <c r="AT36" s="23">
        <v>7882.15</v>
      </c>
      <c r="AU36" s="23">
        <v>6781.9800000000005</v>
      </c>
      <c r="AV36" s="23">
        <v>7314.2899999999991</v>
      </c>
      <c r="AW36" s="23">
        <v>6630.5</v>
      </c>
      <c r="AX36" s="23">
        <v>8372.6</v>
      </c>
      <c r="AY36" s="23">
        <v>7722.68</v>
      </c>
      <c r="AZ36" s="23">
        <v>7527.7</v>
      </c>
      <c r="BA36" s="23">
        <v>7578.25</v>
      </c>
      <c r="BB36" s="23">
        <v>8771.2999999999993</v>
      </c>
      <c r="BC36" s="23">
        <v>6901.31</v>
      </c>
      <c r="BD36" s="23">
        <v>9645.369999999999</v>
      </c>
      <c r="BE36" s="23">
        <v>11629.710000000001</v>
      </c>
      <c r="BF36" s="23">
        <v>13666.469999999998</v>
      </c>
      <c r="BG36" s="23">
        <v>13166.95</v>
      </c>
      <c r="BH36" s="23">
        <v>13029.6</v>
      </c>
      <c r="BI36" s="23">
        <v>11970.03</v>
      </c>
      <c r="BJ36" s="23">
        <v>12304.51</v>
      </c>
      <c r="BK36" s="23">
        <v>11052.99</v>
      </c>
      <c r="BL36" s="23">
        <v>6834.85</v>
      </c>
      <c r="BM36" s="23">
        <v>6978.5099999999993</v>
      </c>
      <c r="BN36" s="23">
        <v>6985.4800000000005</v>
      </c>
      <c r="BO36" s="23">
        <v>1630.44</v>
      </c>
      <c r="BP36" s="23">
        <v>7425.18</v>
      </c>
      <c r="BQ36" s="23">
        <v>11471.09</v>
      </c>
      <c r="BR36" s="23">
        <v>14974.570000000002</v>
      </c>
      <c r="BS36" s="23">
        <v>10536.15</v>
      </c>
      <c r="BT36" s="23">
        <v>8439.31</v>
      </c>
      <c r="BU36" s="23">
        <v>9842.3700000000008</v>
      </c>
      <c r="BV36" s="23">
        <v>12642.26</v>
      </c>
      <c r="BW36" s="23">
        <v>12181.8</v>
      </c>
      <c r="BX36" s="23">
        <v>11187.41</v>
      </c>
      <c r="BY36" s="23">
        <v>11698.98</v>
      </c>
      <c r="BZ36" s="23">
        <v>13719.939999999999</v>
      </c>
      <c r="CA36" s="23">
        <v>12832.74</v>
      </c>
      <c r="CB36" s="23">
        <v>13333.45</v>
      </c>
      <c r="CC36" s="23">
        <v>13950.070000000002</v>
      </c>
      <c r="CD36" s="23">
        <v>12672.93</v>
      </c>
      <c r="CE36" s="23">
        <v>12157</v>
      </c>
      <c r="CF36" s="23">
        <v>10307</v>
      </c>
      <c r="CG36" s="23">
        <v>11489</v>
      </c>
      <c r="CH36" s="23">
        <v>13158</v>
      </c>
      <c r="CI36" s="23">
        <f>(99330+17630)/10</f>
        <v>11696</v>
      </c>
      <c r="CJ36" s="23">
        <f>'QTR Raw'!BD12</f>
        <v>1744</v>
      </c>
      <c r="CK36" s="23">
        <f>'QTR Raw'!BE12</f>
        <v>1954</v>
      </c>
      <c r="CL36" s="23">
        <f>'QTR Raw'!BF12</f>
        <v>2488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17882</v>
      </c>
    </row>
    <row r="37" spans="1:110" s="23" customFormat="1" outlineLevel="1" x14ac:dyDescent="0.2">
      <c r="A37" s="23" t="s">
        <v>4</v>
      </c>
      <c r="B37" s="23">
        <f>'Annual Raw'!C12</f>
        <v>0</v>
      </c>
      <c r="C37" s="23">
        <f>'Annual Raw'!D12</f>
        <v>0</v>
      </c>
      <c r="D37" s="23">
        <f>'Annual Raw'!E12</f>
        <v>0</v>
      </c>
      <c r="E37" s="23">
        <v>7873.4100000000008</v>
      </c>
      <c r="F37" s="23">
        <v>11264.36</v>
      </c>
      <c r="G37" s="23">
        <v>13265.12</v>
      </c>
      <c r="H37" s="23">
        <v>17915.73</v>
      </c>
      <c r="I37" s="23">
        <v>18592.079999999998</v>
      </c>
      <c r="J37" s="23">
        <v>16187.679999999998</v>
      </c>
      <c r="K37" s="23">
        <v>20392.599999999999</v>
      </c>
      <c r="L37" s="23">
        <v>27058.47</v>
      </c>
      <c r="M37" s="23">
        <v>40328.770000000004</v>
      </c>
      <c r="N37" s="23">
        <v>33108.729999999996</v>
      </c>
      <c r="O37" s="23">
        <v>20492.870000000003</v>
      </c>
      <c r="P37" s="23">
        <v>22155.23</v>
      </c>
      <c r="Q37" s="23">
        <v>24997.4</v>
      </c>
      <c r="R37" s="23">
        <v>27651.65</v>
      </c>
      <c r="S37" s="23">
        <v>37080.449999999997</v>
      </c>
      <c r="T37" s="23">
        <v>43748.770000000004</v>
      </c>
      <c r="U37" s="23">
        <v>26171.85</v>
      </c>
      <c r="V37" s="23">
        <v>30010.609999999997</v>
      </c>
      <c r="W37" s="23">
        <v>31693.109999999997</v>
      </c>
      <c r="X37" s="23">
        <v>42226.81</v>
      </c>
      <c r="Y37" s="23">
        <v>45025</v>
      </c>
      <c r="Z37" s="23">
        <v>39865</v>
      </c>
      <c r="AA37" s="23">
        <v>39865</v>
      </c>
      <c r="AB37" s="24">
        <f>+SUM(CM37:CP37)</f>
        <v>59914.564091210363</v>
      </c>
      <c r="AC37" s="24">
        <f>+SUM(CQ37:CT37)</f>
        <v>64989.365690431558</v>
      </c>
      <c r="AD37" s="24">
        <f>+SUM(CU37:CX37)</f>
        <v>72516.397971546699</v>
      </c>
      <c r="AE37" s="24">
        <f>+SUM(CY37:DB37)</f>
        <v>81023.802919299356</v>
      </c>
      <c r="AI37" s="23">
        <f>('QTR Raw'!C11)/10</f>
        <v>0</v>
      </c>
      <c r="AJ37" s="23">
        <f>('QTR Raw'!D11)/10</f>
        <v>0</v>
      </c>
      <c r="AK37" s="23">
        <f>('QTR Raw'!E11)/10</f>
        <v>0</v>
      </c>
      <c r="AL37" s="23">
        <f>('QTR Raw'!F11)/10</f>
        <v>0</v>
      </c>
      <c r="AM37" s="23">
        <f>('QTR Raw'!G11)/10</f>
        <v>0</v>
      </c>
      <c r="AN37" s="23">
        <f>('QTR Raw'!H11)/10</f>
        <v>0</v>
      </c>
      <c r="AO37" s="23">
        <f>('QTR Raw'!I11)/10</f>
        <v>0</v>
      </c>
      <c r="AP37" s="23">
        <f>('QTR Raw'!J11)/10</f>
        <v>0</v>
      </c>
      <c r="AQ37" s="23">
        <f>('QTR Raw'!K11)/10</f>
        <v>0</v>
      </c>
      <c r="AR37" s="23">
        <f>('QTR Raw'!L11)/10</f>
        <v>0</v>
      </c>
      <c r="AS37" s="23">
        <f>('QTR Raw'!M11)/10</f>
        <v>0</v>
      </c>
      <c r="AT37" s="23">
        <f>('QTR Raw'!N11)/10</f>
        <v>0</v>
      </c>
      <c r="AU37" s="23">
        <f>('QTR Raw'!O11)/10</f>
        <v>0</v>
      </c>
      <c r="AV37" s="23">
        <f>('QTR Raw'!P11)/10</f>
        <v>0</v>
      </c>
      <c r="AW37" s="23">
        <f>('QTR Raw'!Q11)/10</f>
        <v>0</v>
      </c>
      <c r="AX37" s="23">
        <f>('QTR Raw'!R11)/10</f>
        <v>0</v>
      </c>
      <c r="AY37" s="23">
        <f>('QTR Raw'!S11)/10</f>
        <v>0</v>
      </c>
      <c r="AZ37" s="23">
        <f>('QTR Raw'!T11)/10</f>
        <v>0</v>
      </c>
      <c r="BA37" s="23">
        <f>('QTR Raw'!U11)/10</f>
        <v>0</v>
      </c>
      <c r="BB37" s="23">
        <f>('QTR Raw'!V11)/10</f>
        <v>0</v>
      </c>
      <c r="BC37" s="23">
        <f>('QTR Raw'!W11)/10</f>
        <v>0</v>
      </c>
      <c r="BD37" s="23">
        <f>('QTR Raw'!X11)/10</f>
        <v>0</v>
      </c>
      <c r="BE37" s="23">
        <f>('QTR Raw'!Y11)/10</f>
        <v>0</v>
      </c>
      <c r="BF37" s="23">
        <f>('QTR Raw'!Z11)/10</f>
        <v>0</v>
      </c>
      <c r="BG37" s="23">
        <f>('QTR Raw'!AA11)/10</f>
        <v>0</v>
      </c>
      <c r="BH37" s="23">
        <f>('QTR Raw'!AB11)/10</f>
        <v>0</v>
      </c>
      <c r="BI37" s="23">
        <f>('QTR Raw'!AC11)/10</f>
        <v>0</v>
      </c>
      <c r="BJ37" s="23">
        <f>('QTR Raw'!AD11)/10</f>
        <v>0</v>
      </c>
      <c r="BK37" s="23">
        <f>('QTR Raw'!AE11)/10</f>
        <v>0</v>
      </c>
      <c r="BL37" s="23">
        <f>('QTR Raw'!AF11)/10</f>
        <v>0</v>
      </c>
      <c r="BM37" s="23">
        <f>('QTR Raw'!AG11)/10</f>
        <v>0</v>
      </c>
      <c r="BN37" s="23">
        <f>('QTR Raw'!AH11)/10</f>
        <v>0</v>
      </c>
      <c r="BO37" s="23">
        <f>('QTR Raw'!AI11)/10</f>
        <v>0</v>
      </c>
      <c r="BP37" s="23">
        <f>('QTR Raw'!AJ11)/10</f>
        <v>0</v>
      </c>
      <c r="BQ37" s="23">
        <f>('QTR Raw'!AK11)/10</f>
        <v>0</v>
      </c>
      <c r="BR37" s="23">
        <f>('QTR Raw'!AL11)/10</f>
        <v>0</v>
      </c>
      <c r="BS37" s="23">
        <f>('QTR Raw'!AM11)/10</f>
        <v>0</v>
      </c>
      <c r="BT37" s="23">
        <f>('QTR Raw'!AN11)/10</f>
        <v>0</v>
      </c>
      <c r="BU37" s="23">
        <f>('QTR Raw'!AO11)/10</f>
        <v>0</v>
      </c>
      <c r="BV37" s="23">
        <f>('QTR Raw'!AP11)/10</f>
        <v>0</v>
      </c>
      <c r="BW37" s="23">
        <f>('QTR Raw'!AQ11)/10</f>
        <v>0</v>
      </c>
      <c r="BX37" s="23">
        <f>('QTR Raw'!AR11)/10</f>
        <v>0</v>
      </c>
      <c r="BY37" s="23">
        <f>('QTR Raw'!AS11)/10</f>
        <v>0</v>
      </c>
      <c r="BZ37" s="23">
        <f>('QTR Raw'!AT11)/10</f>
        <v>0</v>
      </c>
      <c r="CA37" s="23">
        <f>('QTR Raw'!AU11)/10</f>
        <v>0</v>
      </c>
      <c r="CB37" s="23">
        <f>('QTR Raw'!AV11)/10</f>
        <v>0</v>
      </c>
      <c r="CC37" s="23">
        <f>('QTR Raw'!AW11)/10</f>
        <v>0</v>
      </c>
      <c r="CD37" s="23">
        <f>('QTR Raw'!AX11)/10</f>
        <v>0</v>
      </c>
      <c r="CE37" s="23">
        <f>('QTR Raw'!AY11)/10</f>
        <v>0</v>
      </c>
      <c r="CF37" s="23">
        <v>0</v>
      </c>
      <c r="CG37" s="23">
        <f>('QTR Raw'!BA11)/10</f>
        <v>974.1</v>
      </c>
      <c r="CH37" s="23">
        <f>('QTR Raw'!BB11)/10</f>
        <v>1110.4000000000001</v>
      </c>
      <c r="CI37" s="23">
        <f>('QTR Raw'!BC11)/10</f>
        <v>0</v>
      </c>
      <c r="CJ37" s="23">
        <f>'QTR Raw'!BD11</f>
        <v>9625</v>
      </c>
      <c r="CK37" s="23">
        <f>'QTR Raw'!BE11</f>
        <v>12000</v>
      </c>
      <c r="CL37" s="23">
        <f>'QTR Raw'!BF11</f>
        <v>14398</v>
      </c>
      <c r="CM37" s="24">
        <f t="shared" ref="CM37:DB37" si="338">+CM32-CM38</f>
        <v>11919.357438719531</v>
      </c>
      <c r="CN37" s="24">
        <f t="shared" si="338"/>
        <v>13254.083409082381</v>
      </c>
      <c r="CO37" s="24">
        <f t="shared" si="338"/>
        <v>16108.244244514095</v>
      </c>
      <c r="CP37" s="24">
        <f t="shared" si="338"/>
        <v>18632.878998894354</v>
      </c>
      <c r="CQ37" s="24">
        <f t="shared" si="338"/>
        <v>13115.646802808837</v>
      </c>
      <c r="CR37" s="24">
        <f t="shared" si="338"/>
        <v>14502.967742045344</v>
      </c>
      <c r="CS37" s="24">
        <f t="shared" si="338"/>
        <v>17443.783262713259</v>
      </c>
      <c r="CT37" s="24">
        <f t="shared" si="338"/>
        <v>19926.967882864119</v>
      </c>
      <c r="CU37" s="24">
        <f t="shared" si="338"/>
        <v>14539.233311367894</v>
      </c>
      <c r="CV37" s="24">
        <f t="shared" si="338"/>
        <v>16132.16907105768</v>
      </c>
      <c r="CW37" s="24">
        <f t="shared" si="338"/>
        <v>19475.852833267389</v>
      </c>
      <c r="CX37" s="24">
        <f t="shared" si="338"/>
        <v>22369.14275585374</v>
      </c>
      <c r="CY37" s="24">
        <f t="shared" si="338"/>
        <v>16205.65170004289</v>
      </c>
      <c r="CZ37" s="24">
        <f t="shared" si="338"/>
        <v>18035.105191486629</v>
      </c>
      <c r="DA37" s="24">
        <f t="shared" si="338"/>
        <v>21793.465765791552</v>
      </c>
      <c r="DB37" s="24">
        <f t="shared" si="338"/>
        <v>24989.580261978284</v>
      </c>
      <c r="DE37" s="123"/>
      <c r="DF37" s="23">
        <v>16562.707180768237</v>
      </c>
    </row>
    <row r="38" spans="1:110" s="31" customFormat="1" x14ac:dyDescent="0.2">
      <c r="A38" s="31" t="s">
        <v>5</v>
      </c>
      <c r="B38" s="31">
        <f t="shared" ref="B38:T38" si="339">B32-B35-B37-B36</f>
        <v>0</v>
      </c>
      <c r="C38" s="31">
        <f t="shared" si="339"/>
        <v>0</v>
      </c>
      <c r="D38" s="31">
        <f t="shared" si="339"/>
        <v>0</v>
      </c>
      <c r="E38" s="31">
        <f t="shared" si="339"/>
        <v>6639.0999999999985</v>
      </c>
      <c r="F38" s="31">
        <f t="shared" si="339"/>
        <v>8260.92</v>
      </c>
      <c r="G38" s="31">
        <f t="shared" si="339"/>
        <v>9037.18</v>
      </c>
      <c r="H38" s="31">
        <f t="shared" si="339"/>
        <v>11893.690000000002</v>
      </c>
      <c r="I38" s="31">
        <f t="shared" si="339"/>
        <v>11911.649999999998</v>
      </c>
      <c r="J38" s="31">
        <f t="shared" si="339"/>
        <v>9076.0400000000027</v>
      </c>
      <c r="K38" s="31">
        <f t="shared" si="339"/>
        <v>13054.419999999995</v>
      </c>
      <c r="L38" s="31">
        <f t="shared" si="339"/>
        <v>16776.710000000003</v>
      </c>
      <c r="M38" s="31">
        <f t="shared" si="339"/>
        <v>17997.911615458492</v>
      </c>
      <c r="N38" s="31">
        <f t="shared" si="339"/>
        <v>14840.331895458505</v>
      </c>
      <c r="O38" s="31">
        <f t="shared" si="339"/>
        <v>10447.959615999993</v>
      </c>
      <c r="P38" s="31">
        <f t="shared" si="339"/>
        <v>11019.188673760002</v>
      </c>
      <c r="Q38" s="31">
        <f t="shared" si="339"/>
        <v>18696.009999999995</v>
      </c>
      <c r="R38" s="31">
        <f t="shared" si="339"/>
        <v>18290.910000000003</v>
      </c>
      <c r="S38" s="31">
        <f t="shared" si="339"/>
        <v>16460.380000000016</v>
      </c>
      <c r="T38" s="31">
        <f t="shared" si="339"/>
        <v>19024.859999999993</v>
      </c>
      <c r="U38" s="31">
        <f t="shared" ref="U38:Z38" si="340">U32-U35-U37-U36</f>
        <v>11796.070000000011</v>
      </c>
      <c r="V38" s="31">
        <f t="shared" si="340"/>
        <v>12071.289999999995</v>
      </c>
      <c r="W38" s="31">
        <f t="shared" si="340"/>
        <v>10944.440000000013</v>
      </c>
      <c r="X38" s="31">
        <f t="shared" si="340"/>
        <v>16484.509999999987</v>
      </c>
      <c r="Y38" s="31">
        <f t="shared" si="340"/>
        <v>21114</v>
      </c>
      <c r="Z38" s="31">
        <f t="shared" si="340"/>
        <v>21903</v>
      </c>
      <c r="AA38" s="31">
        <f t="shared" ref="AA38" si="341">AA32-AA35-AA37-AA36</f>
        <v>21903</v>
      </c>
      <c r="AB38" s="32">
        <f t="shared" ref="AA38:AD38" si="342">AB32-AB35-AB37-AB36</f>
        <v>27451.599559819886</v>
      </c>
      <c r="AC38" s="32">
        <f t="shared" si="342"/>
        <v>29728.003309583888</v>
      </c>
      <c r="AD38" s="32">
        <f t="shared" si="342"/>
        <v>33161.901483730006</v>
      </c>
      <c r="AE38" s="32">
        <f t="shared" ref="AE38" si="343">AE32-AE35-AE37-AE36</f>
        <v>37051.004856428044</v>
      </c>
      <c r="AH38" s="31">
        <v>10</v>
      </c>
      <c r="AI38" s="31">
        <f t="shared" ref="AI38" si="344">AI32-AI35-AI37-AI36</f>
        <v>3153.6100000000006</v>
      </c>
      <c r="AJ38" s="31">
        <f t="shared" ref="AJ38" si="345">AJ32-AJ35-AJ37-AJ36</f>
        <v>3206.4400000000005</v>
      </c>
      <c r="AK38" s="31">
        <f t="shared" ref="AK38:AM38" si="346">AK32-AK35-AK37-AK36</f>
        <v>2622.75</v>
      </c>
      <c r="AL38" s="31">
        <f t="shared" si="346"/>
        <v>2817.7000000000016</v>
      </c>
      <c r="AM38" s="31">
        <f t="shared" si="346"/>
        <v>2494.0499999999975</v>
      </c>
      <c r="AN38" s="31">
        <f t="shared" ref="AN38:AO38" si="347">AN32-AN35-AN37-AN36</f>
        <v>2284.9300000000003</v>
      </c>
      <c r="AO38" s="31">
        <f t="shared" si="347"/>
        <v>1806.8400000000011</v>
      </c>
      <c r="AP38" s="31">
        <f t="shared" ref="AP38:CD38" si="348">AP32-AP35-AP37-AP36</f>
        <v>1787.8799999999992</v>
      </c>
      <c r="AQ38" s="31">
        <f t="shared" si="348"/>
        <v>2003.2999999999993</v>
      </c>
      <c r="AR38" s="31">
        <f t="shared" si="348"/>
        <v>2108.0599999999986</v>
      </c>
      <c r="AS38" s="31">
        <f t="shared" si="348"/>
        <v>2064.8899999999994</v>
      </c>
      <c r="AT38" s="31">
        <f t="shared" si="348"/>
        <v>3079.3000000000011</v>
      </c>
      <c r="AU38" s="31">
        <f t="shared" si="348"/>
        <v>2961.0299999999997</v>
      </c>
      <c r="AV38" s="31">
        <f t="shared" si="348"/>
        <v>3341.9700000000012</v>
      </c>
      <c r="AW38" s="31">
        <f t="shared" si="348"/>
        <v>3002.3199999999997</v>
      </c>
      <c r="AX38" s="31">
        <f t="shared" si="348"/>
        <v>4444.6200000000008</v>
      </c>
      <c r="AY38" s="31">
        <f t="shared" si="348"/>
        <v>3403.1999999999989</v>
      </c>
      <c r="AZ38" s="31">
        <f t="shared" si="348"/>
        <v>2859.7</v>
      </c>
      <c r="BA38" s="31">
        <f t="shared" si="348"/>
        <v>2726.3099999999995</v>
      </c>
      <c r="BB38" s="31">
        <f t="shared" si="348"/>
        <v>4012.9500000000025</v>
      </c>
      <c r="BC38" s="31">
        <f t="shared" si="348"/>
        <v>2669.1099999999979</v>
      </c>
      <c r="BD38" s="31">
        <f t="shared" si="348"/>
        <v>3488.970000000003</v>
      </c>
      <c r="BE38" s="31">
        <f t="shared" si="348"/>
        <v>4178.9499999999989</v>
      </c>
      <c r="BF38" s="31">
        <f t="shared" si="348"/>
        <v>4999.8000000000029</v>
      </c>
      <c r="BG38" s="31">
        <f t="shared" si="348"/>
        <v>4598.7199999999975</v>
      </c>
      <c r="BH38" s="31">
        <f t="shared" si="348"/>
        <v>4848.6899999999969</v>
      </c>
      <c r="BI38" s="31">
        <f t="shared" si="348"/>
        <v>4387.260000000002</v>
      </c>
      <c r="BJ38" s="31">
        <f t="shared" si="348"/>
        <v>4752.3099999999995</v>
      </c>
      <c r="BK38" s="31">
        <f t="shared" si="348"/>
        <v>3757.8799999999992</v>
      </c>
      <c r="BL38" s="31">
        <f t="shared" si="348"/>
        <v>2520.7999999999993</v>
      </c>
      <c r="BM38" s="31">
        <f t="shared" si="348"/>
        <v>2801.1900000000014</v>
      </c>
      <c r="BN38" s="31">
        <f t="shared" si="348"/>
        <v>2273.7899999999981</v>
      </c>
      <c r="BO38" s="31">
        <f t="shared" si="348"/>
        <v>746.86999999999989</v>
      </c>
      <c r="BP38" s="31">
        <f t="shared" si="348"/>
        <v>2417.7800000000007</v>
      </c>
      <c r="BQ38" s="31">
        <f t="shared" si="348"/>
        <v>3751.01</v>
      </c>
      <c r="BR38" s="31">
        <f t="shared" si="348"/>
        <v>4683.5500000000011</v>
      </c>
      <c r="BS38" s="31">
        <f t="shared" si="348"/>
        <v>2769.58</v>
      </c>
      <c r="BT38" s="31">
        <f t="shared" si="348"/>
        <v>2583.0000000000018</v>
      </c>
      <c r="BU38" s="31">
        <f t="shared" si="348"/>
        <v>2698.76</v>
      </c>
      <c r="BV38" s="31">
        <f t="shared" si="348"/>
        <v>3825.58</v>
      </c>
      <c r="BW38" s="31">
        <f t="shared" si="348"/>
        <v>3611.8700000000026</v>
      </c>
      <c r="BX38" s="31">
        <f t="shared" si="348"/>
        <v>3409.5400000000027</v>
      </c>
      <c r="BY38" s="31">
        <f t="shared" si="348"/>
        <v>4160.26</v>
      </c>
      <c r="BZ38" s="31">
        <f t="shared" si="348"/>
        <v>5302.8499999999985</v>
      </c>
      <c r="CA38" s="31">
        <f t="shared" si="348"/>
        <v>4395.5400000000027</v>
      </c>
      <c r="CB38" s="31">
        <f t="shared" si="348"/>
        <v>5217.3100000000013</v>
      </c>
      <c r="CC38" s="31">
        <f t="shared" si="348"/>
        <v>5579.8199999999979</v>
      </c>
      <c r="CD38" s="31">
        <f t="shared" si="348"/>
        <v>5921.6499999999978</v>
      </c>
      <c r="CE38" s="31">
        <f t="shared" ref="CE38:CF38" si="349">CE32-CE35-CE37-CE36</f>
        <v>5306</v>
      </c>
      <c r="CF38" s="31">
        <f t="shared" si="349"/>
        <v>4989</v>
      </c>
      <c r="CG38" s="31">
        <f t="shared" ref="CG38:CJ38" si="350">CG32-CG35-CG37-CG36</f>
        <v>4347.8999999999996</v>
      </c>
      <c r="CH38" s="31">
        <f t="shared" si="350"/>
        <v>5175.5999999999985</v>
      </c>
      <c r="CI38" s="31">
        <f t="shared" si="350"/>
        <v>5161</v>
      </c>
      <c r="CJ38" s="31">
        <f t="shared" si="350"/>
        <v>5516</v>
      </c>
      <c r="CK38" s="31">
        <f t="shared" ref="CK38:CL38" si="351">CK32-CK35-CK37-CK36</f>
        <v>6360</v>
      </c>
      <c r="CL38" s="31">
        <f t="shared" si="351"/>
        <v>7666</v>
      </c>
      <c r="CM38" s="32">
        <f t="shared" ref="CM38:DB38" si="352">+CM39*CM32</f>
        <v>5539.856702929641</v>
      </c>
      <c r="CN38" s="32">
        <f t="shared" si="352"/>
        <v>6076.6733014277015</v>
      </c>
      <c r="CO38" s="32">
        <f t="shared" si="352"/>
        <v>7322.7194551861767</v>
      </c>
      <c r="CP38" s="32">
        <f t="shared" si="352"/>
        <v>8512.3501002763714</v>
      </c>
      <c r="CQ38" s="32">
        <f t="shared" si="352"/>
        <v>6015.6706859606657</v>
      </c>
      <c r="CR38" s="32">
        <f t="shared" si="352"/>
        <v>6629.9304861648789</v>
      </c>
      <c r="CS38" s="32">
        <f t="shared" si="352"/>
        <v>7968.4992857169182</v>
      </c>
      <c r="CT38" s="32">
        <f t="shared" si="352"/>
        <v>9113.9028517414245</v>
      </c>
      <c r="CU38" s="32">
        <f t="shared" si="352"/>
        <v>6651.629678358292</v>
      </c>
      <c r="CV38" s="32">
        <f t="shared" si="352"/>
        <v>7375.6824621798996</v>
      </c>
      <c r="CW38" s="32">
        <f t="shared" si="352"/>
        <v>8904.7200014160226</v>
      </c>
      <c r="CX38" s="32">
        <f t="shared" si="352"/>
        <v>10229.86934177579</v>
      </c>
      <c r="CY38" s="32">
        <f t="shared" si="352"/>
        <v>7410.9970258595895</v>
      </c>
      <c r="CZ38" s="32">
        <f t="shared" si="352"/>
        <v>8246.7857035151792</v>
      </c>
      <c r="DA38" s="32">
        <f t="shared" si="352"/>
        <v>9965.6693960968769</v>
      </c>
      <c r="DB38" s="32">
        <f t="shared" si="352"/>
        <v>11427.5527309564</v>
      </c>
      <c r="DE38" s="124"/>
      <c r="DF38" s="31">
        <v>7734.9295245134153</v>
      </c>
    </row>
    <row r="39" spans="1:110" s="41" customFormat="1" x14ac:dyDescent="0.2">
      <c r="A39" s="41" t="s">
        <v>6</v>
      </c>
      <c r="B39" s="41" t="e">
        <f>B38/B32</f>
        <v>#DIV/0!</v>
      </c>
      <c r="C39" s="41" t="e">
        <f t="shared" ref="C39:U39" si="353">C38/C32</f>
        <v>#DIV/0!</v>
      </c>
      <c r="D39" s="41" t="e">
        <f t="shared" si="353"/>
        <v>#DIV/0!</v>
      </c>
      <c r="E39" s="41">
        <f t="shared" si="353"/>
        <v>0.43902219677076554</v>
      </c>
      <c r="F39" s="41">
        <f t="shared" si="353"/>
        <v>0.41208995131295389</v>
      </c>
      <c r="G39" s="41">
        <f t="shared" si="353"/>
        <v>0.39216841772720429</v>
      </c>
      <c r="H39" s="41">
        <f t="shared" si="353"/>
        <v>0.38467327793255529</v>
      </c>
      <c r="I39" s="41">
        <f t="shared" si="353"/>
        <v>0.37059085965169902</v>
      </c>
      <c r="J39" s="41">
        <f t="shared" si="353"/>
        <v>0.32786698109390633</v>
      </c>
      <c r="K39" s="41">
        <f t="shared" si="353"/>
        <v>0.34948205823157158</v>
      </c>
      <c r="L39" s="41">
        <f t="shared" si="353"/>
        <v>0.3299638168369225</v>
      </c>
      <c r="M39" s="41">
        <f t="shared" si="353"/>
        <v>0.3119068508861248</v>
      </c>
      <c r="N39" s="41">
        <f t="shared" si="353"/>
        <v>0.31043172280003278</v>
      </c>
      <c r="O39" s="41">
        <f t="shared" si="353"/>
        <v>0.28732889870309036</v>
      </c>
      <c r="P39" s="41">
        <f t="shared" si="353"/>
        <v>0.28951513045236382</v>
      </c>
      <c r="Q39" s="41">
        <f t="shared" si="353"/>
        <v>0.39108548966090245</v>
      </c>
      <c r="R39" s="41">
        <f t="shared" si="353"/>
        <v>0.36849799109081061</v>
      </c>
      <c r="S39" s="41">
        <f t="shared" si="353"/>
        <v>0.2783041557493422</v>
      </c>
      <c r="T39" s="41">
        <f t="shared" si="353"/>
        <v>0.27318617405009482</v>
      </c>
      <c r="U39" s="41">
        <f t="shared" si="353"/>
        <v>0.26585341007487412</v>
      </c>
      <c r="V39" s="41">
        <f>V38/V32</f>
        <v>0.2541134294173803</v>
      </c>
      <c r="W39" s="41">
        <f>W38/W32</f>
        <v>0.23156131727364462</v>
      </c>
      <c r="X39" s="41">
        <f>X38/X32</f>
        <v>0.2506870336736603</v>
      </c>
      <c r="Y39" s="41">
        <f>Y38/Y32</f>
        <v>0.28803732452969183</v>
      </c>
      <c r="Z39" s="41">
        <f>Z38/Z32</f>
        <v>0.31551880609055155</v>
      </c>
      <c r="AA39" s="41">
        <f>AA38/AA32</f>
        <v>0.31551880609055155</v>
      </c>
      <c r="AB39" s="42">
        <f t="shared" ref="AA39:AD39" si="354">AB38/AB32</f>
        <v>0.31421317375764352</v>
      </c>
      <c r="AC39" s="42">
        <f t="shared" si="354"/>
        <v>0.31386010426006489</v>
      </c>
      <c r="AD39" s="42">
        <f t="shared" si="354"/>
        <v>0.3138004836817439</v>
      </c>
      <c r="AE39" s="42">
        <f t="shared" ref="AE39" si="355">AE38/AE32</f>
        <v>0.31379263328383422</v>
      </c>
      <c r="AI39" s="41">
        <f t="shared" ref="AI39" si="356">AI38/AI32</f>
        <v>0.29789229776666498</v>
      </c>
      <c r="AJ39" s="41">
        <f t="shared" ref="AJ39" si="357">AJ38/AJ32</f>
        <v>0.25689869837693713</v>
      </c>
      <c r="AK39" s="41">
        <f t="shared" ref="AK39:AM39" si="358">AK38/AK32</f>
        <v>0.24672886118555909</v>
      </c>
      <c r="AL39" s="41">
        <f t="shared" si="358"/>
        <v>0.25458560381069767</v>
      </c>
      <c r="AM39" s="41">
        <f t="shared" si="358"/>
        <v>0.27393596573123158</v>
      </c>
      <c r="AN39" s="41">
        <f t="shared" ref="AN39:AO39" si="359">AN38/AN32</f>
        <v>0.25764705219063083</v>
      </c>
      <c r="AO39" s="41">
        <f t="shared" si="359"/>
        <v>0.23255041719918618</v>
      </c>
      <c r="AP39" s="41">
        <f t="shared" ref="AP39:CD39" si="360">AP38/AP32</f>
        <v>0.20921913196317582</v>
      </c>
      <c r="AQ39" s="41">
        <f t="shared" si="360"/>
        <v>0.26000809888951759</v>
      </c>
      <c r="AR39" s="41">
        <f t="shared" si="360"/>
        <v>0.24086388607051112</v>
      </c>
      <c r="AS39" s="41">
        <f t="shared" si="360"/>
        <v>0.22801145749595844</v>
      </c>
      <c r="AT39" s="41">
        <f t="shared" si="360"/>
        <v>0.28553598385798595</v>
      </c>
      <c r="AU39" s="41">
        <f t="shared" si="360"/>
        <v>0.31756397331674563</v>
      </c>
      <c r="AV39" s="41">
        <f t="shared" si="360"/>
        <v>0.31251794282422635</v>
      </c>
      <c r="AW39" s="41">
        <f t="shared" si="360"/>
        <v>0.29898255191554496</v>
      </c>
      <c r="AX39" s="41">
        <f t="shared" si="360"/>
        <v>0.34724461861546546</v>
      </c>
      <c r="AY39" s="41">
        <f t="shared" si="360"/>
        <v>0.33073786264349264</v>
      </c>
      <c r="AZ39" s="41">
        <f t="shared" si="360"/>
        <v>0.27812222517231283</v>
      </c>
      <c r="BA39" s="41">
        <f t="shared" si="360"/>
        <v>0.2671433414793315</v>
      </c>
      <c r="BB39" s="41">
        <f t="shared" si="360"/>
        <v>0.29563198847219802</v>
      </c>
      <c r="BC39" s="41">
        <f t="shared" si="360"/>
        <v>0.29370189990558776</v>
      </c>
      <c r="BD39" s="41">
        <f t="shared" si="360"/>
        <v>0.25285927669594388</v>
      </c>
      <c r="BE39" s="41">
        <f t="shared" si="360"/>
        <v>0.26179976807984262</v>
      </c>
      <c r="BF39" s="41">
        <f t="shared" si="360"/>
        <v>0.26076670564415622</v>
      </c>
      <c r="BG39" s="41">
        <f t="shared" si="360"/>
        <v>0.27578547273491605</v>
      </c>
      <c r="BH39" s="41">
        <f t="shared" si="360"/>
        <v>0.27303196350631703</v>
      </c>
      <c r="BI39" s="41">
        <f t="shared" si="360"/>
        <v>0.27069035833034616</v>
      </c>
      <c r="BJ39" s="41">
        <f t="shared" si="360"/>
        <v>0.25603173465808898</v>
      </c>
      <c r="BK39" s="41">
        <f t="shared" si="360"/>
        <v>0.28144887135997765</v>
      </c>
      <c r="BL39" s="41">
        <f t="shared" si="360"/>
        <v>0.25206790074076441</v>
      </c>
      <c r="BM39" s="41">
        <f t="shared" si="360"/>
        <v>0.25834300939507948</v>
      </c>
      <c r="BN39" s="41">
        <f t="shared" si="360"/>
        <v>0.23361968258078022</v>
      </c>
      <c r="BO39" s="41">
        <f t="shared" si="360"/>
        <v>0.27797027768369886</v>
      </c>
      <c r="BP39" s="41">
        <f t="shared" si="360"/>
        <v>0.25007809186913671</v>
      </c>
      <c r="BQ39" s="41">
        <f t="shared" si="360"/>
        <v>0.25638114636446901</v>
      </c>
      <c r="BR39" s="41">
        <f t="shared" si="360"/>
        <v>0.23364129323203253</v>
      </c>
      <c r="BS39" s="41">
        <f t="shared" si="360"/>
        <v>0.23265589678928175</v>
      </c>
      <c r="BT39" s="41">
        <f t="shared" si="360"/>
        <v>0.23490317405752278</v>
      </c>
      <c r="BU39" s="41">
        <f t="shared" si="360"/>
        <v>0.21847389818324298</v>
      </c>
      <c r="BV39" s="41">
        <f t="shared" si="360"/>
        <v>0.22064369743924855</v>
      </c>
      <c r="BW39" s="41">
        <f t="shared" si="360"/>
        <v>0.24282393152280032</v>
      </c>
      <c r="BX39" s="41">
        <f t="shared" si="360"/>
        <v>0.2281120080713038</v>
      </c>
      <c r="BY39" s="41">
        <f t="shared" si="360"/>
        <v>0.26340795670249045</v>
      </c>
      <c r="BZ39" s="41">
        <f t="shared" si="360"/>
        <v>0.26327156065421081</v>
      </c>
      <c r="CA39" s="41">
        <f t="shared" si="360"/>
        <v>0.27762643714823321</v>
      </c>
      <c r="CB39" s="41">
        <f t="shared" si="360"/>
        <v>0.28138250537976567</v>
      </c>
      <c r="CC39" s="41">
        <f t="shared" si="360"/>
        <v>0.29888861272642331</v>
      </c>
      <c r="CD39" s="41">
        <f t="shared" si="360"/>
        <v>0.2922793609552502</v>
      </c>
      <c r="CE39" s="41">
        <f t="shared" ref="CE39:CF39" si="361">CE38/CE32</f>
        <v>0.31467204364844026</v>
      </c>
      <c r="CF39" s="41">
        <f t="shared" si="361"/>
        <v>0.32149761567212271</v>
      </c>
      <c r="CG39" s="41">
        <f t="shared" ref="CG39:CH39" si="362">CG38/CG32</f>
        <v>0.25515845070422533</v>
      </c>
      <c r="CH39" s="41">
        <f t="shared" si="362"/>
        <v>0.2587929396469823</v>
      </c>
      <c r="CI39" s="41">
        <f t="shared" ref="CI39:CJ39" si="363">CI38/CI32</f>
        <v>0.32910343068486164</v>
      </c>
      <c r="CJ39" s="41">
        <f t="shared" si="363"/>
        <v>0.32167016561698158</v>
      </c>
      <c r="CK39" s="41">
        <f t="shared" ref="CK39:CL39" si="364">CK38/CK32</f>
        <v>0.30827395666715135</v>
      </c>
      <c r="CL39" s="41">
        <f t="shared" si="364"/>
        <v>0.31016345687004371</v>
      </c>
      <c r="CM39" s="42">
        <f t="shared" ref="CM39:DB39" si="365">AVERAGE(CI39:CL39)</f>
        <v>0.31730275245975958</v>
      </c>
      <c r="CN39" s="42">
        <f t="shared" si="365"/>
        <v>0.31435258290348406</v>
      </c>
      <c r="CO39" s="42">
        <f t="shared" si="365"/>
        <v>0.31252318722510969</v>
      </c>
      <c r="CP39" s="42">
        <f t="shared" si="365"/>
        <v>0.3135854948645993</v>
      </c>
      <c r="CQ39" s="42">
        <f t="shared" si="365"/>
        <v>0.31444100436323819</v>
      </c>
      <c r="CR39" s="42">
        <f t="shared" si="365"/>
        <v>0.31372556733910784</v>
      </c>
      <c r="CS39" s="42">
        <f t="shared" si="365"/>
        <v>0.31356881344801379</v>
      </c>
      <c r="CT39" s="42">
        <f t="shared" si="365"/>
        <v>0.31383022000373978</v>
      </c>
      <c r="CU39" s="42">
        <f t="shared" si="365"/>
        <v>0.31389140128852488</v>
      </c>
      <c r="CV39" s="42">
        <f t="shared" si="365"/>
        <v>0.31375400051984659</v>
      </c>
      <c r="CW39" s="42">
        <f t="shared" si="365"/>
        <v>0.31376110881503128</v>
      </c>
      <c r="CX39" s="42">
        <f t="shared" si="365"/>
        <v>0.31380918265678565</v>
      </c>
      <c r="CY39" s="42">
        <f t="shared" si="365"/>
        <v>0.31380392332004708</v>
      </c>
      <c r="CZ39" s="42">
        <f t="shared" si="365"/>
        <v>0.31378205382792768</v>
      </c>
      <c r="DA39" s="42">
        <f t="shared" si="365"/>
        <v>0.31378906715494792</v>
      </c>
      <c r="DB39" s="42">
        <f t="shared" si="365"/>
        <v>0.31379605673992705</v>
      </c>
      <c r="DE39" s="125"/>
      <c r="DF39" s="41">
        <v>0.31834081718869595</v>
      </c>
    </row>
    <row r="40" spans="1:110" s="90" customFormat="1" x14ac:dyDescent="0.2">
      <c r="A40" s="108" t="s">
        <v>449</v>
      </c>
      <c r="B40" s="108"/>
      <c r="C40" s="108" t="e">
        <f>+C38/B38-1</f>
        <v>#DIV/0!</v>
      </c>
      <c r="D40" s="108" t="e">
        <f>+D38/C38-1</f>
        <v>#DIV/0!</v>
      </c>
      <c r="E40" s="108"/>
      <c r="F40" s="108">
        <f t="shared" ref="F40" si="366">+F38/E38-1</f>
        <v>0.24428311066259001</v>
      </c>
      <c r="G40" s="108">
        <f t="shared" ref="G40" si="367">+G38/F38-1</f>
        <v>9.3967742091679796E-2</v>
      </c>
      <c r="H40" s="108">
        <f t="shared" ref="H40" si="368">+H38/G38-1</f>
        <v>0.31608422096273414</v>
      </c>
      <c r="I40" s="108">
        <f t="shared" ref="I40" si="369">+I38/H38-1</f>
        <v>1.5100444016948877E-3</v>
      </c>
      <c r="J40" s="108">
        <f t="shared" ref="J40" si="370">+J38/I38-1</f>
        <v>-0.23805350224360144</v>
      </c>
      <c r="K40" s="108">
        <f>+K38/J38-1</f>
        <v>0.43833874685435403</v>
      </c>
      <c r="L40" s="108">
        <f t="shared" ref="L40" si="371">+L38/K38-1</f>
        <v>0.28513637526600255</v>
      </c>
      <c r="M40" s="108">
        <f t="shared" ref="M40" si="372">+M38/L38-1</f>
        <v>7.2791483876069263E-2</v>
      </c>
      <c r="N40" s="108">
        <f t="shared" ref="N40" si="373">+N38/M38-1</f>
        <v>-0.17544145051184312</v>
      </c>
      <c r="O40" s="108">
        <f t="shared" ref="O40" si="374">+O38/N38-1</f>
        <v>-0.29597534006653059</v>
      </c>
      <c r="P40" s="108">
        <f t="shared" ref="P40" si="375">+P38/O38-1</f>
        <v>5.4673742889016275E-2</v>
      </c>
      <c r="Q40" s="108">
        <f t="shared" ref="Q40" si="376">+Q38/P38-1</f>
        <v>0.6966775461900212</v>
      </c>
      <c r="R40" s="108">
        <f t="shared" ref="R40" si="377">+R38/Q38-1</f>
        <v>-2.1667724824708134E-2</v>
      </c>
      <c r="S40" s="108">
        <f t="shared" ref="S40" si="378">+S38/R38-1</f>
        <v>-0.10007867295831574</v>
      </c>
      <c r="T40" s="108">
        <f t="shared" ref="T40" si="379">+T38/S38-1</f>
        <v>0.15579713226547476</v>
      </c>
      <c r="U40" s="108">
        <f t="shared" ref="U40" si="380">+U38/T38-1</f>
        <v>-0.37996547674989378</v>
      </c>
      <c r="V40" s="108">
        <f t="shared" ref="V40" si="381">+V38/U38-1</f>
        <v>2.3331499389201982E-2</v>
      </c>
      <c r="W40" s="108">
        <f t="shared" ref="W40" si="382">+W38/V38-1</f>
        <v>-9.3349592297093609E-2</v>
      </c>
      <c r="X40" s="108">
        <f t="shared" ref="X40:AA40" si="383">+X38/W38-1</f>
        <v>0.50619949490334526</v>
      </c>
      <c r="Y40" s="108">
        <f t="shared" si="383"/>
        <v>0.28083879957608793</v>
      </c>
      <c r="Z40" s="108">
        <f t="shared" si="383"/>
        <v>3.7368570616652441E-2</v>
      </c>
      <c r="AA40" s="108">
        <f t="shared" si="383"/>
        <v>0</v>
      </c>
      <c r="AB40" s="109">
        <f t="shared" ref="AB40" si="384">+AB38/AA38-1</f>
        <v>0.25332600830114083</v>
      </c>
      <c r="AC40" s="109">
        <f t="shared" ref="AC40" si="385">+AC38/AB38-1</f>
        <v>8.2924266209095876E-2</v>
      </c>
      <c r="AD40" s="109">
        <f t="shared" ref="AD40" si="386">+AD38/AC38-1</f>
        <v>0.1155105554310496</v>
      </c>
      <c r="AE40" s="109">
        <f t="shared" ref="AE40" si="387">+AE38/AD38-1</f>
        <v>0.11727624770268741</v>
      </c>
      <c r="AI40" s="108"/>
      <c r="AJ40" s="108"/>
      <c r="AK40" s="108"/>
      <c r="AL40" s="108"/>
      <c r="AM40" s="108">
        <f>+IF(AI38&lt;0,1-AM38/AI38,AM38/AI38-1)</f>
        <v>-0.20914444081544736</v>
      </c>
      <c r="AN40" s="108">
        <f t="shared" ref="AN40" si="388">+IF(AJ38&lt;0,1-AN38/AJ38,AN38/AJ38-1)</f>
        <v>-0.28739349559012495</v>
      </c>
      <c r="AO40" s="108">
        <f t="shared" ref="AO40" si="389">+IF(AK38&lt;0,1-AO38/AK38,AO38/AK38-1)</f>
        <v>-0.31108950529024837</v>
      </c>
      <c r="AP40" s="108">
        <f t="shared" ref="AP40" si="390">+IF(AL38&lt;0,1-AP38/AL38,AP38/AL38-1)</f>
        <v>-0.3654824857153004</v>
      </c>
      <c r="AQ40" s="108">
        <f t="shared" ref="AQ40" si="391">+IF(AM38&lt;0,1-AQ38/AM38,AQ38/AM38-1)</f>
        <v>-0.19676830857440653</v>
      </c>
      <c r="AR40" s="108">
        <f t="shared" ref="AR40" si="392">+IF(AN38&lt;0,1-AR38/AN38,AR38/AN38-1)</f>
        <v>-7.7407185340470641E-2</v>
      </c>
      <c r="AS40" s="108">
        <f t="shared" ref="AS40" si="393">+IF(AO38&lt;0,1-AS38/AO38,AS38/AO38-1)</f>
        <v>0.14281840118660094</v>
      </c>
      <c r="AT40" s="108">
        <f t="shared" ref="AT40" si="394">+IF(AP38&lt;0,1-AT38/AP38,AT38/AP38-1)</f>
        <v>0.72231917130903778</v>
      </c>
      <c r="AU40" s="108">
        <f t="shared" ref="AU40" si="395">+IF(AQ38&lt;0,1-AU38/AQ38,AU38/AQ38-1)</f>
        <v>0.47807617431238492</v>
      </c>
      <c r="AV40" s="108">
        <f t="shared" ref="AV40" si="396">+IF(AR38&lt;0,1-AV38/AR38,AV38/AR38-1)</f>
        <v>0.58532963957382789</v>
      </c>
      <c r="AW40" s="108">
        <f t="shared" ref="AW40" si="397">+IF(AS38&lt;0,1-AW38/AS38,AW38/AS38-1)</f>
        <v>0.45398544232380433</v>
      </c>
      <c r="AX40" s="108">
        <f t="shared" ref="AX40" si="398">+IF(AT38&lt;0,1-AX38/AT38,AX38/AT38-1)</f>
        <v>0.44338648394115521</v>
      </c>
      <c r="AY40" s="108">
        <f t="shared" ref="AY40" si="399">+IF(AU38&lt;0,1-AY38/AU38,AY38/AU38-1)</f>
        <v>0.14932979402437629</v>
      </c>
      <c r="AZ40" s="108">
        <f t="shared" ref="AZ40" si="400">+IF(AV38&lt;0,1-AZ38/AV38,AZ38/AV38-1)</f>
        <v>-0.144307100303115</v>
      </c>
      <c r="BA40" s="108">
        <f t="shared" ref="BA40" si="401">+IF(AW38&lt;0,1-BA38/AW38,BA38/AW38-1)</f>
        <v>-9.1932239068453825E-2</v>
      </c>
      <c r="BB40" s="108">
        <f t="shared" ref="BB40" si="402">+IF(AX38&lt;0,1-BB38/AX38,BB38/AX38-1)</f>
        <v>-9.7121913684409034E-2</v>
      </c>
      <c r="BC40" s="108">
        <f t="shared" ref="BC40" si="403">+IF(AY38&lt;0,1-BC38/AY38,BC38/AY38-1)</f>
        <v>-0.2157058062999534</v>
      </c>
      <c r="BD40" s="108">
        <f t="shared" ref="BD40" si="404">+IF(AZ38&lt;0,1-BD38/AZ38,BD38/AZ38-1)</f>
        <v>0.22004755743609583</v>
      </c>
      <c r="BE40" s="108">
        <f t="shared" ref="BE40" si="405">+IF(BA38&lt;0,1-BE38/BA38,BE38/BA38-1)</f>
        <v>0.53282275309851035</v>
      </c>
      <c r="BF40" s="108">
        <f t="shared" ref="BF40" si="406">+IF(BB38&lt;0,1-BF38/BB38,BF38/BB38-1)</f>
        <v>0.24591634583037414</v>
      </c>
      <c r="BG40" s="108">
        <f t="shared" ref="BG40" si="407">+IF(BC38&lt;0,1-BG38/BC38,BG38/BC38-1)</f>
        <v>0.72294135498349688</v>
      </c>
      <c r="BH40" s="108">
        <f t="shared" ref="BH40" si="408">+IF(BD38&lt;0,1-BH38/BD38,BH38/BD38-1)</f>
        <v>0.38971960206020473</v>
      </c>
      <c r="BI40" s="108">
        <f t="shared" ref="BI40" si="409">+IF(BE38&lt;0,1-BI38/BE38,BI38/BE38-1)</f>
        <v>4.9847449718231518E-2</v>
      </c>
      <c r="BJ40" s="108">
        <f t="shared" ref="BJ40" si="410">+IF(BF38&lt;0,1-BJ38/BF38,BJ38/BF38-1)</f>
        <v>-4.9499979999200638E-2</v>
      </c>
      <c r="BK40" s="108">
        <f t="shared" ref="BK40" si="411">+IF(BG38&lt;0,1-BK38/BG38,BK38/BG38-1)</f>
        <v>-0.18284218217243031</v>
      </c>
      <c r="BL40" s="108">
        <f t="shared" ref="BL40" si="412">+IF(BH38&lt;0,1-BL38/BH38,BL38/BH38-1)</f>
        <v>-0.48010699797264811</v>
      </c>
      <c r="BM40" s="108">
        <f t="shared" ref="BM40" si="413">+IF(BI38&lt;0,1-BM38/BI38,BM38/BI38-1)</f>
        <v>-0.3615172111978775</v>
      </c>
      <c r="BN40" s="108">
        <f t="shared" ref="BN40" si="414">+IF(BJ38&lt;0,1-BN38/BJ38,BN38/BJ38-1)</f>
        <v>-0.5215400510488587</v>
      </c>
      <c r="BO40" s="108">
        <f t="shared" ref="BO40" si="415">+IF(BK38&lt;0,1-BO38/BK38,BO38/BK38-1)</f>
        <v>-0.80125230182975504</v>
      </c>
      <c r="BP40" s="108">
        <f t="shared" ref="BP40" si="416">+IF(BL38&lt;0,1-BP38/BL38,BP38/BL38-1)</f>
        <v>-4.0867978419548812E-2</v>
      </c>
      <c r="BQ40" s="108">
        <f t="shared" ref="BQ40" si="417">+IF(BM38&lt;0,1-BQ38/BM38,BQ38/BM38-1)</f>
        <v>0.33907732071012608</v>
      </c>
      <c r="BR40" s="108">
        <f t="shared" ref="BR40" si="418">+IF(BN38&lt;0,1-BR38/BN38,BR38/BN38-1)</f>
        <v>1.0597988380633239</v>
      </c>
      <c r="BS40" s="108">
        <f t="shared" ref="BS40" si="419">+IF(BO38&lt;0,1-BS38/BO38,BS38/BO38-1)</f>
        <v>2.7082490928809571</v>
      </c>
      <c r="BT40" s="108">
        <f t="shared" ref="BT40" si="420">+IF(BP38&lt;0,1-BT38/BP38,BT38/BP38-1)</f>
        <v>6.8335415132890986E-2</v>
      </c>
      <c r="BU40" s="108">
        <f t="shared" ref="BU40" si="421">+IF(BQ38&lt;0,1-BU38/BQ38,BU38/BQ38-1)</f>
        <v>-0.28052444541603461</v>
      </c>
      <c r="BV40" s="108">
        <f t="shared" ref="BV40" si="422">+IF(BR38&lt;0,1-BV38/BR38,BV38/BR38-1)</f>
        <v>-0.18318796639301405</v>
      </c>
      <c r="BW40" s="108">
        <f t="shared" ref="BW40" si="423">+IF(BS38&lt;0,1-BW38/BS38,BW38/BS38-1)</f>
        <v>0.30412192462395127</v>
      </c>
      <c r="BX40" s="108">
        <f t="shared" ref="BX40" si="424">+IF(BT38&lt;0,1-BX38/BT38,BX38/BT38-1)</f>
        <v>0.31999225706542789</v>
      </c>
      <c r="BY40" s="108">
        <f t="shared" ref="BY40" si="425">+IF(BU38&lt;0,1-BY38/BU38,BY38/BU38-1)</f>
        <v>0.54154500585454057</v>
      </c>
      <c r="BZ40" s="108">
        <f t="shared" ref="BZ40" si="426">+IF(BV38&lt;0,1-BZ38/BV38,BZ38/BV38-1)</f>
        <v>0.38615582473768639</v>
      </c>
      <c r="CA40" s="108">
        <f t="shared" ref="CA40" si="427">+IF(BW38&lt;0,1-CA38/BW38,CA38/BW38-1)</f>
        <v>0.21697071046300098</v>
      </c>
      <c r="CB40" s="108">
        <f t="shared" ref="CB40" si="428">+IF(BX38&lt;0,1-CB38/BX38,CB38/BX38-1)</f>
        <v>0.53020935375446454</v>
      </c>
      <c r="CC40" s="108">
        <f t="shared" ref="CC40" si="429">+IF(BY38&lt;0,1-CC38/BY38,CC38/BY38-1)</f>
        <v>0.3412190584242325</v>
      </c>
      <c r="CD40" s="108">
        <f t="shared" ref="CD40" si="430">+IF(BZ38&lt;0,1-CD38/BZ38,CD38/BZ38-1)</f>
        <v>0.11669196752689581</v>
      </c>
      <c r="CE40" s="108">
        <f t="shared" ref="CE40" si="431">+IF(CA38&lt;0,1-CE38/CA38,CE38/CA38-1)</f>
        <v>0.20713268449382705</v>
      </c>
      <c r="CF40" s="108">
        <f t="shared" ref="CF40" si="432">+IF(CB38&lt;0,1-CF38/CB38,CF38/CB38-1)</f>
        <v>-4.3760098594869956E-2</v>
      </c>
      <c r="CG40" s="108">
        <f t="shared" ref="CG40" si="433">+IF(CC38&lt;0,1-CG38/CC38,CG38/CC38-1)</f>
        <v>-0.22078131552630709</v>
      </c>
      <c r="CH40" s="108">
        <f t="shared" ref="CH40:CL40" si="434">+IF(CD38&lt;0,1-CH38/CD38,CH38/CD38-1)</f>
        <v>-0.12598684488276068</v>
      </c>
      <c r="CI40" s="108">
        <f t="shared" si="434"/>
        <v>-2.7327553712777952E-2</v>
      </c>
      <c r="CJ40" s="39">
        <f t="shared" si="434"/>
        <v>0.10563239126077373</v>
      </c>
      <c r="CK40" s="39">
        <f t="shared" si="434"/>
        <v>0.46277513282274207</v>
      </c>
      <c r="CL40" s="39">
        <f t="shared" si="434"/>
        <v>0.48118092588298977</v>
      </c>
      <c r="CM40" s="109">
        <f t="shared" ref="CM40" si="435">+CM38/CI38-1</f>
        <v>7.3407615370982615E-2</v>
      </c>
      <c r="CN40" s="109">
        <f t="shared" ref="CN40" si="436">+CN38/CJ38-1</f>
        <v>0.10164490598761811</v>
      </c>
      <c r="CO40" s="109">
        <f t="shared" ref="CO40" si="437">+CO38/CK38-1</f>
        <v>0.15137098351983913</v>
      </c>
      <c r="CP40" s="109">
        <f t="shared" ref="CP40" si="438">+CP38/CL38-1</f>
        <v>0.11040309160923178</v>
      </c>
      <c r="CQ40" s="109">
        <f t="shared" ref="CQ40" si="439">+CQ38/CM38-1</f>
        <v>8.5889222148905153E-2</v>
      </c>
      <c r="CR40" s="109">
        <f t="shared" ref="CR40" si="440">+CR38/CN38-1</f>
        <v>9.1046063741355043E-2</v>
      </c>
      <c r="CS40" s="109">
        <f t="shared" ref="CS40" si="441">+CS38/CO38-1</f>
        <v>8.8188525380878957E-2</v>
      </c>
      <c r="CT40" s="109">
        <f t="shared" ref="CT40" si="442">+CT38/CP38-1</f>
        <v>7.0668234315870437E-2</v>
      </c>
      <c r="CU40" s="109">
        <f t="shared" ref="CU40" si="443">+CU38/CQ38-1</f>
        <v>0.1057170556030973</v>
      </c>
      <c r="CV40" s="109">
        <f t="shared" ref="CV40" si="444">+CV38/CR38-1</f>
        <v>0.11248262369737239</v>
      </c>
      <c r="CW40" s="109">
        <f t="shared" ref="CW40" si="445">+CW38/CS38-1</f>
        <v>0.11749021768468082</v>
      </c>
      <c r="CX40" s="109">
        <f t="shared" ref="CX40" si="446">+CX38/CT38-1</f>
        <v>0.12244660802162644</v>
      </c>
      <c r="CY40" s="109">
        <f t="shared" ref="CY40" si="447">+CY38/CU38-1</f>
        <v>0.11416260138052658</v>
      </c>
      <c r="CZ40" s="109">
        <f t="shared" ref="CZ40" si="448">+CZ38/CV38-1</f>
        <v>0.11810476465086639</v>
      </c>
      <c r="DA40" s="109">
        <f t="shared" ref="DA40" si="449">+DA38/CW38-1</f>
        <v>0.11914461033161539</v>
      </c>
      <c r="DB40" s="109">
        <f t="shared" ref="DB40" si="450">+DB38/CX38-1</f>
        <v>0.11707709543167111</v>
      </c>
      <c r="DE40" s="126"/>
      <c r="DF40" s="90">
        <v>0.23050103794359145</v>
      </c>
    </row>
    <row r="41" spans="1:110" s="90" customFormat="1" x14ac:dyDescent="0.2">
      <c r="A41" s="108" t="s">
        <v>450</v>
      </c>
      <c r="B41" s="108"/>
      <c r="C41" s="108"/>
      <c r="D41" s="108"/>
      <c r="E41" s="199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9"/>
      <c r="AC41" s="109"/>
      <c r="AD41" s="109"/>
      <c r="AE41" s="109"/>
      <c r="AI41" s="108"/>
      <c r="AJ41" s="108">
        <f>+IF(AI38&lt;0,1-AJ38/AI38,AJ38/AI38-1)</f>
        <v>1.6752229984049904E-2</v>
      </c>
      <c r="AK41" s="108">
        <f t="shared" ref="AK41" si="451">+IF(AJ38&lt;0,1-AK38/AJ38,AK38/AJ38-1)</f>
        <v>-0.18203677598832357</v>
      </c>
      <c r="AL41" s="108">
        <f t="shared" ref="AL41" si="452">+IF(AK38&lt;0,1-AL38/AK38,AL38/AK38-1)</f>
        <v>7.4330378419598331E-2</v>
      </c>
      <c r="AM41" s="108">
        <f t="shared" ref="AM41" si="453">+IF(AL38&lt;0,1-AM38/AL38,AM38/AL38-1)</f>
        <v>-0.11486318628668912</v>
      </c>
      <c r="AN41" s="108">
        <f t="shared" ref="AN41" si="454">+IF(AM38&lt;0,1-AN38/AM38,AN38/AM38-1)</f>
        <v>-8.3847557186101818E-2</v>
      </c>
      <c r="AO41" s="108">
        <f t="shared" ref="AO41" si="455">+IF(AN38&lt;0,1-AO38/AN38,AO38/AN38-1)</f>
        <v>-0.20923616916054288</v>
      </c>
      <c r="AP41" s="108">
        <f t="shared" ref="AP41" si="456">+IF(AO38&lt;0,1-AP38/AO38,AP38/AO38-1)</f>
        <v>-1.0493458192203931E-2</v>
      </c>
      <c r="AQ41" s="108">
        <f t="shared" ref="AQ41" si="457">+IF(AP38&lt;0,1-AQ38/AP38,AQ38/AP38-1)</f>
        <v>0.12048907085486738</v>
      </c>
      <c r="AR41" s="108">
        <f t="shared" ref="AR41" si="458">+IF(AQ38&lt;0,1-AR38/AQ38,AR38/AQ38-1)</f>
        <v>5.2293715369639671E-2</v>
      </c>
      <c r="AS41" s="108">
        <f t="shared" ref="AS41" si="459">+IF(AR38&lt;0,1-AS38/AR38,AS38/AR38-1)</f>
        <v>-2.0478544253958231E-2</v>
      </c>
      <c r="AT41" s="108">
        <f t="shared" ref="AT41" si="460">+IF(AS38&lt;0,1-AT38/AS38,AT38/AS38-1)</f>
        <v>0.49126587856980364</v>
      </c>
      <c r="AU41" s="108">
        <f t="shared" ref="AU41" si="461">+IF(AT38&lt;0,1-AU38/AT38,AU38/AT38-1)</f>
        <v>-3.8408079758387115E-2</v>
      </c>
      <c r="AV41" s="108">
        <f t="shared" ref="AV41" si="462">+IF(AU38&lt;0,1-AV38/AU38,AV38/AU38-1)</f>
        <v>0.12865117881277843</v>
      </c>
      <c r="AW41" s="108">
        <f t="shared" ref="AW41" si="463">+IF(AV38&lt;0,1-AW38/AV38,AW38/AV38-1)</f>
        <v>-0.10163167233697534</v>
      </c>
      <c r="AX41" s="108">
        <f t="shared" ref="AX41" si="464">+IF(AW38&lt;0,1-AX38/AW38,AX38/AW38-1)</f>
        <v>0.48039516107543534</v>
      </c>
      <c r="AY41" s="108">
        <f t="shared" ref="AY41" si="465">+IF(AX38&lt;0,1-AY38/AX38,AY38/AX38-1)</f>
        <v>-0.23431024474533291</v>
      </c>
      <c r="AZ41" s="108">
        <f t="shared" ref="AZ41" si="466">+IF(AY38&lt;0,1-AZ38/AY38,AZ38/AY38-1)</f>
        <v>-0.15970263281617281</v>
      </c>
      <c r="BA41" s="108">
        <f t="shared" ref="BA41" si="467">+IF(AZ38&lt;0,1-BA38/AZ38,BA38/AZ38-1)</f>
        <v>-4.6644752946113366E-2</v>
      </c>
      <c r="BB41" s="108">
        <f t="shared" ref="BB41" si="468">+IF(BA38&lt;0,1-BB38/BA38,BB38/BA38-1)</f>
        <v>0.4719345929112988</v>
      </c>
      <c r="BC41" s="108">
        <f t="shared" ref="BC41" si="469">+IF(BB38&lt;0,1-BC38/BB38,BC38/BB38-1)</f>
        <v>-0.33487583946971777</v>
      </c>
      <c r="BD41" s="108">
        <f t="shared" ref="BD41" si="470">+IF(BC38&lt;0,1-BD38/BC38,BD38/BC38-1)</f>
        <v>0.30716605909835337</v>
      </c>
      <c r="BE41" s="108">
        <f t="shared" ref="BE41" si="471">+IF(BD38&lt;0,1-BE38/BD38,BE38/BD38-1)</f>
        <v>0.19776037053915485</v>
      </c>
      <c r="BF41" s="108">
        <f t="shared" ref="BF41" si="472">+IF(BE38&lt;0,1-BF38/BE38,BF38/BE38-1)</f>
        <v>0.19642493927900651</v>
      </c>
      <c r="BG41" s="108">
        <f t="shared" ref="BG41" si="473">+IF(BF38&lt;0,1-BG38/BF38,BG38/BF38-1)</f>
        <v>-8.0219208768351757E-2</v>
      </c>
      <c r="BH41" s="108">
        <f t="shared" ref="BH41" si="474">+IF(BG38&lt;0,1-BH38/BG38,BH38/BG38-1)</f>
        <v>5.4356429615197266E-2</v>
      </c>
      <c r="BI41" s="108">
        <f t="shared" ref="BI41" si="475">+IF(BH38&lt;0,1-BI38/BH38,BI38/BH38-1)</f>
        <v>-9.5165910792398556E-2</v>
      </c>
      <c r="BJ41" s="108">
        <f t="shared" ref="BJ41" si="476">+IF(BI38&lt;0,1-BJ38/BI38,BJ38/BI38-1)</f>
        <v>8.3206830687034161E-2</v>
      </c>
      <c r="BK41" s="108">
        <f t="shared" ref="BK41" si="477">+IF(BJ38&lt;0,1-BK38/BJ38,BK38/BJ38-1)</f>
        <v>-0.20925192169702744</v>
      </c>
      <c r="BL41" s="108">
        <f t="shared" ref="BL41" si="478">+IF(BK38&lt;0,1-BL38/BK38,BL38/BK38-1)</f>
        <v>-0.32919624894887545</v>
      </c>
      <c r="BM41" s="108">
        <f t="shared" ref="BM41" si="479">+IF(BL38&lt;0,1-BM38/BL38,BM38/BL38-1)</f>
        <v>0.11123056172643686</v>
      </c>
      <c r="BN41" s="108">
        <f t="shared" ref="BN41" si="480">+IF(BM38&lt;0,1-BN38/BM38,BN38/BM38-1)</f>
        <v>-0.18827712507898531</v>
      </c>
      <c r="BO41" s="108">
        <f t="shared" ref="BO41" si="481">+IF(BN38&lt;0,1-BO38/BN38,BO38/BN38-1)</f>
        <v>-0.67153079220156631</v>
      </c>
      <c r="BP41" s="108">
        <f t="shared" ref="BP41" si="482">+IF(BO38&lt;0,1-BP38/BO38,BP38/BO38-1)</f>
        <v>2.2372166508227682</v>
      </c>
      <c r="BQ41" s="108">
        <f t="shared" ref="BQ41" si="483">+IF(BP38&lt;0,1-BQ38/BP38,BQ38/BP38-1)</f>
        <v>0.55142734243810398</v>
      </c>
      <c r="BR41" s="108">
        <f t="shared" ref="BR41" si="484">+IF(BQ38&lt;0,1-BR38/BQ38,BR38/BQ38-1)</f>
        <v>0.24861037427252941</v>
      </c>
      <c r="BS41" s="108">
        <f t="shared" ref="BS41" si="485">+IF(BR38&lt;0,1-BS38/BR38,BS38/BR38-1)</f>
        <v>-0.40865796244301877</v>
      </c>
      <c r="BT41" s="108">
        <f t="shared" ref="BT41" si="486">+IF(BS38&lt;0,1-BT38/BS38,BT38/BS38-1)</f>
        <v>-6.7367615306291206E-2</v>
      </c>
      <c r="BU41" s="108">
        <f t="shared" ref="BU41" si="487">+IF(BT38&lt;0,1-BU38/BT38,BU38/BT38-1)</f>
        <v>4.4816105303909559E-2</v>
      </c>
      <c r="BV41" s="108">
        <f t="shared" ref="BV41" si="488">+IF(BU38&lt;0,1-BV38/BU38,BV38/BU38-1)</f>
        <v>0.41753249640575651</v>
      </c>
      <c r="BW41" s="108">
        <f t="shared" ref="BW41" si="489">+IF(BV38&lt;0,1-BW38/BV38,BW38/BV38-1)</f>
        <v>-5.5863424631035663E-2</v>
      </c>
      <c r="BX41" s="108">
        <f t="shared" ref="BX41" si="490">+IF(BW38&lt;0,1-BX38/BW38,BX38/BW38-1)</f>
        <v>-5.6018073740195407E-2</v>
      </c>
      <c r="BY41" s="108">
        <f t="shared" ref="BY41" si="491">+IF(BX38&lt;0,1-BY38/BX38,BY38/BX38-1)</f>
        <v>0.22018219466555511</v>
      </c>
      <c r="BZ41" s="108">
        <f t="shared" ref="BZ41" si="492">+IF(BY38&lt;0,1-BZ38/BY38,BZ38/BY38-1)</f>
        <v>0.27464389244902931</v>
      </c>
      <c r="CA41" s="108">
        <f t="shared" ref="CA41" si="493">+IF(BZ38&lt;0,1-CA38/BZ38,CA38/BZ38-1)</f>
        <v>-0.17109856020818925</v>
      </c>
      <c r="CB41" s="108">
        <f t="shared" ref="CB41" si="494">+IF(CA38&lt;0,1-CB38/CA38,CB38/CA38-1)</f>
        <v>0.18695541389681325</v>
      </c>
      <c r="CC41" s="108">
        <f t="shared" ref="CC41" si="495">+IF(CB38&lt;0,1-CC38/CB38,CC38/CB38-1)</f>
        <v>6.9482166097087683E-2</v>
      </c>
      <c r="CD41" s="108">
        <f t="shared" ref="CD41" si="496">+IF(CC38&lt;0,1-CD38/CC38,CD38/CC38-1)</f>
        <v>6.1261832818979789E-2</v>
      </c>
      <c r="CE41" s="108">
        <f t="shared" ref="CE41" si="497">+IF(CD38&lt;0,1-CE38/CD38,CE38/CD38-1)</f>
        <v>-0.10396595543471798</v>
      </c>
      <c r="CF41" s="108">
        <f t="shared" ref="CF41" si="498">+IF(CE38&lt;0,1-CF38/CE38,CF38/CE38-1)</f>
        <v>-5.9743686392762951E-2</v>
      </c>
      <c r="CG41" s="108">
        <f t="shared" ref="CG41" si="499">+IF(CF38&lt;0,1-CG38/CF38,CG38/CF38-1)</f>
        <v>-0.12850270595309687</v>
      </c>
      <c r="CH41" s="108">
        <f t="shared" ref="CH41:CL41" si="500">+IF(CG38&lt;0,1-CH38/CG38,CH38/CG38-1)</f>
        <v>0.19036776374801612</v>
      </c>
      <c r="CI41" s="108">
        <f t="shared" si="500"/>
        <v>-2.8209289744181021E-3</v>
      </c>
      <c r="CJ41" s="39">
        <f t="shared" si="500"/>
        <v>6.8785119162952935E-2</v>
      </c>
      <c r="CK41" s="39">
        <f t="shared" si="500"/>
        <v>0.15300942712110221</v>
      </c>
      <c r="CL41" s="39">
        <f t="shared" si="500"/>
        <v>0.20534591194968543</v>
      </c>
      <c r="CM41" s="109">
        <f t="shared" ref="CM41" si="501">+CM38/CL38-1</f>
        <v>-0.2773471558922983</v>
      </c>
      <c r="CN41" s="109">
        <f t="shared" ref="CN41" si="502">+CN38/CM38-1</f>
        <v>9.6900809404361743E-2</v>
      </c>
      <c r="CO41" s="109">
        <f t="shared" ref="CO41" si="503">+CO38/CN38-1</f>
        <v>0.20505399779608346</v>
      </c>
      <c r="CP41" s="109">
        <f t="shared" ref="CP41" si="504">+CP38/CO38-1</f>
        <v>0.16245749306258905</v>
      </c>
      <c r="CQ41" s="109">
        <f t="shared" ref="CQ41" si="505">+CQ38/CP38-1</f>
        <v>-0.29330083759532466</v>
      </c>
      <c r="CR41" s="109">
        <f t="shared" ref="CR41" si="506">+CR38/CQ38-1</f>
        <v>0.10210994455493871</v>
      </c>
      <c r="CS41" s="109">
        <f t="shared" ref="CS41" si="507">+CS38/CR38-1</f>
        <v>0.20189786338564497</v>
      </c>
      <c r="CT41" s="109">
        <f t="shared" ref="CT41" si="508">+CT38/CS38-1</f>
        <v>0.14374144050907778</v>
      </c>
      <c r="CU41" s="109">
        <f t="shared" ref="CU41" si="509">+CU38/CT38-1</f>
        <v>-0.27016671270669268</v>
      </c>
      <c r="CV41" s="109">
        <f t="shared" ref="CV41" si="510">+CV38/CU38-1</f>
        <v>0.10885344176290834</v>
      </c>
      <c r="CW41" s="109">
        <f t="shared" ref="CW41" si="511">+CW38/CV38-1</f>
        <v>0.20730794025861754</v>
      </c>
      <c r="CX41" s="109">
        <f t="shared" ref="CX41" si="512">+CX38/CW38-1</f>
        <v>0.14881426256513874</v>
      </c>
      <c r="CY41" s="109">
        <f t="shared" ref="CY41" si="513">+CY38/CX38-1</f>
        <v>-0.27555311038086783</v>
      </c>
      <c r="CZ41" s="109">
        <f t="shared" ref="CZ41" si="514">+CZ38/CY38-1</f>
        <v>0.11277682000670453</v>
      </c>
      <c r="DA41" s="109">
        <f t="shared" ref="DA41" si="515">+DA38/CZ38-1</f>
        <v>0.20843074555084251</v>
      </c>
      <c r="DB41" s="109">
        <f t="shared" ref="DB41" si="516">+DB38/DA38-1</f>
        <v>0.1466919357601888</v>
      </c>
      <c r="DE41" s="126"/>
      <c r="DF41" s="90">
        <v>0.21618388750210937</v>
      </c>
    </row>
    <row r="42" spans="1:110" s="23" customFormat="1" outlineLevel="1" x14ac:dyDescent="0.2">
      <c r="A42" s="23" t="s">
        <v>7</v>
      </c>
      <c r="B42" s="23">
        <f>'Annual Raw'!C13</f>
        <v>0</v>
      </c>
      <c r="C42" s="23">
        <f>'Annual Raw'!D13</f>
        <v>0</v>
      </c>
      <c r="D42" s="23">
        <f>'Annual Raw'!E13</f>
        <v>0</v>
      </c>
      <c r="E42" s="23">
        <v>214.51999999999998</v>
      </c>
      <c r="F42" s="23">
        <v>237.81</v>
      </c>
      <c r="G42" s="23">
        <v>258.51</v>
      </c>
      <c r="H42" s="23">
        <v>327.40999999999997</v>
      </c>
      <c r="I42" s="23">
        <v>325.19</v>
      </c>
      <c r="J42" s="23">
        <v>304.94</v>
      </c>
      <c r="K42" s="23">
        <v>362.62</v>
      </c>
      <c r="L42" s="23">
        <v>471.28000000000003</v>
      </c>
      <c r="M42" s="23">
        <v>550.89</v>
      </c>
      <c r="N42" s="23">
        <v>484.66</v>
      </c>
      <c r="O42" s="23">
        <v>392.09000000000003</v>
      </c>
      <c r="P42" s="23">
        <v>395.88</v>
      </c>
      <c r="Q42" s="23">
        <v>402.36</v>
      </c>
      <c r="R42" s="23">
        <v>483.48</v>
      </c>
      <c r="S42" s="23">
        <v>545.11</v>
      </c>
      <c r="T42" s="23">
        <v>598.62</v>
      </c>
      <c r="U42" s="23">
        <v>428.85</v>
      </c>
      <c r="V42" s="23">
        <v>371.78000000000003</v>
      </c>
      <c r="W42" s="23">
        <v>344.78000000000003</v>
      </c>
      <c r="X42" s="23">
        <v>420.98</v>
      </c>
      <c r="Y42" s="23">
        <v>424</v>
      </c>
      <c r="Z42" s="23">
        <v>419</v>
      </c>
      <c r="AA42" s="23">
        <v>419</v>
      </c>
      <c r="AB42" s="17">
        <f t="shared" ref="AB42:AB49" si="517">+SUM(CM42:CP42)</f>
        <v>0</v>
      </c>
      <c r="AC42" s="17">
        <f t="shared" ref="AC42:AC49" si="518">+SUM(CQ42:CT42)</f>
        <v>0</v>
      </c>
      <c r="AD42" s="17">
        <f t="shared" ref="AD42:AD49" si="519">+SUM(CU42:CX42)</f>
        <v>0</v>
      </c>
      <c r="AE42" s="17">
        <f t="shared" ref="AE42:AE49" si="520">+SUM(CY42:DB42)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0</v>
      </c>
    </row>
    <row r="43" spans="1:110" s="23" customFormat="1" outlineLevel="1" x14ac:dyDescent="0.2">
      <c r="A43" s="23" t="s">
        <v>11</v>
      </c>
      <c r="B43" s="23">
        <f>'Annual Raw'!C18</f>
        <v>0</v>
      </c>
      <c r="C43" s="23">
        <f>'Annual Raw'!D18</f>
        <v>0</v>
      </c>
      <c r="D43" s="23">
        <f>'Annual Raw'!E18</f>
        <v>0</v>
      </c>
      <c r="E43" s="23">
        <v>455.56000000000006</v>
      </c>
      <c r="F43" s="23">
        <v>598.75</v>
      </c>
      <c r="G43" s="23">
        <v>759.54000000000008</v>
      </c>
      <c r="H43" s="23">
        <v>1068.56</v>
      </c>
      <c r="I43" s="23">
        <v>1173.8</v>
      </c>
      <c r="J43" s="23">
        <v>1224.1500000000001</v>
      </c>
      <c r="K43" s="23">
        <v>1578.14</v>
      </c>
      <c r="L43" s="23">
        <v>2283.19</v>
      </c>
      <c r="M43" s="23">
        <v>2913.1746309999999</v>
      </c>
      <c r="N43" s="23">
        <v>2567.6282776953167</v>
      </c>
      <c r="O43" s="23">
        <v>2168.6633760567042</v>
      </c>
      <c r="P43" s="23">
        <v>2521.2651486388559</v>
      </c>
      <c r="Q43" s="23">
        <v>2674.8469400000004</v>
      </c>
      <c r="R43" s="23">
        <v>2878.46</v>
      </c>
      <c r="S43" s="23">
        <v>3189.5099999999998</v>
      </c>
      <c r="T43" s="23">
        <v>3601.22</v>
      </c>
      <c r="U43" s="23">
        <v>2462.16</v>
      </c>
      <c r="V43" s="23">
        <v>966.19399999999985</v>
      </c>
      <c r="W43" s="23">
        <v>2064.8000000000002</v>
      </c>
      <c r="X43" s="23">
        <v>2578.25</v>
      </c>
      <c r="Y43" s="23">
        <v>2999</v>
      </c>
      <c r="Z43" s="23">
        <v>3686</v>
      </c>
      <c r="AA43" s="23">
        <v>3686</v>
      </c>
      <c r="AB43" s="17">
        <f t="shared" si="517"/>
        <v>0</v>
      </c>
      <c r="AC43" s="17">
        <f t="shared" si="518"/>
        <v>0</v>
      </c>
      <c r="AD43" s="17">
        <f t="shared" si="519"/>
        <v>0</v>
      </c>
      <c r="AE43" s="17">
        <f t="shared" si="520"/>
        <v>0</v>
      </c>
      <c r="BK43" s="197"/>
      <c r="BL43" s="197"/>
      <c r="BM43" s="197"/>
      <c r="BN43" s="197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0</v>
      </c>
    </row>
    <row r="44" spans="1:110" s="23" customFormat="1" outlineLevel="1" x14ac:dyDescent="0.2">
      <c r="A44" s="23" t="s">
        <v>9</v>
      </c>
      <c r="B44" s="23">
        <f>'Annual Raw'!C15+'Annual Raw'!C16</f>
        <v>0</v>
      </c>
      <c r="C44" s="23">
        <f>'Annual Raw'!D15+'Annual Raw'!D16</f>
        <v>0</v>
      </c>
      <c r="D44" s="23">
        <f>'Annual Raw'!E15+'Annual Raw'!E16</f>
        <v>0</v>
      </c>
      <c r="E44" s="23">
        <v>236.73000000000002</v>
      </c>
      <c r="F44" s="23">
        <v>315.8</v>
      </c>
      <c r="G44" s="23">
        <v>369.15999999999997</v>
      </c>
      <c r="H44" s="23">
        <v>504.63</v>
      </c>
      <c r="I44" s="23">
        <v>465.4</v>
      </c>
      <c r="J44" s="23">
        <v>402.43</v>
      </c>
      <c r="K44" s="23">
        <v>451.91</v>
      </c>
      <c r="L44" s="23">
        <v>625.45000000000005</v>
      </c>
      <c r="M44" s="23">
        <v>753.02</v>
      </c>
      <c r="N44" s="23">
        <v>655.67</v>
      </c>
      <c r="O44" s="23">
        <v>497.9</v>
      </c>
      <c r="P44" s="23">
        <v>447.36</v>
      </c>
      <c r="Q44" s="23">
        <v>470.93999999999994</v>
      </c>
      <c r="R44" s="23">
        <v>653.61</v>
      </c>
      <c r="S44" s="23">
        <v>639.35</v>
      </c>
      <c r="T44" s="23">
        <v>617.66999999999996</v>
      </c>
      <c r="U44" s="23">
        <v>461.37</v>
      </c>
      <c r="V44" s="23">
        <v>417.57</v>
      </c>
      <c r="W44" s="23">
        <v>406.36</v>
      </c>
      <c r="X44" s="23">
        <v>424.32</v>
      </c>
      <c r="Y44" s="23">
        <v>494</v>
      </c>
      <c r="Z44" s="23">
        <v>441</v>
      </c>
      <c r="AA44" s="23">
        <v>441</v>
      </c>
      <c r="AB44" s="17">
        <f t="shared" ref="AB44" si="521">+SUM(CM44:CP44)</f>
        <v>11342.613652579359</v>
      </c>
      <c r="AC44" s="17">
        <f t="shared" ref="AC44" si="522">+SUM(CQ44:CT44)</f>
        <v>12045.623993393616</v>
      </c>
      <c r="AD44" s="17">
        <f t="shared" ref="AD44" si="523">+SUM(CU44:CX44)</f>
        <v>13491.848997575336</v>
      </c>
      <c r="AE44" s="17">
        <f t="shared" ref="AE44" si="524">+SUM(CY44:DB44)</f>
        <v>15346.105034296537</v>
      </c>
      <c r="AI44" s="23">
        <v>1890.94</v>
      </c>
      <c r="AJ44" s="23">
        <v>1962.2400000000002</v>
      </c>
      <c r="AK44" s="23">
        <v>1920.4299999999998</v>
      </c>
      <c r="AL44" s="23">
        <v>2000.0400000000002</v>
      </c>
      <c r="AM44" s="23">
        <v>1789.3200000000002</v>
      </c>
      <c r="AN44" s="23">
        <v>1675.8800000000003</v>
      </c>
      <c r="AO44" s="23">
        <v>1685.0099999999998</v>
      </c>
      <c r="AP44" s="23">
        <v>1836.7599999999998</v>
      </c>
      <c r="AQ44" s="23">
        <v>1730.6200000000001</v>
      </c>
      <c r="AR44" s="23">
        <v>1824.08</v>
      </c>
      <c r="AS44" s="23">
        <v>2031.1200000000001</v>
      </c>
      <c r="AT44" s="23">
        <v>2218.6400000000003</v>
      </c>
      <c r="AU44" s="23">
        <v>1843.6799999999998</v>
      </c>
      <c r="AV44" s="23">
        <v>1965.1799999999998</v>
      </c>
      <c r="AW44" s="23">
        <v>1836.4299999999998</v>
      </c>
      <c r="AX44" s="23">
        <v>2571.3599999999997</v>
      </c>
      <c r="AY44" s="23">
        <v>2081.35</v>
      </c>
      <c r="AZ44" s="23">
        <v>1887.4900000000002</v>
      </c>
      <c r="BA44" s="23">
        <v>1960.0400000000002</v>
      </c>
      <c r="BB44" s="23">
        <v>2669.67</v>
      </c>
      <c r="BC44" s="23">
        <v>1924.3799999999999</v>
      </c>
      <c r="BD44" s="23">
        <v>1806.02</v>
      </c>
      <c r="BE44" s="23">
        <v>2119.06</v>
      </c>
      <c r="BF44" s="23">
        <v>3387.46</v>
      </c>
      <c r="BG44" s="23">
        <v>2410.69</v>
      </c>
      <c r="BH44" s="23">
        <v>2548.5099999999998</v>
      </c>
      <c r="BI44" s="23">
        <v>2134.94</v>
      </c>
      <c r="BJ44" s="23">
        <v>2586.3200000000002</v>
      </c>
      <c r="BK44" s="23">
        <v>2051.94</v>
      </c>
      <c r="BL44" s="23">
        <v>1928.47</v>
      </c>
      <c r="BM44" s="23">
        <v>1890.0099999999998</v>
      </c>
      <c r="BN44" s="23">
        <v>1850.33</v>
      </c>
      <c r="BO44" s="23">
        <v>661.73</v>
      </c>
      <c r="BP44" s="23">
        <v>1283.21</v>
      </c>
      <c r="BQ44" s="23">
        <v>1738.42</v>
      </c>
      <c r="BR44" s="23">
        <v>2118.54</v>
      </c>
      <c r="BS44" s="23">
        <v>1495.1200000000001</v>
      </c>
      <c r="BT44" s="23">
        <v>1548.94</v>
      </c>
      <c r="BU44" s="23">
        <v>1589.72</v>
      </c>
      <c r="BV44" s="23">
        <v>1832.5700000000002</v>
      </c>
      <c r="BW44" s="23">
        <v>1923.4</v>
      </c>
      <c r="BX44" s="23">
        <v>1846.4099999999999</v>
      </c>
      <c r="BY44" s="23">
        <v>1842.19</v>
      </c>
      <c r="BZ44" s="23">
        <v>2207.7400000000002</v>
      </c>
      <c r="CA44" s="23">
        <v>2039.3</v>
      </c>
      <c r="CB44" s="23">
        <v>2192.8599999999997</v>
      </c>
      <c r="CC44" s="23">
        <v>2355.5299999999997</v>
      </c>
      <c r="CD44" s="23">
        <v>2373.29</v>
      </c>
      <c r="CE44" s="23">
        <v>2292</v>
      </c>
      <c r="CF44" s="23">
        <v>2220</v>
      </c>
      <c r="CG44" s="23">
        <v>2248</v>
      </c>
      <c r="CH44" s="23">
        <v>2728</v>
      </c>
      <c r="CI44" s="23">
        <v>2212</v>
      </c>
      <c r="CJ44" s="23">
        <f>'QTR Raw'!BD14</f>
        <v>2279</v>
      </c>
      <c r="CK44" s="23">
        <f>'QTR Raw'!BE14</f>
        <v>2602</v>
      </c>
      <c r="CL44" s="23">
        <f>'QTR Raw'!BF14</f>
        <v>3179</v>
      </c>
      <c r="CM44" s="24">
        <f t="shared" ref="CM44:DB44" si="525">CM50-CM45</f>
        <v>2104.3056471932105</v>
      </c>
      <c r="CN44" s="24">
        <f t="shared" si="525"/>
        <v>2386.8656690193166</v>
      </c>
      <c r="CO44" s="24">
        <f t="shared" si="525"/>
        <v>3089.6097901404528</v>
      </c>
      <c r="CP44" s="24">
        <f t="shared" si="525"/>
        <v>3761.8325462263783</v>
      </c>
      <c r="CQ44" s="24">
        <f t="shared" si="525"/>
        <v>2214.3683204138688</v>
      </c>
      <c r="CR44" s="24">
        <f t="shared" si="525"/>
        <v>2556.2668144849786</v>
      </c>
      <c r="CS44" s="24">
        <f t="shared" si="525"/>
        <v>3327.6129808662768</v>
      </c>
      <c r="CT44" s="24">
        <f t="shared" si="525"/>
        <v>3947.3758776284931</v>
      </c>
      <c r="CU44" s="24">
        <f t="shared" si="525"/>
        <v>2426.3175789815123</v>
      </c>
      <c r="CV44" s="24">
        <f t="shared" si="525"/>
        <v>2831.3859412400425</v>
      </c>
      <c r="CW44" s="24">
        <f t="shared" si="525"/>
        <v>3753.832902835662</v>
      </c>
      <c r="CX44" s="24">
        <f t="shared" si="525"/>
        <v>4480.3125745181214</v>
      </c>
      <c r="CY44" s="24">
        <f t="shared" si="525"/>
        <v>2763.3558400126572</v>
      </c>
      <c r="CZ44" s="24">
        <f t="shared" si="525"/>
        <v>3251.4971794004114</v>
      </c>
      <c r="DA44" s="24">
        <f t="shared" si="525"/>
        <v>4261.8608744098046</v>
      </c>
      <c r="DB44" s="24">
        <f t="shared" si="525"/>
        <v>5069.3911404736627</v>
      </c>
      <c r="DE44" s="123"/>
      <c r="DF44" s="23">
        <v>3553.3758511277292</v>
      </c>
    </row>
    <row r="45" spans="1:110" s="23" customFormat="1" outlineLevel="1" x14ac:dyDescent="0.2">
      <c r="A45" s="23" t="s">
        <v>8</v>
      </c>
      <c r="B45" s="23">
        <f>'Annual Raw'!C14</f>
        <v>0</v>
      </c>
      <c r="C45" s="23">
        <f>'Annual Raw'!D14</f>
        <v>0</v>
      </c>
      <c r="D45" s="23">
        <f>'Annual Raw'!E14</f>
        <v>0</v>
      </c>
      <c r="E45" s="23">
        <v>882.49</v>
      </c>
      <c r="F45" s="23">
        <v>1039.3399999999999</v>
      </c>
      <c r="G45" s="23">
        <v>1143.1299999999999</v>
      </c>
      <c r="H45" s="23">
        <v>1324.83</v>
      </c>
      <c r="I45" s="23">
        <v>1544.5700000000002</v>
      </c>
      <c r="J45" s="23">
        <v>1551.3899999999999</v>
      </c>
      <c r="K45" s="23">
        <v>1836.1299999999999</v>
      </c>
      <c r="L45" s="23">
        <v>2294.02</v>
      </c>
      <c r="M45" s="23">
        <v>2691.45</v>
      </c>
      <c r="N45" s="23">
        <v>2837</v>
      </c>
      <c r="O45" s="23">
        <v>2877.69</v>
      </c>
      <c r="P45" s="23">
        <v>3091.46</v>
      </c>
      <c r="Q45" s="23">
        <v>3188.9700000000003</v>
      </c>
      <c r="R45" s="23">
        <v>3764.35</v>
      </c>
      <c r="S45" s="23">
        <v>3966.7300000000005</v>
      </c>
      <c r="T45" s="23">
        <v>4273.1000000000004</v>
      </c>
      <c r="U45" s="23">
        <v>4384.3099999999995</v>
      </c>
      <c r="V45" s="23">
        <v>4212.99</v>
      </c>
      <c r="W45" s="23">
        <v>3601.5099999999998</v>
      </c>
      <c r="X45" s="23">
        <v>4021.63</v>
      </c>
      <c r="Y45" s="23">
        <v>4308</v>
      </c>
      <c r="Z45" s="23">
        <v>4513</v>
      </c>
      <c r="AA45" s="23">
        <v>4513</v>
      </c>
      <c r="AB45" s="76">
        <f t="shared" si="517"/>
        <v>4981.920000000001</v>
      </c>
      <c r="AC45" s="76">
        <f t="shared" si="518"/>
        <v>5330.6544000000004</v>
      </c>
      <c r="AD45" s="76">
        <f t="shared" si="519"/>
        <v>5703.8002080000015</v>
      </c>
      <c r="AE45" s="76">
        <f t="shared" si="520"/>
        <v>6103.0662225600017</v>
      </c>
      <c r="AI45" s="23">
        <v>706.86</v>
      </c>
      <c r="AJ45" s="23">
        <v>749.19</v>
      </c>
      <c r="AK45" s="23">
        <v>731.43</v>
      </c>
      <c r="AL45" s="23">
        <v>649.52</v>
      </c>
      <c r="AM45" s="23">
        <v>747.49</v>
      </c>
      <c r="AN45" s="23">
        <v>696.76</v>
      </c>
      <c r="AO45" s="23">
        <v>720.43</v>
      </c>
      <c r="AP45" s="23">
        <v>713.01</v>
      </c>
      <c r="AQ45" s="23">
        <v>739.5</v>
      </c>
      <c r="AR45" s="23">
        <v>751</v>
      </c>
      <c r="AS45" s="23">
        <v>764.71</v>
      </c>
      <c r="AT45" s="23">
        <v>836.2</v>
      </c>
      <c r="AU45" s="23">
        <v>808.25</v>
      </c>
      <c r="AV45" s="23">
        <v>769.49</v>
      </c>
      <c r="AW45" s="23">
        <v>824.9799999999999</v>
      </c>
      <c r="AX45" s="23">
        <v>785.36</v>
      </c>
      <c r="AY45" s="23">
        <v>898.93999999999994</v>
      </c>
      <c r="AZ45" s="23">
        <v>881.7</v>
      </c>
      <c r="BA45" s="23">
        <v>845.35</v>
      </c>
      <c r="BB45" s="23">
        <v>983.93999999999994</v>
      </c>
      <c r="BC45" s="23">
        <v>937.65</v>
      </c>
      <c r="BD45" s="23">
        <v>941.97</v>
      </c>
      <c r="BE45" s="23">
        <v>983.51</v>
      </c>
      <c r="BF45" s="23">
        <v>1103.5999999999999</v>
      </c>
      <c r="BG45" s="23">
        <v>1032.92</v>
      </c>
      <c r="BH45" s="23">
        <v>1045.4000000000001</v>
      </c>
      <c r="BI45" s="23">
        <v>1060.1100000000001</v>
      </c>
      <c r="BJ45" s="23">
        <v>1134.67</v>
      </c>
      <c r="BK45" s="23">
        <v>1149.3399999999999</v>
      </c>
      <c r="BL45" s="23">
        <v>1067.0899999999999</v>
      </c>
      <c r="BM45" s="23">
        <v>1018.2700000000001</v>
      </c>
      <c r="BN45" s="23">
        <v>1149.6100000000001</v>
      </c>
      <c r="BO45" s="23">
        <v>966.74</v>
      </c>
      <c r="BP45" s="23">
        <v>1058.5999999999999</v>
      </c>
      <c r="BQ45" s="23">
        <v>1105.8899999999999</v>
      </c>
      <c r="BR45" s="23">
        <v>1081.76</v>
      </c>
      <c r="BS45" s="23">
        <v>1180.4100000000001</v>
      </c>
      <c r="BT45" s="23">
        <v>886.25</v>
      </c>
      <c r="BU45" s="23">
        <v>918.1</v>
      </c>
      <c r="BV45" s="23">
        <v>875.6</v>
      </c>
      <c r="BW45" s="23">
        <v>1062.8499999999999</v>
      </c>
      <c r="BX45" s="23">
        <v>964.43</v>
      </c>
      <c r="BY45" s="23">
        <v>972.28</v>
      </c>
      <c r="BZ45" s="23">
        <v>1022.07</v>
      </c>
      <c r="CA45" s="23">
        <v>1064.47</v>
      </c>
      <c r="CB45" s="23">
        <v>1085.96</v>
      </c>
      <c r="CC45" s="23">
        <v>1110.48</v>
      </c>
      <c r="CD45" s="23">
        <v>1047.27</v>
      </c>
      <c r="CE45" s="23">
        <v>1151</v>
      </c>
      <c r="CF45" s="23">
        <v>1141</v>
      </c>
      <c r="CG45" s="23">
        <v>1111</v>
      </c>
      <c r="CH45" s="23">
        <v>1110</v>
      </c>
      <c r="CI45" s="23">
        <v>1164</v>
      </c>
      <c r="CJ45" s="23">
        <f>'QTR Raw'!BD16</f>
        <v>1160</v>
      </c>
      <c r="CK45" s="23">
        <f>'QTR Raw'!BE16</f>
        <v>1152</v>
      </c>
      <c r="CL45" s="23">
        <f>'QTR Raw'!BF16</f>
        <v>1180</v>
      </c>
      <c r="CM45" s="24">
        <f t="shared" ref="CM45:DB45" si="526">CI45*107%</f>
        <v>1245.48</v>
      </c>
      <c r="CN45" s="24">
        <f t="shared" si="526"/>
        <v>1241.2</v>
      </c>
      <c r="CO45" s="24">
        <f t="shared" si="526"/>
        <v>1232.6400000000001</v>
      </c>
      <c r="CP45" s="24">
        <f t="shared" si="526"/>
        <v>1262.6000000000001</v>
      </c>
      <c r="CQ45" s="24">
        <f t="shared" si="526"/>
        <v>1332.6636000000001</v>
      </c>
      <c r="CR45" s="24">
        <f t="shared" si="526"/>
        <v>1328.0840000000001</v>
      </c>
      <c r="CS45" s="24">
        <f t="shared" si="526"/>
        <v>1318.9248000000002</v>
      </c>
      <c r="CT45" s="24">
        <f t="shared" si="526"/>
        <v>1350.9820000000002</v>
      </c>
      <c r="CU45" s="24">
        <f t="shared" si="526"/>
        <v>1425.9500520000001</v>
      </c>
      <c r="CV45" s="24">
        <f t="shared" si="526"/>
        <v>1421.0498800000003</v>
      </c>
      <c r="CW45" s="24">
        <f t="shared" si="526"/>
        <v>1411.2495360000003</v>
      </c>
      <c r="CX45" s="24">
        <f t="shared" si="526"/>
        <v>1445.5507400000004</v>
      </c>
      <c r="CY45" s="24">
        <f t="shared" si="526"/>
        <v>1525.7665556400002</v>
      </c>
      <c r="CZ45" s="24">
        <f t="shared" si="526"/>
        <v>1520.5233716000005</v>
      </c>
      <c r="DA45" s="24">
        <f t="shared" si="526"/>
        <v>1510.0370035200003</v>
      </c>
      <c r="DB45" s="24">
        <f t="shared" si="526"/>
        <v>1546.7392918000005</v>
      </c>
      <c r="DE45" s="123"/>
      <c r="DF45" s="23">
        <v>1187.7</v>
      </c>
    </row>
    <row r="46" spans="1:110" s="23" customFormat="1" outlineLevel="1" x14ac:dyDescent="0.2">
      <c r="A46" s="23" t="s">
        <v>10</v>
      </c>
      <c r="B46" s="23">
        <f>'Annual Raw'!C17</f>
        <v>0</v>
      </c>
      <c r="C46" s="23">
        <f>'Annual Raw'!D17</f>
        <v>0</v>
      </c>
      <c r="D46" s="23">
        <f>'Annual Raw'!E17</f>
        <v>0</v>
      </c>
      <c r="E46" s="23">
        <v>388.59000000000003</v>
      </c>
      <c r="F46" s="23">
        <v>555.66000000000008</v>
      </c>
      <c r="G46" s="23">
        <v>625.70000000000005</v>
      </c>
      <c r="H46" s="23">
        <v>823.79</v>
      </c>
      <c r="I46" s="23">
        <v>851.43</v>
      </c>
      <c r="J46" s="23">
        <v>810.6</v>
      </c>
      <c r="K46" s="23">
        <v>1212.9000000000001</v>
      </c>
      <c r="L46" s="23">
        <v>1676.0700000000002</v>
      </c>
      <c r="M46" s="23">
        <v>2057.5099999999998</v>
      </c>
      <c r="N46" s="23">
        <v>1743.64</v>
      </c>
      <c r="O46" s="23">
        <v>1416.7</v>
      </c>
      <c r="P46" s="23">
        <v>1450.5700000000002</v>
      </c>
      <c r="Q46" s="23">
        <v>1507.21</v>
      </c>
      <c r="R46" s="23">
        <v>1004.45</v>
      </c>
      <c r="S46" s="23">
        <v>1240.8799999999999</v>
      </c>
      <c r="T46" s="23">
        <v>1567.8899999999999</v>
      </c>
      <c r="U46" s="23">
        <v>1051.1299999999999</v>
      </c>
      <c r="V46" s="23">
        <v>953.49</v>
      </c>
      <c r="W46" s="23">
        <v>1039.05</v>
      </c>
      <c r="X46" s="23">
        <v>1292.71</v>
      </c>
      <c r="Y46" s="23">
        <v>1610</v>
      </c>
      <c r="Z46" s="23">
        <v>1229</v>
      </c>
      <c r="AA46" s="23">
        <v>1229</v>
      </c>
      <c r="AB46" s="76">
        <f>+SUM(CM44:CP44)</f>
        <v>11342.613652579359</v>
      </c>
      <c r="AC46" s="76">
        <f>+SUM(CQ44:CT44)</f>
        <v>12045.623993393616</v>
      </c>
      <c r="AD46" s="76">
        <f>+SUM(CU44:CX44)</f>
        <v>13491.848997575336</v>
      </c>
      <c r="AE46" s="76">
        <f>+SUM(CY44:DB44)</f>
        <v>15346.105034296537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3"/>
      <c r="DF46" s="23">
        <v>0</v>
      </c>
    </row>
    <row r="47" spans="1:110" s="23" customFormat="1" outlineLevel="1" x14ac:dyDescent="0.2">
      <c r="A47" s="23" t="s">
        <v>527</v>
      </c>
      <c r="E47" s="23">
        <v>51.64</v>
      </c>
      <c r="F47" s="23">
        <v>67.12</v>
      </c>
      <c r="G47" s="23">
        <v>73.78</v>
      </c>
      <c r="H47" s="23">
        <v>85.02000000000001</v>
      </c>
      <c r="I47" s="23">
        <v>64.349999999999994</v>
      </c>
      <c r="J47" s="23">
        <v>51.17</v>
      </c>
      <c r="K47" s="23">
        <v>144.03</v>
      </c>
      <c r="L47" s="23">
        <v>106.17</v>
      </c>
      <c r="M47" s="23">
        <v>234.25</v>
      </c>
      <c r="N47" s="23">
        <v>425.76000000000005</v>
      </c>
      <c r="O47" s="23">
        <v>428.73999999999995</v>
      </c>
      <c r="P47" s="23">
        <v>437.46999999999997</v>
      </c>
      <c r="Q47" s="23">
        <v>418.27</v>
      </c>
      <c r="R47" s="23">
        <v>454.48</v>
      </c>
      <c r="S47" s="23">
        <v>474.98</v>
      </c>
      <c r="T47" s="23">
        <v>571.76</v>
      </c>
      <c r="U47" s="23">
        <v>830.24</v>
      </c>
      <c r="V47" s="23">
        <v>907.64</v>
      </c>
      <c r="W47" s="23">
        <v>593.9</v>
      </c>
      <c r="X47" s="23">
        <v>899.06000000000006</v>
      </c>
      <c r="Y47" s="23">
        <v>1105</v>
      </c>
      <c r="Z47" s="23">
        <v>1033</v>
      </c>
      <c r="AA47" s="23">
        <v>1033</v>
      </c>
      <c r="AB47" s="76"/>
      <c r="AC47" s="76"/>
      <c r="AD47" s="76"/>
      <c r="AE47" s="76"/>
      <c r="AI47" s="23">
        <v>74.56</v>
      </c>
      <c r="AJ47" s="23">
        <v>79.92</v>
      </c>
      <c r="AK47" s="23">
        <v>88.52</v>
      </c>
      <c r="AL47" s="23">
        <v>182.7</v>
      </c>
      <c r="AM47" s="23">
        <v>101.32</v>
      </c>
      <c r="AN47" s="23">
        <v>96.25</v>
      </c>
      <c r="AO47" s="23">
        <v>121.23999999999998</v>
      </c>
      <c r="AP47" s="23">
        <v>109.93000000000002</v>
      </c>
      <c r="AQ47" s="23">
        <v>79.599999999999994</v>
      </c>
      <c r="AR47" s="23">
        <v>119.92</v>
      </c>
      <c r="AS47" s="23">
        <v>97.66</v>
      </c>
      <c r="AT47" s="23">
        <v>140.29000000000002</v>
      </c>
      <c r="AU47" s="23">
        <v>94.41</v>
      </c>
      <c r="AV47" s="23">
        <v>97.67</v>
      </c>
      <c r="AW47" s="23">
        <v>107.38</v>
      </c>
      <c r="AX47" s="23">
        <v>118.80999999999999</v>
      </c>
      <c r="AY47" s="23">
        <v>116.17</v>
      </c>
      <c r="AZ47" s="23">
        <v>69.89</v>
      </c>
      <c r="BA47" s="23">
        <v>76.95</v>
      </c>
      <c r="BB47" s="23">
        <v>191.47</v>
      </c>
      <c r="BC47" s="23">
        <v>75.239999999999995</v>
      </c>
      <c r="BD47" s="23">
        <v>111.19000000000001</v>
      </c>
      <c r="BE47" s="23">
        <v>136.65</v>
      </c>
      <c r="BF47" s="23">
        <v>151.9</v>
      </c>
      <c r="BG47" s="23">
        <v>105.5</v>
      </c>
      <c r="BH47" s="23">
        <v>103.12</v>
      </c>
      <c r="BI47" s="23">
        <v>120.22</v>
      </c>
      <c r="BJ47" s="23">
        <v>242.92</v>
      </c>
      <c r="BK47" s="23">
        <v>120.05999999999999</v>
      </c>
      <c r="BL47" s="23">
        <v>345.37</v>
      </c>
      <c r="BM47" s="23">
        <v>205.8</v>
      </c>
      <c r="BN47" s="23">
        <v>297.37</v>
      </c>
      <c r="BO47" s="23">
        <v>138.19</v>
      </c>
      <c r="BP47" s="23">
        <v>176.25</v>
      </c>
      <c r="BQ47" s="23">
        <v>237.03000000000003</v>
      </c>
      <c r="BR47" s="23">
        <v>356.13</v>
      </c>
      <c r="BS47" s="23">
        <v>208.53000000000003</v>
      </c>
      <c r="BT47" s="23">
        <v>116.08</v>
      </c>
      <c r="BU47" s="23">
        <v>122.83</v>
      </c>
      <c r="BV47" s="23">
        <v>262.63</v>
      </c>
      <c r="BW47" s="23">
        <v>177.67000000000002</v>
      </c>
      <c r="BX47" s="23">
        <v>200.19</v>
      </c>
      <c r="BY47" s="23">
        <v>214.83</v>
      </c>
      <c r="BZ47" s="23">
        <v>306.37</v>
      </c>
      <c r="CA47" s="23">
        <v>224.85</v>
      </c>
      <c r="CB47" s="23">
        <v>222.57</v>
      </c>
      <c r="CC47" s="23">
        <v>279.55</v>
      </c>
      <c r="CD47" s="23">
        <v>377.83000000000004</v>
      </c>
      <c r="CE47" s="23">
        <v>225</v>
      </c>
      <c r="CF47" s="23">
        <v>274</v>
      </c>
      <c r="CG47" s="23">
        <v>268</v>
      </c>
      <c r="CH47" s="23">
        <v>266</v>
      </c>
      <c r="CI47" s="23">
        <v>173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</row>
    <row r="48" spans="1:110" s="23" customFormat="1" outlineLevel="1" x14ac:dyDescent="0.2">
      <c r="A48" s="23" t="s">
        <v>528</v>
      </c>
      <c r="E48" s="23">
        <v>825.04999999999961</v>
      </c>
      <c r="F48" s="23">
        <v>968.59000000000015</v>
      </c>
      <c r="G48" s="23">
        <v>1146.6700000000012</v>
      </c>
      <c r="H48" s="23">
        <v>1620.5300000000007</v>
      </c>
      <c r="I48" s="23">
        <v>1960.9899999999998</v>
      </c>
      <c r="J48" s="23">
        <v>1862.8200000000002</v>
      </c>
      <c r="K48" s="23">
        <v>2400.3300000000008</v>
      </c>
      <c r="L48" s="23">
        <v>2669.44</v>
      </c>
      <c r="M48" s="23">
        <v>2130.9153690000012</v>
      </c>
      <c r="N48" s="23">
        <v>2322.0517223046836</v>
      </c>
      <c r="O48" s="23">
        <v>2511.8336239432952</v>
      </c>
      <c r="P48" s="23">
        <v>3272.2048513611444</v>
      </c>
      <c r="Q48" s="23">
        <v>3161.2930599999991</v>
      </c>
      <c r="R48" s="23">
        <v>3315.9</v>
      </c>
      <c r="S48" s="23">
        <v>3619.4199999999992</v>
      </c>
      <c r="T48" s="23">
        <v>3295.0600000000004</v>
      </c>
      <c r="U48" s="23">
        <v>3317.2400000000002</v>
      </c>
      <c r="V48" s="23">
        <v>3092.8760000000002</v>
      </c>
      <c r="W48" s="23">
        <v>2163.7199999999998</v>
      </c>
      <c r="X48" s="23">
        <v>3103.4800000000005</v>
      </c>
      <c r="Y48" s="23">
        <v>3434</v>
      </c>
      <c r="Z48" s="23">
        <v>3713</v>
      </c>
      <c r="AA48" s="23">
        <v>3713</v>
      </c>
      <c r="AB48" s="76"/>
      <c r="AC48" s="76"/>
      <c r="AD48" s="76"/>
      <c r="AE48" s="76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3"/>
    </row>
    <row r="49" spans="1:110" s="23" customFormat="1" outlineLevel="1" x14ac:dyDescent="0.2">
      <c r="A49" s="23" t="s">
        <v>525</v>
      </c>
      <c r="B49" s="23">
        <f>'Annual Raw'!C19-'Annual Raw'!C20</f>
        <v>0</v>
      </c>
      <c r="C49" s="23">
        <f>'Annual Raw'!D19-'Annual Raw'!D20</f>
        <v>0</v>
      </c>
      <c r="D49" s="23">
        <f>'Annual Raw'!E19-'Annual Raw'!E20</f>
        <v>0</v>
      </c>
      <c r="E49" s="23">
        <v>-144.89000000000001</v>
      </c>
      <c r="F49" s="23">
        <v>-282.43</v>
      </c>
      <c r="G49" s="23">
        <v>-308.85000000000002</v>
      </c>
      <c r="H49" s="23">
        <v>-577.04999999999995</v>
      </c>
      <c r="I49" s="23">
        <v>-744.23</v>
      </c>
      <c r="J49" s="23">
        <v>-885.07999999999993</v>
      </c>
      <c r="K49" s="23">
        <v>-726.46</v>
      </c>
      <c r="L49" s="23">
        <v>-817.68000000000006</v>
      </c>
      <c r="M49" s="23">
        <v>-907.12999999999988</v>
      </c>
      <c r="N49" s="23">
        <v>-953.8</v>
      </c>
      <c r="O49" s="23">
        <v>-1009.11</v>
      </c>
      <c r="P49" s="23">
        <v>-1118.75</v>
      </c>
      <c r="Q49" s="23">
        <v>-1034.4000000000001</v>
      </c>
      <c r="R49" s="23">
        <v>-941.55</v>
      </c>
      <c r="S49" s="23">
        <v>-855.07999999999993</v>
      </c>
      <c r="T49" s="23">
        <v>-1093.1100000000001</v>
      </c>
      <c r="U49" s="23">
        <v>-1169.46</v>
      </c>
      <c r="V49" s="23">
        <v>-817.63</v>
      </c>
      <c r="W49" s="23">
        <v>-905.42000000000007</v>
      </c>
      <c r="X49" s="23">
        <v>-1066.73</v>
      </c>
      <c r="Y49" s="23">
        <v>-1130</v>
      </c>
      <c r="Z49" s="23">
        <v>-1213</v>
      </c>
      <c r="AA49" s="23">
        <v>-1213</v>
      </c>
      <c r="AB49" s="76">
        <f t="shared" si="517"/>
        <v>0</v>
      </c>
      <c r="AC49" s="76">
        <f t="shared" si="518"/>
        <v>0</v>
      </c>
      <c r="AD49" s="76">
        <f t="shared" si="519"/>
        <v>0</v>
      </c>
      <c r="AE49" s="76">
        <f t="shared" si="520"/>
        <v>0</v>
      </c>
      <c r="AI49" s="23">
        <v>-218.56</v>
      </c>
      <c r="AJ49" s="23">
        <v>-238.38999999999996</v>
      </c>
      <c r="AK49" s="23">
        <v>-262.89</v>
      </c>
      <c r="AL49" s="23">
        <v>-233.95999999999998</v>
      </c>
      <c r="AM49" s="23">
        <v>-249.27000000000004</v>
      </c>
      <c r="AN49" s="23">
        <v>-265.27999999999997</v>
      </c>
      <c r="AO49" s="23">
        <v>-260.76</v>
      </c>
      <c r="AP49" s="23">
        <v>-233.8</v>
      </c>
      <c r="AQ49" s="23">
        <v>-252.20999999999998</v>
      </c>
      <c r="AR49" s="23">
        <v>-324.69</v>
      </c>
      <c r="AS49" s="23">
        <v>-266.99</v>
      </c>
      <c r="AT49" s="23">
        <v>-274.86</v>
      </c>
      <c r="AU49" s="23">
        <v>-256.01</v>
      </c>
      <c r="AV49" s="23">
        <v>-267.58000000000004</v>
      </c>
      <c r="AW49" s="23">
        <v>-263.89999999999998</v>
      </c>
      <c r="AX49" s="23">
        <v>-246.91</v>
      </c>
      <c r="AY49" s="23">
        <v>-246.76999999999998</v>
      </c>
      <c r="AZ49" s="23">
        <v>-245.29000000000002</v>
      </c>
      <c r="BA49" s="23">
        <v>-218.06</v>
      </c>
      <c r="BB49" s="23">
        <v>-231.43</v>
      </c>
      <c r="BC49" s="23">
        <v>-209.01999999999998</v>
      </c>
      <c r="BD49" s="23">
        <v>-177.77</v>
      </c>
      <c r="BE49" s="23">
        <v>-221.81</v>
      </c>
      <c r="BF49" s="23">
        <v>-246.45999999999998</v>
      </c>
      <c r="BG49" s="23">
        <v>-286.39999999999998</v>
      </c>
      <c r="BH49" s="23">
        <v>-246.43</v>
      </c>
      <c r="BI49" s="23">
        <v>-237.31</v>
      </c>
      <c r="BJ49" s="23">
        <v>-322.96999999999997</v>
      </c>
      <c r="BK49" s="23">
        <v>-301.90999999999997</v>
      </c>
      <c r="BL49" s="23">
        <v>-306.44</v>
      </c>
      <c r="BM49" s="23">
        <v>-260.28000000000003</v>
      </c>
      <c r="BN49" s="23">
        <v>-300.83000000000004</v>
      </c>
      <c r="BO49" s="23">
        <v>-177.7</v>
      </c>
      <c r="BP49" s="23">
        <v>-201.99</v>
      </c>
      <c r="BQ49" s="23">
        <v>-180.02</v>
      </c>
      <c r="BR49" s="23">
        <v>-257.82</v>
      </c>
      <c r="BS49" s="23">
        <v>-203.93</v>
      </c>
      <c r="BT49" s="23">
        <v>-209.66</v>
      </c>
      <c r="BU49" s="23">
        <v>-233.09</v>
      </c>
      <c r="BV49" s="23">
        <v>-261.85000000000002</v>
      </c>
      <c r="BW49" s="23">
        <v>-243.86999999999998</v>
      </c>
      <c r="BX49" s="23">
        <v>-252.78000000000003</v>
      </c>
      <c r="BY49" s="23">
        <v>-235</v>
      </c>
      <c r="BZ49" s="23">
        <v>-313.59000000000003</v>
      </c>
      <c r="CA49" s="23">
        <v>-261.40999999999997</v>
      </c>
      <c r="CB49" s="23">
        <v>-264.09000000000003</v>
      </c>
      <c r="CC49" s="23">
        <v>-299.06</v>
      </c>
      <c r="CD49" s="23">
        <v>-305.16999999999996</v>
      </c>
      <c r="CE49" s="23">
        <v>-278</v>
      </c>
      <c r="CF49" s="23">
        <v>-299</v>
      </c>
      <c r="CG49" s="23">
        <v>-320</v>
      </c>
      <c r="CH49" s="23">
        <v>-316</v>
      </c>
      <c r="CI49" s="23">
        <v>-278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-278</v>
      </c>
    </row>
    <row r="50" spans="1:110" s="22" customFormat="1" x14ac:dyDescent="0.2">
      <c r="A50" s="33" t="s">
        <v>349</v>
      </c>
      <c r="B50" s="22" t="e">
        <f>+#REF!+#REF!</f>
        <v>#REF!</v>
      </c>
      <c r="C50" s="22" t="e">
        <f>+#REF!+#REF!</f>
        <v>#REF!</v>
      </c>
      <c r="D50" s="22" t="e">
        <f>+#REF!+#REF!</f>
        <v>#REF!</v>
      </c>
      <c r="E50" s="22">
        <f t="shared" ref="E50:AE50" si="527">+SUM(E42:E49)</f>
        <v>2909.69</v>
      </c>
      <c r="F50" s="22">
        <f t="shared" si="527"/>
        <v>3500.64</v>
      </c>
      <c r="G50" s="22">
        <f t="shared" si="527"/>
        <v>4067.6400000000017</v>
      </c>
      <c r="H50" s="22">
        <f t="shared" si="527"/>
        <v>5177.72</v>
      </c>
      <c r="I50" s="22">
        <f t="shared" si="527"/>
        <v>5641.5</v>
      </c>
      <c r="J50" s="22">
        <f t="shared" si="527"/>
        <v>5322.42</v>
      </c>
      <c r="K50" s="22">
        <f t="shared" si="527"/>
        <v>7259.6000000000013</v>
      </c>
      <c r="L50" s="22">
        <f t="shared" si="527"/>
        <v>9307.94</v>
      </c>
      <c r="M50" s="22">
        <f t="shared" si="527"/>
        <v>10424.08</v>
      </c>
      <c r="N50" s="22">
        <f t="shared" si="527"/>
        <v>10082.61</v>
      </c>
      <c r="O50" s="22">
        <f t="shared" si="527"/>
        <v>9284.5069999999978</v>
      </c>
      <c r="P50" s="22">
        <f t="shared" si="527"/>
        <v>10497.46</v>
      </c>
      <c r="Q50" s="22">
        <f t="shared" si="527"/>
        <v>10789.49</v>
      </c>
      <c r="R50" s="22">
        <f t="shared" si="527"/>
        <v>11613.18</v>
      </c>
      <c r="S50" s="22">
        <f t="shared" si="527"/>
        <v>12820.9</v>
      </c>
      <c r="T50" s="22">
        <f t="shared" si="527"/>
        <v>13432.21</v>
      </c>
      <c r="U50" s="22">
        <f t="shared" si="527"/>
        <v>11765.839999999997</v>
      </c>
      <c r="V50" s="22">
        <f t="shared" si="527"/>
        <v>10104.910000000002</v>
      </c>
      <c r="W50" s="22">
        <f t="shared" si="527"/>
        <v>9308.7000000000007</v>
      </c>
      <c r="X50" s="22">
        <f t="shared" si="527"/>
        <v>11673.7</v>
      </c>
      <c r="Y50" s="22">
        <f t="shared" si="527"/>
        <v>13244</v>
      </c>
      <c r="Z50" s="22">
        <f t="shared" ref="Z50:AA50" si="528">+SUM(Z42:Z49)</f>
        <v>13821</v>
      </c>
      <c r="AA50" s="22">
        <f t="shared" si="528"/>
        <v>13821</v>
      </c>
      <c r="AB50" s="21">
        <f t="shared" si="527"/>
        <v>27667.14730515872</v>
      </c>
      <c r="AC50" s="21">
        <f t="shared" si="527"/>
        <v>29421.902386787231</v>
      </c>
      <c r="AD50" s="21">
        <f t="shared" si="527"/>
        <v>32687.498203150673</v>
      </c>
      <c r="AE50" s="21">
        <f t="shared" si="527"/>
        <v>36795.276291153074</v>
      </c>
      <c r="AI50" s="22">
        <f t="shared" ref="AI50:BN50" si="529">+SUM(AI42:AI49)</f>
        <v>2453.8000000000002</v>
      </c>
      <c r="AJ50" s="22">
        <f t="shared" si="529"/>
        <v>2552.9600000000005</v>
      </c>
      <c r="AK50" s="22">
        <f t="shared" si="529"/>
        <v>2477.4899999999998</v>
      </c>
      <c r="AL50" s="22">
        <f t="shared" si="529"/>
        <v>2598.3000000000002</v>
      </c>
      <c r="AM50" s="22">
        <f t="shared" si="529"/>
        <v>2388.8600000000006</v>
      </c>
      <c r="AN50" s="22">
        <f t="shared" si="529"/>
        <v>2203.6100000000006</v>
      </c>
      <c r="AO50" s="22">
        <f t="shared" si="529"/>
        <v>2265.9199999999992</v>
      </c>
      <c r="AP50" s="22">
        <f t="shared" si="529"/>
        <v>2425.8999999999992</v>
      </c>
      <c r="AQ50" s="22">
        <f t="shared" si="529"/>
        <v>2297.5099999999998</v>
      </c>
      <c r="AR50" s="22">
        <f t="shared" si="529"/>
        <v>2370.31</v>
      </c>
      <c r="AS50" s="22">
        <f t="shared" si="529"/>
        <v>2626.5</v>
      </c>
      <c r="AT50" s="22">
        <f t="shared" si="529"/>
        <v>2920.27</v>
      </c>
      <c r="AU50" s="22">
        <f t="shared" si="529"/>
        <v>2490.33</v>
      </c>
      <c r="AV50" s="22">
        <f t="shared" si="529"/>
        <v>2564.7600000000002</v>
      </c>
      <c r="AW50" s="22">
        <f t="shared" si="529"/>
        <v>2504.89</v>
      </c>
      <c r="AX50" s="22">
        <f t="shared" si="529"/>
        <v>3228.62</v>
      </c>
      <c r="AY50" s="22">
        <f t="shared" si="529"/>
        <v>2849.69</v>
      </c>
      <c r="AZ50" s="22">
        <f t="shared" si="529"/>
        <v>2593.7900000000004</v>
      </c>
      <c r="BA50" s="22">
        <f t="shared" si="529"/>
        <v>2664.28</v>
      </c>
      <c r="BB50" s="22">
        <f t="shared" si="529"/>
        <v>3613.65</v>
      </c>
      <c r="BC50" s="22">
        <f t="shared" si="529"/>
        <v>2728.2499999999995</v>
      </c>
      <c r="BD50" s="22">
        <f t="shared" si="529"/>
        <v>2681.41</v>
      </c>
      <c r="BE50" s="22">
        <f t="shared" si="529"/>
        <v>3017.41</v>
      </c>
      <c r="BF50" s="22">
        <f t="shared" si="529"/>
        <v>4396.4999999999991</v>
      </c>
      <c r="BG50" s="22">
        <f t="shared" si="529"/>
        <v>3262.71</v>
      </c>
      <c r="BH50" s="22">
        <f t="shared" si="529"/>
        <v>3450.6</v>
      </c>
      <c r="BI50" s="22">
        <f t="shared" si="529"/>
        <v>3077.96</v>
      </c>
      <c r="BJ50" s="22">
        <f t="shared" si="529"/>
        <v>3640.9400000000005</v>
      </c>
      <c r="BK50" s="22">
        <f t="shared" si="529"/>
        <v>3019.43</v>
      </c>
      <c r="BL50" s="22">
        <f t="shared" si="529"/>
        <v>3034.49</v>
      </c>
      <c r="BM50" s="22">
        <f t="shared" si="529"/>
        <v>2853.7999999999997</v>
      </c>
      <c r="BN50" s="22">
        <f t="shared" si="529"/>
        <v>2996.48</v>
      </c>
      <c r="BO50" s="22">
        <f t="shared" ref="BO50:CH50" si="530">+SUM(BO42:BO49)</f>
        <v>1588.96</v>
      </c>
      <c r="BP50" s="22">
        <f t="shared" si="530"/>
        <v>2316.0699999999997</v>
      </c>
      <c r="BQ50" s="22">
        <f t="shared" si="530"/>
        <v>2901.32</v>
      </c>
      <c r="BR50" s="22">
        <f t="shared" si="530"/>
        <v>3298.61</v>
      </c>
      <c r="BS50" s="22">
        <f t="shared" si="530"/>
        <v>2680.1300000000006</v>
      </c>
      <c r="BT50" s="22">
        <f t="shared" si="530"/>
        <v>2341.61</v>
      </c>
      <c r="BU50" s="22">
        <f t="shared" si="530"/>
        <v>2397.56</v>
      </c>
      <c r="BV50" s="22">
        <f t="shared" si="530"/>
        <v>2708.9500000000003</v>
      </c>
      <c r="BW50" s="22">
        <f t="shared" si="530"/>
        <v>2920.05</v>
      </c>
      <c r="BX50" s="22">
        <f t="shared" si="530"/>
        <v>2758.2499999999995</v>
      </c>
      <c r="BY50" s="22">
        <f t="shared" si="530"/>
        <v>2794.3</v>
      </c>
      <c r="BZ50" s="22">
        <f t="shared" si="530"/>
        <v>3222.59</v>
      </c>
      <c r="CA50" s="22">
        <f t="shared" si="530"/>
        <v>3067.21</v>
      </c>
      <c r="CB50" s="22">
        <f t="shared" si="530"/>
        <v>3237.2999999999997</v>
      </c>
      <c r="CC50" s="22">
        <f t="shared" si="530"/>
        <v>3446.5</v>
      </c>
      <c r="CD50" s="22">
        <f t="shared" si="530"/>
        <v>3493.22</v>
      </c>
      <c r="CE50" s="22">
        <f t="shared" si="530"/>
        <v>3390</v>
      </c>
      <c r="CF50" s="22">
        <f t="shared" si="530"/>
        <v>3336</v>
      </c>
      <c r="CG50" s="22">
        <f t="shared" si="530"/>
        <v>3307</v>
      </c>
      <c r="CH50" s="22">
        <f t="shared" si="530"/>
        <v>3788</v>
      </c>
      <c r="CI50" s="22">
        <f t="shared" ref="CI50:CJ50" si="531">+SUM(CI42:CI49)</f>
        <v>3271</v>
      </c>
      <c r="CJ50" s="22">
        <f t="shared" si="531"/>
        <v>3439</v>
      </c>
      <c r="CK50" s="22">
        <f t="shared" ref="CK50:CL50" si="532">+SUM(CK42:CK49)</f>
        <v>3754</v>
      </c>
      <c r="CL50" s="22">
        <f t="shared" si="532"/>
        <v>4359</v>
      </c>
      <c r="CM50" s="21">
        <f t="shared" ref="CM50:DB50" si="533">CM51*CM32</f>
        <v>3349.7856471932105</v>
      </c>
      <c r="CN50" s="21">
        <f t="shared" si="533"/>
        <v>3628.0656690193164</v>
      </c>
      <c r="CO50" s="21">
        <f t="shared" si="533"/>
        <v>4322.2497901404531</v>
      </c>
      <c r="CP50" s="21">
        <f t="shared" si="533"/>
        <v>5024.4325462263787</v>
      </c>
      <c r="CQ50" s="21">
        <f t="shared" si="533"/>
        <v>3547.0319204138691</v>
      </c>
      <c r="CR50" s="21">
        <f t="shared" si="533"/>
        <v>3884.3508144849789</v>
      </c>
      <c r="CS50" s="21">
        <f t="shared" si="533"/>
        <v>4646.537780866277</v>
      </c>
      <c r="CT50" s="21">
        <f t="shared" si="533"/>
        <v>5298.357877628493</v>
      </c>
      <c r="CU50" s="21">
        <f t="shared" si="533"/>
        <v>3852.2676309815124</v>
      </c>
      <c r="CV50" s="21">
        <f t="shared" si="533"/>
        <v>4252.435821240043</v>
      </c>
      <c r="CW50" s="21">
        <f t="shared" si="533"/>
        <v>5165.0824388356623</v>
      </c>
      <c r="CX50" s="21">
        <f t="shared" si="533"/>
        <v>5925.863314518122</v>
      </c>
      <c r="CY50" s="21">
        <f t="shared" si="533"/>
        <v>4289.1223956526574</v>
      </c>
      <c r="CZ50" s="21">
        <f t="shared" si="533"/>
        <v>4772.0205510004116</v>
      </c>
      <c r="DA50" s="21">
        <f t="shared" si="533"/>
        <v>5771.897877929805</v>
      </c>
      <c r="DB50" s="21">
        <f t="shared" si="533"/>
        <v>6616.1304322736632</v>
      </c>
      <c r="DE50" s="127"/>
      <c r="DF50" s="22">
        <v>4741.075851127729</v>
      </c>
    </row>
    <row r="51" spans="1:110" s="44" customFormat="1" x14ac:dyDescent="0.2">
      <c r="A51" s="43" t="s">
        <v>350</v>
      </c>
      <c r="B51" s="44" t="e">
        <f t="shared" ref="B51:AE51" si="534">B50/B32</f>
        <v>#REF!</v>
      </c>
      <c r="C51" s="44" t="e">
        <f t="shared" si="534"/>
        <v>#REF!</v>
      </c>
      <c r="D51" s="44" t="e">
        <f t="shared" si="534"/>
        <v>#REF!</v>
      </c>
      <c r="E51" s="44">
        <f t="shared" si="534"/>
        <v>0.19240838302208568</v>
      </c>
      <c r="F51" s="44">
        <f t="shared" si="534"/>
        <v>0.17462686567164176</v>
      </c>
      <c r="G51" s="44">
        <f t="shared" si="534"/>
        <v>0.17651523403139982</v>
      </c>
      <c r="H51" s="44">
        <f t="shared" si="534"/>
        <v>0.16746110959819449</v>
      </c>
      <c r="I51" s="44">
        <f t="shared" si="534"/>
        <v>0.17551626640516305</v>
      </c>
      <c r="J51" s="44">
        <f t="shared" si="534"/>
        <v>0.19226951153959529</v>
      </c>
      <c r="K51" s="44">
        <f t="shared" si="534"/>
        <v>0.19434796413306132</v>
      </c>
      <c r="L51" s="44">
        <f t="shared" si="534"/>
        <v>0.18306827794538166</v>
      </c>
      <c r="M51" s="44">
        <f t="shared" si="534"/>
        <v>0.18065106861578556</v>
      </c>
      <c r="N51" s="44">
        <f t="shared" si="534"/>
        <v>0.2109091639371409</v>
      </c>
      <c r="O51" s="44">
        <f t="shared" si="534"/>
        <v>0.25533283716236893</v>
      </c>
      <c r="P51" s="44">
        <f t="shared" si="534"/>
        <v>0.27580737487104257</v>
      </c>
      <c r="Q51" s="44">
        <f t="shared" si="534"/>
        <v>0.22569590943957621</v>
      </c>
      <c r="R51" s="44">
        <f t="shared" si="534"/>
        <v>0.23396504056801873</v>
      </c>
      <c r="S51" s="44">
        <f t="shared" si="534"/>
        <v>0.21676958554096187</v>
      </c>
      <c r="T51" s="44">
        <f t="shared" si="534"/>
        <v>0.19287889944721931</v>
      </c>
      <c r="U51" s="44">
        <f t="shared" si="534"/>
        <v>0.26517210277620878</v>
      </c>
      <c r="V51" s="44">
        <f t="shared" si="534"/>
        <v>0.21271904941841194</v>
      </c>
      <c r="W51" s="44">
        <f t="shared" si="534"/>
        <v>0.1969525013710316</v>
      </c>
      <c r="X51" s="44">
        <f t="shared" si="534"/>
        <v>0.17752697684045265</v>
      </c>
      <c r="Y51" s="44">
        <f t="shared" si="534"/>
        <v>0.18067473363982375</v>
      </c>
      <c r="Z51" s="44">
        <f t="shared" ref="Z51:AA51" si="535">Z50/Z32</f>
        <v>0.19909534853570349</v>
      </c>
      <c r="AA51" s="44">
        <f t="shared" si="535"/>
        <v>0.19909534853570349</v>
      </c>
      <c r="AB51" s="52">
        <f t="shared" si="534"/>
        <v>0.31668035025173569</v>
      </c>
      <c r="AC51" s="52">
        <f t="shared" si="534"/>
        <v>0.3106283746836595</v>
      </c>
      <c r="AD51" s="52">
        <f t="shared" si="534"/>
        <v>0.30931135693552769</v>
      </c>
      <c r="AE51" s="52">
        <f t="shared" si="534"/>
        <v>0.31162681510388252</v>
      </c>
      <c r="AI51" s="44">
        <f t="shared" ref="AI51:BN51" si="536">AI50/AI32</f>
        <v>0.23178773540794281</v>
      </c>
      <c r="AJ51" s="44">
        <f t="shared" si="536"/>
        <v>0.2045421405073494</v>
      </c>
      <c r="AK51" s="44">
        <f t="shared" si="536"/>
        <v>0.23306387810451273</v>
      </c>
      <c r="AL51" s="44">
        <f t="shared" si="536"/>
        <v>0.23476231478913134</v>
      </c>
      <c r="AM51" s="44">
        <f t="shared" si="536"/>
        <v>0.26238233840408604</v>
      </c>
      <c r="AN51" s="44">
        <f t="shared" si="536"/>
        <v>0.24847746787770134</v>
      </c>
      <c r="AO51" s="44">
        <f t="shared" si="536"/>
        <v>0.29163658173384438</v>
      </c>
      <c r="AP51" s="44">
        <f t="shared" si="536"/>
        <v>0.28388073709055878</v>
      </c>
      <c r="AQ51" s="44">
        <f t="shared" si="536"/>
        <v>0.29819358422585518</v>
      </c>
      <c r="AR51" s="44">
        <f t="shared" si="536"/>
        <v>0.27082819169843059</v>
      </c>
      <c r="AS51" s="44">
        <f t="shared" si="536"/>
        <v>0.29002614817890304</v>
      </c>
      <c r="AT51" s="44">
        <f t="shared" si="536"/>
        <v>0.27078951955995206</v>
      </c>
      <c r="AU51" s="44">
        <f t="shared" si="536"/>
        <v>0.26708243066429288</v>
      </c>
      <c r="AV51" s="44">
        <f t="shared" si="536"/>
        <v>0.23983863381115406</v>
      </c>
      <c r="AW51" s="44">
        <f t="shared" si="536"/>
        <v>0.24944656281400029</v>
      </c>
      <c r="AX51" s="44">
        <f t="shared" si="536"/>
        <v>0.25224224355608887</v>
      </c>
      <c r="AY51" s="44">
        <f t="shared" si="536"/>
        <v>0.27694533962051449</v>
      </c>
      <c r="AZ51" s="44">
        <f t="shared" si="536"/>
        <v>0.25226095269772825</v>
      </c>
      <c r="BA51" s="44">
        <f t="shared" si="536"/>
        <v>0.26106519868854</v>
      </c>
      <c r="BB51" s="44">
        <f t="shared" si="536"/>
        <v>0.26621576026179189</v>
      </c>
      <c r="BC51" s="44">
        <f t="shared" si="536"/>
        <v>0.30020951119190303</v>
      </c>
      <c r="BD51" s="44">
        <f t="shared" si="536"/>
        <v>0.19433225081478783</v>
      </c>
      <c r="BE51" s="44">
        <f t="shared" si="536"/>
        <v>0.18903246944849736</v>
      </c>
      <c r="BF51" s="44">
        <f t="shared" si="536"/>
        <v>0.22930133632635943</v>
      </c>
      <c r="BG51" s="44">
        <f t="shared" si="536"/>
        <v>0.19566488495645276</v>
      </c>
      <c r="BH51" s="44">
        <f t="shared" si="536"/>
        <v>0.19430487271302108</v>
      </c>
      <c r="BI51" s="44">
        <f t="shared" si="536"/>
        <v>0.18990761781304774</v>
      </c>
      <c r="BJ51" s="44">
        <f t="shared" si="536"/>
        <v>0.19615643423640772</v>
      </c>
      <c r="BK51" s="44">
        <f t="shared" si="536"/>
        <v>0.22614217741132167</v>
      </c>
      <c r="BL51" s="44">
        <f t="shared" si="536"/>
        <v>0.30343443514711294</v>
      </c>
      <c r="BM51" s="44">
        <f t="shared" si="536"/>
        <v>0.26319502790302601</v>
      </c>
      <c r="BN51" s="44">
        <f t="shared" si="536"/>
        <v>0.3078721898062956</v>
      </c>
      <c r="BO51" s="44">
        <f t="shared" ref="BO51:CH51" si="537">BO50/BO32</f>
        <v>0.59137956060397423</v>
      </c>
      <c r="BP51" s="44">
        <f t="shared" si="537"/>
        <v>0.23955792761762906</v>
      </c>
      <c r="BQ51" s="44">
        <f t="shared" si="537"/>
        <v>0.19830492255956694</v>
      </c>
      <c r="BR51" s="44">
        <f t="shared" si="537"/>
        <v>0.16455285120648111</v>
      </c>
      <c r="BS51" s="44">
        <f t="shared" si="537"/>
        <v>0.2251417358089883</v>
      </c>
      <c r="BT51" s="44">
        <f t="shared" si="537"/>
        <v>0.21295068579358714</v>
      </c>
      <c r="BU51" s="44">
        <f t="shared" si="537"/>
        <v>0.1940907228980035</v>
      </c>
      <c r="BV51" s="44">
        <f t="shared" si="537"/>
        <v>0.15624107826213343</v>
      </c>
      <c r="BW51" s="44">
        <f t="shared" si="537"/>
        <v>0.19631327297027651</v>
      </c>
      <c r="BX51" s="44">
        <f t="shared" si="537"/>
        <v>0.18453807442138034</v>
      </c>
      <c r="BY51" s="44">
        <f t="shared" si="537"/>
        <v>0.17692183984024296</v>
      </c>
      <c r="BZ51" s="44">
        <f t="shared" si="537"/>
        <v>0.15999251320490934</v>
      </c>
      <c r="CA51" s="44">
        <f t="shared" si="537"/>
        <v>0.19372786603817319</v>
      </c>
      <c r="CB51" s="44">
        <f t="shared" si="537"/>
        <v>0.17459564117637538</v>
      </c>
      <c r="CC51" s="44">
        <f t="shared" si="537"/>
        <v>0.18461520331509232</v>
      </c>
      <c r="CD51" s="44">
        <f t="shared" si="537"/>
        <v>0.17241750344517143</v>
      </c>
      <c r="CE51" s="44">
        <f t="shared" si="537"/>
        <v>0.20104376705017199</v>
      </c>
      <c r="CF51" s="44">
        <f t="shared" si="537"/>
        <v>0.21497615672122697</v>
      </c>
      <c r="CG51" s="44">
        <f t="shared" si="537"/>
        <v>0.19407276995305164</v>
      </c>
      <c r="CH51" s="44">
        <f t="shared" si="537"/>
        <v>0.18940947047352369</v>
      </c>
      <c r="CI51" s="44">
        <f t="shared" ref="CI51:CJ51" si="538">CI50/CI32</f>
        <v>0.208583088891723</v>
      </c>
      <c r="CJ51" s="44">
        <f t="shared" si="538"/>
        <v>0.20054816888266852</v>
      </c>
      <c r="CK51" s="44">
        <f t="shared" ref="CK51:CL51" si="539">CK50/CK32</f>
        <v>0.18195918763026514</v>
      </c>
      <c r="CL51" s="44">
        <f t="shared" si="539"/>
        <v>0.17636348923774073</v>
      </c>
      <c r="CM51" s="52">
        <f t="shared" ref="CM51:DB51" si="540">AVERAGE(CI51:CL51)</f>
        <v>0.19186348366059933</v>
      </c>
      <c r="CN51" s="52">
        <f t="shared" si="540"/>
        <v>0.18768358235281843</v>
      </c>
      <c r="CO51" s="52">
        <f t="shared" si="540"/>
        <v>0.18446743572035593</v>
      </c>
      <c r="CP51" s="52">
        <f t="shared" si="540"/>
        <v>0.18509449774287862</v>
      </c>
      <c r="CQ51" s="52">
        <f>AVERAGE(CM51:CP51)*0.99</f>
        <v>0.18540447737047142</v>
      </c>
      <c r="CR51" s="52">
        <f t="shared" ref="CR51:CT51" si="541">AVERAGE(CN51:CQ51)*0.99</f>
        <v>0.18380587331366477</v>
      </c>
      <c r="CS51" s="52">
        <f t="shared" si="541"/>
        <v>0.18284614032647425</v>
      </c>
      <c r="CT51" s="52">
        <f t="shared" si="541"/>
        <v>0.18244486971648854</v>
      </c>
      <c r="CU51" s="52">
        <f t="shared" ref="CU51" si="542">AVERAGE(CQ51:CT51)*0.99</f>
        <v>0.181789086779957</v>
      </c>
      <c r="CV51" s="52">
        <f t="shared" ref="CV51" si="543">AVERAGE(CR51:CU51)*0.99</f>
        <v>0.18089427760880467</v>
      </c>
      <c r="CW51" s="52">
        <f>AVERAGE(CS51:CV51)</f>
        <v>0.1819935936079311</v>
      </c>
      <c r="CX51" s="52">
        <f t="shared" si="540"/>
        <v>0.18178045692829531</v>
      </c>
      <c r="CY51" s="52">
        <f t="shared" si="540"/>
        <v>0.18161435373124701</v>
      </c>
      <c r="CZ51" s="52">
        <f t="shared" si="540"/>
        <v>0.18157067046906952</v>
      </c>
      <c r="DA51" s="52">
        <f t="shared" si="540"/>
        <v>0.18173976868413574</v>
      </c>
      <c r="DB51" s="52">
        <f t="shared" si="540"/>
        <v>0.18167631245318691</v>
      </c>
      <c r="DE51" s="129"/>
      <c r="DF51" s="44">
        <v>0.19512497896954506</v>
      </c>
    </row>
    <row r="52" spans="1:110" s="26" customFormat="1" x14ac:dyDescent="0.2">
      <c r="A52" s="34" t="s">
        <v>13</v>
      </c>
      <c r="B52" s="26" t="e">
        <f t="shared" ref="B52:AE52" si="544">B38-B50</f>
        <v>#REF!</v>
      </c>
      <c r="C52" s="26" t="e">
        <f t="shared" si="544"/>
        <v>#REF!</v>
      </c>
      <c r="D52" s="26" t="e">
        <f t="shared" si="544"/>
        <v>#REF!</v>
      </c>
      <c r="E52" s="26">
        <f t="shared" si="544"/>
        <v>3729.4099999999985</v>
      </c>
      <c r="F52" s="26">
        <f t="shared" si="544"/>
        <v>4760.2800000000007</v>
      </c>
      <c r="G52" s="26">
        <f t="shared" si="544"/>
        <v>4969.5399999999991</v>
      </c>
      <c r="H52" s="26">
        <f t="shared" si="544"/>
        <v>6715.9700000000021</v>
      </c>
      <c r="I52" s="26">
        <f t="shared" si="544"/>
        <v>6270.1499999999978</v>
      </c>
      <c r="J52" s="26">
        <f t="shared" si="544"/>
        <v>3753.6200000000026</v>
      </c>
      <c r="K52" s="26">
        <f t="shared" si="544"/>
        <v>5794.8199999999933</v>
      </c>
      <c r="L52" s="26">
        <f t="shared" si="544"/>
        <v>7468.7700000000023</v>
      </c>
      <c r="M52" s="26">
        <f t="shared" si="544"/>
        <v>7573.8316154584918</v>
      </c>
      <c r="N52" s="26">
        <f t="shared" si="544"/>
        <v>4757.7218954585042</v>
      </c>
      <c r="O52" s="26">
        <f t="shared" si="544"/>
        <v>1163.452615999995</v>
      </c>
      <c r="P52" s="26">
        <f t="shared" si="544"/>
        <v>521.72867376000249</v>
      </c>
      <c r="Q52" s="26">
        <f t="shared" si="544"/>
        <v>7906.519999999995</v>
      </c>
      <c r="R52" s="26">
        <f t="shared" si="544"/>
        <v>6677.7300000000032</v>
      </c>
      <c r="S52" s="26">
        <f t="shared" si="544"/>
        <v>3639.4800000000159</v>
      </c>
      <c r="T52" s="26">
        <f t="shared" si="544"/>
        <v>5592.6499999999942</v>
      </c>
      <c r="U52" s="26">
        <f t="shared" si="544"/>
        <v>30.230000000014115</v>
      </c>
      <c r="V52" s="26">
        <f t="shared" si="544"/>
        <v>1966.3799999999937</v>
      </c>
      <c r="W52" s="26">
        <f t="shared" si="544"/>
        <v>1635.7400000000125</v>
      </c>
      <c r="X52" s="26">
        <f t="shared" si="544"/>
        <v>4810.8099999999868</v>
      </c>
      <c r="Y52" s="26">
        <f t="shared" si="544"/>
        <v>7870</v>
      </c>
      <c r="Z52" s="26">
        <f t="shared" ref="Z52:AA52" si="545">Z38-Z50</f>
        <v>8082</v>
      </c>
      <c r="AA52" s="26">
        <f t="shared" si="545"/>
        <v>8082</v>
      </c>
      <c r="AB52" s="27">
        <f t="shared" si="544"/>
        <v>-215.54774533883392</v>
      </c>
      <c r="AC52" s="27">
        <f t="shared" si="544"/>
        <v>306.10092279665696</v>
      </c>
      <c r="AD52" s="27">
        <f t="shared" si="544"/>
        <v>474.4032805793322</v>
      </c>
      <c r="AE52" s="27">
        <f t="shared" si="544"/>
        <v>255.72856527497061</v>
      </c>
      <c r="AI52" s="26">
        <f t="shared" ref="AI52:BN52" si="546">AI38-AI50</f>
        <v>699.8100000000004</v>
      </c>
      <c r="AJ52" s="26">
        <f t="shared" si="546"/>
        <v>653.48</v>
      </c>
      <c r="AK52" s="26">
        <f t="shared" si="546"/>
        <v>145.26000000000022</v>
      </c>
      <c r="AL52" s="26">
        <f t="shared" si="546"/>
        <v>219.40000000000146</v>
      </c>
      <c r="AM52" s="26">
        <f t="shared" si="546"/>
        <v>105.18999999999687</v>
      </c>
      <c r="AN52" s="26">
        <f t="shared" si="546"/>
        <v>81.319999999999709</v>
      </c>
      <c r="AO52" s="26">
        <f t="shared" si="546"/>
        <v>-459.07999999999811</v>
      </c>
      <c r="AP52" s="26">
        <f t="shared" si="546"/>
        <v>-638.02</v>
      </c>
      <c r="AQ52" s="26">
        <f t="shared" si="546"/>
        <v>-294.21000000000049</v>
      </c>
      <c r="AR52" s="26">
        <f t="shared" si="546"/>
        <v>-262.25000000000136</v>
      </c>
      <c r="AS52" s="26">
        <f t="shared" si="546"/>
        <v>-561.61000000000058</v>
      </c>
      <c r="AT52" s="26">
        <f t="shared" si="546"/>
        <v>159.03000000000111</v>
      </c>
      <c r="AU52" s="26">
        <f t="shared" si="546"/>
        <v>470.69999999999982</v>
      </c>
      <c r="AV52" s="26">
        <f t="shared" si="546"/>
        <v>777.21000000000095</v>
      </c>
      <c r="AW52" s="26">
        <f t="shared" si="546"/>
        <v>497.42999999999984</v>
      </c>
      <c r="AX52" s="26">
        <f t="shared" si="546"/>
        <v>1216.0000000000009</v>
      </c>
      <c r="AY52" s="26">
        <f t="shared" si="546"/>
        <v>553.50999999999885</v>
      </c>
      <c r="AZ52" s="26">
        <f t="shared" si="546"/>
        <v>265.9099999999994</v>
      </c>
      <c r="BA52" s="26">
        <f t="shared" si="546"/>
        <v>62.029999999999291</v>
      </c>
      <c r="BB52" s="26">
        <f t="shared" si="546"/>
        <v>399.30000000000246</v>
      </c>
      <c r="BC52" s="26">
        <f t="shared" si="546"/>
        <v>-59.140000000001692</v>
      </c>
      <c r="BD52" s="26">
        <f t="shared" si="546"/>
        <v>807.56000000000313</v>
      </c>
      <c r="BE52" s="26">
        <f t="shared" si="546"/>
        <v>1161.5399999999991</v>
      </c>
      <c r="BF52" s="26">
        <f t="shared" si="546"/>
        <v>603.30000000000382</v>
      </c>
      <c r="BG52" s="26">
        <f t="shared" si="546"/>
        <v>1336.0099999999975</v>
      </c>
      <c r="BH52" s="26">
        <f t="shared" si="546"/>
        <v>1398.089999999997</v>
      </c>
      <c r="BI52" s="26">
        <f t="shared" si="546"/>
        <v>1309.300000000002</v>
      </c>
      <c r="BJ52" s="26">
        <f t="shared" si="546"/>
        <v>1111.369999999999</v>
      </c>
      <c r="BK52" s="26">
        <f t="shared" si="546"/>
        <v>738.44999999999936</v>
      </c>
      <c r="BL52" s="26">
        <f t="shared" si="546"/>
        <v>-513.69000000000051</v>
      </c>
      <c r="BM52" s="26">
        <f t="shared" si="546"/>
        <v>-52.609999999998308</v>
      </c>
      <c r="BN52" s="26">
        <f t="shared" si="546"/>
        <v>-722.69000000000187</v>
      </c>
      <c r="BO52" s="26">
        <f t="shared" ref="BO52:CT52" si="547">BO38-BO50</f>
        <v>-842.09000000000015</v>
      </c>
      <c r="BP52" s="26">
        <f t="shared" si="547"/>
        <v>101.71000000000095</v>
      </c>
      <c r="BQ52" s="26">
        <f t="shared" si="547"/>
        <v>849.69</v>
      </c>
      <c r="BR52" s="26">
        <f t="shared" si="547"/>
        <v>1384.940000000001</v>
      </c>
      <c r="BS52" s="26">
        <f t="shared" si="547"/>
        <v>89.449999999999363</v>
      </c>
      <c r="BT52" s="26">
        <f t="shared" si="547"/>
        <v>241.39000000000169</v>
      </c>
      <c r="BU52" s="26">
        <f t="shared" si="547"/>
        <v>301.20000000000027</v>
      </c>
      <c r="BV52" s="26">
        <f t="shared" si="547"/>
        <v>1116.6299999999997</v>
      </c>
      <c r="BW52" s="26">
        <f t="shared" si="547"/>
        <v>691.82000000000244</v>
      </c>
      <c r="BX52" s="26">
        <f t="shared" si="547"/>
        <v>651.29000000000315</v>
      </c>
      <c r="BY52" s="26">
        <f t="shared" si="547"/>
        <v>1365.96</v>
      </c>
      <c r="BZ52" s="26">
        <f t="shared" si="547"/>
        <v>2080.2599999999984</v>
      </c>
      <c r="CA52" s="26">
        <f t="shared" si="547"/>
        <v>1328.3300000000027</v>
      </c>
      <c r="CB52" s="26">
        <f t="shared" si="547"/>
        <v>1980.0100000000016</v>
      </c>
      <c r="CC52" s="26">
        <f t="shared" si="547"/>
        <v>2133.3199999999979</v>
      </c>
      <c r="CD52" s="26">
        <f t="shared" si="547"/>
        <v>2428.429999999998</v>
      </c>
      <c r="CE52" s="26">
        <f t="shared" si="547"/>
        <v>1916</v>
      </c>
      <c r="CF52" s="26">
        <f t="shared" si="547"/>
        <v>1653</v>
      </c>
      <c r="CG52" s="26">
        <f t="shared" si="547"/>
        <v>1040.8999999999996</v>
      </c>
      <c r="CH52" s="26">
        <f t="shared" si="547"/>
        <v>1387.5999999999985</v>
      </c>
      <c r="CI52" s="26">
        <f t="shared" ref="CI52:CJ52" si="548">CI38-CI50</f>
        <v>1890</v>
      </c>
      <c r="CJ52" s="26">
        <f t="shared" si="548"/>
        <v>2077</v>
      </c>
      <c r="CK52" s="26">
        <f t="shared" ref="CK52:CL52" si="549">CK38-CK50</f>
        <v>2606</v>
      </c>
      <c r="CL52" s="26">
        <f t="shared" si="549"/>
        <v>3307</v>
      </c>
      <c r="CM52" s="27">
        <f t="shared" si="547"/>
        <v>2190.0710557364305</v>
      </c>
      <c r="CN52" s="27">
        <f t="shared" si="547"/>
        <v>2448.6076324083851</v>
      </c>
      <c r="CO52" s="27">
        <f t="shared" si="547"/>
        <v>3000.4696650457236</v>
      </c>
      <c r="CP52" s="27">
        <f t="shared" si="547"/>
        <v>3487.9175540499928</v>
      </c>
      <c r="CQ52" s="27">
        <f t="shared" si="547"/>
        <v>2468.6387655467965</v>
      </c>
      <c r="CR52" s="27">
        <f t="shared" si="547"/>
        <v>2745.5796716799</v>
      </c>
      <c r="CS52" s="27">
        <f t="shared" si="547"/>
        <v>3321.9615048506412</v>
      </c>
      <c r="CT52" s="27">
        <f t="shared" si="547"/>
        <v>3815.5449741129314</v>
      </c>
      <c r="CU52" s="27">
        <f t="shared" ref="CU52:DB52" si="550">CU38-CU50</f>
        <v>2799.3620473767796</v>
      </c>
      <c r="CV52" s="27">
        <f t="shared" si="550"/>
        <v>3123.2466409398567</v>
      </c>
      <c r="CW52" s="27">
        <f t="shared" si="550"/>
        <v>3739.6375625803603</v>
      </c>
      <c r="CX52" s="27">
        <f t="shared" si="550"/>
        <v>4304.0060272576675</v>
      </c>
      <c r="CY52" s="27">
        <f t="shared" si="550"/>
        <v>3121.8746302069321</v>
      </c>
      <c r="CZ52" s="27">
        <f t="shared" si="550"/>
        <v>3474.7651525147676</v>
      </c>
      <c r="DA52" s="27">
        <f t="shared" si="550"/>
        <v>4193.7715181670719</v>
      </c>
      <c r="DB52" s="27">
        <f t="shared" si="550"/>
        <v>4811.4222986827372</v>
      </c>
      <c r="DE52" s="121"/>
      <c r="DF52" s="26">
        <v>2993.8536733856863</v>
      </c>
    </row>
    <row r="53" spans="1:110" s="167" customFormat="1" x14ac:dyDescent="0.2">
      <c r="A53" s="164" t="s">
        <v>14</v>
      </c>
      <c r="B53" s="165" t="e">
        <f t="shared" ref="B53:AE53" si="551">B52/B32</f>
        <v>#REF!</v>
      </c>
      <c r="C53" s="165" t="e">
        <f t="shared" si="551"/>
        <v>#REF!</v>
      </c>
      <c r="D53" s="165" t="e">
        <f t="shared" si="551"/>
        <v>#REF!</v>
      </c>
      <c r="E53" s="165">
        <f t="shared" si="551"/>
        <v>0.24661381374867986</v>
      </c>
      <c r="F53" s="165">
        <f t="shared" si="551"/>
        <v>0.23746308564131216</v>
      </c>
      <c r="G53" s="165">
        <f t="shared" si="551"/>
        <v>0.21565318369580447</v>
      </c>
      <c r="H53" s="165">
        <f t="shared" si="551"/>
        <v>0.2172121683343608</v>
      </c>
      <c r="I53" s="165">
        <f t="shared" si="551"/>
        <v>0.19507459324653598</v>
      </c>
      <c r="J53" s="165">
        <f t="shared" si="551"/>
        <v>0.13559746955431104</v>
      </c>
      <c r="K53" s="165">
        <f t="shared" si="551"/>
        <v>0.15513409409851023</v>
      </c>
      <c r="L53" s="165">
        <f t="shared" si="551"/>
        <v>0.14689553889154083</v>
      </c>
      <c r="M53" s="165">
        <f t="shared" si="551"/>
        <v>0.13125578227033927</v>
      </c>
      <c r="N53" s="165">
        <f t="shared" si="551"/>
        <v>9.9522558862891894E-2</v>
      </c>
      <c r="O53" s="165">
        <f t="shared" si="551"/>
        <v>3.1996061540721432E-2</v>
      </c>
      <c r="P53" s="165">
        <f t="shared" si="551"/>
        <v>1.370775558132128E-2</v>
      </c>
      <c r="Q53" s="165">
        <f t="shared" si="551"/>
        <v>0.16538958022132622</v>
      </c>
      <c r="R53" s="165">
        <f t="shared" si="551"/>
        <v>0.13453295052279191</v>
      </c>
      <c r="S53" s="165">
        <f t="shared" si="551"/>
        <v>6.1534570208380331E-2</v>
      </c>
      <c r="T53" s="165">
        <f t="shared" si="551"/>
        <v>8.0307274602875484E-2</v>
      </c>
      <c r="U53" s="165">
        <f t="shared" si="551"/>
        <v>6.8130729866533435E-4</v>
      </c>
      <c r="V53" s="165">
        <f t="shared" si="551"/>
        <v>4.1394379998968368E-2</v>
      </c>
      <c r="W53" s="165">
        <f t="shared" si="551"/>
        <v>3.4608815902613006E-2</v>
      </c>
      <c r="X53" s="165">
        <f t="shared" si="551"/>
        <v>7.3160056833207615E-2</v>
      </c>
      <c r="Y53" s="165">
        <f t="shared" si="551"/>
        <v>0.10736259088986808</v>
      </c>
      <c r="Z53" s="165">
        <f t="shared" ref="Z53:AA53" si="552">Z52/Z32</f>
        <v>0.11642345755484809</v>
      </c>
      <c r="AA53" s="165">
        <f t="shared" si="552"/>
        <v>0.11642345755484809</v>
      </c>
      <c r="AB53" s="166">
        <f t="shared" si="551"/>
        <v>-2.4671764940921966E-3</v>
      </c>
      <c r="AC53" s="166">
        <f t="shared" si="551"/>
        <v>3.2317295764054325E-3</v>
      </c>
      <c r="AD53" s="166">
        <f t="shared" si="551"/>
        <v>4.4891267462162446E-3</v>
      </c>
      <c r="AE53" s="166">
        <f t="shared" si="551"/>
        <v>2.1658181799516819E-3</v>
      </c>
      <c r="AI53" s="165">
        <f t="shared" ref="AI53:BN53" si="553">AI52/AI32</f>
        <v>6.6104562358722196E-2</v>
      </c>
      <c r="AJ53" s="165">
        <f t="shared" si="553"/>
        <v>5.2356557869587719E-2</v>
      </c>
      <c r="AK53" s="165">
        <f t="shared" si="553"/>
        <v>1.3664983081046371E-2</v>
      </c>
      <c r="AL53" s="165">
        <f t="shared" si="553"/>
        <v>1.9823289021566316E-2</v>
      </c>
      <c r="AM53" s="165">
        <f t="shared" si="553"/>
        <v>1.1553627327145575E-2</v>
      </c>
      <c r="AN53" s="165">
        <f t="shared" si="553"/>
        <v>9.1695843129295084E-3</v>
      </c>
      <c r="AO53" s="165">
        <f t="shared" si="553"/>
        <v>-5.9086164534658238E-2</v>
      </c>
      <c r="AP53" s="165">
        <f t="shared" si="553"/>
        <v>-7.4661605127382985E-2</v>
      </c>
      <c r="AQ53" s="165">
        <f t="shared" si="553"/>
        <v>-3.8185485336337602E-2</v>
      </c>
      <c r="AR53" s="165">
        <f t="shared" si="553"/>
        <v>-2.996430562791947E-2</v>
      </c>
      <c r="AS53" s="165">
        <f t="shared" si="553"/>
        <v>-6.2014690682944559E-2</v>
      </c>
      <c r="AT53" s="165">
        <f t="shared" si="553"/>
        <v>1.4746464298033907E-2</v>
      </c>
      <c r="AU53" s="165">
        <f t="shared" si="553"/>
        <v>5.0481542652452735E-2</v>
      </c>
      <c r="AV53" s="165">
        <f t="shared" si="553"/>
        <v>7.2679309013072277E-2</v>
      </c>
      <c r="AW53" s="165">
        <f t="shared" si="553"/>
        <v>4.9535989101544636E-2</v>
      </c>
      <c r="AX53" s="165">
        <f t="shared" si="553"/>
        <v>9.5002375059376559E-2</v>
      </c>
      <c r="AY53" s="165">
        <f t="shared" si="553"/>
        <v>5.3792523022978163E-2</v>
      </c>
      <c r="AZ53" s="165">
        <f t="shared" si="553"/>
        <v>2.5861272474584588E-2</v>
      </c>
      <c r="BA53" s="165">
        <f t="shared" si="553"/>
        <v>6.0781427907914904E-3</v>
      </c>
      <c r="BB53" s="165">
        <f t="shared" si="553"/>
        <v>2.9416228210406143E-2</v>
      </c>
      <c r="BC53" s="165">
        <f t="shared" si="553"/>
        <v>-6.5076112863152779E-3</v>
      </c>
      <c r="BD53" s="165">
        <f t="shared" si="553"/>
        <v>5.8527025881156061E-2</v>
      </c>
      <c r="BE53" s="165">
        <f t="shared" si="553"/>
        <v>7.2767298631345248E-2</v>
      </c>
      <c r="BF53" s="165">
        <f t="shared" si="553"/>
        <v>3.1465369317796782E-2</v>
      </c>
      <c r="BG53" s="165">
        <f t="shared" si="553"/>
        <v>8.0120587778463301E-2</v>
      </c>
      <c r="BH53" s="165">
        <f t="shared" si="553"/>
        <v>7.8727090793295956E-2</v>
      </c>
      <c r="BI53" s="165">
        <f t="shared" si="553"/>
        <v>8.0782740517298404E-2</v>
      </c>
      <c r="BJ53" s="165">
        <f t="shared" si="553"/>
        <v>5.9875300421681273E-2</v>
      </c>
      <c r="BK53" s="165">
        <f t="shared" si="553"/>
        <v>5.5306693948655991E-2</v>
      </c>
      <c r="BL53" s="165">
        <f t="shared" si="553"/>
        <v>-5.136653440634855E-2</v>
      </c>
      <c r="BM53" s="165">
        <f t="shared" si="553"/>
        <v>-4.8520185079465117E-3</v>
      </c>
      <c r="BN53" s="165">
        <f t="shared" si="553"/>
        <v>-7.4252507225515393E-2</v>
      </c>
      <c r="BO53" s="165">
        <f t="shared" ref="BO53:CT53" si="554">BO52/BO32</f>
        <v>-0.31340928292027531</v>
      </c>
      <c r="BP53" s="165">
        <f t="shared" si="554"/>
        <v>1.0520164251507633E-2</v>
      </c>
      <c r="BQ53" s="165">
        <f t="shared" si="554"/>
        <v>5.8076223804902058E-2</v>
      </c>
      <c r="BR53" s="165">
        <f t="shared" si="554"/>
        <v>6.9088442025551408E-2</v>
      </c>
      <c r="BS53" s="165">
        <f t="shared" si="554"/>
        <v>7.5141609802934391E-3</v>
      </c>
      <c r="BT53" s="165">
        <f t="shared" si="554"/>
        <v>2.195248826393565E-2</v>
      </c>
      <c r="BU53" s="165">
        <f t="shared" si="554"/>
        <v>2.4383175285239457E-2</v>
      </c>
      <c r="BV53" s="165">
        <f t="shared" si="554"/>
        <v>6.4402619177115109E-2</v>
      </c>
      <c r="BW53" s="165">
        <f t="shared" si="554"/>
        <v>4.6510658552523815E-2</v>
      </c>
      <c r="BX53" s="165">
        <f t="shared" si="554"/>
        <v>4.3573933649923464E-2</v>
      </c>
      <c r="BY53" s="165">
        <f t="shared" si="554"/>
        <v>8.6486116862247525E-2</v>
      </c>
      <c r="BZ53" s="165">
        <f t="shared" si="554"/>
        <v>0.10327904744930147</v>
      </c>
      <c r="CA53" s="165">
        <f t="shared" si="554"/>
        <v>8.3898571110059994E-2</v>
      </c>
      <c r="CB53" s="165">
        <f t="shared" si="554"/>
        <v>0.10678686420339027</v>
      </c>
      <c r="CC53" s="165">
        <f t="shared" si="554"/>
        <v>0.11427340941133102</v>
      </c>
      <c r="CD53" s="165">
        <f t="shared" si="554"/>
        <v>0.11986185751007877</v>
      </c>
      <c r="CE53" s="165">
        <f t="shared" si="554"/>
        <v>0.1136282765982683</v>
      </c>
      <c r="CF53" s="165">
        <f t="shared" si="554"/>
        <v>0.10652145895089574</v>
      </c>
      <c r="CG53" s="165">
        <f t="shared" si="554"/>
        <v>6.1085680751173689E-2</v>
      </c>
      <c r="CH53" s="165">
        <f t="shared" si="554"/>
        <v>6.9383469173458598E-2</v>
      </c>
      <c r="CI53" s="165">
        <f t="shared" ref="CI53:CJ53" si="555">CI52/CI32</f>
        <v>0.12052034179313863</v>
      </c>
      <c r="CJ53" s="165">
        <f t="shared" si="555"/>
        <v>0.12112199673431304</v>
      </c>
      <c r="CK53" s="165">
        <f t="shared" ref="CK53:CL53" si="556">CK52/CK32</f>
        <v>0.12631476903688624</v>
      </c>
      <c r="CL53" s="165">
        <f t="shared" si="556"/>
        <v>0.13379996763230295</v>
      </c>
      <c r="CM53" s="166">
        <f t="shared" si="554"/>
        <v>0.12543926879916026</v>
      </c>
      <c r="CN53" s="166">
        <f t="shared" si="554"/>
        <v>0.12666900055066563</v>
      </c>
      <c r="CO53" s="166">
        <f t="shared" si="554"/>
        <v>0.12805575150475376</v>
      </c>
      <c r="CP53" s="166">
        <f t="shared" si="554"/>
        <v>0.12849099712172063</v>
      </c>
      <c r="CQ53" s="166">
        <f t="shared" si="554"/>
        <v>0.12903652699276674</v>
      </c>
      <c r="CR53" s="166">
        <f t="shared" si="554"/>
        <v>0.12991969402544307</v>
      </c>
      <c r="CS53" s="166">
        <f t="shared" si="554"/>
        <v>0.13072267312153951</v>
      </c>
      <c r="CT53" s="166">
        <f t="shared" si="554"/>
        <v>0.13138535028725121</v>
      </c>
      <c r="CU53" s="166">
        <f t="shared" ref="CU53:DB53" si="557">CU52/CU32</f>
        <v>0.13210231450856788</v>
      </c>
      <c r="CV53" s="166">
        <f t="shared" si="557"/>
        <v>0.13285972291104192</v>
      </c>
      <c r="CW53" s="166">
        <f t="shared" si="557"/>
        <v>0.13176751520710017</v>
      </c>
      <c r="CX53" s="166">
        <f t="shared" si="557"/>
        <v>0.13202872572849034</v>
      </c>
      <c r="CY53" s="166">
        <f t="shared" si="557"/>
        <v>0.13218956958880007</v>
      </c>
      <c r="CZ53" s="166">
        <f t="shared" si="557"/>
        <v>0.13221138335885815</v>
      </c>
      <c r="DA53" s="166">
        <f t="shared" si="557"/>
        <v>0.1320492984708122</v>
      </c>
      <c r="DB53" s="166">
        <f t="shared" si="557"/>
        <v>0.13211974428674012</v>
      </c>
      <c r="DE53" s="168"/>
      <c r="DF53" s="167">
        <v>0.12321583821915087</v>
      </c>
    </row>
    <row r="54" spans="1:110" s="38" customFormat="1" x14ac:dyDescent="0.2">
      <c r="A54" s="39" t="s">
        <v>451</v>
      </c>
      <c r="B54" s="39"/>
      <c r="C54" s="39" t="e">
        <f>+C52/B52-1</f>
        <v>#REF!</v>
      </c>
      <c r="D54" s="39" t="e">
        <f>+D52/C52-1</f>
        <v>#REF!</v>
      </c>
      <c r="E54" s="39"/>
      <c r="F54" s="39">
        <f t="shared" ref="F54:P54" si="558">+F52/E52-1</f>
        <v>0.27641637685317577</v>
      </c>
      <c r="G54" s="39">
        <f t="shared" si="558"/>
        <v>4.3959599015183537E-2</v>
      </c>
      <c r="H54" s="39">
        <f t="shared" si="558"/>
        <v>0.35142689262990201</v>
      </c>
      <c r="I54" s="39">
        <f t="shared" si="558"/>
        <v>-6.6382071391028252E-2</v>
      </c>
      <c r="J54" s="39">
        <f t="shared" si="558"/>
        <v>-0.40135084487611872</v>
      </c>
      <c r="K54" s="39">
        <f>+K52/J52-1</f>
        <v>0.54379505650545057</v>
      </c>
      <c r="L54" s="39">
        <f t="shared" si="558"/>
        <v>0.28887005981204084</v>
      </c>
      <c r="M54" s="39">
        <f t="shared" si="558"/>
        <v>1.4066789505968069E-2</v>
      </c>
      <c r="N54" s="39">
        <f t="shared" si="558"/>
        <v>-0.37182100989044908</v>
      </c>
      <c r="O54" s="39">
        <f t="shared" si="558"/>
        <v>-0.75546014635479808</v>
      </c>
      <c r="P54" s="39">
        <f t="shared" si="558"/>
        <v>-0.55156861002751423</v>
      </c>
      <c r="Q54" s="39">
        <f t="shared" ref="Q54:AA54" si="559">+Q52/P52-1</f>
        <v>14.154467058555861</v>
      </c>
      <c r="R54" s="39">
        <f t="shared" si="559"/>
        <v>-0.15541477160621775</v>
      </c>
      <c r="S54" s="39">
        <f t="shared" si="559"/>
        <v>-0.45498245661324821</v>
      </c>
      <c r="T54" s="39">
        <f t="shared" si="559"/>
        <v>0.53666183081098673</v>
      </c>
      <c r="U54" s="39">
        <f t="shared" si="559"/>
        <v>-0.99459469124654432</v>
      </c>
      <c r="V54" s="39">
        <f t="shared" si="559"/>
        <v>64.047304002615803</v>
      </c>
      <c r="W54" s="39">
        <f t="shared" si="559"/>
        <v>-0.1681465433944519</v>
      </c>
      <c r="X54" s="39">
        <f t="shared" si="559"/>
        <v>1.941060315208988</v>
      </c>
      <c r="Y54" s="39">
        <f t="shared" si="559"/>
        <v>0.63589915211783921</v>
      </c>
      <c r="Z54" s="39">
        <f t="shared" si="559"/>
        <v>2.6937738246505694E-2</v>
      </c>
      <c r="AA54" s="39">
        <f t="shared" si="559"/>
        <v>0</v>
      </c>
      <c r="AB54" s="40">
        <f t="shared" ref="AB54" si="560">+AB52/AA52-1</f>
        <v>-1.026670099645983</v>
      </c>
      <c r="AC54" s="40">
        <f t="shared" ref="AC54" si="561">+AC52/AB52-1</f>
        <v>-2.4201072821034453</v>
      </c>
      <c r="AD54" s="40">
        <f t="shared" ref="AD54" si="562">+AD52/AC52-1</f>
        <v>0.54982636525561412</v>
      </c>
      <c r="AE54" s="40">
        <f t="shared" ref="AE54" si="563">+AE52/AD52-1</f>
        <v>-0.46094688687085006</v>
      </c>
      <c r="AI54" s="39"/>
      <c r="AJ54" s="39"/>
      <c r="AK54" s="39"/>
      <c r="AL54" s="39"/>
      <c r="AM54" s="39">
        <f>+IF(AI52&lt;0,1-AM52/AI52,AM52/AI52-1)</f>
        <v>-0.84968777239536908</v>
      </c>
      <c r="AN54" s="39">
        <f t="shared" ref="AN54" si="564">+IF(AJ52&lt;0,1-AN52/AJ52,AN52/AJ52-1)</f>
        <v>-0.8755585480810435</v>
      </c>
      <c r="AO54" s="39">
        <f t="shared" ref="AO54" si="565">+IF(AK52&lt;0,1-AO52/AK52,AO52/AK52-1)</f>
        <v>-4.16040203772544</v>
      </c>
      <c r="AP54" s="39">
        <f t="shared" ref="AP54" si="566">+IF(AL52&lt;0,1-AP52/AL52,AP52/AL52-1)</f>
        <v>-3.9080218778486588</v>
      </c>
      <c r="AQ54" s="39">
        <f t="shared" ref="AQ54" si="567">+IF(AM52&lt;0,1-AQ52/AM52,AQ52/AM52-1)</f>
        <v>-3.7969388725164865</v>
      </c>
      <c r="AR54" s="39">
        <f t="shared" ref="AR54" si="568">+IF(AN52&lt;0,1-AR52/AN52,AR52/AN52-1)</f>
        <v>-4.224913920314834</v>
      </c>
      <c r="AS54" s="39">
        <f t="shared" ref="AS54" si="569">+IF(AO52&lt;0,1-AS52/AO52,AS52/AO52-1)</f>
        <v>-0.2233379803084492</v>
      </c>
      <c r="AT54" s="39">
        <f t="shared" ref="AT54" si="570">+IF(AP52&lt;0,1-AT52/AP52,AT52/AP52-1)</f>
        <v>1.2492555092316873</v>
      </c>
      <c r="AU54" s="39">
        <f t="shared" ref="AU54" si="571">+IF(AQ52&lt;0,1-AU52/AQ52,AU52/AQ52-1)</f>
        <v>2.5998776384215323</v>
      </c>
      <c r="AV54" s="39">
        <f t="shared" ref="AV54" si="572">+IF(AR52&lt;0,1-AV52/AR52,AV52/AR52-1)</f>
        <v>3.963622497616766</v>
      </c>
      <c r="AW54" s="39">
        <f t="shared" ref="AW54" si="573">+IF(AS52&lt;0,1-AW52/AS52,AW52/AS52-1)</f>
        <v>1.8857214080945841</v>
      </c>
      <c r="AX54" s="39">
        <f t="shared" ref="AX54" si="574">+IF(AT52&lt;0,1-AX52/AT52,AX52/AT52-1)</f>
        <v>6.6463560334527596</v>
      </c>
      <c r="AY54" s="39">
        <f t="shared" ref="AY54" si="575">+IF(AU52&lt;0,1-AY52/AU52,AY52/AU52-1)</f>
        <v>0.17592946675164445</v>
      </c>
      <c r="AZ54" s="39">
        <f t="shared" ref="AZ54" si="576">+IF(AV52&lt;0,1-AZ52/AV52,AZ52/AV52-1)</f>
        <v>-0.65786595643391221</v>
      </c>
      <c r="BA54" s="39">
        <f t="shared" ref="BA54" si="577">+IF(AW52&lt;0,1-BA52/AW52,BA52/AW52-1)</f>
        <v>-0.87529903705044065</v>
      </c>
      <c r="BB54" s="39">
        <f t="shared" ref="BB54" si="578">+IF(AX52&lt;0,1-BB52/AX52,BB52/AX52-1)</f>
        <v>-0.67162828947368247</v>
      </c>
      <c r="BC54" s="39">
        <f t="shared" ref="BC54" si="579">+IF(AY52&lt;0,1-BC52/AY52,BC52/AY52-1)</f>
        <v>-1.1068454047804046</v>
      </c>
      <c r="BD54" s="39">
        <f t="shared" ref="BD54" si="580">+IF(AZ52&lt;0,1-BD52/AZ52,BD52/AZ52-1)</f>
        <v>2.0369673949832836</v>
      </c>
      <c r="BE54" s="39">
        <f t="shared" ref="BE54" si="581">+IF(BA52&lt;0,1-BE52/BA52,BE52/BA52-1)</f>
        <v>17.725455424794653</v>
      </c>
      <c r="BF54" s="39">
        <f t="shared" ref="BF54" si="582">+IF(BB52&lt;0,1-BF52/BB52,BF52/BB52-1)</f>
        <v>0.51089406461307307</v>
      </c>
      <c r="BG54" s="39">
        <f t="shared" ref="BG54" si="583">+IF(BC52&lt;0,1-BG52/BC52,BG52/BC52-1)</f>
        <v>23.590632397699682</v>
      </c>
      <c r="BH54" s="39">
        <f t="shared" ref="BH54" si="584">+IF(BD52&lt;0,1-BH52/BD52,BH52/BD52-1)</f>
        <v>0.73125216702163498</v>
      </c>
      <c r="BI54" s="39">
        <f t="shared" ref="BI54" si="585">+IF(BE52&lt;0,1-BI52/BE52,BI52/BE52-1)</f>
        <v>0.12721042753586032</v>
      </c>
      <c r="BJ54" s="39">
        <f t="shared" ref="BJ54" si="586">+IF(BF52&lt;0,1-BJ52/BF52,BJ52/BF52-1)</f>
        <v>0.8421515000828641</v>
      </c>
      <c r="BK54" s="39">
        <f t="shared" ref="BK54" si="587">+IF(BG52&lt;0,1-BK52/BG52,BK52/BG52-1)</f>
        <v>-0.44727210125672656</v>
      </c>
      <c r="BL54" s="39">
        <f t="shared" ref="BL54" si="588">+IF(BH52&lt;0,1-BL52/BH52,BL52/BH52-1)</f>
        <v>-1.367422698109565</v>
      </c>
      <c r="BM54" s="39">
        <f t="shared" ref="BM54" si="589">+IF(BI52&lt;0,1-BM52/BI52,BM52/BI52-1)</f>
        <v>-1.0401817765218042</v>
      </c>
      <c r="BN54" s="39">
        <f t="shared" ref="BN54" si="590">+IF(BJ52&lt;0,1-BN52/BJ52,BN52/BJ52-1)</f>
        <v>-1.6502694872094825</v>
      </c>
      <c r="BO54" s="39">
        <f t="shared" ref="BO54" si="591">+IF(BK52&lt;0,1-BO52/BK52,BO52/BK52-1)</f>
        <v>-2.1403480262712451</v>
      </c>
      <c r="BP54" s="39">
        <f t="shared" ref="BP54" si="592">+IF(BL52&lt;0,1-BP52/BL52,BP52/BL52-1)</f>
        <v>1.1979987930463916</v>
      </c>
      <c r="BQ54" s="39">
        <f t="shared" ref="BQ54" si="593">+IF(BM52&lt;0,1-BQ52/BM52,BQ52/BM52-1)</f>
        <v>17.150731800038535</v>
      </c>
      <c r="BR54" s="39">
        <f t="shared" ref="BR54" si="594">+IF(BN52&lt;0,1-BR52/BN52,BR52/BN52-1)</f>
        <v>2.9163680139478858</v>
      </c>
      <c r="BS54" s="39">
        <f t="shared" ref="BS54" si="595">+IF(BO52&lt;0,1-BS52/BO52,BS52/BO52-1)</f>
        <v>1.1062238003063798</v>
      </c>
      <c r="BT54" s="39">
        <f t="shared" ref="BT54" si="596">+IF(BP52&lt;0,1-BT52/BP52,BT52/BP52-1)</f>
        <v>1.3733162914167676</v>
      </c>
      <c r="BU54" s="39">
        <f t="shared" ref="BU54" si="597">+IF(BQ52&lt;0,1-BU52/BQ52,BU52/BQ52-1)</f>
        <v>-0.6455177770716376</v>
      </c>
      <c r="BV54" s="39">
        <f t="shared" ref="BV54" si="598">+IF(BR52&lt;0,1-BV52/BR52,BV52/BR52-1)</f>
        <v>-0.19373402457868294</v>
      </c>
      <c r="BW54" s="39">
        <f t="shared" ref="BW54" si="599">+IF(BS52&lt;0,1-BW52/BS52,BW52/BS52-1)</f>
        <v>6.7341531581890148</v>
      </c>
      <c r="BX54" s="39">
        <f t="shared" ref="BX54" si="600">+IF(BT52&lt;0,1-BX52/BT52,BX52/BT52-1)</f>
        <v>1.6980819420854161</v>
      </c>
      <c r="BY54" s="39">
        <f t="shared" ref="BY54" si="601">+IF(BU52&lt;0,1-BY52/BU52,BY52/BU52-1)</f>
        <v>3.5350597609561714</v>
      </c>
      <c r="BZ54" s="39">
        <f t="shared" ref="BZ54" si="602">+IF(BV52&lt;0,1-BZ52/BV52,BZ52/BV52-1)</f>
        <v>0.86298057548158202</v>
      </c>
      <c r="CA54" s="39">
        <f t="shared" ref="CA54" si="603">+IF(BW52&lt;0,1-CA52/BW52,CA52/BW52-1)</f>
        <v>0.92005145847185399</v>
      </c>
      <c r="CB54" s="39">
        <f t="shared" ref="CB54" si="604">+IF(BX52&lt;0,1-CB52/BX52,CB52/BX52-1)</f>
        <v>2.0401357306268975</v>
      </c>
      <c r="CC54" s="39">
        <f t="shared" ref="CC54" si="605">+IF(BY52&lt;0,1-CC52/BY52,CC52/BY52-1)</f>
        <v>0.56177340478491167</v>
      </c>
      <c r="CD54" s="39">
        <f t="shared" ref="CD54" si="606">+IF(BZ52&lt;0,1-CD52/BZ52,CD52/BZ52-1)</f>
        <v>0.16736850201417131</v>
      </c>
      <c r="CE54" s="39">
        <f t="shared" ref="CE54" si="607">+IF(CA52&lt;0,1-CE52/CA52,CE52/CA52-1)</f>
        <v>0.44241265348218906</v>
      </c>
      <c r="CF54" s="39">
        <f t="shared" ref="CF54" si="608">+IF(CB52&lt;0,1-CF52/CB52,CF52/CB52-1)</f>
        <v>-0.16515573153671004</v>
      </c>
      <c r="CG54" s="39">
        <f t="shared" ref="CG54" si="609">+IF(CC52&lt;0,1-CG52/CC52,CG52/CC52-1)</f>
        <v>-0.51207507546922137</v>
      </c>
      <c r="CH54" s="39">
        <f t="shared" ref="CH54:CL54" si="610">+IF(CD52&lt;0,1-CH52/CD52,CH52/CD52-1)</f>
        <v>-0.4286020185881414</v>
      </c>
      <c r="CI54" s="39">
        <f t="shared" si="610"/>
        <v>-1.3569937369519836E-2</v>
      </c>
      <c r="CJ54" s="39">
        <f t="shared" si="610"/>
        <v>0.25650332728372649</v>
      </c>
      <c r="CK54" s="39">
        <f t="shared" si="610"/>
        <v>1.5036026515515428</v>
      </c>
      <c r="CL54" s="39">
        <f t="shared" si="610"/>
        <v>1.3832516575381981</v>
      </c>
      <c r="CM54" s="40">
        <f t="shared" ref="CM54" si="611">+CM52/CI52-1</f>
        <v>0.1587677543578998</v>
      </c>
      <c r="CN54" s="40">
        <f t="shared" ref="CN54" si="612">+CN52/CJ52-1</f>
        <v>0.17891556687933807</v>
      </c>
      <c r="CO54" s="40">
        <f t="shared" ref="CO54" si="613">+CO52/CK52-1</f>
        <v>0.15136978704747639</v>
      </c>
      <c r="CP54" s="40">
        <f t="shared" ref="CP54" si="614">+CP52/CL52-1</f>
        <v>5.4707455110369674E-2</v>
      </c>
      <c r="CQ54" s="40">
        <f t="shared" ref="CQ54" si="615">+CQ52/CM52-1</f>
        <v>0.12719574055860727</v>
      </c>
      <c r="CR54" s="40">
        <f t="shared" ref="CR54" si="616">+CR52/CN52-1</f>
        <v>0.12128200342960671</v>
      </c>
      <c r="CS54" s="40">
        <f t="shared" ref="CS54" si="617">+CS52/CO52-1</f>
        <v>0.10714717217446634</v>
      </c>
      <c r="CT54" s="40">
        <f t="shared" ref="CT54" si="618">+CT52/CP52-1</f>
        <v>9.3932099880776887E-2</v>
      </c>
      <c r="CU54" s="40">
        <f t="shared" ref="CU54" si="619">+CU52/CQ52-1</f>
        <v>0.13396989727524145</v>
      </c>
      <c r="CV54" s="40">
        <f t="shared" ref="CV54" si="620">+CV52/CR52-1</f>
        <v>0.13755454746242313</v>
      </c>
      <c r="CW54" s="40">
        <f t="shared" ref="CW54" si="621">+CW52/CS52-1</f>
        <v>0.12573175731261177</v>
      </c>
      <c r="CX54" s="40">
        <f t="shared" ref="CX54" si="622">+CX52/CT52-1</f>
        <v>0.12801868578637254</v>
      </c>
      <c r="CY54" s="40">
        <f t="shared" ref="CY54" si="623">+CY52/CU52-1</f>
        <v>0.11520931461236739</v>
      </c>
      <c r="CZ54" s="40">
        <f t="shared" ref="CZ54" si="624">+CZ52/CV52-1</f>
        <v>0.11254907216329579</v>
      </c>
      <c r="DA54" s="40">
        <f t="shared" ref="DA54" si="625">+DA52/CW52-1</f>
        <v>0.12143795969183646</v>
      </c>
      <c r="DB54" s="40">
        <f t="shared" ref="DB54" si="626">+DB52/CX52-1</f>
        <v>0.11789395001111891</v>
      </c>
      <c r="DE54" s="122"/>
      <c r="DF54" s="38">
        <v>0.1985002695699305</v>
      </c>
    </row>
    <row r="55" spans="1:110" s="38" customFormat="1" x14ac:dyDescent="0.2">
      <c r="A55" s="39" t="s">
        <v>452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0"/>
      <c r="AC55" s="40"/>
      <c r="AD55" s="40"/>
      <c r="AE55" s="40"/>
      <c r="AI55" s="39"/>
      <c r="AJ55" s="39">
        <f>+IF(AI52&lt;0,1-AJ52/AI52,AJ52/AI52-1)</f>
        <v>-6.6203683857047446E-2</v>
      </c>
      <c r="AK55" s="39">
        <f t="shared" ref="AK55:AM55" si="627">+IF(AJ52&lt;0,1-AK52/AJ52,AK52/AJ52-1)</f>
        <v>-0.77771316643202515</v>
      </c>
      <c r="AL55" s="39">
        <f t="shared" si="627"/>
        <v>0.51039515351783793</v>
      </c>
      <c r="AM55" s="39">
        <f t="shared" si="627"/>
        <v>-0.52055606198725535</v>
      </c>
      <c r="AN55" s="39">
        <f t="shared" ref="AN55" si="628">+IF(AM52&lt;0,1-AN52/AM52,AN52/AM52-1)</f>
        <v>-0.2269227112843224</v>
      </c>
      <c r="AO55" s="39">
        <f t="shared" ref="AO55" si="629">+IF(AN52&lt;0,1-AO52/AN52,AO52/AN52-1)</f>
        <v>-6.645351696999505</v>
      </c>
      <c r="AP55" s="39">
        <f t="shared" ref="AP55" si="630">+IF(AO52&lt;0,1-AP52/AO52,AP52/AO52-1)</f>
        <v>-0.38977955911824225</v>
      </c>
      <c r="AQ55" s="39">
        <f t="shared" ref="AQ55" si="631">+IF(AP52&lt;0,1-AQ52/AP52,AQ52/AP52-1)</f>
        <v>0.53887025485094431</v>
      </c>
      <c r="AR55" s="39">
        <f t="shared" ref="AR55" si="632">+IF(AQ52&lt;0,1-AR52/AQ52,AR52/AQ52-1)</f>
        <v>0.10862989021446956</v>
      </c>
      <c r="AS55" s="39">
        <f t="shared" ref="AS55" si="633">+IF(AR52&lt;0,1-AS52/AR52,AS52/AR52-1)</f>
        <v>-1.1415061963774935</v>
      </c>
      <c r="AT55" s="39">
        <f t="shared" ref="AT55" si="634">+IF(AS52&lt;0,1-AT52/AS52,AT52/AS52-1)</f>
        <v>1.2831680347572174</v>
      </c>
      <c r="AU55" s="39">
        <f t="shared" ref="AU55" si="635">+IF(AT52&lt;0,1-AU52/AT52,AU52/AT52-1)</f>
        <v>1.959818902093923</v>
      </c>
      <c r="AV55" s="39">
        <f t="shared" ref="AV55" si="636">+IF(AU52&lt;0,1-AV52/AU52,AV52/AU52-1)</f>
        <v>0.65117909496494852</v>
      </c>
      <c r="AW55" s="39">
        <f t="shared" ref="AW55" si="637">+IF(AV52&lt;0,1-AW52/AV52,AW52/AV52-1)</f>
        <v>-0.35997992820473335</v>
      </c>
      <c r="AX55" s="39">
        <f t="shared" ref="AX55" si="638">+IF(AW52&lt;0,1-AX52/AW52,AX52/AW52-1)</f>
        <v>1.4445650644311789</v>
      </c>
      <c r="AY55" s="39">
        <f t="shared" ref="AY55" si="639">+IF(AX52&lt;0,1-AY52/AX52,AY52/AX52-1)</f>
        <v>-0.5448108552631592</v>
      </c>
      <c r="AZ55" s="39">
        <f t="shared" ref="AZ55" si="640">+IF(AY52&lt;0,1-AZ52/AY52,AZ52/AY52-1)</f>
        <v>-0.51959314194865502</v>
      </c>
      <c r="BA55" s="39">
        <f t="shared" ref="BA55" si="641">+IF(AZ52&lt;0,1-BA52/AZ52,BA52/AZ52-1)</f>
        <v>-0.76672558384416001</v>
      </c>
      <c r="BB55" s="39">
        <f t="shared" ref="BB55" si="642">+IF(BA52&lt;0,1-BB52/BA52,BB52/BA52-1)</f>
        <v>5.4372078026762374</v>
      </c>
      <c r="BC55" s="39">
        <f t="shared" ref="BC55" si="643">+IF(BB52&lt;0,1-BC52/BB52,BC52/BB52-1)</f>
        <v>-1.148109191084401</v>
      </c>
      <c r="BD55" s="39">
        <f t="shared" ref="BD55" si="644">+IF(BC52&lt;0,1-BD52/BC52,BD52/BC52-1)</f>
        <v>14.655055799796754</v>
      </c>
      <c r="BE55" s="39">
        <f t="shared" ref="BE55" si="645">+IF(BD52&lt;0,1-BE52/BD52,BE52/BD52-1)</f>
        <v>0.43833275546088779</v>
      </c>
      <c r="BF55" s="39">
        <f t="shared" ref="BF55" si="646">+IF(BE52&lt;0,1-BF52/BE52,BF52/BE52-1)</f>
        <v>-0.48060333694921886</v>
      </c>
      <c r="BG55" s="39">
        <f t="shared" ref="BG55" si="647">+IF(BF52&lt;0,1-BG52/BF52,BG52/BF52-1)</f>
        <v>1.2145035637327846</v>
      </c>
      <c r="BH55" s="39">
        <f t="shared" ref="BH55" si="648">+IF(BG52&lt;0,1-BH52/BG52,BH52/BG52-1)</f>
        <v>4.6466718063487233E-2</v>
      </c>
      <c r="BI55" s="39">
        <f t="shared" ref="BI55" si="649">+IF(BH52&lt;0,1-BI52/BH52,BI52/BH52-1)</f>
        <v>-6.3508071726423254E-2</v>
      </c>
      <c r="BJ55" s="39">
        <f t="shared" ref="BJ55" si="650">+IF(BI52&lt;0,1-BJ52/BI52,BJ52/BI52-1)</f>
        <v>-0.15117238218895801</v>
      </c>
      <c r="BK55" s="39">
        <f t="shared" ref="BK55" si="651">+IF(BJ52&lt;0,1-BK52/BJ52,BK52/BJ52-1)</f>
        <v>-0.33554981689266394</v>
      </c>
      <c r="BL55" s="39">
        <f t="shared" ref="BL55" si="652">+IF(BK52&lt;0,1-BL52/BK52,BL52/BK52-1)</f>
        <v>-1.6956327442616304</v>
      </c>
      <c r="BM55" s="39">
        <f t="shared" ref="BM55" si="653">+IF(BL52&lt;0,1-BM52/BL52,BM52/BL52-1)</f>
        <v>0.89758414608032422</v>
      </c>
      <c r="BN55" s="39">
        <f t="shared" ref="BN55" si="654">+IF(BM52&lt;0,1-BN52/BM52,BN52/BM52-1)</f>
        <v>-12.736742064246819</v>
      </c>
      <c r="BO55" s="39">
        <f t="shared" ref="BO55" si="655">+IF(BN52&lt;0,1-BO52/BN52,BO52/BN52-1)</f>
        <v>-0.16521606774688724</v>
      </c>
      <c r="BP55" s="39">
        <f t="shared" ref="BP55" si="656">+IF(BO52&lt;0,1-BP52/BO52,BP52/BO52-1)</f>
        <v>1.1207828141885083</v>
      </c>
      <c r="BQ55" s="39">
        <f t="shared" ref="BQ55" si="657">+IF(BP52&lt;0,1-BQ52/BP52,BQ52/BP52-1)</f>
        <v>7.3540458165371358</v>
      </c>
      <c r="BR55" s="39">
        <f t="shared" ref="BR55" si="658">+IF(BQ52&lt;0,1-BR52/BQ52,BR52/BQ52-1)</f>
        <v>0.6299356235803657</v>
      </c>
      <c r="BS55" s="39">
        <f t="shared" ref="BS55" si="659">+IF(BR52&lt;0,1-BS52/BR52,BS52/BR52-1)</f>
        <v>-0.93541236443456088</v>
      </c>
      <c r="BT55" s="39">
        <f t="shared" ref="BT55" si="660">+IF(BS52&lt;0,1-BT52/BS52,BT52/BS52-1)</f>
        <v>1.6986025712689035</v>
      </c>
      <c r="BU55" s="39">
        <f t="shared" ref="BU55" si="661">+IF(BT52&lt;0,1-BU52/BT52,BU52/BT52-1)</f>
        <v>0.24777331289613547</v>
      </c>
      <c r="BV55" s="39">
        <f t="shared" ref="BV55" si="662">+IF(BU52&lt;0,1-BV52/BU52,BV52/BU52-1)</f>
        <v>2.7072709163346569</v>
      </c>
      <c r="BW55" s="39">
        <f t="shared" ref="BW55" si="663">+IF(BV52&lt;0,1-BW52/BV52,BW52/BV52-1)</f>
        <v>-0.38043935771025084</v>
      </c>
      <c r="BX55" s="39">
        <f t="shared" ref="BX55" si="664">+IF(BW52&lt;0,1-BX52/BW52,BX52/BW52-1)</f>
        <v>-5.8584602931397112E-2</v>
      </c>
      <c r="BY55" s="39">
        <f t="shared" ref="BY55" si="665">+IF(BX52&lt;0,1-BY52/BX52,BY52/BX52-1)</f>
        <v>1.0973145603340959</v>
      </c>
      <c r="BZ55" s="39">
        <f t="shared" ref="BZ55" si="666">+IF(BY52&lt;0,1-BZ52/BY52,BZ52/BY52-1)</f>
        <v>0.52292892910480426</v>
      </c>
      <c r="CA55" s="39">
        <f t="shared" ref="CA55" si="667">+IF(BZ52&lt;0,1-CA52/BZ52,CA52/BZ52-1)</f>
        <v>-0.36145962523915098</v>
      </c>
      <c r="CB55" s="39">
        <f t="shared" ref="CB55" si="668">+IF(CA52&lt;0,1-CB52/CA52,CB52/CA52-1)</f>
        <v>0.4906009801781166</v>
      </c>
      <c r="CC55" s="39">
        <f t="shared" ref="CC55" si="669">+IF(CB52&lt;0,1-CC52/CB52,CC52/CB52-1)</f>
        <v>7.7428901874231126E-2</v>
      </c>
      <c r="CD55" s="39">
        <f t="shared" ref="CD55" si="670">+IF(CC52&lt;0,1-CD52/CC52,CD52/CC52-1)</f>
        <v>0.13833367708548194</v>
      </c>
      <c r="CE55" s="39">
        <f t="shared" ref="CE55" si="671">+IF(CD52&lt;0,1-CE52/CD52,CE52/CD52-1)</f>
        <v>-0.21101287663222679</v>
      </c>
      <c r="CF55" s="39">
        <f t="shared" ref="CF55" si="672">+IF(CE52&lt;0,1-CF52/CE52,CF52/CE52-1)</f>
        <v>-0.13726513569937371</v>
      </c>
      <c r="CG55" s="39">
        <f t="shared" ref="CG55" si="673">+IF(CF52&lt;0,1-CG52/CF52,CG52/CF52-1)</f>
        <v>-0.37029643073200269</v>
      </c>
      <c r="CH55" s="39">
        <f t="shared" ref="CH55:CL55" si="674">+IF(CG52&lt;0,1-CH52/CG52,CH52/CG52-1)</f>
        <v>0.3330771447785561</v>
      </c>
      <c r="CI55" s="39">
        <f t="shared" si="674"/>
        <v>0.36206399538772116</v>
      </c>
      <c r="CJ55" s="39">
        <f t="shared" si="674"/>
        <v>9.8941798941798886E-2</v>
      </c>
      <c r="CK55" s="39">
        <f t="shared" si="674"/>
        <v>0.25469427058257099</v>
      </c>
      <c r="CL55" s="39">
        <f t="shared" si="674"/>
        <v>0.26899462778204142</v>
      </c>
      <c r="CM55" s="40">
        <f t="shared" ref="CM55" si="675">+CM52/CL52-1</f>
        <v>-0.33774688365998473</v>
      </c>
      <c r="CN55" s="40">
        <f t="shared" ref="CN55" si="676">+CN52/CM52-1</f>
        <v>0.1180494011802824</v>
      </c>
      <c r="CO55" s="40">
        <f t="shared" ref="CO55" si="677">+CO52/CN52-1</f>
        <v>0.22537789449530621</v>
      </c>
      <c r="CP55" s="40">
        <f t="shared" ref="CP55" si="678">+CP52/CO52-1</f>
        <v>0.16245719617926579</v>
      </c>
      <c r="CQ55" s="40">
        <f t="shared" ref="CQ55" si="679">+CQ52/CP52-1</f>
        <v>-0.29223133078924457</v>
      </c>
      <c r="CR55" s="40">
        <f t="shared" ref="CR55" si="680">+CR52/CQ52-1</f>
        <v>0.11218364954734961</v>
      </c>
      <c r="CS55" s="40">
        <f t="shared" ref="CS55" si="681">+CS52/CR52-1</f>
        <v>0.20993083504951748</v>
      </c>
      <c r="CT55" s="40">
        <f t="shared" ref="CT55" si="682">+CT52/CS52-1</f>
        <v>0.14858193526372077</v>
      </c>
      <c r="CU55" s="40">
        <f t="shared" ref="CU55" si="683">+CU52/CT52-1</f>
        <v>-0.26632707349292928</v>
      </c>
      <c r="CV55" s="40">
        <f t="shared" ref="CV55" si="684">+CV52/CU52-1</f>
        <v>0.11569943011357964</v>
      </c>
      <c r="CW55" s="40">
        <f t="shared" ref="CW55" si="685">+CW52/CV52-1</f>
        <v>0.19735582632533233</v>
      </c>
      <c r="CX55" s="40">
        <f t="shared" ref="CX55" si="686">+CX52/CW52-1</f>
        <v>0.15091528396347886</v>
      </c>
      <c r="CY55" s="40">
        <f t="shared" ref="CY55" si="687">+CY52/CX52-1</f>
        <v>-0.27465839721510332</v>
      </c>
      <c r="CZ55" s="40">
        <f t="shared" ref="CZ55" si="688">+CZ52/CY52-1</f>
        <v>0.1130380185332569</v>
      </c>
      <c r="DA55" s="40">
        <f t="shared" ref="DA55" si="689">+DA52/CZ52-1</f>
        <v>0.2069222908868944</v>
      </c>
      <c r="DB55" s="40">
        <f t="shared" ref="DB55" si="690">+DB52/DA52-1</f>
        <v>0.14727811895332232</v>
      </c>
      <c r="DE55" s="122"/>
      <c r="DF55" s="38">
        <v>0.14883103353249671</v>
      </c>
    </row>
    <row r="56" spans="1:110" s="23" customFormat="1" x14ac:dyDescent="0.2">
      <c r="A56" s="23" t="s">
        <v>15</v>
      </c>
      <c r="B56" s="23">
        <f>'Annual Raw'!C27</f>
        <v>0</v>
      </c>
      <c r="C56" s="23">
        <f>'Annual Raw'!D27</f>
        <v>0</v>
      </c>
      <c r="D56" s="23">
        <f>'Annual Raw'!E27</f>
        <v>0</v>
      </c>
      <c r="E56" s="23">
        <v>382.6</v>
      </c>
      <c r="F56" s="23">
        <v>450.16</v>
      </c>
      <c r="G56" s="23">
        <v>520.93999999999994</v>
      </c>
      <c r="H56" s="23">
        <v>586.29</v>
      </c>
      <c r="I56" s="23">
        <v>652.31000000000006</v>
      </c>
      <c r="J56" s="23">
        <v>874.54</v>
      </c>
      <c r="K56" s="23">
        <v>1033.8700000000001</v>
      </c>
      <c r="L56" s="23">
        <v>1360.77</v>
      </c>
      <c r="M56" s="23">
        <v>1606.74</v>
      </c>
      <c r="N56" s="23">
        <v>1817.6200000000001</v>
      </c>
      <c r="O56" s="23">
        <v>2070.3000000000002</v>
      </c>
      <c r="P56" s="23">
        <v>2603.2200000000003</v>
      </c>
      <c r="Q56" s="23">
        <v>2329.2200000000003</v>
      </c>
      <c r="R56" s="23">
        <v>3037.12</v>
      </c>
      <c r="S56" s="23">
        <v>3101.8900000000003</v>
      </c>
      <c r="T56" s="23">
        <v>3098.6400000000003</v>
      </c>
      <c r="U56" s="23">
        <v>3375.29</v>
      </c>
      <c r="V56" s="23">
        <v>3681.6099999999997</v>
      </c>
      <c r="W56" s="23">
        <v>1760.5700000000002</v>
      </c>
      <c r="X56" s="23">
        <v>1766.86</v>
      </c>
      <c r="Y56" s="23">
        <v>2017</v>
      </c>
      <c r="Z56" s="23">
        <v>2008</v>
      </c>
      <c r="AA56" s="23">
        <v>2008</v>
      </c>
      <c r="AB56" s="76">
        <f>+SUM(CM56:CP56)</f>
        <v>1899.193029030077</v>
      </c>
      <c r="AC56" s="76">
        <f>+SUM(CQ56:CT56)</f>
        <v>1902.0830483337375</v>
      </c>
      <c r="AD56" s="76">
        <f>+SUM(CU56:CX56)</f>
        <v>1904.5716535349991</v>
      </c>
      <c r="AE56" s="76">
        <f>+SUM(CY56:DB56)</f>
        <v>1906.7145997222106</v>
      </c>
      <c r="AI56" s="23">
        <v>429.36</v>
      </c>
      <c r="AJ56" s="23">
        <v>447.15</v>
      </c>
      <c r="AK56" s="23">
        <v>482.38</v>
      </c>
      <c r="AL56" s="23">
        <v>458.73</v>
      </c>
      <c r="AM56" s="23">
        <v>499.77999999999992</v>
      </c>
      <c r="AN56" s="23">
        <v>519.04999999999995</v>
      </c>
      <c r="AO56" s="23">
        <v>512.17999999999995</v>
      </c>
      <c r="AP56" s="23">
        <v>539.29</v>
      </c>
      <c r="AQ56" s="23">
        <v>540.82000000000005</v>
      </c>
      <c r="AR56" s="23">
        <v>613.47</v>
      </c>
      <c r="AS56" s="23">
        <v>625.6</v>
      </c>
      <c r="AT56" s="23">
        <v>823.32999999999993</v>
      </c>
      <c r="AU56" s="23">
        <v>580.29999999999995</v>
      </c>
      <c r="AV56" s="23">
        <v>591.96</v>
      </c>
      <c r="AW56" s="23">
        <v>590.98</v>
      </c>
      <c r="AX56" s="23">
        <v>565.98</v>
      </c>
      <c r="AY56" s="23">
        <v>712.24</v>
      </c>
      <c r="AZ56" s="23">
        <v>718.56999999999994</v>
      </c>
      <c r="BA56" s="23">
        <v>728.96</v>
      </c>
      <c r="BB56" s="23">
        <v>819.25</v>
      </c>
      <c r="BC56" s="23">
        <v>689.83</v>
      </c>
      <c r="BD56" s="23">
        <v>767.39</v>
      </c>
      <c r="BE56" s="23">
        <v>788.5</v>
      </c>
      <c r="BF56" s="23">
        <v>856.17000000000007</v>
      </c>
      <c r="BG56" s="23">
        <v>705.15</v>
      </c>
      <c r="BH56" s="23">
        <v>754.05</v>
      </c>
      <c r="BI56" s="23">
        <v>766.83</v>
      </c>
      <c r="BJ56" s="23">
        <v>872.61</v>
      </c>
      <c r="BK56" s="23">
        <v>777.05</v>
      </c>
      <c r="BL56" s="23">
        <v>760.65</v>
      </c>
      <c r="BM56" s="23">
        <v>853.46</v>
      </c>
      <c r="BN56" s="23">
        <v>984.12999999999988</v>
      </c>
      <c r="BO56" s="23">
        <v>859.89</v>
      </c>
      <c r="BP56" s="23">
        <v>909.92000000000007</v>
      </c>
      <c r="BQ56" s="23">
        <v>947.64</v>
      </c>
      <c r="BR56" s="23">
        <v>964.16000000000008</v>
      </c>
      <c r="BS56" s="23">
        <v>959.39</v>
      </c>
      <c r="BT56" s="23">
        <v>432.68</v>
      </c>
      <c r="BU56" s="23">
        <v>452.15</v>
      </c>
      <c r="BV56" s="23">
        <v>457.86</v>
      </c>
      <c r="BW56" s="23">
        <v>422.98</v>
      </c>
      <c r="BX56" s="23">
        <v>446.13</v>
      </c>
      <c r="BY56" s="23">
        <v>430.18</v>
      </c>
      <c r="BZ56" s="23">
        <v>467.57</v>
      </c>
      <c r="CA56" s="23">
        <v>495.91</v>
      </c>
      <c r="CB56" s="23">
        <v>509</v>
      </c>
      <c r="CC56" s="23">
        <v>513.13</v>
      </c>
      <c r="CD56" s="23">
        <v>498.8</v>
      </c>
      <c r="CE56" s="23">
        <v>477</v>
      </c>
      <c r="CF56" s="23">
        <v>484</v>
      </c>
      <c r="CG56" s="23">
        <v>497</v>
      </c>
      <c r="CH56" s="23">
        <v>542</v>
      </c>
      <c r="CI56" s="23">
        <v>423</v>
      </c>
      <c r="CJ56" s="23">
        <f>'QTR Raw'!BD28</f>
        <v>412</v>
      </c>
      <c r="CK56" s="23">
        <f>'QTR Raw'!BE28</f>
        <v>417</v>
      </c>
      <c r="CL56" s="23">
        <f>'QTR Raw'!BF28</f>
        <v>449</v>
      </c>
      <c r="CM56" s="24">
        <f t="shared" ref="CM56:DB56" si="691">CM57*CL165</f>
        <v>474.5030238640079</v>
      </c>
      <c r="CN56" s="24">
        <f t="shared" si="691"/>
        <v>474.70473539433323</v>
      </c>
      <c r="CO56" s="24">
        <f t="shared" si="691"/>
        <v>474.89904512038294</v>
      </c>
      <c r="CP56" s="24">
        <f t="shared" si="691"/>
        <v>475.08622465135284</v>
      </c>
      <c r="CQ56" s="24">
        <f t="shared" si="691"/>
        <v>475.26653562973979</v>
      </c>
      <c r="CR56" s="24">
        <f t="shared" si="691"/>
        <v>475.4402300970695</v>
      </c>
      <c r="CS56" s="24">
        <f t="shared" si="691"/>
        <v>475.6075508462045</v>
      </c>
      <c r="CT56" s="24">
        <f t="shared" si="691"/>
        <v>475.76873176072348</v>
      </c>
      <c r="CU56" s="24">
        <f t="shared" si="691"/>
        <v>475.92399814184762</v>
      </c>
      <c r="CV56" s="24">
        <f t="shared" si="691"/>
        <v>476.07356702337023</v>
      </c>
      <c r="CW56" s="24">
        <f t="shared" si="691"/>
        <v>476.21764747502988</v>
      </c>
      <c r="CX56" s="24">
        <f t="shared" si="691"/>
        <v>476.3564408947513</v>
      </c>
      <c r="CY56" s="24">
        <f t="shared" si="691"/>
        <v>476.49014129016297</v>
      </c>
      <c r="CZ56" s="24">
        <f t="shared" si="691"/>
        <v>476.61893554978349</v>
      </c>
      <c r="DA56" s="24">
        <f t="shared" si="691"/>
        <v>476.74300370425772</v>
      </c>
      <c r="DB56" s="24">
        <f t="shared" si="691"/>
        <v>476.86251917800638</v>
      </c>
      <c r="DE56" s="123"/>
      <c r="DF56" s="23">
        <v>403.25709317948315</v>
      </c>
    </row>
    <row r="57" spans="1:110" s="169" customFormat="1" x14ac:dyDescent="0.2">
      <c r="A57" s="169" t="s">
        <v>485</v>
      </c>
      <c r="E57" s="169">
        <f t="shared" ref="E57:AA57" si="692">+E56/E165</f>
        <v>0.12918212789233249</v>
      </c>
      <c r="F57" s="169">
        <f t="shared" si="692"/>
        <v>0.14256081224447142</v>
      </c>
      <c r="G57" s="169">
        <f t="shared" si="692"/>
        <v>0.14591993367021097</v>
      </c>
      <c r="H57" s="169">
        <f t="shared" si="692"/>
        <v>0.15105661563512882</v>
      </c>
      <c r="I57" s="169">
        <f t="shared" si="692"/>
        <v>0.12108269247546549</v>
      </c>
      <c r="J57" s="169">
        <f t="shared" si="692"/>
        <v>0.11438968146317915</v>
      </c>
      <c r="K57" s="169">
        <f t="shared" si="692"/>
        <v>9.2277771381189921E-2</v>
      </c>
      <c r="L57" s="169">
        <f t="shared" si="692"/>
        <v>0.10314818099539282</v>
      </c>
      <c r="M57" s="169">
        <f t="shared" si="692"/>
        <v>0.10697678754048065</v>
      </c>
      <c r="N57" s="169">
        <f t="shared" si="692"/>
        <v>0.11760161596921274</v>
      </c>
      <c r="O57" s="169">
        <f t="shared" si="692"/>
        <v>0.13584137601152713</v>
      </c>
      <c r="P57" s="169">
        <f t="shared" si="692"/>
        <v>0.16493582112153218</v>
      </c>
      <c r="Q57" s="169">
        <f t="shared" si="692"/>
        <v>0.11051606459525951</v>
      </c>
      <c r="R57" s="169">
        <f t="shared" si="692"/>
        <v>0.14690649966648656</v>
      </c>
      <c r="S57" s="169">
        <f t="shared" si="692"/>
        <v>0.14276029595047121</v>
      </c>
      <c r="T57" s="169">
        <f t="shared" si="692"/>
        <v>0.13965550344469516</v>
      </c>
      <c r="U57" s="169">
        <f t="shared" si="692"/>
        <v>0.13442609370625302</v>
      </c>
      <c r="V57" s="169">
        <f t="shared" si="692"/>
        <v>0.1398574913168624</v>
      </c>
      <c r="W57" s="169">
        <f t="shared" si="692"/>
        <v>0.12507805967275681</v>
      </c>
      <c r="X57" s="169">
        <f t="shared" si="692"/>
        <v>0.12149780777757607</v>
      </c>
      <c r="Y57" s="169">
        <f t="shared" si="692"/>
        <v>0.14060648309515511</v>
      </c>
      <c r="Z57" s="169">
        <f t="shared" si="692"/>
        <v>0.14226000708466172</v>
      </c>
      <c r="AA57" s="169">
        <f t="shared" ref="AA57" si="693">+AA56/AA165</f>
        <v>0.14226000708466172</v>
      </c>
      <c r="AB57" s="170"/>
      <c r="AC57" s="170"/>
      <c r="AD57" s="170"/>
      <c r="AE57" s="170"/>
      <c r="AI57" s="169" t="e">
        <f t="shared" ref="AI57:BN57" si="694">+AI56/AH165</f>
        <v>#DIV/0!</v>
      </c>
      <c r="AJ57" s="169" t="e">
        <f t="shared" si="694"/>
        <v>#DIV/0!</v>
      </c>
      <c r="AK57" s="169" t="e">
        <f t="shared" si="694"/>
        <v>#DIV/0!</v>
      </c>
      <c r="AL57" s="169" t="e">
        <f t="shared" si="694"/>
        <v>#DIV/0!</v>
      </c>
      <c r="AM57" s="169" t="e">
        <f t="shared" si="694"/>
        <v>#DIV/0!</v>
      </c>
      <c r="AN57" s="169" t="e">
        <f t="shared" si="694"/>
        <v>#DIV/0!</v>
      </c>
      <c r="AO57" s="169" t="e">
        <f t="shared" si="694"/>
        <v>#DIV/0!</v>
      </c>
      <c r="AP57" s="169" t="e">
        <f t="shared" si="694"/>
        <v>#DIV/0!</v>
      </c>
      <c r="AQ57" s="169" t="e">
        <f t="shared" si="694"/>
        <v>#DIV/0!</v>
      </c>
      <c r="AR57" s="169" t="e">
        <f t="shared" si="694"/>
        <v>#DIV/0!</v>
      </c>
      <c r="AS57" s="169" t="e">
        <f t="shared" si="694"/>
        <v>#DIV/0!</v>
      </c>
      <c r="AT57" s="169" t="e">
        <f t="shared" si="694"/>
        <v>#DIV/0!</v>
      </c>
      <c r="AU57" s="169" t="e">
        <f t="shared" si="694"/>
        <v>#DIV/0!</v>
      </c>
      <c r="AV57" s="169" t="e">
        <f t="shared" si="694"/>
        <v>#DIV/0!</v>
      </c>
      <c r="AW57" s="169" t="e">
        <f t="shared" si="694"/>
        <v>#DIV/0!</v>
      </c>
      <c r="AX57" s="169" t="e">
        <f t="shared" si="694"/>
        <v>#DIV/0!</v>
      </c>
      <c r="AY57" s="169" t="e">
        <f t="shared" si="694"/>
        <v>#DIV/0!</v>
      </c>
      <c r="AZ57" s="169" t="e">
        <f t="shared" si="694"/>
        <v>#DIV/0!</v>
      </c>
      <c r="BA57" s="169" t="e">
        <f t="shared" si="694"/>
        <v>#DIV/0!</v>
      </c>
      <c r="BB57" s="169" t="e">
        <f t="shared" si="694"/>
        <v>#DIV/0!</v>
      </c>
      <c r="BC57" s="169" t="e">
        <f t="shared" si="694"/>
        <v>#DIV/0!</v>
      </c>
      <c r="BD57" s="169" t="e">
        <f t="shared" si="694"/>
        <v>#DIV/0!</v>
      </c>
      <c r="BE57" s="169" t="e">
        <f t="shared" si="694"/>
        <v>#DIV/0!</v>
      </c>
      <c r="BF57" s="169" t="e">
        <f t="shared" si="694"/>
        <v>#DIV/0!</v>
      </c>
      <c r="BG57" s="169" t="e">
        <f t="shared" si="694"/>
        <v>#DIV/0!</v>
      </c>
      <c r="BH57" s="169" t="e">
        <f t="shared" si="694"/>
        <v>#DIV/0!</v>
      </c>
      <c r="BI57" s="169" t="e">
        <f t="shared" si="694"/>
        <v>#DIV/0!</v>
      </c>
      <c r="BJ57" s="169" t="e">
        <f t="shared" si="694"/>
        <v>#DIV/0!</v>
      </c>
      <c r="BK57" s="169" t="e">
        <f t="shared" si="694"/>
        <v>#DIV/0!</v>
      </c>
      <c r="BL57" s="169" t="e">
        <f t="shared" si="694"/>
        <v>#DIV/0!</v>
      </c>
      <c r="BM57" s="169" t="e">
        <f t="shared" si="694"/>
        <v>#DIV/0!</v>
      </c>
      <c r="BN57" s="169" t="e">
        <f t="shared" si="694"/>
        <v>#DIV/0!</v>
      </c>
      <c r="BO57" s="169" t="e">
        <f t="shared" ref="BO57:CL57" si="695">+BO56/BN165</f>
        <v>#DIV/0!</v>
      </c>
      <c r="BP57" s="169" t="e">
        <f t="shared" si="695"/>
        <v>#DIV/0!</v>
      </c>
      <c r="BQ57" s="169" t="e">
        <f t="shared" si="695"/>
        <v>#DIV/0!</v>
      </c>
      <c r="BR57" s="169" t="e">
        <f t="shared" si="695"/>
        <v>#DIV/0!</v>
      </c>
      <c r="BS57" s="169" t="e">
        <f t="shared" si="695"/>
        <v>#DIV/0!</v>
      </c>
      <c r="BT57" s="169" t="e">
        <f t="shared" si="695"/>
        <v>#DIV/0!</v>
      </c>
      <c r="BU57" s="169" t="e">
        <f t="shared" si="695"/>
        <v>#DIV/0!</v>
      </c>
      <c r="BV57" s="169" t="e">
        <f t="shared" si="695"/>
        <v>#DIV/0!</v>
      </c>
      <c r="BW57" s="169" t="e">
        <f t="shared" si="695"/>
        <v>#DIV/0!</v>
      </c>
      <c r="BX57" s="169" t="e">
        <f t="shared" si="695"/>
        <v>#DIV/0!</v>
      </c>
      <c r="BY57" s="169" t="e">
        <f t="shared" si="695"/>
        <v>#DIV/0!</v>
      </c>
      <c r="BZ57" s="169" t="e">
        <f t="shared" si="695"/>
        <v>#DIV/0!</v>
      </c>
      <c r="CA57" s="169" t="e">
        <f t="shared" si="695"/>
        <v>#DIV/0!</v>
      </c>
      <c r="CB57" s="169" t="e">
        <f t="shared" si="695"/>
        <v>#DIV/0!</v>
      </c>
      <c r="CC57" s="169" t="e">
        <f t="shared" si="695"/>
        <v>#DIV/0!</v>
      </c>
      <c r="CD57" s="169" t="e">
        <f t="shared" si="695"/>
        <v>#DIV/0!</v>
      </c>
      <c r="CE57" s="169" t="e">
        <f t="shared" si="695"/>
        <v>#DIV/0!</v>
      </c>
      <c r="CF57" s="169" t="e">
        <f t="shared" si="695"/>
        <v>#DIV/0!</v>
      </c>
      <c r="CG57" s="169" t="e">
        <f t="shared" si="695"/>
        <v>#DIV/0!</v>
      </c>
      <c r="CH57" s="169" t="e">
        <f t="shared" si="695"/>
        <v>#DIV/0!</v>
      </c>
      <c r="CI57" s="169">
        <f t="shared" si="695"/>
        <v>2.9968119022316685E-2</v>
      </c>
      <c r="CJ57" s="169">
        <f t="shared" si="695"/>
        <v>3.0090563832895122E-2</v>
      </c>
      <c r="CK57" s="169">
        <f t="shared" si="695"/>
        <v>3.2956611080376196E-2</v>
      </c>
      <c r="CL57" s="169">
        <f t="shared" si="695"/>
        <v>3.6694998365478917E-2</v>
      </c>
      <c r="CM57" s="171">
        <f t="shared" ref="CM57" si="696">CL57</f>
        <v>3.6694998365478917E-2</v>
      </c>
      <c r="CN57" s="171">
        <f t="shared" ref="CN57" si="697">CM57</f>
        <v>3.6694998365478917E-2</v>
      </c>
      <c r="CO57" s="171">
        <f t="shared" ref="CO57" si="698">CN57</f>
        <v>3.6694998365478917E-2</v>
      </c>
      <c r="CP57" s="171">
        <f t="shared" ref="CP57" si="699">CO57</f>
        <v>3.6694998365478917E-2</v>
      </c>
      <c r="CQ57" s="171">
        <f t="shared" ref="CQ57" si="700">CP57</f>
        <v>3.6694998365478917E-2</v>
      </c>
      <c r="CR57" s="171">
        <f t="shared" ref="CR57" si="701">CQ57</f>
        <v>3.6694998365478917E-2</v>
      </c>
      <c r="CS57" s="171">
        <f t="shared" ref="CS57" si="702">CR57</f>
        <v>3.6694998365478917E-2</v>
      </c>
      <c r="CT57" s="171">
        <f t="shared" ref="CT57" si="703">CS57</f>
        <v>3.6694998365478917E-2</v>
      </c>
      <c r="CU57" s="171">
        <f t="shared" ref="CU57" si="704">CT57</f>
        <v>3.6694998365478917E-2</v>
      </c>
      <c r="CV57" s="171">
        <f t="shared" ref="CV57" si="705">CU57</f>
        <v>3.6694998365478917E-2</v>
      </c>
      <c r="CW57" s="171">
        <f t="shared" ref="CW57" si="706">CV57</f>
        <v>3.6694998365478917E-2</v>
      </c>
      <c r="CX57" s="171">
        <f t="shared" ref="CX57" si="707">CW57</f>
        <v>3.6694998365478917E-2</v>
      </c>
      <c r="CY57" s="171">
        <f t="shared" ref="CY57" si="708">CX57</f>
        <v>3.6694998365478917E-2</v>
      </c>
      <c r="CZ57" s="171">
        <f t="shared" ref="CZ57" si="709">CY57</f>
        <v>3.6694998365478917E-2</v>
      </c>
      <c r="DA57" s="171">
        <f t="shared" ref="DA57" si="710">CZ57</f>
        <v>3.6694998365478917E-2</v>
      </c>
      <c r="DB57" s="171">
        <f t="shared" ref="DB57" si="711">DA57</f>
        <v>3.6694998365478917E-2</v>
      </c>
      <c r="DE57" s="172"/>
      <c r="DF57" s="169">
        <v>3.2956611080376196E-2</v>
      </c>
    </row>
    <row r="58" spans="1:110" s="26" customFormat="1" x14ac:dyDescent="0.2">
      <c r="A58" s="34" t="s">
        <v>16</v>
      </c>
      <c r="B58" s="26" t="e">
        <f>B52-B56</f>
        <v>#REF!</v>
      </c>
      <c r="C58" s="26" t="e">
        <f t="shared" ref="C58:T58" si="712">C52-C56</f>
        <v>#REF!</v>
      </c>
      <c r="D58" s="26" t="e">
        <f>D52-D56</f>
        <v>#REF!</v>
      </c>
      <c r="E58" s="26">
        <f t="shared" si="712"/>
        <v>3346.8099999999986</v>
      </c>
      <c r="F58" s="26">
        <f t="shared" si="712"/>
        <v>4310.1200000000008</v>
      </c>
      <c r="G58" s="26">
        <f t="shared" si="712"/>
        <v>4448.5999999999995</v>
      </c>
      <c r="H58" s="26">
        <f t="shared" si="712"/>
        <v>6129.6800000000021</v>
      </c>
      <c r="I58" s="26">
        <f t="shared" si="712"/>
        <v>5617.8399999999974</v>
      </c>
      <c r="J58" s="26">
        <f t="shared" si="712"/>
        <v>2879.0800000000027</v>
      </c>
      <c r="K58" s="26">
        <f t="shared" si="712"/>
        <v>4760.9499999999935</v>
      </c>
      <c r="L58" s="26">
        <f t="shared" si="712"/>
        <v>6108.0000000000018</v>
      </c>
      <c r="M58" s="26">
        <f t="shared" si="712"/>
        <v>5967.091615458492</v>
      </c>
      <c r="N58" s="26">
        <f t="shared" si="712"/>
        <v>2940.1018954585043</v>
      </c>
      <c r="O58" s="26">
        <f t="shared" si="712"/>
        <v>-906.84738400000515</v>
      </c>
      <c r="P58" s="26">
        <f t="shared" si="712"/>
        <v>-2081.4913262399978</v>
      </c>
      <c r="Q58" s="26">
        <f t="shared" si="712"/>
        <v>5577.2999999999947</v>
      </c>
      <c r="R58" s="26">
        <f t="shared" si="712"/>
        <v>3640.6100000000033</v>
      </c>
      <c r="S58" s="26">
        <f t="shared" si="712"/>
        <v>537.59000000001561</v>
      </c>
      <c r="T58" s="26">
        <f t="shared" si="712"/>
        <v>2494.0099999999939</v>
      </c>
      <c r="U58" s="26">
        <f t="shared" ref="U58:Z58" si="713">U52-U56</f>
        <v>-3345.0599999999858</v>
      </c>
      <c r="V58" s="26">
        <f t="shared" si="713"/>
        <v>-1715.2300000000059</v>
      </c>
      <c r="W58" s="26">
        <f t="shared" si="713"/>
        <v>-124.82999999998765</v>
      </c>
      <c r="X58" s="26">
        <f t="shared" si="713"/>
        <v>3043.9499999999871</v>
      </c>
      <c r="Y58" s="26">
        <f t="shared" si="713"/>
        <v>5853</v>
      </c>
      <c r="Z58" s="26">
        <f t="shared" si="713"/>
        <v>6074</v>
      </c>
      <c r="AA58" s="26">
        <f t="shared" ref="AA58" si="714">AA52-AA56</f>
        <v>6074</v>
      </c>
      <c r="AB58" s="27">
        <f t="shared" ref="AA58:AD58" si="715">AB52-AB56</f>
        <v>-2114.7407743689109</v>
      </c>
      <c r="AC58" s="27">
        <f t="shared" si="715"/>
        <v>-1595.9821255370805</v>
      </c>
      <c r="AD58" s="27">
        <f t="shared" si="715"/>
        <v>-1430.1683729556669</v>
      </c>
      <c r="AE58" s="27">
        <f t="shared" ref="AE58" si="716">AE52-AE56</f>
        <v>-1650.9860344472399</v>
      </c>
      <c r="AI58" s="26">
        <f t="shared" ref="AI58" si="717">AI52-AI56</f>
        <v>270.45000000000039</v>
      </c>
      <c r="AJ58" s="26">
        <f t="shared" ref="AJ58" si="718">AJ52-AJ56</f>
        <v>206.33000000000004</v>
      </c>
      <c r="AK58" s="26">
        <f t="shared" ref="AK58:AM58" si="719">AK52-AK56</f>
        <v>-337.11999999999978</v>
      </c>
      <c r="AL58" s="26">
        <f t="shared" si="719"/>
        <v>-239.32999999999856</v>
      </c>
      <c r="AM58" s="26">
        <f t="shared" si="719"/>
        <v>-394.59000000000304</v>
      </c>
      <c r="AN58" s="26">
        <f t="shared" ref="AN58:AO58" si="720">AN52-AN56</f>
        <v>-437.73000000000025</v>
      </c>
      <c r="AO58" s="26">
        <f t="shared" si="720"/>
        <v>-971.25999999999806</v>
      </c>
      <c r="AP58" s="26">
        <f t="shared" ref="AP58:CD58" si="721">AP52-AP56</f>
        <v>-1177.31</v>
      </c>
      <c r="AQ58" s="26">
        <f t="shared" si="721"/>
        <v>-835.03000000000054</v>
      </c>
      <c r="AR58" s="26">
        <f t="shared" si="721"/>
        <v>-875.72000000000139</v>
      </c>
      <c r="AS58" s="26">
        <f t="shared" si="721"/>
        <v>-1187.2100000000005</v>
      </c>
      <c r="AT58" s="26">
        <f t="shared" si="721"/>
        <v>-664.29999999999882</v>
      </c>
      <c r="AU58" s="26">
        <f t="shared" si="721"/>
        <v>-109.60000000000014</v>
      </c>
      <c r="AV58" s="26">
        <f t="shared" si="721"/>
        <v>185.25000000000091</v>
      </c>
      <c r="AW58" s="26">
        <f t="shared" si="721"/>
        <v>-93.550000000000182</v>
      </c>
      <c r="AX58" s="26">
        <f t="shared" si="721"/>
        <v>650.02000000000089</v>
      </c>
      <c r="AY58" s="26">
        <f t="shared" si="721"/>
        <v>-158.73000000000116</v>
      </c>
      <c r="AZ58" s="26">
        <f t="shared" si="721"/>
        <v>-452.66000000000054</v>
      </c>
      <c r="BA58" s="26">
        <f t="shared" si="721"/>
        <v>-666.93000000000075</v>
      </c>
      <c r="BB58" s="26">
        <f t="shared" si="721"/>
        <v>-419.94999999999754</v>
      </c>
      <c r="BC58" s="26">
        <f t="shared" si="721"/>
        <v>-748.97000000000173</v>
      </c>
      <c r="BD58" s="26">
        <f t="shared" si="721"/>
        <v>40.170000000003142</v>
      </c>
      <c r="BE58" s="26">
        <f t="shared" si="721"/>
        <v>373.03999999999905</v>
      </c>
      <c r="BF58" s="26">
        <f t="shared" si="721"/>
        <v>-252.86999999999625</v>
      </c>
      <c r="BG58" s="26">
        <f t="shared" si="721"/>
        <v>630.85999999999751</v>
      </c>
      <c r="BH58" s="26">
        <f t="shared" si="721"/>
        <v>644.03999999999701</v>
      </c>
      <c r="BI58" s="26">
        <f t="shared" si="721"/>
        <v>542.47000000000196</v>
      </c>
      <c r="BJ58" s="26">
        <f t="shared" si="721"/>
        <v>238.75999999999897</v>
      </c>
      <c r="BK58" s="26">
        <f t="shared" si="721"/>
        <v>-38.600000000000591</v>
      </c>
      <c r="BL58" s="26">
        <f t="shared" si="721"/>
        <v>-1274.3400000000006</v>
      </c>
      <c r="BM58" s="26">
        <f t="shared" si="721"/>
        <v>-906.06999999999834</v>
      </c>
      <c r="BN58" s="26">
        <f t="shared" si="721"/>
        <v>-1706.8200000000018</v>
      </c>
      <c r="BO58" s="26">
        <f t="shared" si="721"/>
        <v>-1701.98</v>
      </c>
      <c r="BP58" s="26">
        <f t="shared" si="721"/>
        <v>-808.20999999999913</v>
      </c>
      <c r="BQ58" s="26">
        <f t="shared" si="721"/>
        <v>-97.949999999999932</v>
      </c>
      <c r="BR58" s="26">
        <f t="shared" si="721"/>
        <v>420.78000000000088</v>
      </c>
      <c r="BS58" s="26">
        <f t="shared" si="721"/>
        <v>-869.94000000000062</v>
      </c>
      <c r="BT58" s="26">
        <f t="shared" si="721"/>
        <v>-191.28999999999832</v>
      </c>
      <c r="BU58" s="26">
        <f t="shared" si="721"/>
        <v>-150.9499999999997</v>
      </c>
      <c r="BV58" s="26">
        <f t="shared" si="721"/>
        <v>658.76999999999964</v>
      </c>
      <c r="BW58" s="26">
        <f t="shared" si="721"/>
        <v>268.84000000000242</v>
      </c>
      <c r="BX58" s="26">
        <f t="shared" si="721"/>
        <v>205.16000000000315</v>
      </c>
      <c r="BY58" s="26">
        <f t="shared" si="721"/>
        <v>935.78</v>
      </c>
      <c r="BZ58" s="26">
        <f t="shared" si="721"/>
        <v>1612.6899999999985</v>
      </c>
      <c r="CA58" s="26">
        <f t="shared" si="721"/>
        <v>832.42000000000257</v>
      </c>
      <c r="CB58" s="26">
        <f t="shared" si="721"/>
        <v>1471.0100000000016</v>
      </c>
      <c r="CC58" s="26">
        <f t="shared" si="721"/>
        <v>1620.1899999999978</v>
      </c>
      <c r="CD58" s="26">
        <f t="shared" si="721"/>
        <v>1929.6299999999981</v>
      </c>
      <c r="CE58" s="26">
        <f t="shared" ref="CE58:CF58" si="722">CE52-CE56</f>
        <v>1439</v>
      </c>
      <c r="CF58" s="26">
        <f t="shared" si="722"/>
        <v>1169</v>
      </c>
      <c r="CG58" s="26">
        <f t="shared" ref="CG58:CH58" si="723">CG52-CG56</f>
        <v>543.89999999999964</v>
      </c>
      <c r="CH58" s="26">
        <f t="shared" si="723"/>
        <v>845.59999999999854</v>
      </c>
      <c r="CI58" s="26">
        <f t="shared" ref="CI58:CJ58" si="724">CI52-CI56</f>
        <v>1467</v>
      </c>
      <c r="CJ58" s="26">
        <f t="shared" si="724"/>
        <v>1665</v>
      </c>
      <c r="CK58" s="26">
        <f t="shared" ref="CK58:CL58" si="725">CK52-CK56</f>
        <v>2189</v>
      </c>
      <c r="CL58" s="26">
        <f t="shared" si="725"/>
        <v>2858</v>
      </c>
      <c r="CM58" s="27">
        <f t="shared" ref="CM58:DB58" si="726">CM52-CM56</f>
        <v>1715.5680318724226</v>
      </c>
      <c r="CN58" s="27">
        <f t="shared" si="726"/>
        <v>1973.9028970140519</v>
      </c>
      <c r="CO58" s="27">
        <f t="shared" si="726"/>
        <v>2525.5706199253405</v>
      </c>
      <c r="CP58" s="27">
        <f t="shared" si="726"/>
        <v>3012.8313293986398</v>
      </c>
      <c r="CQ58" s="27">
        <f t="shared" si="726"/>
        <v>1993.3722299170568</v>
      </c>
      <c r="CR58" s="27">
        <f t="shared" si="726"/>
        <v>2270.1394415828304</v>
      </c>
      <c r="CS58" s="27">
        <f t="shared" si="726"/>
        <v>2846.3539540044367</v>
      </c>
      <c r="CT58" s="27">
        <f t="shared" si="726"/>
        <v>3339.7762423522081</v>
      </c>
      <c r="CU58" s="27">
        <f t="shared" si="726"/>
        <v>2323.4380492349319</v>
      </c>
      <c r="CV58" s="27">
        <f t="shared" si="726"/>
        <v>2647.1730739164864</v>
      </c>
      <c r="CW58" s="27">
        <f t="shared" si="726"/>
        <v>3263.4199151053303</v>
      </c>
      <c r="CX58" s="27">
        <f t="shared" si="726"/>
        <v>3827.6495863629161</v>
      </c>
      <c r="CY58" s="27">
        <f t="shared" si="726"/>
        <v>2645.384488916769</v>
      </c>
      <c r="CZ58" s="27">
        <f t="shared" si="726"/>
        <v>2998.146216964984</v>
      </c>
      <c r="DA58" s="27">
        <f t="shared" si="726"/>
        <v>3717.0285144628142</v>
      </c>
      <c r="DB58" s="27">
        <f t="shared" si="726"/>
        <v>4334.5597795047306</v>
      </c>
      <c r="DE58" s="121"/>
      <c r="DF58" s="26">
        <v>2590.5965802062033</v>
      </c>
    </row>
    <row r="59" spans="1:110" s="23" customFormat="1" x14ac:dyDescent="0.2">
      <c r="A59" s="23" t="s">
        <v>17</v>
      </c>
      <c r="B59" s="23">
        <f>'Annual Raw'!C23</f>
        <v>0</v>
      </c>
      <c r="C59" s="23">
        <f>'Annual Raw'!D23</f>
        <v>0</v>
      </c>
      <c r="D59" s="23">
        <f>'Annual Raw'!E23</f>
        <v>0</v>
      </c>
      <c r="E59" s="23">
        <v>35.929999999999993</v>
      </c>
      <c r="F59" s="23">
        <v>93.55</v>
      </c>
      <c r="G59" s="23">
        <v>17.940000000000001</v>
      </c>
      <c r="H59" s="23">
        <v>37.79</v>
      </c>
      <c r="I59" s="23">
        <v>211.68999999999997</v>
      </c>
      <c r="J59" s="23">
        <v>4.4799999999999995</v>
      </c>
      <c r="K59" s="23">
        <v>0.21000000000000002</v>
      </c>
      <c r="L59" s="23">
        <v>22.98</v>
      </c>
      <c r="M59" s="23">
        <v>574.08000000000004</v>
      </c>
      <c r="N59" s="23">
        <v>2088.1999999999998</v>
      </c>
      <c r="O59" s="23">
        <v>2230.35</v>
      </c>
      <c r="P59" s="23">
        <v>182.93</v>
      </c>
      <c r="Q59" s="23">
        <v>1402.31</v>
      </c>
      <c r="R59" s="23">
        <v>981.06000000000006</v>
      </c>
      <c r="S59" s="23">
        <v>2492.48</v>
      </c>
      <c r="T59" s="23">
        <v>2554.66</v>
      </c>
      <c r="U59" s="23">
        <v>1383.05</v>
      </c>
      <c r="V59" s="23">
        <v>842.96</v>
      </c>
      <c r="W59" s="23">
        <v>659.91000000000008</v>
      </c>
      <c r="X59" s="23">
        <v>820.93999999999994</v>
      </c>
      <c r="Y59" s="23">
        <v>1150</v>
      </c>
      <c r="Z59" s="23">
        <v>2796</v>
      </c>
      <c r="AA59" s="23">
        <v>2796</v>
      </c>
      <c r="AB59" s="76">
        <f t="shared" ref="AB59:AB60" si="727">+SUM(CM59:CP59)</f>
        <v>0</v>
      </c>
      <c r="AC59" s="76">
        <f t="shared" ref="AC59:AC60" si="728">+SUM(CQ59:CT59)</f>
        <v>0</v>
      </c>
      <c r="AD59" s="76">
        <f t="shared" ref="AD59:AD60" si="729">+SUM(CU59:CX59)</f>
        <v>0</v>
      </c>
      <c r="AE59" s="76">
        <f t="shared" ref="AE59:AE60" si="730">+SUM(CY59:DB59)</f>
        <v>0</v>
      </c>
      <c r="AI59" s="23">
        <v>447.07</v>
      </c>
      <c r="AJ59" s="23">
        <v>1439.31</v>
      </c>
      <c r="AK59" s="23">
        <v>111.8</v>
      </c>
      <c r="AL59" s="23">
        <v>90.02</v>
      </c>
      <c r="AM59" s="23">
        <v>1620.55</v>
      </c>
      <c r="AN59" s="23">
        <v>76.19</v>
      </c>
      <c r="AO59" s="23">
        <v>40.15</v>
      </c>
      <c r="AP59" s="23">
        <v>148.24</v>
      </c>
      <c r="AQ59" s="23">
        <v>1597.19</v>
      </c>
      <c r="AR59" s="23">
        <v>142.70999999999998</v>
      </c>
      <c r="AS59" s="23">
        <v>44.95</v>
      </c>
      <c r="AT59" s="23">
        <v>83.070000000000007</v>
      </c>
      <c r="AU59" s="23">
        <v>582.66999999999996</v>
      </c>
      <c r="AV59" s="23">
        <v>214.95</v>
      </c>
      <c r="AW59" s="23">
        <v>493.9</v>
      </c>
      <c r="AX59" s="23">
        <v>110.79</v>
      </c>
      <c r="AY59" s="23">
        <v>624.54999999999995</v>
      </c>
      <c r="AZ59" s="23">
        <v>146.02000000000001</v>
      </c>
      <c r="BA59" s="23">
        <v>93.95</v>
      </c>
      <c r="BB59" s="23">
        <v>115.29</v>
      </c>
      <c r="BC59" s="23">
        <v>640.97</v>
      </c>
      <c r="BD59" s="23">
        <v>222.26999999999998</v>
      </c>
      <c r="BE59" s="23">
        <v>223.76</v>
      </c>
      <c r="BF59" s="23">
        <v>1282.8799999999999</v>
      </c>
      <c r="BG59" s="23">
        <v>1521.59</v>
      </c>
      <c r="BH59" s="23">
        <v>343.87</v>
      </c>
      <c r="BI59" s="23">
        <v>269.39999999999998</v>
      </c>
      <c r="BJ59" s="23">
        <v>419.8</v>
      </c>
      <c r="BK59" s="23">
        <v>401.2</v>
      </c>
      <c r="BL59" s="23">
        <v>361.41999999999996</v>
      </c>
      <c r="BM59" s="23">
        <v>351.51</v>
      </c>
      <c r="BN59" s="23">
        <v>268.91999999999996</v>
      </c>
      <c r="BO59" s="23">
        <v>134.32999999999998</v>
      </c>
      <c r="BP59" s="23">
        <v>241.98000000000002</v>
      </c>
      <c r="BQ59" s="23">
        <v>206.65</v>
      </c>
      <c r="BR59" s="23">
        <v>260</v>
      </c>
      <c r="BS59" s="23">
        <v>245.81</v>
      </c>
      <c r="BT59" s="23">
        <v>201.3</v>
      </c>
      <c r="BU59" s="23">
        <v>138.74</v>
      </c>
      <c r="BV59" s="23">
        <v>195.32</v>
      </c>
      <c r="BW59" s="23">
        <v>210.76999999999998</v>
      </c>
      <c r="BX59" s="23">
        <v>195.06</v>
      </c>
      <c r="BY59" s="23">
        <v>173.18</v>
      </c>
      <c r="BZ59" s="23">
        <v>241.93</v>
      </c>
      <c r="CA59" s="23">
        <v>299.08000000000004</v>
      </c>
      <c r="CB59" s="23">
        <v>579.81000000000006</v>
      </c>
      <c r="CC59" s="23">
        <v>146.82</v>
      </c>
      <c r="CD59" s="23">
        <v>124.16</v>
      </c>
      <c r="CE59" s="23">
        <v>1989</v>
      </c>
      <c r="CF59" s="23">
        <v>176</v>
      </c>
      <c r="CG59" s="23">
        <v>306</v>
      </c>
      <c r="CH59" s="23">
        <v>207</v>
      </c>
      <c r="CI59" s="23">
        <v>245</v>
      </c>
      <c r="CJ59" s="23">
        <f>'QTR Raw'!BD23</f>
        <v>278</v>
      </c>
      <c r="CK59" s="23">
        <f>'QTR Raw'!BE23</f>
        <v>272</v>
      </c>
      <c r="CL59" s="23">
        <f>'QTR Raw'!BF23</f>
        <v>240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1035</v>
      </c>
    </row>
    <row r="60" spans="1:110" s="23" customFormat="1" x14ac:dyDescent="0.2">
      <c r="A60" s="23" t="s">
        <v>18</v>
      </c>
      <c r="B60" s="23">
        <f>'Annual Raw'!C25</f>
        <v>0</v>
      </c>
      <c r="C60" s="23">
        <f>'Annual Raw'!D25</f>
        <v>0</v>
      </c>
      <c r="D60" s="23">
        <f>'Annual Raw'!E25</f>
        <v>0</v>
      </c>
      <c r="E60" s="23">
        <v>161.26</v>
      </c>
      <c r="F60" s="23">
        <v>154.15</v>
      </c>
      <c r="G60" s="23">
        <v>226.35</v>
      </c>
      <c r="H60" s="23">
        <v>313.07000000000005</v>
      </c>
      <c r="I60" s="23">
        <v>282.36999999999995</v>
      </c>
      <c r="J60" s="23">
        <v>673.68</v>
      </c>
      <c r="K60" s="23">
        <v>1103.8400000000001</v>
      </c>
      <c r="L60" s="23">
        <v>1383.6999999999998</v>
      </c>
      <c r="M60" s="23">
        <v>1218.6200000000001</v>
      </c>
      <c r="N60" s="23">
        <v>1387.76</v>
      </c>
      <c r="O60" s="23">
        <v>1337.52</v>
      </c>
      <c r="P60" s="23">
        <v>1611.6799999999998</v>
      </c>
      <c r="Q60" s="23">
        <v>1592</v>
      </c>
      <c r="R60" s="23">
        <v>1569.01</v>
      </c>
      <c r="S60" s="23">
        <v>1744.4299999999998</v>
      </c>
      <c r="T60" s="23">
        <v>1793.5700000000002</v>
      </c>
      <c r="U60" s="23">
        <v>1973</v>
      </c>
      <c r="V60" s="23">
        <v>2358.6400000000003</v>
      </c>
      <c r="W60" s="23">
        <v>2121.73</v>
      </c>
      <c r="X60" s="23">
        <v>2047.5099999999998</v>
      </c>
      <c r="Y60" s="23">
        <v>1706</v>
      </c>
      <c r="Z60" s="23">
        <v>1122</v>
      </c>
      <c r="AA60" s="23">
        <v>1122</v>
      </c>
      <c r="AB60" s="76">
        <f t="shared" si="727"/>
        <v>959.07535076877468</v>
      </c>
      <c r="AC60" s="76">
        <f t="shared" si="728"/>
        <v>1117.0785757174947</v>
      </c>
      <c r="AD60" s="76">
        <f t="shared" si="729"/>
        <v>1075.1894640863038</v>
      </c>
      <c r="AE60" s="76">
        <f t="shared" si="730"/>
        <v>1586.6012789440338</v>
      </c>
      <c r="AI60" s="23">
        <v>319.23</v>
      </c>
      <c r="AJ60" s="23">
        <v>366.77</v>
      </c>
      <c r="AK60" s="23">
        <v>367.81</v>
      </c>
      <c r="AL60" s="23">
        <v>333.95</v>
      </c>
      <c r="AM60" s="23">
        <v>318.51</v>
      </c>
      <c r="AN60" s="23">
        <v>339.96</v>
      </c>
      <c r="AO60" s="23">
        <v>356.49</v>
      </c>
      <c r="AP60" s="23">
        <v>323.12</v>
      </c>
      <c r="AQ60" s="23">
        <v>343.68</v>
      </c>
      <c r="AR60" s="23">
        <v>347.19</v>
      </c>
      <c r="AS60" s="23">
        <v>418.41</v>
      </c>
      <c r="AT60" s="23">
        <v>470.91</v>
      </c>
      <c r="AU60" s="23">
        <v>434.98</v>
      </c>
      <c r="AV60" s="23">
        <v>367.15999999999997</v>
      </c>
      <c r="AW60" s="23">
        <v>357.15999999999997</v>
      </c>
      <c r="AX60" s="23">
        <v>433.59</v>
      </c>
      <c r="AY60" s="23">
        <v>349.13</v>
      </c>
      <c r="AZ60" s="23">
        <v>372.77</v>
      </c>
      <c r="BA60" s="23">
        <v>413.73</v>
      </c>
      <c r="BB60" s="23">
        <v>449.28000000000003</v>
      </c>
      <c r="BC60" s="23">
        <v>362.71999999999997</v>
      </c>
      <c r="BD60" s="23">
        <v>439.2</v>
      </c>
      <c r="BE60" s="23">
        <v>496.08000000000004</v>
      </c>
      <c r="BF60" s="23">
        <v>446.43</v>
      </c>
      <c r="BG60" s="23">
        <v>493.23</v>
      </c>
      <c r="BH60" s="23">
        <v>443.12</v>
      </c>
      <c r="BI60" s="23">
        <v>468.08000000000004</v>
      </c>
      <c r="BJ60" s="23">
        <v>389.14</v>
      </c>
      <c r="BK60" s="23">
        <v>439.48999999999995</v>
      </c>
      <c r="BL60" s="23">
        <v>497.91999999999996</v>
      </c>
      <c r="BM60" s="23">
        <v>478.53999999999996</v>
      </c>
      <c r="BN60" s="23">
        <v>557.04999999999995</v>
      </c>
      <c r="BO60" s="23">
        <v>552.79999999999995</v>
      </c>
      <c r="BP60" s="23">
        <v>634.66999999999996</v>
      </c>
      <c r="BQ60" s="23">
        <v>656.22</v>
      </c>
      <c r="BR60" s="23">
        <v>514.86</v>
      </c>
      <c r="BS60" s="23">
        <v>621.1</v>
      </c>
      <c r="BT60" s="23">
        <v>530.93999999999994</v>
      </c>
      <c r="BU60" s="23">
        <v>535.54999999999995</v>
      </c>
      <c r="BV60" s="23">
        <v>491.75</v>
      </c>
      <c r="BW60" s="23">
        <v>528.79999999999995</v>
      </c>
      <c r="BX60" s="23">
        <v>549.35</v>
      </c>
      <c r="BY60" s="23">
        <v>503.43</v>
      </c>
      <c r="BZ60" s="23">
        <v>465.93</v>
      </c>
      <c r="CA60" s="23">
        <v>411.73999999999995</v>
      </c>
      <c r="CB60" s="23">
        <v>471.48</v>
      </c>
      <c r="CC60" s="23">
        <v>411.95</v>
      </c>
      <c r="CD60" s="23">
        <v>410.57</v>
      </c>
      <c r="CE60" s="23">
        <v>344</v>
      </c>
      <c r="CF60" s="23">
        <v>211</v>
      </c>
      <c r="CG60" s="23">
        <v>265</v>
      </c>
      <c r="CH60" s="23">
        <v>252</v>
      </c>
      <c r="CI60" s="23">
        <v>174</v>
      </c>
      <c r="CJ60" s="23">
        <f>'QTR Raw'!BD25</f>
        <v>186</v>
      </c>
      <c r="CK60" s="23">
        <f>'QTR Raw'!BE25</f>
        <v>143</v>
      </c>
      <c r="CL60" s="23">
        <f>'QTR Raw'!BF25</f>
        <v>126</v>
      </c>
      <c r="CM60" s="24">
        <f t="shared" ref="CM60:DB60" si="731">CM61*CL200</f>
        <v>230.535</v>
      </c>
      <c r="CN60" s="24">
        <f t="shared" si="731"/>
        <v>102.37888669313949</v>
      </c>
      <c r="CO60" s="24">
        <f t="shared" si="731"/>
        <v>218.00356931167764</v>
      </c>
      <c r="CP60" s="24">
        <f t="shared" si="731"/>
        <v>408.15789476395753</v>
      </c>
      <c r="CQ60" s="24">
        <f t="shared" si="731"/>
        <v>278.08555397972623</v>
      </c>
      <c r="CR60" s="24">
        <f t="shared" si="731"/>
        <v>209.21321460066528</v>
      </c>
      <c r="CS60" s="24">
        <f t="shared" si="731"/>
        <v>267.61079389487725</v>
      </c>
      <c r="CT60" s="24">
        <f t="shared" si="731"/>
        <v>362.1690132422259</v>
      </c>
      <c r="CU60" s="24">
        <f t="shared" si="731"/>
        <v>260.07950385317213</v>
      </c>
      <c r="CV60" s="24">
        <f t="shared" si="731"/>
        <v>225.05557858213859</v>
      </c>
      <c r="CW60" s="24">
        <f t="shared" si="731"/>
        <v>263.97714485248468</v>
      </c>
      <c r="CX60" s="24">
        <f t="shared" si="731"/>
        <v>326.07723679850852</v>
      </c>
      <c r="CY60" s="24">
        <f t="shared" si="731"/>
        <v>388.36604397177069</v>
      </c>
      <c r="CZ60" s="24">
        <f t="shared" si="731"/>
        <v>347.28355346497062</v>
      </c>
      <c r="DA60" s="24">
        <f t="shared" si="731"/>
        <v>390.77891926586557</v>
      </c>
      <c r="DB60" s="24">
        <f t="shared" si="731"/>
        <v>460.17276224142677</v>
      </c>
      <c r="DE60" s="123"/>
      <c r="DF60" s="23">
        <v>-59.703062280589521</v>
      </c>
    </row>
    <row r="61" spans="1:110" s="46" customFormat="1" x14ac:dyDescent="0.2">
      <c r="A61" s="46" t="s">
        <v>484</v>
      </c>
      <c r="E61" s="46">
        <f t="shared" ref="E61:AA61" si="732">+E60/E159</f>
        <v>0.12800749343134063</v>
      </c>
      <c r="F61" s="46">
        <f t="shared" si="732"/>
        <v>6.1773168444590493E-2</v>
      </c>
      <c r="G61" s="46">
        <f t="shared" si="732"/>
        <v>7.707263589436264E-2</v>
      </c>
      <c r="H61" s="46">
        <f t="shared" si="732"/>
        <v>7.8089066483086153E-2</v>
      </c>
      <c r="I61" s="46">
        <f t="shared" si="732"/>
        <v>4.4959653022361191E-2</v>
      </c>
      <c r="J61" s="46">
        <f t="shared" si="732"/>
        <v>5.0539847918329613E-2</v>
      </c>
      <c r="K61" s="46">
        <f t="shared" si="732"/>
        <v>6.7172766744660842E-2</v>
      </c>
      <c r="L61" s="46">
        <f t="shared" si="732"/>
        <v>9.4526714026802489E-2</v>
      </c>
      <c r="M61" s="46">
        <f t="shared" si="732"/>
        <v>7.6736540313099594E-2</v>
      </c>
      <c r="N61" s="46">
        <f t="shared" si="732"/>
        <v>7.6141775485570065E-2</v>
      </c>
      <c r="O61" s="46">
        <f t="shared" si="732"/>
        <v>9.2144069145253402E-2</v>
      </c>
      <c r="P61" s="46">
        <f t="shared" si="732"/>
        <v>7.6258719800968738E-2</v>
      </c>
      <c r="Q61" s="46">
        <f t="shared" si="732"/>
        <v>0.1116826193222156</v>
      </c>
      <c r="R61" s="46">
        <f t="shared" si="732"/>
        <v>8.3260412393782637E-2</v>
      </c>
      <c r="S61" s="46">
        <f t="shared" si="732"/>
        <v>0.10731136863318767</v>
      </c>
      <c r="T61" s="46">
        <f t="shared" si="732"/>
        <v>0.10227038813333464</v>
      </c>
      <c r="U61" s="46">
        <f t="shared" si="732"/>
        <v>9.4411535721104584E-2</v>
      </c>
      <c r="V61" s="46">
        <f t="shared" si="732"/>
        <v>0.12499900632085928</v>
      </c>
      <c r="W61" s="46">
        <f t="shared" si="732"/>
        <v>9.0174834789475314E-2</v>
      </c>
      <c r="X61" s="46">
        <f t="shared" si="732"/>
        <v>0.10620586772234003</v>
      </c>
      <c r="Y61" s="46">
        <f t="shared" si="732"/>
        <v>0.12022551092318534</v>
      </c>
      <c r="Z61" s="46">
        <f t="shared" si="732"/>
        <v>0.1245836109260493</v>
      </c>
      <c r="AA61" s="46">
        <f t="shared" ref="AA61" si="733">+AA60/AA159</f>
        <v>0.10163964127185433</v>
      </c>
      <c r="AB61" s="110"/>
      <c r="AC61" s="110"/>
      <c r="AD61" s="110"/>
      <c r="AE61" s="110"/>
      <c r="AI61" s="46" t="e">
        <f t="shared" ref="AI61:BN61" si="734">(AI60-AI59)/AH200</f>
        <v>#DIV/0!</v>
      </c>
      <c r="AJ61" s="46" t="e">
        <f t="shared" si="734"/>
        <v>#DIV/0!</v>
      </c>
      <c r="AK61" s="46" t="e">
        <f t="shared" si="734"/>
        <v>#DIV/0!</v>
      </c>
      <c r="AL61" s="46">
        <f t="shared" si="734"/>
        <v>0.53202905188771865</v>
      </c>
      <c r="AM61" s="46" t="e">
        <f t="shared" si="734"/>
        <v>#DIV/0!</v>
      </c>
      <c r="AN61" s="46">
        <f t="shared" si="734"/>
        <v>-0.37506754258738045</v>
      </c>
      <c r="AO61" s="46" t="e">
        <f t="shared" si="734"/>
        <v>#DIV/0!</v>
      </c>
      <c r="AP61" s="46">
        <f t="shared" si="734"/>
        <v>-0.13974748281924218</v>
      </c>
      <c r="AQ61" s="46" t="e">
        <f t="shared" si="734"/>
        <v>#DIV/0!</v>
      </c>
      <c r="AR61" s="46">
        <f t="shared" si="734"/>
        <v>-0.51938023876047823</v>
      </c>
      <c r="AS61" s="46" t="e">
        <f t="shared" si="734"/>
        <v>#DIV/0!</v>
      </c>
      <c r="AT61" s="46">
        <f t="shared" si="734"/>
        <v>0.18270897716137782</v>
      </c>
      <c r="AU61" s="46" t="e">
        <f t="shared" si="734"/>
        <v>#DIV/0!</v>
      </c>
      <c r="AV61" s="46">
        <f t="shared" si="734"/>
        <v>-0.52515180789401072</v>
      </c>
      <c r="AW61" s="46" t="e">
        <f t="shared" si="734"/>
        <v>#DIV/0!</v>
      </c>
      <c r="AX61" s="46">
        <f t="shared" si="734"/>
        <v>2.3593041952930824</v>
      </c>
      <c r="AY61" s="46" t="e">
        <f t="shared" si="734"/>
        <v>#DIV/0!</v>
      </c>
      <c r="AZ61" s="46">
        <f t="shared" si="734"/>
        <v>-8.805825242718873</v>
      </c>
      <c r="BA61" s="46" t="e">
        <f t="shared" si="734"/>
        <v>#DIV/0!</v>
      </c>
      <c r="BB61" s="46">
        <f t="shared" si="734"/>
        <v>0.31932041990936361</v>
      </c>
      <c r="BC61" s="46" t="e">
        <f t="shared" si="734"/>
        <v>#DIV/0!</v>
      </c>
      <c r="BD61" s="46">
        <f t="shared" si="734"/>
        <v>0.46838968778339002</v>
      </c>
      <c r="BE61" s="46" t="e">
        <f t="shared" si="734"/>
        <v>#DIV/0!</v>
      </c>
      <c r="BF61" s="46">
        <f t="shared" si="734"/>
        <v>3.9531641381918035</v>
      </c>
      <c r="BG61" s="46" t="e">
        <f t="shared" si="734"/>
        <v>#DIV/0!</v>
      </c>
      <c r="BH61" s="46">
        <f t="shared" si="734"/>
        <v>-8.3568391361091413E-2</v>
      </c>
      <c r="BI61" s="46" t="e">
        <f t="shared" si="734"/>
        <v>#DIV/0!</v>
      </c>
      <c r="BJ61" s="46">
        <f t="shared" si="734"/>
        <v>4.9642174800038734E-2</v>
      </c>
      <c r="BK61" s="46" t="e">
        <f t="shared" si="734"/>
        <v>#DIV/0!</v>
      </c>
      <c r="BL61" s="46">
        <f t="shared" si="734"/>
        <v>1.4057672502574581</v>
      </c>
      <c r="BM61" s="46" t="e">
        <f t="shared" si="734"/>
        <v>#DIV/0!</v>
      </c>
      <c r="BN61" s="46">
        <f t="shared" si="734"/>
        <v>0.2771786707198588</v>
      </c>
      <c r="BO61" s="46" t="e">
        <f t="shared" ref="BO61:CL61" si="735">(BO60-BO59)/BN200</f>
        <v>#DIV/0!</v>
      </c>
      <c r="BP61" s="46">
        <f t="shared" si="735"/>
        <v>0.17925811634955993</v>
      </c>
      <c r="BQ61" s="46" t="e">
        <f t="shared" si="735"/>
        <v>#DIV/0!</v>
      </c>
      <c r="BR61" s="46">
        <f t="shared" si="735"/>
        <v>0.39944204125133226</v>
      </c>
      <c r="BS61" s="46" t="e">
        <f t="shared" si="735"/>
        <v>#DIV/0!</v>
      </c>
      <c r="BT61" s="46">
        <f t="shared" si="735"/>
        <v>0.24958924231296314</v>
      </c>
      <c r="BU61" s="46" t="e">
        <f t="shared" si="735"/>
        <v>#DIV/0!</v>
      </c>
      <c r="BV61" s="46">
        <f t="shared" si="735"/>
        <v>0.46645895293395673</v>
      </c>
      <c r="BW61" s="46" t="e">
        <f t="shared" si="735"/>
        <v>#DIV/0!</v>
      </c>
      <c r="BX61" s="46">
        <f t="shared" si="735"/>
        <v>1.9570789371927571</v>
      </c>
      <c r="BY61" s="46" t="e">
        <f t="shared" si="735"/>
        <v>#DIV/0!</v>
      </c>
      <c r="BZ61" s="46">
        <f t="shared" si="735"/>
        <v>-0.46213199645148645</v>
      </c>
      <c r="CA61" s="46" t="e">
        <f t="shared" si="735"/>
        <v>#DIV/0!</v>
      </c>
      <c r="CB61" s="46">
        <f t="shared" si="735"/>
        <v>-1.6926562500000712</v>
      </c>
      <c r="CC61" s="46" t="e">
        <f t="shared" si="735"/>
        <v>#DIV/0!</v>
      </c>
      <c r="CD61" s="46">
        <f t="shared" si="735"/>
        <v>-6.2671086749597968E-2</v>
      </c>
      <c r="CE61" s="46" t="e">
        <f t="shared" si="735"/>
        <v>#DIV/0!</v>
      </c>
      <c r="CF61" s="46">
        <f t="shared" si="735"/>
        <v>-1.5981735159817351E-2</v>
      </c>
      <c r="CG61" s="46" t="e">
        <f t="shared" si="735"/>
        <v>#DIV/0!</v>
      </c>
      <c r="CH61" s="46">
        <f t="shared" si="735"/>
        <v>-0.1046755059316121</v>
      </c>
      <c r="CI61" s="46">
        <f t="shared" si="735"/>
        <v>-1.5611257695690413E-2</v>
      </c>
      <c r="CJ61" s="46">
        <f t="shared" si="735"/>
        <v>-1.9781955395695994E-2</v>
      </c>
      <c r="CK61" s="46">
        <f t="shared" si="735"/>
        <v>-2.8420356906807668E-2</v>
      </c>
      <c r="CL61" s="46">
        <f t="shared" si="735"/>
        <v>-5.4267244654038919E-2</v>
      </c>
      <c r="CM61" s="47">
        <v>-4.4999999999999998E-2</v>
      </c>
      <c r="CN61" s="47">
        <f t="shared" ref="CN61" si="736">+CM61</f>
        <v>-4.4999999999999998E-2</v>
      </c>
      <c r="CO61" s="47">
        <f t="shared" ref="CO61" si="737">+CN61</f>
        <v>-4.4999999999999998E-2</v>
      </c>
      <c r="CP61" s="47">
        <f t="shared" ref="CP61" si="738">+CO61</f>
        <v>-4.4999999999999998E-2</v>
      </c>
      <c r="CQ61" s="47">
        <v>-2.1000000000000001E-2</v>
      </c>
      <c r="CR61" s="47">
        <f t="shared" ref="CR61" si="739">+CQ61</f>
        <v>-2.1000000000000001E-2</v>
      </c>
      <c r="CS61" s="47">
        <f t="shared" ref="CS61" si="740">+CR61</f>
        <v>-2.1000000000000001E-2</v>
      </c>
      <c r="CT61" s="47">
        <f t="shared" ref="CT61" si="741">+CS61</f>
        <v>-2.1000000000000001E-2</v>
      </c>
      <c r="CU61" s="47">
        <v>-1.2E-2</v>
      </c>
      <c r="CV61" s="47">
        <f t="shared" ref="CV61" si="742">+CU61</f>
        <v>-1.2E-2</v>
      </c>
      <c r="CW61" s="47">
        <f t="shared" ref="CW61" si="743">+CV61</f>
        <v>-1.2E-2</v>
      </c>
      <c r="CX61" s="47">
        <f t="shared" ref="CX61" si="744">+CW61</f>
        <v>-1.2E-2</v>
      </c>
      <c r="CY61" s="47">
        <f t="shared" ref="CY61" si="745">+CX61</f>
        <v>-1.2E-2</v>
      </c>
      <c r="CZ61" s="47">
        <f t="shared" ref="CZ61" si="746">+CY61</f>
        <v>-1.2E-2</v>
      </c>
      <c r="DA61" s="47">
        <f t="shared" ref="DA61" si="747">+CZ61</f>
        <v>-1.2E-2</v>
      </c>
      <c r="DB61" s="47">
        <f t="shared" ref="DB61" si="748">+DA61</f>
        <v>-1.2E-2</v>
      </c>
      <c r="DE61" s="131"/>
      <c r="DF61" s="46">
        <v>-2.8420356906807668E-2</v>
      </c>
    </row>
    <row r="62" spans="1:110" s="26" customFormat="1" x14ac:dyDescent="0.2">
      <c r="A62" s="26" t="s">
        <v>20</v>
      </c>
      <c r="B62" s="26" t="e">
        <f>B58+B59-B60</f>
        <v>#REF!</v>
      </c>
      <c r="C62" s="26" t="e">
        <f t="shared" ref="C62:T62" si="749">C58+C59-C60</f>
        <v>#REF!</v>
      </c>
      <c r="D62" s="26" t="e">
        <f>D58+D59-D60</f>
        <v>#REF!</v>
      </c>
      <c r="E62" s="26">
        <f t="shared" si="749"/>
        <v>3221.4799999999987</v>
      </c>
      <c r="F62" s="26">
        <f t="shared" si="749"/>
        <v>4249.5200000000013</v>
      </c>
      <c r="G62" s="26">
        <f t="shared" si="749"/>
        <v>4240.1899999999987</v>
      </c>
      <c r="H62" s="26">
        <f t="shared" si="749"/>
        <v>5854.4000000000024</v>
      </c>
      <c r="I62" s="26">
        <f t="shared" si="749"/>
        <v>5547.1599999999971</v>
      </c>
      <c r="J62" s="26">
        <f t="shared" si="749"/>
        <v>2209.8800000000028</v>
      </c>
      <c r="K62" s="26">
        <f t="shared" si="749"/>
        <v>3657.3199999999933</v>
      </c>
      <c r="L62" s="26">
        <f t="shared" si="749"/>
        <v>4747.2800000000016</v>
      </c>
      <c r="M62" s="26">
        <f t="shared" si="749"/>
        <v>5322.5516154584921</v>
      </c>
      <c r="N62" s="26">
        <f t="shared" si="749"/>
        <v>3640.5418954585039</v>
      </c>
      <c r="O62" s="26">
        <f t="shared" si="749"/>
        <v>-14.017384000005222</v>
      </c>
      <c r="P62" s="26">
        <f t="shared" si="749"/>
        <v>-3510.2413262399978</v>
      </c>
      <c r="Q62" s="26">
        <f t="shared" si="749"/>
        <v>5387.6099999999951</v>
      </c>
      <c r="R62" s="26">
        <f t="shared" si="749"/>
        <v>3052.6600000000035</v>
      </c>
      <c r="S62" s="26">
        <f t="shared" si="749"/>
        <v>1285.6400000000158</v>
      </c>
      <c r="T62" s="26">
        <f t="shared" si="749"/>
        <v>3255.0999999999935</v>
      </c>
      <c r="U62" s="26">
        <f t="shared" ref="U62:Z62" si="750">U58+U59-U60</f>
        <v>-3935.0099999999857</v>
      </c>
      <c r="V62" s="26">
        <f t="shared" si="750"/>
        <v>-3230.9100000000062</v>
      </c>
      <c r="W62" s="26">
        <f t="shared" si="750"/>
        <v>-1586.6499999999876</v>
      </c>
      <c r="X62" s="26">
        <f t="shared" si="750"/>
        <v>1817.3799999999874</v>
      </c>
      <c r="Y62" s="26">
        <f t="shared" si="750"/>
        <v>5297</v>
      </c>
      <c r="Z62" s="26">
        <f t="shared" si="750"/>
        <v>7748</v>
      </c>
      <c r="AA62" s="26">
        <f t="shared" ref="AA62" si="751">AA58+AA59-AA60</f>
        <v>7748</v>
      </c>
      <c r="AB62" s="27">
        <f t="shared" ref="AB62:AD62" si="752">AB58+AB59-AB60</f>
        <v>-3073.8161251376855</v>
      </c>
      <c r="AC62" s="27">
        <f t="shared" si="752"/>
        <v>-2713.0607012545752</v>
      </c>
      <c r="AD62" s="27">
        <f t="shared" si="752"/>
        <v>-2505.3578370419709</v>
      </c>
      <c r="AE62" s="27">
        <f t="shared" ref="AE62" si="753">AE58+AE59-AE60</f>
        <v>-3237.5873133912737</v>
      </c>
      <c r="AI62" s="26">
        <f>AI58+AI59-AI60</f>
        <v>398.29000000000042</v>
      </c>
      <c r="AJ62" s="26">
        <f t="shared" ref="AJ62" si="754">AJ58+AJ59-AJ60</f>
        <v>1278.8699999999999</v>
      </c>
      <c r="AK62" s="26">
        <f t="shared" ref="AK62:AM62" si="755">AK58+AK59-AK60</f>
        <v>-593.12999999999977</v>
      </c>
      <c r="AL62" s="26">
        <f t="shared" si="755"/>
        <v>-483.25999999999857</v>
      </c>
      <c r="AM62" s="26">
        <f t="shared" si="755"/>
        <v>907.44999999999686</v>
      </c>
      <c r="AN62" s="26">
        <f t="shared" ref="AN62:AO62" si="756">AN58+AN59-AN60</f>
        <v>-701.50000000000023</v>
      </c>
      <c r="AO62" s="26">
        <f t="shared" si="756"/>
        <v>-1287.5999999999981</v>
      </c>
      <c r="AP62" s="26">
        <f t="shared" ref="AP62:CD62" si="757">AP58+AP59-AP60</f>
        <v>-1352.19</v>
      </c>
      <c r="AQ62" s="26">
        <f t="shared" si="757"/>
        <v>418.47999999999951</v>
      </c>
      <c r="AR62" s="26">
        <f t="shared" si="757"/>
        <v>-1080.2000000000014</v>
      </c>
      <c r="AS62" s="26">
        <f t="shared" si="757"/>
        <v>-1560.6700000000005</v>
      </c>
      <c r="AT62" s="26">
        <f t="shared" si="757"/>
        <v>-1052.1399999999987</v>
      </c>
      <c r="AU62" s="26">
        <f t="shared" si="757"/>
        <v>38.089999999999804</v>
      </c>
      <c r="AV62" s="26">
        <f t="shared" si="757"/>
        <v>33.04000000000093</v>
      </c>
      <c r="AW62" s="26">
        <f t="shared" si="757"/>
        <v>43.189999999999827</v>
      </c>
      <c r="AX62" s="26">
        <f t="shared" si="757"/>
        <v>327.22000000000088</v>
      </c>
      <c r="AY62" s="26">
        <f t="shared" si="757"/>
        <v>116.6899999999988</v>
      </c>
      <c r="AZ62" s="26">
        <f t="shared" si="757"/>
        <v>-679.41000000000054</v>
      </c>
      <c r="BA62" s="26">
        <f t="shared" si="757"/>
        <v>-986.71000000000072</v>
      </c>
      <c r="BB62" s="26">
        <f t="shared" si="757"/>
        <v>-753.93999999999755</v>
      </c>
      <c r="BC62" s="26">
        <f t="shared" si="757"/>
        <v>-470.72000000000168</v>
      </c>
      <c r="BD62" s="26">
        <f t="shared" si="757"/>
        <v>-176.75999999999686</v>
      </c>
      <c r="BE62" s="26">
        <f t="shared" si="757"/>
        <v>100.719999999999</v>
      </c>
      <c r="BF62" s="26">
        <f t="shared" si="757"/>
        <v>583.58000000000357</v>
      </c>
      <c r="BG62" s="26">
        <f t="shared" si="757"/>
        <v>1659.2199999999975</v>
      </c>
      <c r="BH62" s="26">
        <f t="shared" si="757"/>
        <v>544.78999999999701</v>
      </c>
      <c r="BI62" s="26">
        <f t="shared" si="757"/>
        <v>343.7900000000019</v>
      </c>
      <c r="BJ62" s="26">
        <f t="shared" si="757"/>
        <v>269.41999999999905</v>
      </c>
      <c r="BK62" s="26">
        <f t="shared" si="757"/>
        <v>-76.890000000000555</v>
      </c>
      <c r="BL62" s="26">
        <f t="shared" si="757"/>
        <v>-1410.8400000000006</v>
      </c>
      <c r="BM62" s="26">
        <f t="shared" si="757"/>
        <v>-1033.0999999999983</v>
      </c>
      <c r="BN62" s="26">
        <f t="shared" si="757"/>
        <v>-1994.9500000000019</v>
      </c>
      <c r="BO62" s="26">
        <f t="shared" si="757"/>
        <v>-2120.4499999999998</v>
      </c>
      <c r="BP62" s="26">
        <f t="shared" si="757"/>
        <v>-1200.8999999999992</v>
      </c>
      <c r="BQ62" s="26">
        <f t="shared" si="757"/>
        <v>-547.52</v>
      </c>
      <c r="BR62" s="26">
        <f t="shared" si="757"/>
        <v>165.92000000000087</v>
      </c>
      <c r="BS62" s="26">
        <f t="shared" si="757"/>
        <v>-1245.2300000000005</v>
      </c>
      <c r="BT62" s="26">
        <f t="shared" si="757"/>
        <v>-520.92999999999824</v>
      </c>
      <c r="BU62" s="26">
        <f t="shared" si="757"/>
        <v>-547.75999999999965</v>
      </c>
      <c r="BV62" s="26">
        <f t="shared" si="757"/>
        <v>362.33999999999969</v>
      </c>
      <c r="BW62" s="26">
        <f t="shared" si="757"/>
        <v>-49.189999999997553</v>
      </c>
      <c r="BX62" s="26">
        <f t="shared" si="757"/>
        <v>-149.12999999999687</v>
      </c>
      <c r="BY62" s="26">
        <f t="shared" si="757"/>
        <v>605.53</v>
      </c>
      <c r="BZ62" s="26">
        <f t="shared" si="757"/>
        <v>1388.6899999999985</v>
      </c>
      <c r="CA62" s="26">
        <f t="shared" si="757"/>
        <v>719.76000000000272</v>
      </c>
      <c r="CB62" s="26">
        <f t="shared" si="757"/>
        <v>1579.3400000000015</v>
      </c>
      <c r="CC62" s="26">
        <f t="shared" si="757"/>
        <v>1355.0599999999977</v>
      </c>
      <c r="CD62" s="26">
        <f t="shared" si="757"/>
        <v>1643.2199999999982</v>
      </c>
      <c r="CE62" s="26">
        <f t="shared" ref="CE62:CF62" si="758">CE58+CE59-CE60</f>
        <v>3084</v>
      </c>
      <c r="CF62" s="26">
        <f t="shared" si="758"/>
        <v>1134</v>
      </c>
      <c r="CG62" s="26">
        <f t="shared" ref="CG62:CH62" si="759">CG58+CG59-CG60</f>
        <v>584.89999999999964</v>
      </c>
      <c r="CH62" s="26">
        <f t="shared" si="759"/>
        <v>800.59999999999854</v>
      </c>
      <c r="CI62" s="26">
        <f t="shared" ref="CI62:CJ62" si="760">CI58+CI59-CI60</f>
        <v>1538</v>
      </c>
      <c r="CJ62" s="26">
        <f t="shared" si="760"/>
        <v>1757</v>
      </c>
      <c r="CK62" s="26">
        <f t="shared" ref="CK62:CL62" si="761">CK58+CK59-CK60</f>
        <v>2318</v>
      </c>
      <c r="CL62" s="26">
        <f t="shared" si="761"/>
        <v>2972</v>
      </c>
      <c r="CM62" s="27">
        <f t="shared" ref="CM62:DB62" si="762">CM58+CM59-CM60</f>
        <v>1485.0330318724225</v>
      </c>
      <c r="CN62" s="27">
        <f t="shared" si="762"/>
        <v>1871.5240103209123</v>
      </c>
      <c r="CO62" s="27">
        <f t="shared" si="762"/>
        <v>2307.567050613663</v>
      </c>
      <c r="CP62" s="27">
        <f t="shared" si="762"/>
        <v>2604.6734346346821</v>
      </c>
      <c r="CQ62" s="27">
        <f t="shared" si="762"/>
        <v>1715.2866759373305</v>
      </c>
      <c r="CR62" s="27">
        <f t="shared" si="762"/>
        <v>2060.9262269821652</v>
      </c>
      <c r="CS62" s="27">
        <f t="shared" si="762"/>
        <v>2578.7431601095595</v>
      </c>
      <c r="CT62" s="27">
        <f t="shared" si="762"/>
        <v>2977.6072291099822</v>
      </c>
      <c r="CU62" s="27">
        <f t="shared" si="762"/>
        <v>2063.3585453817595</v>
      </c>
      <c r="CV62" s="27">
        <f t="shared" si="762"/>
        <v>2422.117495334348</v>
      </c>
      <c r="CW62" s="27">
        <f t="shared" si="762"/>
        <v>2999.4427702528455</v>
      </c>
      <c r="CX62" s="27">
        <f t="shared" si="762"/>
        <v>3501.5723495644074</v>
      </c>
      <c r="CY62" s="27">
        <f t="shared" si="762"/>
        <v>2257.0184449449985</v>
      </c>
      <c r="CZ62" s="27">
        <f t="shared" si="762"/>
        <v>2650.8626635000132</v>
      </c>
      <c r="DA62" s="27">
        <f t="shared" si="762"/>
        <v>3326.2495951969486</v>
      </c>
      <c r="DB62" s="27">
        <f t="shared" si="762"/>
        <v>3874.3870172633037</v>
      </c>
      <c r="DE62" s="121"/>
      <c r="DF62" s="26">
        <v>2650.2996424867929</v>
      </c>
    </row>
    <row r="63" spans="1:110" s="23" customFormat="1" x14ac:dyDescent="0.2">
      <c r="A63" s="23" t="s">
        <v>21</v>
      </c>
      <c r="B63" s="23">
        <f>'Annual Raw'!C30</f>
        <v>0</v>
      </c>
      <c r="C63" s="23">
        <f>'Annual Raw'!D30</f>
        <v>0</v>
      </c>
      <c r="D63" s="23">
        <f>'Annual Raw'!E30</f>
        <v>0</v>
      </c>
      <c r="E63" s="23">
        <v>482</v>
      </c>
      <c r="F63" s="23">
        <v>414.95</v>
      </c>
      <c r="G63" s="23">
        <v>524.5</v>
      </c>
      <c r="H63" s="23">
        <v>659.72</v>
      </c>
      <c r="I63" s="23">
        <v>547.54999999999995</v>
      </c>
      <c r="J63" s="23">
        <v>12.5</v>
      </c>
      <c r="K63" s="23">
        <v>589.46</v>
      </c>
      <c r="L63" s="23">
        <v>384.7</v>
      </c>
      <c r="M63" s="23">
        <v>98.8</v>
      </c>
      <c r="N63" s="23">
        <v>-126.87999999999997</v>
      </c>
      <c r="O63" s="23">
        <v>-1360.3200000000002</v>
      </c>
      <c r="P63" s="23">
        <v>764.23</v>
      </c>
      <c r="Q63" s="23">
        <v>-4.8</v>
      </c>
      <c r="R63" s="23">
        <v>76.33</v>
      </c>
      <c r="S63" s="23">
        <v>87.929999999999993</v>
      </c>
      <c r="T63" s="23">
        <v>378.33000000000004</v>
      </c>
      <c r="U63" s="23">
        <v>162.29000000000002</v>
      </c>
      <c r="V63" s="23">
        <v>82.87</v>
      </c>
      <c r="W63" s="23">
        <v>99.179999999999993</v>
      </c>
      <c r="X63" s="23">
        <v>-1473.33</v>
      </c>
      <c r="Y63" s="23">
        <v>-51</v>
      </c>
      <c r="Z63" s="23">
        <v>1900</v>
      </c>
      <c r="AA63" s="23">
        <v>1900</v>
      </c>
      <c r="AB63" s="24">
        <f>+SUM(CM63:CP63)</f>
        <v>1687.0215510599239</v>
      </c>
      <c r="AC63" s="24">
        <f>+SUM(CQ63:CT63)</f>
        <v>1980.2699589081187</v>
      </c>
      <c r="AD63" s="24">
        <f>+SUM(CU63:CX63)</f>
        <v>2339.123474997361</v>
      </c>
      <c r="AE63" s="24">
        <f>+SUM(CY63:DB63)</f>
        <v>2579.9923173010916</v>
      </c>
      <c r="AI63" s="23">
        <v>32</v>
      </c>
      <c r="AJ63" s="23">
        <v>157</v>
      </c>
      <c r="AK63" s="23">
        <v>-142.79</v>
      </c>
      <c r="AL63" s="23">
        <v>-173.09</v>
      </c>
      <c r="AM63" s="23">
        <v>50</v>
      </c>
      <c r="AN63" s="23">
        <v>-180</v>
      </c>
      <c r="AO63" s="23">
        <v>-630</v>
      </c>
      <c r="AP63" s="23">
        <v>-600.32000000000005</v>
      </c>
      <c r="AQ63" s="23">
        <v>0</v>
      </c>
      <c r="AR63" s="23">
        <v>738.26</v>
      </c>
      <c r="AS63" s="23">
        <v>18.14</v>
      </c>
      <c r="AT63" s="23">
        <v>7.83</v>
      </c>
      <c r="AU63" s="23">
        <v>42.160000000000004</v>
      </c>
      <c r="AV63" s="23">
        <v>16.740000000000002</v>
      </c>
      <c r="AW63" s="23">
        <v>-2.4300000000000002</v>
      </c>
      <c r="AX63" s="23">
        <v>-61.27</v>
      </c>
      <c r="AY63" s="23">
        <v>12.120000000000001</v>
      </c>
      <c r="AZ63" s="23">
        <v>21.84</v>
      </c>
      <c r="BA63" s="23">
        <v>14.330000000000002</v>
      </c>
      <c r="BB63" s="23">
        <v>18.940000000000001</v>
      </c>
      <c r="BC63" s="23">
        <v>0.21000000000000002</v>
      </c>
      <c r="BD63" s="23">
        <v>33.769999999999996</v>
      </c>
      <c r="BE63" s="23">
        <v>27.74</v>
      </c>
      <c r="BF63" s="23">
        <v>26.21</v>
      </c>
      <c r="BG63" s="23">
        <v>276.5</v>
      </c>
      <c r="BH63" s="23">
        <v>41.21</v>
      </c>
      <c r="BI63" s="23">
        <v>-98.7</v>
      </c>
      <c r="BJ63" s="23">
        <v>159.32</v>
      </c>
      <c r="BK63" s="23">
        <v>49.43</v>
      </c>
      <c r="BL63" s="23">
        <v>11.98</v>
      </c>
      <c r="BM63" s="23">
        <v>15.66</v>
      </c>
      <c r="BN63" s="23">
        <v>85.22</v>
      </c>
      <c r="BO63" s="23">
        <v>0.38</v>
      </c>
      <c r="BP63" s="23">
        <v>0.4</v>
      </c>
      <c r="BQ63" s="23">
        <v>37.5</v>
      </c>
      <c r="BR63" s="23">
        <v>44.589999999999996</v>
      </c>
      <c r="BS63" s="23">
        <v>6.5900000000000007</v>
      </c>
      <c r="BT63" s="23">
        <v>3.8</v>
      </c>
      <c r="BU63" s="23">
        <v>53.839999999999996</v>
      </c>
      <c r="BV63" s="23">
        <v>40.739999999999995</v>
      </c>
      <c r="BW63" s="23">
        <v>41.35</v>
      </c>
      <c r="BX63" s="23">
        <v>41</v>
      </c>
      <c r="BY63" s="23">
        <v>54.029999999999994</v>
      </c>
      <c r="BZ63" s="23">
        <v>-1609.71</v>
      </c>
      <c r="CA63" s="23">
        <v>85.85</v>
      </c>
      <c r="CB63" s="23">
        <v>147.62</v>
      </c>
      <c r="CC63" s="23">
        <v>296.07</v>
      </c>
      <c r="CD63" s="23">
        <v>-580.79999999999995</v>
      </c>
      <c r="CE63" s="23">
        <v>845</v>
      </c>
      <c r="CF63" s="23">
        <v>446</v>
      </c>
      <c r="CG63" s="23">
        <v>125</v>
      </c>
      <c r="CH63" s="23">
        <v>253</v>
      </c>
      <c r="CI63" s="23">
        <v>214</v>
      </c>
      <c r="CJ63" s="23">
        <f>'QTR Raw'!BD29</f>
        <v>412</v>
      </c>
      <c r="CK63" s="23">
        <f>'QTR Raw'!BE29</f>
        <v>212</v>
      </c>
      <c r="CL63" s="23">
        <f>'QTR Raw'!BF29</f>
        <v>786</v>
      </c>
      <c r="CM63" s="24">
        <f t="shared" ref="CM63:DB63" si="763">+CM62*CM64</f>
        <v>281.68894790188727</v>
      </c>
      <c r="CN63" s="24">
        <f t="shared" si="763"/>
        <v>379.59491715943562</v>
      </c>
      <c r="CO63" s="24">
        <f t="shared" si="763"/>
        <v>449.0387064399726</v>
      </c>
      <c r="CP63" s="24">
        <f t="shared" si="763"/>
        <v>576.69897955862848</v>
      </c>
      <c r="CQ63" s="24">
        <f t="shared" si="763"/>
        <v>353.64304334153172</v>
      </c>
      <c r="CR63" s="24">
        <f t="shared" si="763"/>
        <v>433.56806535385931</v>
      </c>
      <c r="CS63" s="24">
        <f t="shared" si="763"/>
        <v>547.46785798009353</v>
      </c>
      <c r="CT63" s="24">
        <f t="shared" si="763"/>
        <v>645.59099223263433</v>
      </c>
      <c r="CU63" s="24">
        <f t="shared" si="763"/>
        <v>436.22616751351211</v>
      </c>
      <c r="CV63" s="24">
        <f t="shared" si="763"/>
        <v>515.24891944563046</v>
      </c>
      <c r="CW63" s="24">
        <f t="shared" si="763"/>
        <v>639.82453093769254</v>
      </c>
      <c r="CX63" s="24">
        <f t="shared" si="763"/>
        <v>747.82385710052608</v>
      </c>
      <c r="CY63" s="24">
        <f t="shared" si="763"/>
        <v>480.19461885145898</v>
      </c>
      <c r="CZ63" s="24">
        <f t="shared" si="763"/>
        <v>564.87583752890794</v>
      </c>
      <c r="DA63" s="24">
        <f t="shared" si="763"/>
        <v>709.09819109992782</v>
      </c>
      <c r="DB63" s="24">
        <f t="shared" si="763"/>
        <v>825.82366982079691</v>
      </c>
      <c r="DE63" s="123"/>
      <c r="DF63" s="23">
        <v>395.87653186346972</v>
      </c>
    </row>
    <row r="64" spans="1:110" s="90" customFormat="1" x14ac:dyDescent="0.2">
      <c r="A64" s="90" t="s">
        <v>106</v>
      </c>
      <c r="B64" s="90" t="e">
        <f>B63/B62</f>
        <v>#REF!</v>
      </c>
      <c r="C64" s="90" t="e">
        <f t="shared" ref="C64:T64" si="764">C63/C62</f>
        <v>#REF!</v>
      </c>
      <c r="D64" s="90" t="e">
        <f>D63/D62</f>
        <v>#REF!</v>
      </c>
      <c r="E64" s="90">
        <f t="shared" si="764"/>
        <v>0.14962067124427289</v>
      </c>
      <c r="F64" s="90">
        <f t="shared" si="764"/>
        <v>9.7646322408177832E-2</v>
      </c>
      <c r="G64" s="90">
        <f t="shared" si="764"/>
        <v>0.12369728714986833</v>
      </c>
      <c r="H64" s="90">
        <f t="shared" si="764"/>
        <v>0.11268789286690349</v>
      </c>
      <c r="I64" s="90">
        <f t="shared" si="764"/>
        <v>9.8708167783153944E-2</v>
      </c>
      <c r="J64" s="90">
        <f t="shared" si="764"/>
        <v>5.656415732980969E-3</v>
      </c>
      <c r="K64" s="90">
        <f t="shared" si="764"/>
        <v>0.16117266194918714</v>
      </c>
      <c r="L64" s="90">
        <f t="shared" si="764"/>
        <v>8.103587738662979E-2</v>
      </c>
      <c r="M64" s="90">
        <f t="shared" si="764"/>
        <v>1.856252548365174E-2</v>
      </c>
      <c r="N64" s="90">
        <f t="shared" si="764"/>
        <v>-3.485195436379402E-2</v>
      </c>
      <c r="O64" s="90">
        <f t="shared" si="764"/>
        <v>97.045211859751674</v>
      </c>
      <c r="P64" s="90">
        <f t="shared" si="764"/>
        <v>-0.21771437601374449</v>
      </c>
      <c r="Q64" s="90">
        <f t="shared" si="764"/>
        <v>-8.909330853569587E-4</v>
      </c>
      <c r="R64" s="90">
        <f t="shared" si="764"/>
        <v>2.500442237261926E-2</v>
      </c>
      <c r="S64" s="90">
        <f t="shared" si="764"/>
        <v>6.8393951650538964E-2</v>
      </c>
      <c r="T64" s="90">
        <f t="shared" si="764"/>
        <v>0.11622684402936954</v>
      </c>
      <c r="U64" s="90">
        <f t="shared" ref="U64:Z64" si="765">U63/U62</f>
        <v>-4.1242588964195928E-2</v>
      </c>
      <c r="V64" s="90">
        <f t="shared" si="765"/>
        <v>-2.564912052641511E-2</v>
      </c>
      <c r="W64" s="90">
        <f t="shared" si="765"/>
        <v>-6.2509059969117806E-2</v>
      </c>
      <c r="X64" s="90">
        <f t="shared" si="765"/>
        <v>-0.81068901385511571</v>
      </c>
      <c r="Y64" s="90">
        <f t="shared" si="765"/>
        <v>-9.6280913724749867E-3</v>
      </c>
      <c r="Z64" s="90">
        <f t="shared" si="765"/>
        <v>0.24522457408363449</v>
      </c>
      <c r="AA64" s="90">
        <f t="shared" ref="AA64" si="766">AA63/AA62</f>
        <v>0.24522457408363449</v>
      </c>
      <c r="AB64" s="91">
        <f t="shared" ref="AA64:AD64" si="767">AB63/AB62</f>
        <v>-0.5488361965647367</v>
      </c>
      <c r="AC64" s="91">
        <f t="shared" si="767"/>
        <v>-0.72990256281121946</v>
      </c>
      <c r="AD64" s="91">
        <f t="shared" si="767"/>
        <v>-0.93364845548734876</v>
      </c>
      <c r="AE64" s="91">
        <f t="shared" ref="AE64" si="768">AE63/AE62</f>
        <v>-0.79688733231371245</v>
      </c>
      <c r="AI64" s="90">
        <f t="shared" ref="AI64" si="769">AI63/AI62</f>
        <v>8.0343468327098266E-2</v>
      </c>
      <c r="AJ64" s="90">
        <f t="shared" ref="AJ64" si="770">AJ63/AJ62</f>
        <v>0.12276462814828717</v>
      </c>
      <c r="AK64" s="90">
        <f t="shared" ref="AK64:AM64" si="771">AK63/AK62</f>
        <v>0.24073980409016582</v>
      </c>
      <c r="AL64" s="90">
        <f t="shared" si="771"/>
        <v>0.35817158465422444</v>
      </c>
      <c r="AM64" s="90">
        <f t="shared" si="771"/>
        <v>5.5099454515400485E-2</v>
      </c>
      <c r="AN64" s="90">
        <f t="shared" ref="AN64:AO64" si="772">AN63/AN62</f>
        <v>0.2565930149679258</v>
      </c>
      <c r="AO64" s="90">
        <f t="shared" si="772"/>
        <v>0.48928238583411071</v>
      </c>
      <c r="AP64" s="90">
        <f t="shared" ref="AP64:CD64" si="773">AP63/AP62</f>
        <v>0.44396127763110216</v>
      </c>
      <c r="AQ64" s="90">
        <f t="shared" si="773"/>
        <v>0</v>
      </c>
      <c r="AR64" s="90">
        <f t="shared" si="773"/>
        <v>-0.68344750972042123</v>
      </c>
      <c r="AS64" s="90">
        <f t="shared" si="773"/>
        <v>-1.1623213107191138E-2</v>
      </c>
      <c r="AT64" s="90">
        <f t="shared" si="773"/>
        <v>-7.441975402512983E-3</v>
      </c>
      <c r="AU64" s="90">
        <f t="shared" si="773"/>
        <v>1.10685219217643</v>
      </c>
      <c r="AV64" s="90">
        <f t="shared" si="773"/>
        <v>0.50665859564163229</v>
      </c>
      <c r="AW64" s="90">
        <f t="shared" si="773"/>
        <v>-5.6263023848113221E-2</v>
      </c>
      <c r="AX64" s="90">
        <f t="shared" si="773"/>
        <v>-0.18724405598679739</v>
      </c>
      <c r="AY64" s="90">
        <f t="shared" si="773"/>
        <v>0.10386494129745587</v>
      </c>
      <c r="AZ64" s="90">
        <f t="shared" si="773"/>
        <v>-3.2145538040358523E-2</v>
      </c>
      <c r="BA64" s="90">
        <f t="shared" si="773"/>
        <v>-1.4523010813714253E-2</v>
      </c>
      <c r="BB64" s="90">
        <f t="shared" si="773"/>
        <v>-2.5121362442634777E-2</v>
      </c>
      <c r="BC64" s="90">
        <f t="shared" si="773"/>
        <v>-4.4612508497620512E-4</v>
      </c>
      <c r="BD64" s="90">
        <f t="shared" si="773"/>
        <v>-0.19105001131478047</v>
      </c>
      <c r="BE64" s="90">
        <f t="shared" si="773"/>
        <v>0.27541699761715915</v>
      </c>
      <c r="BF64" s="90">
        <f t="shared" si="773"/>
        <v>4.491243702662847E-2</v>
      </c>
      <c r="BG64" s="90">
        <f t="shared" si="773"/>
        <v>0.1666445679295093</v>
      </c>
      <c r="BH64" s="90">
        <f t="shared" si="773"/>
        <v>7.5643826061418576E-2</v>
      </c>
      <c r="BI64" s="90">
        <f t="shared" si="773"/>
        <v>-0.28709386544111071</v>
      </c>
      <c r="BJ64" s="90">
        <f t="shared" si="773"/>
        <v>0.5913443693860907</v>
      </c>
      <c r="BK64" s="90">
        <f t="shared" si="773"/>
        <v>-0.64286643256599874</v>
      </c>
      <c r="BL64" s="90">
        <f t="shared" si="773"/>
        <v>-8.4913951971874874E-3</v>
      </c>
      <c r="BM64" s="90">
        <f t="shared" si="773"/>
        <v>-1.5158261542929072E-2</v>
      </c>
      <c r="BN64" s="90">
        <f t="shared" si="773"/>
        <v>-4.2717862603072719E-2</v>
      </c>
      <c r="BO64" s="90">
        <f t="shared" si="773"/>
        <v>-1.7920724374543141E-4</v>
      </c>
      <c r="BP64" s="90">
        <f t="shared" si="773"/>
        <v>-3.3308352069281398E-4</v>
      </c>
      <c r="BQ64" s="90">
        <f t="shared" si="773"/>
        <v>-6.8490648743424906E-2</v>
      </c>
      <c r="BR64" s="90">
        <f t="shared" si="773"/>
        <v>0.26874397299903424</v>
      </c>
      <c r="BS64" s="90">
        <f t="shared" si="773"/>
        <v>-5.2921950161817482E-3</v>
      </c>
      <c r="BT64" s="90">
        <f t="shared" si="773"/>
        <v>-7.2946461136813249E-3</v>
      </c>
      <c r="BU64" s="90">
        <f t="shared" si="773"/>
        <v>-9.8291222433182474E-2</v>
      </c>
      <c r="BV64" s="90">
        <f t="shared" si="773"/>
        <v>0.11243583374730924</v>
      </c>
      <c r="BW64" s="90">
        <f t="shared" si="773"/>
        <v>-0.84061801179105622</v>
      </c>
      <c r="BX64" s="90">
        <f t="shared" si="773"/>
        <v>-0.27492791524174115</v>
      </c>
      <c r="BY64" s="90">
        <f t="shared" si="773"/>
        <v>8.9227618780242102E-2</v>
      </c>
      <c r="BZ64" s="90">
        <f t="shared" si="773"/>
        <v>-1.1591571913097969</v>
      </c>
      <c r="CA64" s="90">
        <f t="shared" si="773"/>
        <v>0.11927586973435544</v>
      </c>
      <c r="CB64" s="90">
        <f t="shared" si="773"/>
        <v>9.3469423936581017E-2</v>
      </c>
      <c r="CC64" s="90">
        <f t="shared" si="773"/>
        <v>0.21849217008840974</v>
      </c>
      <c r="CD64" s="90">
        <f t="shared" si="773"/>
        <v>-0.35345236791178331</v>
      </c>
      <c r="CE64" s="90">
        <f t="shared" ref="CE64:CF64" si="774">CE63/CE62</f>
        <v>0.27399481193255515</v>
      </c>
      <c r="CF64" s="90">
        <f t="shared" si="774"/>
        <v>0.39329805996472661</v>
      </c>
      <c r="CG64" s="90">
        <f t="shared" ref="CG64:CH64" si="775">CG63/CG62</f>
        <v>0.21371174559753817</v>
      </c>
      <c r="CH64" s="90">
        <f t="shared" si="775"/>
        <v>0.31601299025730761</v>
      </c>
      <c r="CI64" s="90">
        <f t="shared" ref="CI64:CJ64" si="776">CI63/CI62</f>
        <v>0.13914174252275682</v>
      </c>
      <c r="CJ64" s="90">
        <f t="shared" si="776"/>
        <v>0.23449060899260102</v>
      </c>
      <c r="CK64" s="90">
        <f t="shared" ref="CK64:CL64" si="777">CK63/CK62</f>
        <v>9.1458153580672996E-2</v>
      </c>
      <c r="CL64" s="90">
        <f t="shared" si="777"/>
        <v>0.26446837146702556</v>
      </c>
      <c r="CM64" s="91">
        <f>AVERAGE(CI64:CL64)*1.04</f>
        <v>0.18968530790639468</v>
      </c>
      <c r="CN64" s="91">
        <f t="shared" ref="CN64:CP64" si="778">AVERAGE(CJ64:CM64)*1.04</f>
        <v>0.2028266349061405</v>
      </c>
      <c r="CO64" s="91">
        <f t="shared" si="778"/>
        <v>0.19459400164366078</v>
      </c>
      <c r="CP64" s="91">
        <f t="shared" si="778"/>
        <v>0.22140932214003761</v>
      </c>
      <c r="CQ64" s="91">
        <f>AVERAGE(CM64:CP64)*1.02</f>
        <v>0.20617139298203957</v>
      </c>
      <c r="CR64" s="91">
        <f t="shared" ref="CR64:CT64" si="779">AVERAGE(CN64:CQ64)*1.02</f>
        <v>0.21037534467632901</v>
      </c>
      <c r="CS64" s="91">
        <f t="shared" si="779"/>
        <v>0.21230026566772708</v>
      </c>
      <c r="CT64" s="91">
        <f t="shared" si="779"/>
        <v>0.216815362993864</v>
      </c>
      <c r="CU64" s="91">
        <f t="shared" ref="CU64:DB64" si="780">AVERAGE(CQ64:CT64)</f>
        <v>0.2114155915799899</v>
      </c>
      <c r="CV64" s="91">
        <f t="shared" si="780"/>
        <v>0.21272664122947751</v>
      </c>
      <c r="CW64" s="91">
        <f t="shared" si="780"/>
        <v>0.21331446536776461</v>
      </c>
      <c r="CX64" s="91">
        <f t="shared" si="780"/>
        <v>0.21356801529277403</v>
      </c>
      <c r="CY64" s="91">
        <f t="shared" si="780"/>
        <v>0.21275617836750152</v>
      </c>
      <c r="CZ64" s="91">
        <f t="shared" si="780"/>
        <v>0.21309132506437942</v>
      </c>
      <c r="DA64" s="91">
        <f t="shared" si="780"/>
        <v>0.21318249602310491</v>
      </c>
      <c r="DB64" s="91">
        <f t="shared" si="780"/>
        <v>0.21314950368693997</v>
      </c>
      <c r="DE64" s="128"/>
      <c r="DF64" s="90">
        <v>0.14937048080043366</v>
      </c>
    </row>
    <row r="65" spans="1:110" s="26" customFormat="1" x14ac:dyDescent="0.2">
      <c r="A65" s="26" t="s">
        <v>22</v>
      </c>
      <c r="B65" s="26" t="e">
        <f>B62-B63</f>
        <v>#REF!</v>
      </c>
      <c r="C65" s="26" t="e">
        <f>C62-C63</f>
        <v>#REF!</v>
      </c>
      <c r="D65" s="26" t="e">
        <f>D62-D63</f>
        <v>#REF!</v>
      </c>
      <c r="E65" s="26">
        <f t="shared" ref="E65:T65" si="781">E62-E63</f>
        <v>2739.4799999999987</v>
      </c>
      <c r="F65" s="26">
        <f t="shared" si="781"/>
        <v>3834.5700000000015</v>
      </c>
      <c r="G65" s="26">
        <f t="shared" si="781"/>
        <v>3715.6899999999987</v>
      </c>
      <c r="H65" s="26">
        <f t="shared" si="781"/>
        <v>5194.6800000000021</v>
      </c>
      <c r="I65" s="26">
        <f t="shared" si="781"/>
        <v>4999.6099999999969</v>
      </c>
      <c r="J65" s="26">
        <f t="shared" si="781"/>
        <v>2197.3800000000028</v>
      </c>
      <c r="K65" s="26">
        <f t="shared" si="781"/>
        <v>3067.8599999999933</v>
      </c>
      <c r="L65" s="26">
        <f t="shared" si="781"/>
        <v>4362.5800000000017</v>
      </c>
      <c r="M65" s="26">
        <f t="shared" si="781"/>
        <v>5223.7516154584919</v>
      </c>
      <c r="N65" s="26">
        <f t="shared" si="781"/>
        <v>3767.421895458504</v>
      </c>
      <c r="O65" s="26">
        <f t="shared" si="781"/>
        <v>1346.3026159999949</v>
      </c>
      <c r="P65" s="26">
        <f t="shared" si="781"/>
        <v>-4274.4713262399982</v>
      </c>
      <c r="Q65" s="26">
        <f t="shared" si="781"/>
        <v>5392.4099999999953</v>
      </c>
      <c r="R65" s="26">
        <f t="shared" si="781"/>
        <v>2976.3300000000036</v>
      </c>
      <c r="S65" s="26">
        <f t="shared" si="781"/>
        <v>1197.7100000000157</v>
      </c>
      <c r="T65" s="26">
        <f t="shared" si="781"/>
        <v>2876.7699999999936</v>
      </c>
      <c r="U65" s="26">
        <f t="shared" ref="U65:Z65" si="782">U62-U63</f>
        <v>-4097.2999999999856</v>
      </c>
      <c r="V65" s="26">
        <f t="shared" si="782"/>
        <v>-3313.7800000000061</v>
      </c>
      <c r="W65" s="26">
        <f t="shared" si="782"/>
        <v>-1685.8299999999876</v>
      </c>
      <c r="X65" s="26">
        <f t="shared" si="782"/>
        <v>3290.7099999999873</v>
      </c>
      <c r="Y65" s="26">
        <f t="shared" si="782"/>
        <v>5348</v>
      </c>
      <c r="Z65" s="26">
        <f t="shared" si="782"/>
        <v>5848</v>
      </c>
      <c r="AA65" s="26">
        <f t="shared" ref="AA65" si="783">AA62-AA63</f>
        <v>5848</v>
      </c>
      <c r="AB65" s="27">
        <f t="shared" ref="AA65:AD65" si="784">AB62-AB63</f>
        <v>-4760.8376761976097</v>
      </c>
      <c r="AC65" s="27">
        <f t="shared" si="784"/>
        <v>-4693.3306601626937</v>
      </c>
      <c r="AD65" s="27">
        <f t="shared" si="784"/>
        <v>-4844.4813120393319</v>
      </c>
      <c r="AE65" s="27">
        <f t="shared" ref="AE65" si="785">AE62-AE63</f>
        <v>-5817.5796306923658</v>
      </c>
      <c r="AI65" s="26">
        <f>AI62-AI63</f>
        <v>366.29000000000042</v>
      </c>
      <c r="AJ65" s="26">
        <f t="shared" ref="AJ65" si="786">AJ62-AJ63</f>
        <v>1121.8699999999999</v>
      </c>
      <c r="AK65" s="26">
        <f t="shared" ref="AK65:AM65" si="787">AK62-AK63</f>
        <v>-450.3399999999998</v>
      </c>
      <c r="AL65" s="26">
        <f t="shared" si="787"/>
        <v>-310.16999999999859</v>
      </c>
      <c r="AM65" s="26">
        <f t="shared" si="787"/>
        <v>857.44999999999686</v>
      </c>
      <c r="AN65" s="26">
        <f t="shared" ref="AN65:AO65" si="788">AN62-AN63</f>
        <v>-521.50000000000023</v>
      </c>
      <c r="AO65" s="26">
        <f t="shared" si="788"/>
        <v>-657.59999999999809</v>
      </c>
      <c r="AP65" s="26">
        <f t="shared" ref="AP65:CD65" si="789">AP62-AP63</f>
        <v>-751.87</v>
      </c>
      <c r="AQ65" s="26">
        <f t="shared" si="789"/>
        <v>418.47999999999951</v>
      </c>
      <c r="AR65" s="26">
        <f t="shared" si="789"/>
        <v>-1818.4600000000014</v>
      </c>
      <c r="AS65" s="26">
        <f t="shared" si="789"/>
        <v>-1578.8100000000006</v>
      </c>
      <c r="AT65" s="26">
        <f t="shared" si="789"/>
        <v>-1059.9699999999987</v>
      </c>
      <c r="AU65" s="26">
        <f t="shared" si="789"/>
        <v>-4.0700000000001992</v>
      </c>
      <c r="AV65" s="26">
        <f t="shared" si="789"/>
        <v>16.300000000000928</v>
      </c>
      <c r="AW65" s="26">
        <f t="shared" si="789"/>
        <v>45.619999999999827</v>
      </c>
      <c r="AX65" s="26">
        <f t="shared" si="789"/>
        <v>388.49000000000086</v>
      </c>
      <c r="AY65" s="26">
        <f t="shared" si="789"/>
        <v>104.5699999999988</v>
      </c>
      <c r="AZ65" s="26">
        <f t="shared" si="789"/>
        <v>-701.25000000000057</v>
      </c>
      <c r="BA65" s="26">
        <f t="shared" si="789"/>
        <v>-1001.0400000000008</v>
      </c>
      <c r="BB65" s="26">
        <f t="shared" si="789"/>
        <v>-772.87999999999761</v>
      </c>
      <c r="BC65" s="26">
        <f t="shared" si="789"/>
        <v>-470.93000000000166</v>
      </c>
      <c r="BD65" s="26">
        <f t="shared" si="789"/>
        <v>-210.52999999999685</v>
      </c>
      <c r="BE65" s="26">
        <f t="shared" si="789"/>
        <v>72.979999999999009</v>
      </c>
      <c r="BF65" s="26">
        <f t="shared" si="789"/>
        <v>557.37000000000353</v>
      </c>
      <c r="BG65" s="26">
        <f t="shared" si="789"/>
        <v>1382.7199999999975</v>
      </c>
      <c r="BH65" s="26">
        <f t="shared" si="789"/>
        <v>503.57999999999703</v>
      </c>
      <c r="BI65" s="26">
        <f t="shared" si="789"/>
        <v>442.49000000000188</v>
      </c>
      <c r="BJ65" s="26">
        <f t="shared" si="789"/>
        <v>110.09999999999906</v>
      </c>
      <c r="BK65" s="26">
        <f t="shared" si="789"/>
        <v>-126.32000000000056</v>
      </c>
      <c r="BL65" s="26">
        <f t="shared" si="789"/>
        <v>-1422.8200000000006</v>
      </c>
      <c r="BM65" s="26">
        <f t="shared" si="789"/>
        <v>-1048.7599999999984</v>
      </c>
      <c r="BN65" s="26">
        <f t="shared" si="789"/>
        <v>-2080.1700000000019</v>
      </c>
      <c r="BO65" s="26">
        <f t="shared" si="789"/>
        <v>-2120.83</v>
      </c>
      <c r="BP65" s="26">
        <f t="shared" si="789"/>
        <v>-1201.2999999999993</v>
      </c>
      <c r="BQ65" s="26">
        <f t="shared" si="789"/>
        <v>-585.02</v>
      </c>
      <c r="BR65" s="26">
        <f t="shared" si="789"/>
        <v>121.33000000000087</v>
      </c>
      <c r="BS65" s="26">
        <f t="shared" si="789"/>
        <v>-1251.8200000000004</v>
      </c>
      <c r="BT65" s="26">
        <f t="shared" si="789"/>
        <v>-524.7299999999982</v>
      </c>
      <c r="BU65" s="26">
        <f t="shared" si="789"/>
        <v>-601.59999999999968</v>
      </c>
      <c r="BV65" s="26">
        <f t="shared" si="789"/>
        <v>321.59999999999968</v>
      </c>
      <c r="BW65" s="26">
        <f t="shared" si="789"/>
        <v>-90.539999999997548</v>
      </c>
      <c r="BX65" s="26">
        <f t="shared" si="789"/>
        <v>-190.12999999999687</v>
      </c>
      <c r="BY65" s="26">
        <f t="shared" si="789"/>
        <v>551.5</v>
      </c>
      <c r="BZ65" s="26">
        <f t="shared" si="789"/>
        <v>2998.3999999999987</v>
      </c>
      <c r="CA65" s="26">
        <f t="shared" si="789"/>
        <v>633.9100000000027</v>
      </c>
      <c r="CB65" s="26">
        <f t="shared" si="789"/>
        <v>1431.7200000000016</v>
      </c>
      <c r="CC65" s="26">
        <f t="shared" si="789"/>
        <v>1058.9899999999977</v>
      </c>
      <c r="CD65" s="26">
        <f t="shared" si="789"/>
        <v>2224.0199999999982</v>
      </c>
      <c r="CE65" s="26">
        <f t="shared" ref="CE65:CF65" si="790">CE62-CE63</f>
        <v>2239</v>
      </c>
      <c r="CF65" s="26">
        <f t="shared" si="790"/>
        <v>688</v>
      </c>
      <c r="CG65" s="26">
        <f t="shared" ref="CG65:CH65" si="791">CG62-CG63</f>
        <v>459.89999999999964</v>
      </c>
      <c r="CH65" s="26">
        <f t="shared" si="791"/>
        <v>547.59999999999854</v>
      </c>
      <c r="CI65" s="26">
        <f t="shared" ref="CI65:CJ65" si="792">CI62-CI63</f>
        <v>1324</v>
      </c>
      <c r="CJ65" s="26">
        <f t="shared" si="792"/>
        <v>1345</v>
      </c>
      <c r="CK65" s="26">
        <f t="shared" ref="CK65:CL65" si="793">CK62-CK63</f>
        <v>2106</v>
      </c>
      <c r="CL65" s="26">
        <f t="shared" si="793"/>
        <v>2186</v>
      </c>
      <c r="CM65" s="27">
        <f t="shared" ref="CM65:DB65" si="794">CM62-CM63</f>
        <v>1203.3440839705352</v>
      </c>
      <c r="CN65" s="27">
        <f t="shared" si="794"/>
        <v>1491.9290931614767</v>
      </c>
      <c r="CO65" s="27">
        <f t="shared" si="794"/>
        <v>1858.5283441736904</v>
      </c>
      <c r="CP65" s="27">
        <f t="shared" si="794"/>
        <v>2027.9744550760536</v>
      </c>
      <c r="CQ65" s="27">
        <f t="shared" si="794"/>
        <v>1361.6436325957989</v>
      </c>
      <c r="CR65" s="27">
        <f t="shared" si="794"/>
        <v>1627.3581616283059</v>
      </c>
      <c r="CS65" s="27">
        <f t="shared" si="794"/>
        <v>2031.2753021294661</v>
      </c>
      <c r="CT65" s="27">
        <f t="shared" si="794"/>
        <v>2332.0162368773481</v>
      </c>
      <c r="CU65" s="27">
        <f t="shared" si="794"/>
        <v>1627.1323778682474</v>
      </c>
      <c r="CV65" s="27">
        <f t="shared" si="794"/>
        <v>1906.8685758887175</v>
      </c>
      <c r="CW65" s="27">
        <f t="shared" si="794"/>
        <v>2359.618239315153</v>
      </c>
      <c r="CX65" s="27">
        <f t="shared" si="794"/>
        <v>2753.7484924638811</v>
      </c>
      <c r="CY65" s="27">
        <f t="shared" si="794"/>
        <v>1776.8238260935395</v>
      </c>
      <c r="CZ65" s="27">
        <f t="shared" si="794"/>
        <v>2085.9868259711052</v>
      </c>
      <c r="DA65" s="27">
        <f t="shared" si="794"/>
        <v>2617.1514040970205</v>
      </c>
      <c r="DB65" s="27">
        <f t="shared" si="794"/>
        <v>3048.5633474425067</v>
      </c>
      <c r="DE65" s="121"/>
      <c r="DF65" s="26">
        <v>2254.4231106233233</v>
      </c>
    </row>
    <row r="66" spans="1:110" s="45" customFormat="1" x14ac:dyDescent="0.2">
      <c r="A66" s="45" t="s">
        <v>107</v>
      </c>
      <c r="B66" s="45" t="e">
        <f t="shared" ref="B66:AE66" si="795">+B65/B32</f>
        <v>#REF!</v>
      </c>
      <c r="C66" s="45" t="e">
        <f t="shared" si="795"/>
        <v>#REF!</v>
      </c>
      <c r="D66" s="45" t="e">
        <f t="shared" si="795"/>
        <v>#REF!</v>
      </c>
      <c r="E66" s="45">
        <f t="shared" si="795"/>
        <v>0.18115294657552627</v>
      </c>
      <c r="F66" s="45">
        <f t="shared" si="795"/>
        <v>0.19128471945087402</v>
      </c>
      <c r="G66" s="45">
        <f t="shared" si="795"/>
        <v>0.16124236410747547</v>
      </c>
      <c r="H66" s="45">
        <f t="shared" si="795"/>
        <v>0.16800964069272756</v>
      </c>
      <c r="I66" s="45">
        <f t="shared" si="795"/>
        <v>0.15554602156907149</v>
      </c>
      <c r="J66" s="45">
        <f t="shared" si="795"/>
        <v>7.9379150699658507E-2</v>
      </c>
      <c r="K66" s="45">
        <f t="shared" si="795"/>
        <v>8.2130192468628044E-2</v>
      </c>
      <c r="L66" s="45">
        <f t="shared" si="795"/>
        <v>8.5803089405278005E-2</v>
      </c>
      <c r="M66" s="45">
        <f t="shared" si="795"/>
        <v>9.0528498583665198E-2</v>
      </c>
      <c r="N66" s="45">
        <f t="shared" si="795"/>
        <v>7.8807352676502587E-2</v>
      </c>
      <c r="O66" s="45">
        <f t="shared" si="795"/>
        <v>3.7024611713082675E-2</v>
      </c>
      <c r="P66" s="45">
        <f t="shared" si="795"/>
        <v>-0.11230628318200762</v>
      </c>
      <c r="Q66" s="45">
        <f t="shared" si="795"/>
        <v>0.11279911089597972</v>
      </c>
      <c r="R66" s="45">
        <f t="shared" si="795"/>
        <v>5.9962660459392858E-2</v>
      </c>
      <c r="S66" s="45">
        <f t="shared" si="795"/>
        <v>2.0250302264136592E-2</v>
      </c>
      <c r="T66" s="45">
        <f t="shared" si="795"/>
        <v>4.1308781768806167E-2</v>
      </c>
      <c r="U66" s="45">
        <f t="shared" si="795"/>
        <v>-9.2342718981811484E-2</v>
      </c>
      <c r="V66" s="45">
        <f t="shared" si="795"/>
        <v>-6.9758575938008979E-2</v>
      </c>
      <c r="W66" s="45">
        <f t="shared" si="795"/>
        <v>-3.5668614885679392E-2</v>
      </c>
      <c r="X66" s="45">
        <f t="shared" si="795"/>
        <v>5.004324232750916E-2</v>
      </c>
      <c r="Y66" s="45">
        <f t="shared" si="795"/>
        <v>7.2957450581831576E-2</v>
      </c>
      <c r="Z66" s="45">
        <f t="shared" ref="Z66:AA66" si="796">+Z65/Z32</f>
        <v>8.4242066293089793E-2</v>
      </c>
      <c r="AA66" s="45">
        <f t="shared" si="796"/>
        <v>8.4242066293089793E-2</v>
      </c>
      <c r="AB66" s="48">
        <f t="shared" si="795"/>
        <v>-5.4492923544336817E-2</v>
      </c>
      <c r="AC66" s="48">
        <f t="shared" si="795"/>
        <v>-4.9550897683422017E-2</v>
      </c>
      <c r="AD66" s="48">
        <f t="shared" si="795"/>
        <v>-4.5841779599126949E-2</v>
      </c>
      <c r="AE66" s="48">
        <f t="shared" si="795"/>
        <v>-4.9270286696060865E-2</v>
      </c>
      <c r="AI66" s="45">
        <f t="shared" ref="AI66:BN66" si="797">+AI65/AI32</f>
        <v>3.460002021459592E-2</v>
      </c>
      <c r="AJ66" s="45">
        <f t="shared" si="797"/>
        <v>8.9883778504551579E-2</v>
      </c>
      <c r="AK66" s="45">
        <f t="shared" si="797"/>
        <v>-4.2364646018989476E-2</v>
      </c>
      <c r="AL66" s="45">
        <f t="shared" si="797"/>
        <v>-2.8024564976386303E-2</v>
      </c>
      <c r="AM66" s="45">
        <f t="shared" si="797"/>
        <v>9.4178702839254988E-2</v>
      </c>
      <c r="AN66" s="45">
        <f t="shared" si="797"/>
        <v>-5.880396236095374E-2</v>
      </c>
      <c r="AO66" s="45">
        <f t="shared" si="797"/>
        <v>-8.4636799246299785E-2</v>
      </c>
      <c r="AP66" s="45">
        <f t="shared" si="797"/>
        <v>-8.7984422192290912E-2</v>
      </c>
      <c r="AQ66" s="45">
        <f t="shared" si="797"/>
        <v>5.4314475726693567E-2</v>
      </c>
      <c r="AR66" s="45">
        <f t="shared" si="797"/>
        <v>-0.20777460900723049</v>
      </c>
      <c r="AS66" s="45">
        <f t="shared" si="797"/>
        <v>-0.17433701999098955</v>
      </c>
      <c r="AT66" s="45">
        <f t="shared" si="797"/>
        <v>-9.8288434647468226E-2</v>
      </c>
      <c r="AU66" s="45">
        <f t="shared" si="797"/>
        <v>-4.3649857360419112E-4</v>
      </c>
      <c r="AV66" s="45">
        <f t="shared" si="797"/>
        <v>1.5242633740084972E-3</v>
      </c>
      <c r="AW66" s="45">
        <f t="shared" si="797"/>
        <v>4.5430147413956902E-3</v>
      </c>
      <c r="AX66" s="45">
        <f t="shared" si="797"/>
        <v>3.0351540038501029E-2</v>
      </c>
      <c r="AY66" s="45">
        <f t="shared" si="797"/>
        <v>1.0162570021341572E-2</v>
      </c>
      <c r="AZ66" s="45">
        <f t="shared" si="797"/>
        <v>-6.8200584117944024E-2</v>
      </c>
      <c r="BA66" s="45">
        <f t="shared" si="797"/>
        <v>-9.808905463959354E-2</v>
      </c>
      <c r="BB66" s="45">
        <f t="shared" si="797"/>
        <v>-5.6937677083041545E-2</v>
      </c>
      <c r="BC66" s="45">
        <f t="shared" si="797"/>
        <v>-5.1819908404876172E-2</v>
      </c>
      <c r="BD66" s="45">
        <f t="shared" si="797"/>
        <v>-1.5257931000494766E-2</v>
      </c>
      <c r="BE66" s="45">
        <f t="shared" si="797"/>
        <v>4.5719970505669269E-3</v>
      </c>
      <c r="BF66" s="45">
        <f t="shared" si="797"/>
        <v>2.9069870539798426E-2</v>
      </c>
      <c r="BG66" s="45">
        <f t="shared" si="797"/>
        <v>8.2921788858643861E-2</v>
      </c>
      <c r="BH66" s="45">
        <f t="shared" si="797"/>
        <v>2.8356821364638782E-2</v>
      </c>
      <c r="BI66" s="45">
        <f t="shared" si="797"/>
        <v>2.7301271558465949E-2</v>
      </c>
      <c r="BJ66" s="45">
        <f t="shared" si="797"/>
        <v>5.9316614416684435E-3</v>
      </c>
      <c r="BK66" s="45">
        <f t="shared" si="797"/>
        <v>-9.4608187143263075E-3</v>
      </c>
      <c r="BL66" s="45">
        <f t="shared" si="797"/>
        <v>-0.14227517079180207</v>
      </c>
      <c r="BM66" s="45">
        <f t="shared" si="797"/>
        <v>-9.6723112153471569E-2</v>
      </c>
      <c r="BN66" s="45">
        <f t="shared" si="797"/>
        <v>-0.2137262698464073</v>
      </c>
      <c r="BO66" s="45">
        <f t="shared" ref="BO66:CT66" si="798">+BO65/BO32</f>
        <v>-0.78933108040210354</v>
      </c>
      <c r="BP66" s="45">
        <f t="shared" si="798"/>
        <v>-0.12425398992563164</v>
      </c>
      <c r="BQ66" s="45">
        <f t="shared" si="798"/>
        <v>-3.9986056621054498E-2</v>
      </c>
      <c r="BR66" s="45">
        <f t="shared" si="798"/>
        <v>6.0526092617443393E-3</v>
      </c>
      <c r="BS66" s="45">
        <f t="shared" si="798"/>
        <v>-0.10515793178704308</v>
      </c>
      <c r="BT66" s="45">
        <f t="shared" si="798"/>
        <v>-4.7719993233915375E-2</v>
      </c>
      <c r="BU66" s="45">
        <f t="shared" si="798"/>
        <v>-4.8701587820717249E-2</v>
      </c>
      <c r="BV66" s="45">
        <f t="shared" si="798"/>
        <v>1.8548563380314166E-2</v>
      </c>
      <c r="BW66" s="45">
        <f t="shared" si="798"/>
        <v>-6.0869518449096259E-3</v>
      </c>
      <c r="BX66" s="45">
        <f t="shared" si="798"/>
        <v>-1.2720465545087092E-2</v>
      </c>
      <c r="BY66" s="45">
        <f t="shared" si="798"/>
        <v>3.4918367631211387E-2</v>
      </c>
      <c r="BZ66" s="45">
        <f t="shared" si="798"/>
        <v>0.1488621114052982</v>
      </c>
      <c r="CA66" s="45">
        <f t="shared" si="798"/>
        <v>4.0038351322621825E-2</v>
      </c>
      <c r="CB66" s="45">
        <f t="shared" si="798"/>
        <v>7.7216220734884156E-2</v>
      </c>
      <c r="CC66" s="45">
        <f t="shared" si="798"/>
        <v>5.6725853520571357E-2</v>
      </c>
      <c r="CD66" s="45">
        <f t="shared" si="798"/>
        <v>0.10977263842876483</v>
      </c>
      <c r="CE66" s="45">
        <f t="shared" si="798"/>
        <v>0.13278377416676551</v>
      </c>
      <c r="CF66" s="45">
        <f t="shared" si="798"/>
        <v>4.4335610259054005E-2</v>
      </c>
      <c r="CG66" s="45">
        <f t="shared" si="798"/>
        <v>2.6989436619718289E-2</v>
      </c>
      <c r="CH66" s="45">
        <f t="shared" si="798"/>
        <v>2.738136906845335E-2</v>
      </c>
      <c r="CI66" s="45">
        <f t="shared" ref="CI66:CJ66" si="799">+CI65/CI32</f>
        <v>8.4428006631807162E-2</v>
      </c>
      <c r="CJ66" s="45">
        <f t="shared" si="799"/>
        <v>7.8434802892465599E-2</v>
      </c>
      <c r="CK66" s="45">
        <f t="shared" ref="CK66:CL66" si="800">+CK65/CK32</f>
        <v>0.10207939508506617</v>
      </c>
      <c r="CL66" s="45">
        <f t="shared" si="800"/>
        <v>8.8444732157307013E-2</v>
      </c>
      <c r="CM66" s="48">
        <f t="shared" si="798"/>
        <v>6.8923152795287781E-2</v>
      </c>
      <c r="CN66" s="48">
        <f t="shared" si="798"/>
        <v>7.7179032125023778E-2</v>
      </c>
      <c r="CO66" s="48">
        <f t="shared" si="798"/>
        <v>7.9319330096417021E-2</v>
      </c>
      <c r="CP66" s="48">
        <f t="shared" si="798"/>
        <v>7.4708319744407961E-2</v>
      </c>
      <c r="CQ66" s="48">
        <f t="shared" si="798"/>
        <v>7.1173542198288919E-2</v>
      </c>
      <c r="CR66" s="48">
        <f t="shared" si="798"/>
        <v>7.7005914856295099E-2</v>
      </c>
      <c r="CS66" s="48">
        <f t="shared" si="798"/>
        <v>7.9932815883748565E-2</v>
      </c>
      <c r="CT66" s="48">
        <f t="shared" si="798"/>
        <v>8.0301181675605959E-2</v>
      </c>
      <c r="CU66" s="48">
        <f t="shared" ref="CU66:DB66" si="801">+CU65/CU32</f>
        <v>7.6784620742303814E-2</v>
      </c>
      <c r="CV66" s="48">
        <f t="shared" si="801"/>
        <v>8.111624208586693E-2</v>
      </c>
      <c r="CW66" s="48">
        <f t="shared" si="801"/>
        <v>8.3142022997911583E-2</v>
      </c>
      <c r="CX66" s="48">
        <f t="shared" si="801"/>
        <v>8.4473372512540737E-2</v>
      </c>
      <c r="CY66" s="48">
        <f t="shared" si="801"/>
        <v>7.5236069550576781E-2</v>
      </c>
      <c r="CZ66" s="48">
        <f t="shared" si="801"/>
        <v>7.9369739198172015E-2</v>
      </c>
      <c r="DA66" s="48">
        <f t="shared" si="801"/>
        <v>8.2406255420886032E-2</v>
      </c>
      <c r="DB66" s="48">
        <f t="shared" si="801"/>
        <v>8.3712338036988271E-2</v>
      </c>
      <c r="DE66" s="130"/>
      <c r="DF66" s="45">
        <v>9.2783637271738134E-2</v>
      </c>
    </row>
    <row r="67" spans="1:110" s="39" customFormat="1" x14ac:dyDescent="0.2">
      <c r="A67" s="39" t="s">
        <v>453</v>
      </c>
      <c r="C67" s="39" t="e">
        <f>+C65/B65-1</f>
        <v>#REF!</v>
      </c>
      <c r="D67" s="39" t="e">
        <f>+D65/C65-1</f>
        <v>#REF!</v>
      </c>
      <c r="F67" s="39">
        <f t="shared" ref="F67:T67" si="802">+F65/E65-1</f>
        <v>0.39974374698848081</v>
      </c>
      <c r="G67" s="39">
        <f t="shared" si="802"/>
        <v>-3.1002172342662337E-2</v>
      </c>
      <c r="H67" s="39">
        <f t="shared" si="802"/>
        <v>0.39803912597660296</v>
      </c>
      <c r="I67" s="39">
        <f t="shared" si="802"/>
        <v>-3.7551880000308957E-2</v>
      </c>
      <c r="J67" s="39">
        <f t="shared" si="802"/>
        <v>-0.56048971819801863</v>
      </c>
      <c r="K67" s="39">
        <f>+K65/J65-1</f>
        <v>0.39614449935832186</v>
      </c>
      <c r="L67" s="39">
        <f t="shared" si="802"/>
        <v>0.42202708076640105</v>
      </c>
      <c r="M67" s="39">
        <f t="shared" si="802"/>
        <v>0.1973996156995379</v>
      </c>
      <c r="N67" s="39">
        <f t="shared" si="802"/>
        <v>-0.27879000136421395</v>
      </c>
      <c r="O67" s="39">
        <f t="shared" si="802"/>
        <v>-0.64264617731746054</v>
      </c>
      <c r="P67" s="39">
        <f t="shared" si="802"/>
        <v>-4.1749706755676499</v>
      </c>
      <c r="Q67" s="39">
        <f t="shared" si="802"/>
        <v>-2.2615384660313964</v>
      </c>
      <c r="R67" s="39">
        <f t="shared" si="802"/>
        <v>-0.44805198417775982</v>
      </c>
      <c r="S67" s="39">
        <f t="shared" si="802"/>
        <v>-0.59758830506025395</v>
      </c>
      <c r="T67" s="39">
        <f t="shared" si="802"/>
        <v>1.4018919437927009</v>
      </c>
      <c r="U67" s="39">
        <f>+U65/T65-1</f>
        <v>-2.4242709705676835</v>
      </c>
      <c r="V67" s="39">
        <f>+V65/U65-1</f>
        <v>-0.19122836990212633</v>
      </c>
      <c r="W67" s="39">
        <f>W65/V65-1</f>
        <v>-0.49126677087797488</v>
      </c>
      <c r="X67" s="39">
        <f>X65/W65-1</f>
        <v>-2.9519821097026457</v>
      </c>
      <c r="Y67" s="39">
        <f>Y65/X65-1</f>
        <v>0.62518119190084231</v>
      </c>
      <c r="Z67" s="39">
        <f>Z65/Y65-1</f>
        <v>9.3492894540014859E-2</v>
      </c>
      <c r="AA67" s="39">
        <f>AA65/Z65-1</f>
        <v>0</v>
      </c>
      <c r="AB67" s="40">
        <f t="shared" ref="AB67" si="803">+AB65/AA65-1</f>
        <v>-1.8140967298559523</v>
      </c>
      <c r="AC67" s="40">
        <f t="shared" ref="AC67" si="804">+AC65/AB65-1</f>
        <v>-1.4179650856912307E-2</v>
      </c>
      <c r="AD67" s="40">
        <f t="shared" ref="AD67" si="805">+AD65/AC65-1</f>
        <v>3.2205412919148246E-2</v>
      </c>
      <c r="AE67" s="40">
        <f t="shared" ref="AE67" si="806">+AE65/AD65-1</f>
        <v>0.2008673903302558</v>
      </c>
      <c r="AM67" s="39">
        <f>+IF(AI65&lt;0,1-AM65/AI65,AM65/AI65-1)</f>
        <v>1.3409047476043461</v>
      </c>
      <c r="AN67" s="39">
        <f t="shared" ref="AN67" si="807">+IF(AJ65&lt;0,1-AN65/AJ65,AN65/AJ65-1)</f>
        <v>-1.4648488684072132</v>
      </c>
      <c r="AO67" s="39">
        <f t="shared" ref="AO67" si="808">+IF(AK65&lt;0,1-AO65/AK65,AO65/AK65-1)</f>
        <v>-0.46023004840786608</v>
      </c>
      <c r="AP67" s="39">
        <f t="shared" ref="AP67" si="809">+IF(AL65&lt;0,1-AP65/AL65,AP65/AL65-1)</f>
        <v>-1.4240577747686864</v>
      </c>
      <c r="AQ67" s="39">
        <f t="shared" ref="AQ67" si="810">+IF(AM65&lt;0,1-AQ65/AM65,AQ65/AM65-1)</f>
        <v>-0.5119482185550166</v>
      </c>
      <c r="AR67" s="39">
        <f t="shared" ref="AR67" si="811">+IF(AN65&lt;0,1-AR65/AN65,AR65/AN65-1)</f>
        <v>-2.4869798657718132</v>
      </c>
      <c r="AS67" s="39">
        <f t="shared" ref="AS67" si="812">+IF(AO65&lt;0,1-AS65/AO65,AS65/AO65-1)</f>
        <v>-1.4008667883211756</v>
      </c>
      <c r="AT67" s="39">
        <f t="shared" ref="AT67" si="813">+IF(AP65&lt;0,1-AT65/AP65,AT65/AP65-1)</f>
        <v>-0.40977828613988931</v>
      </c>
      <c r="AU67" s="39">
        <f t="shared" ref="AU67" si="814">+IF(AQ65&lt;0,1-AU65/AQ65,AU65/AQ65-1)</f>
        <v>-1.0097256738673299</v>
      </c>
      <c r="AV67" s="39">
        <f t="shared" ref="AV67" si="815">+IF(AR65&lt;0,1-AV65/AR65,AV65/AR65-1)</f>
        <v>1.00896362856483</v>
      </c>
      <c r="AW67" s="39">
        <f t="shared" ref="AW67" si="816">+IF(AS65&lt;0,1-AW65/AS65,AW65/AS65-1)</f>
        <v>1.0288951805473743</v>
      </c>
      <c r="AX67" s="39">
        <f t="shared" ref="AX67" si="817">+IF(AT65&lt;0,1-AX65/AT65,AX65/AT65-1)</f>
        <v>1.3665103729350843</v>
      </c>
      <c r="AY67" s="39">
        <f t="shared" ref="AY67" si="818">+IF(AU65&lt;0,1-AY65/AU65,AY65/AU65-1)</f>
        <v>26.69287469287314</v>
      </c>
      <c r="AZ67" s="39">
        <f t="shared" ref="AZ67" si="819">+IF(AV65&lt;0,1-AZ65/AV65,AZ65/AV65-1)</f>
        <v>-44.021472392635623</v>
      </c>
      <c r="BA67" s="39">
        <f t="shared" ref="BA67" si="820">+IF(AW65&lt;0,1-BA65/AW65,BA65/AW65-1)</f>
        <v>-22.943007452871647</v>
      </c>
      <c r="BB67" s="39">
        <f t="shared" ref="BB67" si="821">+IF(AX65&lt;0,1-BB65/AX65,BB65/AX65-1)</f>
        <v>-2.9894463177945272</v>
      </c>
      <c r="BC67" s="39">
        <f t="shared" ref="BC67" si="822">+IF(AY65&lt;0,1-BC65/AY65,BC65/AY65-1)</f>
        <v>-5.5034904848427564</v>
      </c>
      <c r="BD67" s="39">
        <f t="shared" ref="BD67" si="823">+IF(AZ65&lt;0,1-BD65/AZ65,BD65/AZ65-1)</f>
        <v>0.69977896613191204</v>
      </c>
      <c r="BE67" s="39">
        <f t="shared" ref="BE67" si="824">+IF(BA65&lt;0,1-BE65/BA65,BE65/BA65-1)</f>
        <v>1.0729041796531598</v>
      </c>
      <c r="BF67" s="39">
        <f t="shared" ref="BF67" si="825">+IF(BB65&lt;0,1-BF65/BB65,BF65/BB65-1)</f>
        <v>1.7211598178242487</v>
      </c>
      <c r="BG67" s="39">
        <f t="shared" ref="BG67" si="826">+IF(BC65&lt;0,1-BG65/BC65,BG65/BC65-1)</f>
        <v>3.9361476227889338</v>
      </c>
      <c r="BH67" s="39">
        <f t="shared" ref="BH67" si="827">+IF(BD65&lt;0,1-BH65/BD65,BH65/BD65-1)</f>
        <v>3.3919631406450605</v>
      </c>
      <c r="BI67" s="39">
        <f t="shared" ref="BI67" si="828">+IF(BE65&lt;0,1-BI65/BE65,BI65/BE65-1)</f>
        <v>5.063167991230582</v>
      </c>
      <c r="BJ67" s="39">
        <f t="shared" ref="BJ67" si="829">+IF(BF65&lt;0,1-BJ65/BF65,BJ65/BF65-1)</f>
        <v>-0.80246514882394393</v>
      </c>
      <c r="BK67" s="39">
        <f t="shared" ref="BK67" si="830">+IF(BG65&lt;0,1-BK65/BG65,BK65/BG65-1)</f>
        <v>-1.0913561675538075</v>
      </c>
      <c r="BL67" s="39">
        <f t="shared" ref="BL67" si="831">+IF(BH65&lt;0,1-BL65/BH65,BL65/BH65-1)</f>
        <v>-3.8254100639421917</v>
      </c>
      <c r="BM67" s="39">
        <f t="shared" ref="BM67" si="832">+IF(BI65&lt;0,1-BM65/BI65,BM65/BI65-1)</f>
        <v>-3.3701326583651472</v>
      </c>
      <c r="BN67" s="39">
        <f t="shared" ref="BN67" si="833">+IF(BJ65&lt;0,1-BN65/BJ65,BN65/BJ65-1)</f>
        <v>-19.893460490463394</v>
      </c>
      <c r="BO67" s="39">
        <f t="shared" ref="BO67" si="834">+IF(BK65&lt;0,1-BO65/BK65,BO65/BK65-1)</f>
        <v>-15.789344521849195</v>
      </c>
      <c r="BP67" s="39">
        <f t="shared" ref="BP67" si="835">+IF(BL65&lt;0,1-BP65/BL65,BP65/BL65-1)</f>
        <v>0.15569081120591588</v>
      </c>
      <c r="BQ67" s="39">
        <f t="shared" ref="BQ67" si="836">+IF(BM65&lt;0,1-BQ65/BM65,BQ65/BM65-1)</f>
        <v>0.4421793355963225</v>
      </c>
      <c r="BR67" s="39">
        <f t="shared" ref="BR67" si="837">+IF(BN65&lt;0,1-BR65/BN65,BR65/BN65-1)</f>
        <v>1.0583269636616242</v>
      </c>
      <c r="BS67" s="39">
        <f t="shared" ref="BS67" si="838">+IF(BO65&lt;0,1-BS65/BO65,BS65/BO65-1)</f>
        <v>0.409749956385</v>
      </c>
      <c r="BT67" s="39">
        <f t="shared" ref="BT67" si="839">+IF(BP65&lt;0,1-BT65/BP65,BT65/BP65-1)</f>
        <v>0.56319820194789094</v>
      </c>
      <c r="BU67" s="39">
        <f t="shared" ref="BU67" si="840">+IF(BQ65&lt;0,1-BU65/BQ65,BU65/BQ65-1)</f>
        <v>-2.834091142183115E-2</v>
      </c>
      <c r="BV67" s="39">
        <f t="shared" ref="BV67" si="841">+IF(BR65&lt;0,1-BV65/BR65,BV65/BR65-1)</f>
        <v>1.6506222698425566</v>
      </c>
      <c r="BW67" s="39">
        <f t="shared" ref="BW67" si="842">+IF(BS65&lt;0,1-BW65/BS65,BW65/BS65-1)</f>
        <v>0.9276733076640431</v>
      </c>
      <c r="BX67" s="39">
        <f t="shared" ref="BX67" si="843">+IF(BT65&lt;0,1-BX65/BT65,BX65/BT65-1)</f>
        <v>0.63766127341680956</v>
      </c>
      <c r="BY67" s="39">
        <f t="shared" ref="BY67" si="844">+IF(BU65&lt;0,1-BY65/BU65,BY65/BU65-1)</f>
        <v>1.9167220744680855</v>
      </c>
      <c r="BZ67" s="39">
        <f t="shared" ref="BZ67" si="845">+IF(BV65&lt;0,1-BZ65/BV65,BZ65/BV65-1)</f>
        <v>8.3233830845771202</v>
      </c>
      <c r="CA67" s="39">
        <f t="shared" ref="CA67" si="846">+IF(BW65&lt;0,1-CA65/BW65,CA65/BW65-1)</f>
        <v>8.0014358294678587</v>
      </c>
      <c r="CB67" s="39">
        <f t="shared" ref="CB67" si="847">+IF(BX65&lt;0,1-CB65/BX65,CB65/BX65-1)</f>
        <v>8.5302161678852642</v>
      </c>
      <c r="CC67" s="39">
        <f t="shared" ref="CC67" si="848">+IF(BY65&lt;0,1-CC65/BY65,CC65/BY65-1)</f>
        <v>0.92019945602900766</v>
      </c>
      <c r="CD67" s="39">
        <f t="shared" ref="CD67" si="849">+IF(BZ65&lt;0,1-CD65/BZ65,CD65/BZ65-1)</f>
        <v>-0.25826440768409853</v>
      </c>
      <c r="CE67" s="39">
        <f t="shared" ref="CE67" si="850">+IF(CA65&lt;0,1-CE65/CA65,CE65/CA65-1)</f>
        <v>2.5320471360287589</v>
      </c>
      <c r="CF67" s="39">
        <f t="shared" ref="CF67" si="851">+IF(CB65&lt;0,1-CF65/CB65,CF65/CB65-1)</f>
        <v>-0.51945911211689488</v>
      </c>
      <c r="CG67" s="39">
        <f t="shared" ref="CG67" si="852">+IF(CC65&lt;0,1-CG65/CC65,CG65/CC65-1)</f>
        <v>-0.56571827873728675</v>
      </c>
      <c r="CH67" s="39">
        <f t="shared" ref="CH67:CL67" si="853">+IF(CD65&lt;0,1-CH65/CD65,CH65/CD65-1)</f>
        <v>-0.75377919263316029</v>
      </c>
      <c r="CI67" s="39">
        <f t="shared" si="853"/>
        <v>-0.40866458240285841</v>
      </c>
      <c r="CJ67" s="39">
        <f t="shared" si="853"/>
        <v>0.95494186046511631</v>
      </c>
      <c r="CK67" s="39">
        <f t="shared" si="853"/>
        <v>3.5792563600782819</v>
      </c>
      <c r="CL67" s="39">
        <f t="shared" si="853"/>
        <v>2.9919649379108946</v>
      </c>
      <c r="CM67" s="40">
        <f t="shared" ref="CM67" si="854">+CM65/CI65-1</f>
        <v>-9.1129845943704546E-2</v>
      </c>
      <c r="CN67" s="40">
        <f t="shared" ref="CN67" si="855">+CN65/CJ65-1</f>
        <v>0.10924096145834694</v>
      </c>
      <c r="CO67" s="40">
        <f t="shared" ref="CO67" si="856">+CO65/CK65-1</f>
        <v>-0.11750790874943473</v>
      </c>
      <c r="CP67" s="40">
        <f t="shared" ref="CP67" si="857">+CP65/CL65-1</f>
        <v>-7.2289819269874878E-2</v>
      </c>
      <c r="CQ67" s="40">
        <f t="shared" ref="CQ67" si="858">+CQ65/CM65-1</f>
        <v>0.13154969616249823</v>
      </c>
      <c r="CR67" s="40">
        <f t="shared" ref="CR67" si="859">+CR65/CN65-1</f>
        <v>9.0774467156376604E-2</v>
      </c>
      <c r="CS67" s="40">
        <f t="shared" ref="CS67" si="860">+CS65/CO65-1</f>
        <v>9.2948250424762735E-2</v>
      </c>
      <c r="CT67" s="40">
        <f t="shared" ref="CT67" si="861">+CT65/CP65-1</f>
        <v>0.14992387159526244</v>
      </c>
      <c r="CU67" s="40">
        <f t="shared" ref="CU67" si="862">+CU65/CQ65-1</f>
        <v>0.19497667298331822</v>
      </c>
      <c r="CV67" s="40">
        <f t="shared" ref="CV67" si="863">+CV65/CR65-1</f>
        <v>0.17175715884248755</v>
      </c>
      <c r="CW67" s="40">
        <f t="shared" ref="CW67" si="864">+CW65/CS65-1</f>
        <v>0.16164374018700078</v>
      </c>
      <c r="CX67" s="40">
        <f t="shared" ref="CX67" si="865">+CX65/CT65-1</f>
        <v>0.18084447651670188</v>
      </c>
      <c r="CY67" s="40">
        <f t="shared" ref="CY67" si="866">+CY65/CU65-1</f>
        <v>9.1997092714366069E-2</v>
      </c>
      <c r="CZ67" s="40">
        <f t="shared" ref="CZ67" si="867">+CZ65/CV65-1</f>
        <v>9.393319096409547E-2</v>
      </c>
      <c r="DA67" s="40">
        <f t="shared" ref="DA67" si="868">+DA65/CW65-1</f>
        <v>0.10914187748294957</v>
      </c>
      <c r="DB67" s="40">
        <f t="shared" ref="DB67" si="869">+DB65/CX65-1</f>
        <v>0.10705947031308005</v>
      </c>
      <c r="DE67" s="122"/>
      <c r="DF67" s="39">
        <v>0.35972443342781868</v>
      </c>
    </row>
    <row r="68" spans="1:110" s="39" customFormat="1" x14ac:dyDescent="0.2">
      <c r="A68" s="39" t="s">
        <v>454</v>
      </c>
      <c r="AB68" s="40"/>
      <c r="AC68" s="40"/>
      <c r="AD68" s="40"/>
      <c r="AE68" s="40"/>
      <c r="AJ68" s="39">
        <f>+IF(AI65&lt;0,1-AJ65/AI65,AJ65/AI65-1)</f>
        <v>2.0627917770072854</v>
      </c>
      <c r="AK68" s="39">
        <f t="shared" ref="AK68:AM68" si="870">+IF(AJ65&lt;0,1-AK65/AJ65,AK65/AJ65-1)</f>
        <v>-1.401419059249289</v>
      </c>
      <c r="AL68" s="39">
        <f t="shared" si="870"/>
        <v>0.31125371941200264</v>
      </c>
      <c r="AM68" s="39">
        <f t="shared" si="870"/>
        <v>3.7644517522648893</v>
      </c>
      <c r="AN68" s="39">
        <f t="shared" ref="AN68" si="871">+IF(AM65&lt;0,1-AN65/AM65,AN65/AM65-1)</f>
        <v>-1.6081987287888531</v>
      </c>
      <c r="AO68" s="39">
        <f t="shared" ref="AO68" si="872">+IF(AN65&lt;0,1-AO65/AN65,AO65/AN65-1)</f>
        <v>-0.26097794822626619</v>
      </c>
      <c r="AP68" s="39">
        <f t="shared" ref="AP68" si="873">+IF(AO65&lt;0,1-AP65/AO65,AP65/AO65-1)</f>
        <v>-0.14335462287104961</v>
      </c>
      <c r="AQ68" s="39">
        <f t="shared" ref="AQ68" si="874">+IF(AP65&lt;0,1-AQ65/AP65,AQ65/AP65-1)</f>
        <v>1.5565855799539807</v>
      </c>
      <c r="AR68" s="39">
        <f t="shared" ref="AR68" si="875">+IF(AQ65&lt;0,1-AR65/AQ65,AR65/AQ65-1)</f>
        <v>-5.3453928503154353</v>
      </c>
      <c r="AS68" s="39">
        <f t="shared" ref="AS68" si="876">+IF(AR65&lt;0,1-AS65/AR65,AS65/AR65-1)</f>
        <v>0.13178733653751007</v>
      </c>
      <c r="AT68" s="39">
        <f t="shared" ref="AT68" si="877">+IF(AS65&lt;0,1-AT65/AS65,AT65/AS65-1)</f>
        <v>0.32862725723804753</v>
      </c>
      <c r="AU68" s="39">
        <f t="shared" ref="AU68" si="878">+IF(AT65&lt;0,1-AU65/AT65,AU65/AT65-1)</f>
        <v>0.99616026868684948</v>
      </c>
      <c r="AV68" s="39">
        <f t="shared" ref="AV68" si="879">+IF(AU65&lt;0,1-AV65/AU65,AV65/AU65-1)</f>
        <v>5.0049140049140366</v>
      </c>
      <c r="AW68" s="39">
        <f t="shared" ref="AW68" si="880">+IF(AV65&lt;0,1-AW65/AV65,AW65/AV65-1)</f>
        <v>1.7987730061347995</v>
      </c>
      <c r="AX68" s="39">
        <f t="shared" ref="AX68" si="881">+IF(AW65&lt;0,1-AX65/AW65,AX65/AW65-1)</f>
        <v>7.5157825515125456</v>
      </c>
      <c r="AY68" s="39">
        <f t="shared" ref="AY68" si="882">+IF(AX65&lt;0,1-AY65/AX65,AY65/AX65-1)</f>
        <v>-0.7308296223841062</v>
      </c>
      <c r="AZ68" s="39">
        <f t="shared" ref="AZ68" si="883">+IF(AY65&lt;0,1-AZ65/AY65,AZ65/AY65-1)</f>
        <v>-7.7060342354404572</v>
      </c>
      <c r="BA68" s="39">
        <f t="shared" ref="BA68" si="884">+IF(AZ65&lt;0,1-BA65/AZ65,BA65/AZ65-1)</f>
        <v>-0.42750802139037436</v>
      </c>
      <c r="BB68" s="39">
        <f t="shared" ref="BB68" si="885">+IF(BA65&lt;0,1-BB65/BA65,BB65/BA65-1)</f>
        <v>0.22792296012147661</v>
      </c>
      <c r="BC68" s="39">
        <f t="shared" ref="BC68" si="886">+IF(BB65&lt;0,1-BC65/BB65,BC65/BB65-1)</f>
        <v>0.39068160645895467</v>
      </c>
      <c r="BD68" s="39">
        <f t="shared" ref="BD68" si="887">+IF(BC65&lt;0,1-BD65/BC65,BD65/BC65-1)</f>
        <v>0.55294842120910515</v>
      </c>
      <c r="BE68" s="39">
        <f t="shared" ref="BE68" si="888">+IF(BD65&lt;0,1-BE65/BD65,BE65/BD65-1)</f>
        <v>1.3466489336436618</v>
      </c>
      <c r="BF68" s="39">
        <f t="shared" ref="BF68" si="889">+IF(BE65&lt;0,1-BF65/BE65,BF65/BE65-1)</f>
        <v>6.6372978898329826</v>
      </c>
      <c r="BG68" s="39">
        <f t="shared" ref="BG68" si="890">+IF(BF65&lt;0,1-BG65/BF65,BG65/BF65-1)</f>
        <v>1.4807937276853593</v>
      </c>
      <c r="BH68" s="39">
        <f t="shared" ref="BH68" si="891">+IF(BG65&lt;0,1-BH65/BG65,BH65/BG65-1)</f>
        <v>-0.63580479055774275</v>
      </c>
      <c r="BI68" s="39">
        <f t="shared" ref="BI68" si="892">+IF(BH65&lt;0,1-BI65/BH65,BI65/BH65-1)</f>
        <v>-0.12131141030222703</v>
      </c>
      <c r="BJ68" s="39">
        <f t="shared" ref="BJ68" si="893">+IF(BI65&lt;0,1-BJ65/BI65,BJ65/BI65-1)</f>
        <v>-0.75118081764559974</v>
      </c>
      <c r="BK68" s="39">
        <f t="shared" ref="BK68" si="894">+IF(BJ65&lt;0,1-BK65/BJ65,BK65/BJ65-1)</f>
        <v>-2.1473206176203599</v>
      </c>
      <c r="BL68" s="39">
        <f t="shared" ref="BL68" si="895">+IF(BK65&lt;0,1-BL65/BK65,BL65/BK65-1)</f>
        <v>-10.263616212792861</v>
      </c>
      <c r="BM68" s="39">
        <f t="shared" ref="BM68" si="896">+IF(BL65&lt;0,1-BM65/BL65,BM65/BL65-1)</f>
        <v>0.26290043716000766</v>
      </c>
      <c r="BN68" s="39">
        <f t="shared" ref="BN68" si="897">+IF(BM65&lt;0,1-BN65/BM65,BN65/BM65-1)</f>
        <v>-0.98345665357184209</v>
      </c>
      <c r="BO68" s="39">
        <f t="shared" ref="BO68" si="898">+IF(BN65&lt;0,1-BO65/BN65,BO65/BN65-1)</f>
        <v>-1.9546479374281001E-2</v>
      </c>
      <c r="BP68" s="39">
        <f t="shared" ref="BP68" si="899">+IF(BO65&lt;0,1-BP65/BO65,BP65/BO65-1)</f>
        <v>0.43357081897181793</v>
      </c>
      <c r="BQ68" s="39">
        <f t="shared" ref="BQ68" si="900">+IF(BP65&lt;0,1-BQ65/BP65,BQ65/BP65-1)</f>
        <v>0.51301090485307554</v>
      </c>
      <c r="BR68" s="39">
        <f t="shared" ref="BR68" si="901">+IF(BQ65&lt;0,1-BR65/BQ65,BR65/BQ65-1)</f>
        <v>1.2073946189873865</v>
      </c>
      <c r="BS68" s="39">
        <f t="shared" ref="BS68" si="902">+IF(BR65&lt;0,1-BS65/BR65,BS65/BR65-1)</f>
        <v>-11.317481249484805</v>
      </c>
      <c r="BT68" s="39">
        <f t="shared" ref="BT68" si="903">+IF(BS65&lt;0,1-BT65/BS65,BT65/BS65-1)</f>
        <v>0.58082631688262043</v>
      </c>
      <c r="BU68" s="39">
        <f t="shared" ref="BU68" si="904">+IF(BT65&lt;0,1-BU65/BT65,BU65/BT65-1)</f>
        <v>-0.14649438758981148</v>
      </c>
      <c r="BV68" s="39">
        <f t="shared" ref="BV68" si="905">+IF(BU65&lt;0,1-BV65/BU65,BV65/BU65-1)</f>
        <v>1.5345744680851061</v>
      </c>
      <c r="BW68" s="39">
        <f t="shared" ref="BW68" si="906">+IF(BV65&lt;0,1-BW65/BV65,BW65/BV65-1)</f>
        <v>-1.2815298507462614</v>
      </c>
      <c r="BX68" s="39">
        <f t="shared" ref="BX68" si="907">+IF(BW65&lt;0,1-BX65/BW65,BX65/BW65-1)</f>
        <v>-1.0999558206317874</v>
      </c>
      <c r="BY68" s="39">
        <f t="shared" ref="BY68" si="908">+IF(BX65&lt;0,1-BY65/BX65,BY65/BX65-1)</f>
        <v>3.9006469257876666</v>
      </c>
      <c r="BZ68" s="39">
        <f t="shared" ref="BZ68" si="909">+IF(BY65&lt;0,1-BZ65/BY65,BZ65/BY65-1)</f>
        <v>4.4368087035358093</v>
      </c>
      <c r="CA68" s="39">
        <f t="shared" ref="CA68" si="910">+IF(BZ65&lt;0,1-CA65/BZ65,CA65/BZ65-1)</f>
        <v>-0.78858391141942275</v>
      </c>
      <c r="CB68" s="39">
        <f t="shared" ref="CB68" si="911">+IF(CA65&lt;0,1-CB65/CA65,CB65/CA65-1)</f>
        <v>1.2585540534145156</v>
      </c>
      <c r="CC68" s="39">
        <f t="shared" ref="CC68" si="912">+IF(CB65&lt;0,1-CC65/CB65,CC65/CB65-1)</f>
        <v>-0.26033721677423205</v>
      </c>
      <c r="CD68" s="39">
        <f t="shared" ref="CD68" si="913">+IF(CC65&lt;0,1-CD65/CC65,CD65/CC65-1)</f>
        <v>1.1001331457332015</v>
      </c>
      <c r="CE68" s="39">
        <f t="shared" ref="CE68" si="914">+IF(CD65&lt;0,1-CE65/CD65,CE65/CD65-1)</f>
        <v>6.7355509392910129E-3</v>
      </c>
      <c r="CF68" s="39">
        <f t="shared" ref="CF68" si="915">+IF(CE65&lt;0,1-CF65/CE65,CF65/CE65-1)</f>
        <v>-0.69271996426976323</v>
      </c>
      <c r="CG68" s="39">
        <f t="shared" ref="CG68" si="916">+IF(CF65&lt;0,1-CG65/CF65,CG65/CF65-1)</f>
        <v>-0.33154069767441918</v>
      </c>
      <c r="CH68" s="39">
        <f t="shared" ref="CH68:CL68" si="917">+IF(CG65&lt;0,1-CH65/CG65,CH65/CG65-1)</f>
        <v>0.19069362904979115</v>
      </c>
      <c r="CI68" s="39">
        <f t="shared" si="917"/>
        <v>1.4178232286340458</v>
      </c>
      <c r="CJ68" s="39">
        <f t="shared" si="917"/>
        <v>1.5861027190332333E-2</v>
      </c>
      <c r="CK68" s="39">
        <f t="shared" si="917"/>
        <v>0.56579925650557628</v>
      </c>
      <c r="CL68" s="39">
        <f t="shared" si="917"/>
        <v>3.7986704653371284E-2</v>
      </c>
      <c r="CM68" s="40">
        <f t="shared" ref="CM68" si="918">+CM65/CL65-1</f>
        <v>-0.44952237695766917</v>
      </c>
      <c r="CN68" s="40">
        <f t="shared" ref="CN68" si="919">+CN65/CM65-1</f>
        <v>0.23981919472170499</v>
      </c>
      <c r="CO68" s="40">
        <f t="shared" ref="CO68" si="920">+CO65/CN65-1</f>
        <v>0.24572163160607752</v>
      </c>
      <c r="CP68" s="40">
        <f t="shared" ref="CP68" si="921">+CP65/CO65-1</f>
        <v>9.1172196234488689E-2</v>
      </c>
      <c r="CQ68" s="40">
        <f t="shared" ref="CQ68" si="922">+CQ65/CP65-1</f>
        <v>-0.32856963302097697</v>
      </c>
      <c r="CR68" s="40">
        <f t="shared" ref="CR68" si="923">+CR65/CQ65-1</f>
        <v>0.19514249005516682</v>
      </c>
      <c r="CS68" s="40">
        <f t="shared" ref="CS68" si="924">+CS65/CR65-1</f>
        <v>0.24820420607164184</v>
      </c>
      <c r="CT68" s="40">
        <f t="shared" ref="CT68" si="925">+CT65/CS65-1</f>
        <v>0.14805523132812337</v>
      </c>
      <c r="CU68" s="40">
        <f t="shared" ref="CU68" si="926">+CU65/CT65-1</f>
        <v>-0.30226370119659418</v>
      </c>
      <c r="CV68" s="40">
        <f t="shared" ref="CV68" si="927">+CV65/CU65-1</f>
        <v>0.17191975393357994</v>
      </c>
      <c r="CW68" s="40">
        <f t="shared" ref="CW68" si="928">+CW65/CV65-1</f>
        <v>0.23743097408557712</v>
      </c>
      <c r="CX68" s="40">
        <f t="shared" ref="CX68" si="929">+CX65/CW65-1</f>
        <v>0.16703136404943164</v>
      </c>
      <c r="CY68" s="40">
        <f t="shared" ref="CY68" si="930">+CY65/CX65-1</f>
        <v>-0.35476176166555096</v>
      </c>
      <c r="CZ68" s="40">
        <f t="shared" ref="CZ68" si="931">+CZ65/CY65-1</f>
        <v>0.17399755413978224</v>
      </c>
      <c r="DA68" s="40">
        <f t="shared" ref="DA68" si="932">+DA65/CZ65-1</f>
        <v>0.25463467530704009</v>
      </c>
      <c r="DB68" s="40">
        <f t="shared" ref="DB68" si="933">+DB65/DA65-1</f>
        <v>0.16484026971849319</v>
      </c>
      <c r="DE68" s="122"/>
      <c r="DF68" s="39">
        <v>7.047631083728545E-2</v>
      </c>
    </row>
    <row r="69" spans="1:110" s="75" customFormat="1" x14ac:dyDescent="0.2">
      <c r="A69" s="23" t="s">
        <v>23</v>
      </c>
      <c r="B69" s="75">
        <f>'Annual Raw'!C32</f>
        <v>0</v>
      </c>
      <c r="C69" s="75">
        <f>'Annual Raw'!D32</f>
        <v>0</v>
      </c>
      <c r="D69" s="75">
        <f>'Annual Raw'!E32</f>
        <v>0</v>
      </c>
      <c r="E69" s="75">
        <f>'Annual Raw'!F32</f>
        <v>0</v>
      </c>
      <c r="F69" s="75">
        <f>'Annual Raw'!G32</f>
        <v>0</v>
      </c>
      <c r="G69" s="75">
        <f>'Annual Raw'!H32</f>
        <v>0</v>
      </c>
      <c r="H69" s="75">
        <f>'Annual Raw'!I32</f>
        <v>0</v>
      </c>
      <c r="I69" s="75">
        <f>'Annual Raw'!J32</f>
        <v>0</v>
      </c>
      <c r="J69" s="75">
        <f>'Annual Raw'!K32</f>
        <v>0</v>
      </c>
      <c r="K69" s="75">
        <f>'Annual Raw'!L32</f>
        <v>0</v>
      </c>
      <c r="L69" s="75">
        <f>'Annual Raw'!M32</f>
        <v>0</v>
      </c>
      <c r="M69" s="75">
        <f>'Annual Raw'!N32</f>
        <v>0</v>
      </c>
      <c r="N69" s="75">
        <f>'Annual Raw'!O32</f>
        <v>0</v>
      </c>
      <c r="O69" s="75">
        <f>'Annual Raw'!P32</f>
        <v>0</v>
      </c>
      <c r="P69" s="75">
        <f>'Annual Raw'!Q32</f>
        <v>0</v>
      </c>
      <c r="Q69" s="75">
        <f>'Annual Raw'!R32</f>
        <v>0</v>
      </c>
      <c r="R69" s="75">
        <f>'Annual Raw'!S32</f>
        <v>0</v>
      </c>
      <c r="S69" s="75">
        <f>'Annual Raw'!T32</f>
        <v>0</v>
      </c>
      <c r="T69" s="75">
        <f>'Annual Raw'!U32</f>
        <v>0</v>
      </c>
      <c r="U69" s="75">
        <f>'Annual Raw'!V32</f>
        <v>0</v>
      </c>
      <c r="V69" s="75">
        <f>'Annual Raw'!W32</f>
        <v>0</v>
      </c>
      <c r="W69" s="75">
        <f>'Annual Raw'!X32</f>
        <v>0</v>
      </c>
      <c r="X69" s="75">
        <f>'Annual Raw'!Y32</f>
        <v>0</v>
      </c>
      <c r="Y69" s="75">
        <f>'Annual Raw'!Z32</f>
        <v>0</v>
      </c>
      <c r="Z69" s="75">
        <f>'Annual Raw'!AA32</f>
        <v>0</v>
      </c>
      <c r="AA69" s="75">
        <f>'Annual Raw'!AB32</f>
        <v>0</v>
      </c>
      <c r="AB69" s="17">
        <f t="shared" ref="AB69:AB70" si="934">+SUM(CM69:CP69)</f>
        <v>0</v>
      </c>
      <c r="AC69" s="17">
        <f t="shared" ref="AC69:AC70" si="935">+SUM(CQ69:CT69)</f>
        <v>0</v>
      </c>
      <c r="AD69" s="17">
        <f t="shared" ref="AD69:AD70" si="936">+SUM(CU69:CX69)</f>
        <v>0</v>
      </c>
      <c r="AE69" s="17">
        <f t="shared" ref="AE69:AE70" si="937">+SUM(CY69:DB69)</f>
        <v>0</v>
      </c>
      <c r="AI69" s="75">
        <f>'QTR Raw'!C34</f>
        <v>0</v>
      </c>
      <c r="AJ69" s="75">
        <f>'QTR Raw'!D34</f>
        <v>0</v>
      </c>
      <c r="AK69" s="75">
        <f>'QTR Raw'!E34</f>
        <v>0</v>
      </c>
      <c r="AL69" s="75">
        <f>'QTR Raw'!F34</f>
        <v>0</v>
      </c>
      <c r="AM69" s="75">
        <f>'QTR Raw'!G34</f>
        <v>0</v>
      </c>
      <c r="AN69" s="75">
        <f>'QTR Raw'!H34</f>
        <v>0</v>
      </c>
      <c r="AO69" s="75">
        <f>'QTR Raw'!I34</f>
        <v>0</v>
      </c>
      <c r="AP69" s="75">
        <f>'QTR Raw'!J34</f>
        <v>0</v>
      </c>
      <c r="AQ69" s="75">
        <f>'QTR Raw'!K34</f>
        <v>0</v>
      </c>
      <c r="AR69" s="75">
        <f>'QTR Raw'!L34</f>
        <v>0</v>
      </c>
      <c r="AS69" s="75">
        <f>'QTR Raw'!M34</f>
        <v>0</v>
      </c>
      <c r="AT69" s="75">
        <f>'QTR Raw'!N34</f>
        <v>0</v>
      </c>
      <c r="AU69" s="75">
        <f>'QTR Raw'!O34</f>
        <v>0</v>
      </c>
      <c r="AV69" s="75">
        <f>'QTR Raw'!P34</f>
        <v>0</v>
      </c>
      <c r="AW69" s="75">
        <f>'QTR Raw'!Q34</f>
        <v>0</v>
      </c>
      <c r="AX69" s="75">
        <f>'QTR Raw'!R34</f>
        <v>0</v>
      </c>
      <c r="AY69" s="75">
        <f>'QTR Raw'!S34</f>
        <v>0</v>
      </c>
      <c r="AZ69" s="75">
        <f>'QTR Raw'!T34</f>
        <v>0</v>
      </c>
      <c r="BA69" s="75">
        <f>'QTR Raw'!U34</f>
        <v>0</v>
      </c>
      <c r="BB69" s="75">
        <f>'QTR Raw'!V34</f>
        <v>0</v>
      </c>
      <c r="BC69" s="75">
        <f>'QTR Raw'!W34</f>
        <v>0</v>
      </c>
      <c r="BD69" s="75">
        <f>'QTR Raw'!X34</f>
        <v>0</v>
      </c>
      <c r="BE69" s="75">
        <f>'QTR Raw'!Y34</f>
        <v>0</v>
      </c>
      <c r="BF69" s="75">
        <f>'QTR Raw'!Z34</f>
        <v>0</v>
      </c>
      <c r="BG69" s="75">
        <f>'QTR Raw'!AA34</f>
        <v>0</v>
      </c>
      <c r="BH69" s="75">
        <f>'QTR Raw'!AB34</f>
        <v>0</v>
      </c>
      <c r="BI69" s="75">
        <f>'QTR Raw'!AC34</f>
        <v>0</v>
      </c>
      <c r="BJ69" s="75">
        <f>'QTR Raw'!AD34</f>
        <v>0</v>
      </c>
      <c r="BK69" s="75">
        <f>'QTR Raw'!AE34</f>
        <v>0</v>
      </c>
      <c r="BL69" s="75">
        <f>'QTR Raw'!AF34</f>
        <v>0</v>
      </c>
      <c r="BM69" s="75">
        <f>'QTR Raw'!AG34</f>
        <v>0</v>
      </c>
      <c r="BN69" s="75">
        <f>'QTR Raw'!AH34</f>
        <v>0</v>
      </c>
      <c r="BO69" s="75">
        <f>'QTR Raw'!AI34</f>
        <v>0</v>
      </c>
      <c r="BP69" s="75">
        <f>'QTR Raw'!AJ34</f>
        <v>0</v>
      </c>
      <c r="BQ69" s="75">
        <f>'QTR Raw'!AK34</f>
        <v>0</v>
      </c>
      <c r="BR69" s="75">
        <f>'QTR Raw'!AL34</f>
        <v>0</v>
      </c>
      <c r="BS69" s="75">
        <f>'QTR Raw'!AM34</f>
        <v>0</v>
      </c>
      <c r="BT69" s="75">
        <f>'QTR Raw'!AN34</f>
        <v>0</v>
      </c>
      <c r="BU69" s="75">
        <f>'QTR Raw'!AO34</f>
        <v>0</v>
      </c>
      <c r="BV69" s="75">
        <f>'QTR Raw'!AP34</f>
        <v>0</v>
      </c>
      <c r="BW69" s="75">
        <f>'QTR Raw'!AQ34</f>
        <v>0</v>
      </c>
      <c r="BX69" s="75">
        <f>'QTR Raw'!AR34</f>
        <v>0</v>
      </c>
      <c r="BY69" s="75">
        <f>'QTR Raw'!AS34</f>
        <v>0</v>
      </c>
      <c r="BZ69" s="75">
        <f>'QTR Raw'!AT34</f>
        <v>0</v>
      </c>
      <c r="CA69" s="75">
        <f>'QTR Raw'!AU34</f>
        <v>0</v>
      </c>
      <c r="CB69" s="75">
        <f>'QTR Raw'!AV34</f>
        <v>0</v>
      </c>
      <c r="CC69" s="75">
        <f>'QTR Raw'!AW34</f>
        <v>0</v>
      </c>
      <c r="CD69" s="75">
        <f>'QTR Raw'!AX34</f>
        <v>0</v>
      </c>
      <c r="CE69" s="75">
        <f>'QTR Raw'!AY34</f>
        <v>0</v>
      </c>
      <c r="CF69" s="75">
        <f>'QTR Raw'!AZ34</f>
        <v>0</v>
      </c>
      <c r="CG69" s="75">
        <f>'QTR Raw'!BA34</f>
        <v>0</v>
      </c>
      <c r="CH69" s="75">
        <f>'QTR Raw'!BB34</f>
        <v>0</v>
      </c>
      <c r="CI69" s="75">
        <f>'QTR Raw'!BC34</f>
        <v>0</v>
      </c>
      <c r="CJ69" s="75">
        <f>'QTR Raw'!BD34</f>
        <v>0</v>
      </c>
      <c r="CK69" s="75">
        <f>'QTR Raw'!BE34</f>
        <v>0</v>
      </c>
      <c r="CL69" s="75">
        <f>'QTR Raw'!BF34</f>
        <v>0</v>
      </c>
      <c r="CM69" s="76">
        <f t="shared" ref="CM69:CM70" si="938">+CL69</f>
        <v>0</v>
      </c>
      <c r="CN69" s="76">
        <f t="shared" ref="CN69:CN70" si="939">+CM69</f>
        <v>0</v>
      </c>
      <c r="CO69" s="76">
        <f t="shared" ref="CO69:CO70" si="940">+CN69</f>
        <v>0</v>
      </c>
      <c r="CP69" s="76">
        <f t="shared" ref="CP69:CP70" si="941">+CO69</f>
        <v>0</v>
      </c>
      <c r="CQ69" s="76">
        <f t="shared" ref="CQ69:CQ70" si="942">+CP69</f>
        <v>0</v>
      </c>
      <c r="CR69" s="76">
        <f t="shared" ref="CR69:CR70" si="943">+CQ69</f>
        <v>0</v>
      </c>
      <c r="CS69" s="76">
        <f t="shared" ref="CS69:CS70" si="944">+CR69</f>
        <v>0</v>
      </c>
      <c r="CT69" s="76">
        <f t="shared" ref="CT69:CT70" si="945">+CS69</f>
        <v>0</v>
      </c>
      <c r="CU69" s="76">
        <f t="shared" ref="CU69:CU70" si="946">+CT69</f>
        <v>0</v>
      </c>
      <c r="CV69" s="76">
        <f t="shared" ref="CV69:CV70" si="947">+CU69</f>
        <v>0</v>
      </c>
      <c r="CW69" s="76">
        <f t="shared" ref="CW69:CW70" si="948">+CV69</f>
        <v>0</v>
      </c>
      <c r="CX69" s="76">
        <f t="shared" ref="CX69:CX70" si="949">+CW69</f>
        <v>0</v>
      </c>
      <c r="CY69" s="76">
        <f t="shared" ref="CY69:CY70" si="950">+CX69</f>
        <v>0</v>
      </c>
      <c r="CZ69" s="76">
        <f t="shared" ref="CZ69:CZ70" si="951">+CY69</f>
        <v>0</v>
      </c>
      <c r="DA69" s="76">
        <f t="shared" ref="DA69:DA70" si="952">+CZ69</f>
        <v>0</v>
      </c>
      <c r="DB69" s="76">
        <f t="shared" ref="DB69:DB70" si="953">+DA69</f>
        <v>0</v>
      </c>
      <c r="DE69" s="132"/>
      <c r="DF69" s="75">
        <v>0</v>
      </c>
    </row>
    <row r="70" spans="1:110" s="75" customFormat="1" x14ac:dyDescent="0.2">
      <c r="A70" s="23" t="s">
        <v>24</v>
      </c>
      <c r="B70" s="75">
        <f>'Annual Raw'!C33+'Annual Raw'!C28</f>
        <v>0</v>
      </c>
      <c r="C70" s="75">
        <f>'Annual Raw'!D33+'Annual Raw'!D28</f>
        <v>0</v>
      </c>
      <c r="D70" s="75">
        <f>'Annual Raw'!E33+'Annual Raw'!E28</f>
        <v>0</v>
      </c>
      <c r="E70" s="75">
        <f>'Annual Raw'!F33+'Annual Raw'!F28</f>
        <v>0</v>
      </c>
      <c r="F70" s="75">
        <f>'Annual Raw'!G33+'Annual Raw'!G28</f>
        <v>0</v>
      </c>
      <c r="G70" s="75">
        <f>'Annual Raw'!H33+'Annual Raw'!H28</f>
        <v>0</v>
      </c>
      <c r="H70" s="75">
        <f>'Annual Raw'!I33+'Annual Raw'!I28</f>
        <v>0</v>
      </c>
      <c r="I70" s="75">
        <f>'Annual Raw'!J33+'Annual Raw'!J28</f>
        <v>0</v>
      </c>
      <c r="J70" s="75">
        <f>'Annual Raw'!K33+'Annual Raw'!K28</f>
        <v>0</v>
      </c>
      <c r="K70" s="75">
        <f>'Annual Raw'!L33+'Annual Raw'!L28</f>
        <v>0</v>
      </c>
      <c r="L70" s="75">
        <f>'Annual Raw'!M33+'Annual Raw'!M28</f>
        <v>0</v>
      </c>
      <c r="M70" s="75">
        <f>'Annual Raw'!N33+'Annual Raw'!N28</f>
        <v>0</v>
      </c>
      <c r="N70" s="75">
        <f>'Annual Raw'!O33+'Annual Raw'!O28</f>
        <v>0</v>
      </c>
      <c r="O70" s="75">
        <f>'Annual Raw'!P33+'Annual Raw'!P28</f>
        <v>0</v>
      </c>
      <c r="P70" s="75">
        <f>'Annual Raw'!Q33+'Annual Raw'!Q28</f>
        <v>0</v>
      </c>
      <c r="Q70" s="75">
        <f>'Annual Raw'!R33+'Annual Raw'!R28</f>
        <v>0</v>
      </c>
      <c r="R70" s="75">
        <f>'Annual Raw'!S33+'Annual Raw'!S28</f>
        <v>0</v>
      </c>
      <c r="S70" s="75">
        <f>'Annual Raw'!T33+'Annual Raw'!T28</f>
        <v>0</v>
      </c>
      <c r="T70" s="75">
        <f>'Annual Raw'!U33+'Annual Raw'!U28</f>
        <v>0</v>
      </c>
      <c r="U70" s="75">
        <f>'Annual Raw'!V33+'Annual Raw'!V28</f>
        <v>0</v>
      </c>
      <c r="V70" s="75">
        <f>'Annual Raw'!W33+'Annual Raw'!W28</f>
        <v>0</v>
      </c>
      <c r="W70" s="75">
        <f>'Annual Raw'!X33+'Annual Raw'!X28</f>
        <v>0</v>
      </c>
      <c r="X70" s="75">
        <f>'Annual Raw'!Y33+'Annual Raw'!Y28</f>
        <v>0</v>
      </c>
      <c r="Y70" s="75">
        <f>'Annual Raw'!Z33+'Annual Raw'!Z28</f>
        <v>0</v>
      </c>
      <c r="Z70" s="75">
        <f>'Annual Raw'!AA33+'Annual Raw'!AA28</f>
        <v>0</v>
      </c>
      <c r="AA70" s="75">
        <f>'Annual Raw'!AB33+'Annual Raw'!AB28</f>
        <v>0</v>
      </c>
      <c r="AB70" s="17">
        <f t="shared" si="934"/>
        <v>0</v>
      </c>
      <c r="AC70" s="17">
        <f t="shared" si="935"/>
        <v>0</v>
      </c>
      <c r="AD70" s="17">
        <f t="shared" si="936"/>
        <v>0</v>
      </c>
      <c r="AE70" s="17">
        <f t="shared" si="937"/>
        <v>0</v>
      </c>
      <c r="AI70" s="75">
        <f>'QTR Raw'!C35</f>
        <v>0</v>
      </c>
      <c r="AJ70" s="75">
        <f>'QTR Raw'!D35</f>
        <v>0</v>
      </c>
      <c r="AK70" s="75">
        <f>'QTR Raw'!E35</f>
        <v>0</v>
      </c>
      <c r="AL70" s="75">
        <f>'QTR Raw'!F35</f>
        <v>0</v>
      </c>
      <c r="AM70" s="75">
        <f>'QTR Raw'!G35</f>
        <v>0</v>
      </c>
      <c r="AN70" s="75">
        <f>'QTR Raw'!H35</f>
        <v>0</v>
      </c>
      <c r="AO70" s="75">
        <f>'QTR Raw'!I35</f>
        <v>0</v>
      </c>
      <c r="AP70" s="75">
        <f>'QTR Raw'!J35</f>
        <v>0</v>
      </c>
      <c r="AQ70" s="75">
        <f>'QTR Raw'!K35</f>
        <v>0</v>
      </c>
      <c r="AR70" s="75">
        <f>'QTR Raw'!L35</f>
        <v>0</v>
      </c>
      <c r="AS70" s="75">
        <f>'QTR Raw'!M35</f>
        <v>0</v>
      </c>
      <c r="AT70" s="75">
        <f>'QTR Raw'!N35</f>
        <v>0</v>
      </c>
      <c r="AU70" s="75">
        <f>'QTR Raw'!O35</f>
        <v>0</v>
      </c>
      <c r="AV70" s="75">
        <f>'QTR Raw'!P35</f>
        <v>0</v>
      </c>
      <c r="AW70" s="75">
        <f>'QTR Raw'!Q35</f>
        <v>0</v>
      </c>
      <c r="AX70" s="75">
        <f>'QTR Raw'!R35</f>
        <v>0</v>
      </c>
      <c r="AY70" s="75">
        <f>'QTR Raw'!S35</f>
        <v>0</v>
      </c>
      <c r="AZ70" s="75">
        <f>'QTR Raw'!T35</f>
        <v>0</v>
      </c>
      <c r="BA70" s="75">
        <f>'QTR Raw'!U35</f>
        <v>0</v>
      </c>
      <c r="BB70" s="75">
        <f>'QTR Raw'!V35</f>
        <v>0</v>
      </c>
      <c r="BC70" s="75">
        <f>'QTR Raw'!W35</f>
        <v>0</v>
      </c>
      <c r="BD70" s="75">
        <f>'QTR Raw'!X35</f>
        <v>0</v>
      </c>
      <c r="BE70" s="75">
        <f>'QTR Raw'!Y35</f>
        <v>0</v>
      </c>
      <c r="BF70" s="75">
        <f>'QTR Raw'!Z35</f>
        <v>0</v>
      </c>
      <c r="BG70" s="75">
        <f>'QTR Raw'!AA35</f>
        <v>0</v>
      </c>
      <c r="BH70" s="75">
        <f>'QTR Raw'!AB35</f>
        <v>0</v>
      </c>
      <c r="BI70" s="75">
        <f>'QTR Raw'!AC35</f>
        <v>0</v>
      </c>
      <c r="BJ70" s="75">
        <f>'QTR Raw'!AD35</f>
        <v>0</v>
      </c>
      <c r="BK70" s="75">
        <f>'QTR Raw'!AE35</f>
        <v>0</v>
      </c>
      <c r="BL70" s="75">
        <f>'QTR Raw'!AF35</f>
        <v>0</v>
      </c>
      <c r="BM70" s="75">
        <f>'QTR Raw'!AG35</f>
        <v>0</v>
      </c>
      <c r="BN70" s="75">
        <f>'QTR Raw'!AH35</f>
        <v>0</v>
      </c>
      <c r="BO70" s="75">
        <f>'QTR Raw'!AI35</f>
        <v>0</v>
      </c>
      <c r="BP70" s="75">
        <f>'QTR Raw'!AJ35</f>
        <v>0</v>
      </c>
      <c r="BQ70" s="75">
        <f>'QTR Raw'!AK35</f>
        <v>0</v>
      </c>
      <c r="BR70" s="75">
        <f>'QTR Raw'!AL35</f>
        <v>0</v>
      </c>
      <c r="BS70" s="75">
        <f>'QTR Raw'!AM35</f>
        <v>0</v>
      </c>
      <c r="BT70" s="75">
        <f>'QTR Raw'!AN35</f>
        <v>0</v>
      </c>
      <c r="BU70" s="75">
        <f>'QTR Raw'!AO35</f>
        <v>0</v>
      </c>
      <c r="BV70" s="75">
        <f>'QTR Raw'!AP35</f>
        <v>0</v>
      </c>
      <c r="BW70" s="75">
        <f>'QTR Raw'!AQ35</f>
        <v>0</v>
      </c>
      <c r="BX70" s="75">
        <f>'QTR Raw'!AR35</f>
        <v>0</v>
      </c>
      <c r="BY70" s="75">
        <f>'QTR Raw'!AS35</f>
        <v>0</v>
      </c>
      <c r="BZ70" s="75">
        <f>'QTR Raw'!AT35</f>
        <v>0</v>
      </c>
      <c r="CA70" s="75">
        <f>'QTR Raw'!AU35</f>
        <v>0</v>
      </c>
      <c r="CB70" s="75">
        <f>'QTR Raw'!AV35</f>
        <v>0</v>
      </c>
      <c r="CC70" s="75">
        <f>'QTR Raw'!AW35</f>
        <v>0</v>
      </c>
      <c r="CD70" s="75">
        <f>'QTR Raw'!AX35</f>
        <v>0</v>
      </c>
      <c r="CE70" s="75">
        <f>'QTR Raw'!AY35</f>
        <v>0</v>
      </c>
      <c r="CF70" s="75">
        <f>'QTR Raw'!AZ35</f>
        <v>0</v>
      </c>
      <c r="CG70" s="75">
        <f>'QTR Raw'!BA35</f>
        <v>0</v>
      </c>
      <c r="CH70" s="75">
        <f>'QTR Raw'!BB35</f>
        <v>0</v>
      </c>
      <c r="CI70" s="75">
        <f>'QTR Raw'!BC35</f>
        <v>0</v>
      </c>
      <c r="CJ70" s="75">
        <f>'QTR Raw'!BD35</f>
        <v>0</v>
      </c>
      <c r="CK70" s="75">
        <f>'QTR Raw'!BE35</f>
        <v>0</v>
      </c>
      <c r="CL70" s="75">
        <f>'QTR Raw'!BF35</f>
        <v>0</v>
      </c>
      <c r="CM70" s="76">
        <f t="shared" si="938"/>
        <v>0</v>
      </c>
      <c r="CN70" s="76">
        <f t="shared" si="939"/>
        <v>0</v>
      </c>
      <c r="CO70" s="76">
        <f t="shared" si="940"/>
        <v>0</v>
      </c>
      <c r="CP70" s="76">
        <f t="shared" si="941"/>
        <v>0</v>
      </c>
      <c r="CQ70" s="76">
        <f t="shared" si="942"/>
        <v>0</v>
      </c>
      <c r="CR70" s="76">
        <f t="shared" si="943"/>
        <v>0</v>
      </c>
      <c r="CS70" s="76">
        <f t="shared" si="944"/>
        <v>0</v>
      </c>
      <c r="CT70" s="76">
        <f t="shared" si="945"/>
        <v>0</v>
      </c>
      <c r="CU70" s="76">
        <f t="shared" si="946"/>
        <v>0</v>
      </c>
      <c r="CV70" s="76">
        <f t="shared" si="947"/>
        <v>0</v>
      </c>
      <c r="CW70" s="76">
        <f t="shared" si="948"/>
        <v>0</v>
      </c>
      <c r="CX70" s="76">
        <f t="shared" si="949"/>
        <v>0</v>
      </c>
      <c r="CY70" s="76">
        <f t="shared" si="950"/>
        <v>0</v>
      </c>
      <c r="CZ70" s="76">
        <f t="shared" si="951"/>
        <v>0</v>
      </c>
      <c r="DA70" s="76">
        <f t="shared" si="952"/>
        <v>0</v>
      </c>
      <c r="DB70" s="76">
        <f t="shared" si="953"/>
        <v>0</v>
      </c>
      <c r="DE70" s="132"/>
      <c r="DF70" s="75">
        <v>0</v>
      </c>
    </row>
    <row r="71" spans="1:110" s="75" customFormat="1" x14ac:dyDescent="0.2">
      <c r="A71" s="23" t="s">
        <v>526</v>
      </c>
      <c r="E71" s="75">
        <v>40.950000000000003</v>
      </c>
      <c r="F71" s="75">
        <v>-29.04</v>
      </c>
      <c r="G71" s="75">
        <v>-21.7</v>
      </c>
      <c r="H71" s="75">
        <v>130.47999999999999</v>
      </c>
      <c r="I71" s="75">
        <v>160.72999999999999</v>
      </c>
      <c r="J71" s="75">
        <v>-65.3</v>
      </c>
      <c r="K71" s="75">
        <v>-69.599999999999994</v>
      </c>
      <c r="L71" s="75">
        <v>-147.12</v>
      </c>
      <c r="M71" s="75">
        <v>-455.23999999999995</v>
      </c>
      <c r="N71" s="75">
        <v>-438.12</v>
      </c>
      <c r="O71" s="75">
        <v>-273.06</v>
      </c>
      <c r="P71" s="75">
        <v>-320.5</v>
      </c>
      <c r="Q71" s="75">
        <v>-222.91</v>
      </c>
      <c r="R71" s="75">
        <v>252.78000000000003</v>
      </c>
      <c r="S71" s="75">
        <v>-17.14</v>
      </c>
      <c r="T71" s="75">
        <v>-215.22000000000003</v>
      </c>
      <c r="U71" s="75">
        <v>-239</v>
      </c>
      <c r="V71" s="75">
        <v>-1.67</v>
      </c>
      <c r="W71" s="75">
        <v>-136.81</v>
      </c>
      <c r="X71" s="75">
        <v>-279.76</v>
      </c>
      <c r="Y71" s="75">
        <v>-255</v>
      </c>
      <c r="Z71" s="75">
        <v>-71</v>
      </c>
      <c r="AA71" s="75">
        <v>-71</v>
      </c>
      <c r="AB71" s="17"/>
      <c r="AC71" s="17"/>
      <c r="AD71" s="17"/>
      <c r="AE71" s="17"/>
      <c r="AI71" s="75">
        <v>-160.94999999999999</v>
      </c>
      <c r="AJ71" s="75">
        <v>-254.85</v>
      </c>
      <c r="AK71" s="75">
        <v>-8.15</v>
      </c>
      <c r="AL71" s="75">
        <v>-14.169999999999998</v>
      </c>
      <c r="AM71" s="75">
        <v>-154.19</v>
      </c>
      <c r="AN71" s="75">
        <v>-282.03000000000003</v>
      </c>
      <c r="AO71" s="75">
        <v>-11.87</v>
      </c>
      <c r="AP71" s="75">
        <v>-26.97</v>
      </c>
      <c r="AQ71" s="75">
        <v>-24.78</v>
      </c>
      <c r="AR71" s="75">
        <v>-27.04</v>
      </c>
      <c r="AS71" s="75">
        <v>-247.51999999999998</v>
      </c>
      <c r="AT71" s="75">
        <v>-21.16</v>
      </c>
      <c r="AU71" s="75">
        <v>-21.759999999999998</v>
      </c>
      <c r="AV71" s="75">
        <v>-205.53000000000003</v>
      </c>
      <c r="AW71" s="75">
        <v>-19.2</v>
      </c>
      <c r="AX71" s="75">
        <v>9.6900000000000013</v>
      </c>
      <c r="AY71" s="75">
        <v>-78.820000000000007</v>
      </c>
      <c r="AZ71" s="75">
        <v>120.15</v>
      </c>
      <c r="BA71" s="75">
        <v>-44.15</v>
      </c>
      <c r="BB71" s="75">
        <v>255.26999999999998</v>
      </c>
      <c r="BC71" s="75">
        <v>7.7900000000000009</v>
      </c>
      <c r="BD71" s="75">
        <v>-72.820000000000007</v>
      </c>
      <c r="BE71" s="75">
        <v>143.34</v>
      </c>
      <c r="BF71" s="75">
        <v>-95.38</v>
      </c>
      <c r="BG71" s="75">
        <v>-195.07</v>
      </c>
      <c r="BH71" s="75">
        <v>-301.23</v>
      </c>
      <c r="BI71" s="75">
        <v>203.32</v>
      </c>
      <c r="BJ71" s="75">
        <v>77.760000000000005</v>
      </c>
      <c r="BK71" s="75">
        <v>37.15</v>
      </c>
      <c r="BL71" s="75">
        <v>69.179999999999993</v>
      </c>
      <c r="BM71" s="75">
        <v>13.14</v>
      </c>
      <c r="BN71" s="75">
        <v>-220.10999999999999</v>
      </c>
      <c r="BO71" s="75">
        <v>-20.93</v>
      </c>
      <c r="BP71" s="75">
        <v>35.21</v>
      </c>
      <c r="BQ71" s="75">
        <v>5.2799999999999994</v>
      </c>
      <c r="BR71" s="75">
        <v>-21.23</v>
      </c>
      <c r="BS71" s="75">
        <v>-44.019999999999996</v>
      </c>
      <c r="BT71" s="75">
        <v>-17.79</v>
      </c>
      <c r="BU71" s="75">
        <v>-33.799999999999997</v>
      </c>
      <c r="BV71" s="75">
        <v>-49.8</v>
      </c>
      <c r="BW71" s="75">
        <v>-89.06</v>
      </c>
      <c r="BX71" s="75">
        <v>-98.42</v>
      </c>
      <c r="BY71" s="75">
        <v>-66.679999999999993</v>
      </c>
      <c r="BZ71" s="75">
        <v>-25.6</v>
      </c>
      <c r="CA71" s="75">
        <v>-49.96</v>
      </c>
      <c r="CB71" s="75">
        <v>-36.08</v>
      </c>
      <c r="CC71" s="75">
        <v>-157.84</v>
      </c>
      <c r="CD71" s="75">
        <v>-11.09</v>
      </c>
      <c r="CE71" s="75">
        <v>-11</v>
      </c>
      <c r="CF71" s="75">
        <v>-12</v>
      </c>
      <c r="CG71" s="75">
        <v>-6</v>
      </c>
      <c r="CH71" s="75">
        <v>-46</v>
      </c>
      <c r="CI71" s="75">
        <v>97</v>
      </c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E71" s="132"/>
    </row>
    <row r="72" spans="1:110" s="23" customFormat="1" x14ac:dyDescent="0.2">
      <c r="A72" s="23" t="s">
        <v>19</v>
      </c>
      <c r="B72" s="75">
        <f>'Annual Raw'!C29+'Annual Raw'!C31+'Annual Raw'!C34+'Annual Raw'!C36</f>
        <v>0</v>
      </c>
      <c r="C72" s="75">
        <f>'Annual Raw'!D29+'Annual Raw'!D31+'Annual Raw'!D34+'Annual Raw'!D36</f>
        <v>0</v>
      </c>
      <c r="D72" s="75">
        <f>'Annual Raw'!E29+'Annual Raw'!E31+'Annual Raw'!E34+'Annual Raw'!E36</f>
        <v>0</v>
      </c>
      <c r="E72" s="75">
        <v>52.86</v>
      </c>
      <c r="F72" s="75">
        <v>13.85</v>
      </c>
      <c r="G72" s="75">
        <v>-169.95</v>
      </c>
      <c r="H72" s="75">
        <v>104.92</v>
      </c>
      <c r="I72" s="75">
        <v>-326.39</v>
      </c>
      <c r="J72" s="75">
        <v>-571.01</v>
      </c>
      <c r="K72" s="75">
        <v>-950.86</v>
      </c>
      <c r="L72" s="75">
        <v>0</v>
      </c>
      <c r="M72" s="75">
        <v>130</v>
      </c>
      <c r="N72" s="75">
        <v>-12.25</v>
      </c>
      <c r="O72" s="75">
        <v>266.8</v>
      </c>
      <c r="P72" s="75">
        <v>83.25</v>
      </c>
      <c r="Q72" s="75">
        <v>271.84000000000003</v>
      </c>
      <c r="R72" s="75">
        <v>338.71000000000004</v>
      </c>
      <c r="S72" s="75">
        <v>966.65999999999985</v>
      </c>
      <c r="T72" s="75">
        <v>203.07</v>
      </c>
      <c r="U72" s="75">
        <v>2510.92</v>
      </c>
      <c r="V72" s="75">
        <v>-1392.0800000000002</v>
      </c>
      <c r="W72" s="75">
        <v>-83.410000000000011</v>
      </c>
      <c r="X72" s="75">
        <v>282.82</v>
      </c>
      <c r="Y72" s="75">
        <v>-2809</v>
      </c>
      <c r="Z72" s="75">
        <v>325</v>
      </c>
      <c r="AA72" s="75">
        <v>325</v>
      </c>
      <c r="AB72" s="17">
        <f>+SUM(CM72:CP72)</f>
        <v>0</v>
      </c>
      <c r="AC72" s="17">
        <f>+SUM(CQ72:CT72)</f>
        <v>0</v>
      </c>
      <c r="AD72" s="17">
        <f>+SUM(CU72:CX72)</f>
        <v>0</v>
      </c>
      <c r="AE72" s="17">
        <f>+SUM(CY72:DB72)</f>
        <v>0</v>
      </c>
      <c r="AI72" s="75">
        <v>0</v>
      </c>
      <c r="AJ72" s="75">
        <v>0</v>
      </c>
      <c r="AK72" s="75">
        <v>0</v>
      </c>
      <c r="AL72" s="75">
        <v>-12.25</v>
      </c>
      <c r="AM72" s="75">
        <v>0</v>
      </c>
      <c r="AN72" s="75">
        <v>0</v>
      </c>
      <c r="AO72" s="75">
        <v>-1920.8700000000001</v>
      </c>
      <c r="AP72" s="75">
        <v>37.770000000000003</v>
      </c>
      <c r="AQ72" s="75">
        <v>0</v>
      </c>
      <c r="AR72" s="75">
        <v>0.13</v>
      </c>
      <c r="AS72" s="75">
        <v>296.39</v>
      </c>
      <c r="AT72" s="75">
        <v>83.12</v>
      </c>
      <c r="AU72" s="75">
        <v>-315.67</v>
      </c>
      <c r="AV72" s="75">
        <v>99.56</v>
      </c>
      <c r="AW72" s="75">
        <v>163.24</v>
      </c>
      <c r="AX72" s="75">
        <v>0.22999999999999998</v>
      </c>
      <c r="AY72" s="75">
        <v>0</v>
      </c>
      <c r="AZ72" s="75">
        <v>49.660000000000004</v>
      </c>
      <c r="BA72" s="75">
        <v>0.75</v>
      </c>
      <c r="BB72" s="75">
        <v>288.3</v>
      </c>
      <c r="BC72" s="75">
        <v>0</v>
      </c>
      <c r="BD72" s="75">
        <v>0</v>
      </c>
      <c r="BE72" s="75">
        <v>4.7299999999999995</v>
      </c>
      <c r="BF72" s="75">
        <v>961.93</v>
      </c>
      <c r="BG72" s="75">
        <v>0</v>
      </c>
      <c r="BH72" s="75">
        <v>93.210000000000008</v>
      </c>
      <c r="BI72" s="75">
        <v>28.189999999999998</v>
      </c>
      <c r="BJ72" s="75">
        <v>81.67</v>
      </c>
      <c r="BK72" s="75">
        <v>7.9300000000000015</v>
      </c>
      <c r="BL72" s="75">
        <v>-71.67</v>
      </c>
      <c r="BM72" s="75">
        <v>3.8899999999999997</v>
      </c>
      <c r="BN72" s="75">
        <v>2570.77</v>
      </c>
      <c r="BO72" s="75">
        <v>48.88</v>
      </c>
      <c r="BP72" s="75">
        <v>46.36</v>
      </c>
      <c r="BQ72" s="75">
        <v>58.3</v>
      </c>
      <c r="BR72" s="75">
        <v>-1545.6200000000001</v>
      </c>
      <c r="BS72" s="75">
        <v>24.890000000000004</v>
      </c>
      <c r="BT72" s="75">
        <v>33.160000000000004</v>
      </c>
      <c r="BU72" s="75">
        <v>0.09</v>
      </c>
      <c r="BV72" s="75">
        <v>-141.55000000000001</v>
      </c>
      <c r="BW72" s="75">
        <v>1.43</v>
      </c>
      <c r="BX72" s="75">
        <v>4.04</v>
      </c>
      <c r="BY72" s="75">
        <v>0.11000000000000001</v>
      </c>
      <c r="BZ72" s="75">
        <v>277.24</v>
      </c>
      <c r="CA72" s="75">
        <v>647.95000000000005</v>
      </c>
      <c r="CB72" s="75">
        <v>126.02000000000001</v>
      </c>
      <c r="CC72" s="75">
        <v>-3668.8999999999992</v>
      </c>
      <c r="CD72" s="75">
        <v>86.5</v>
      </c>
      <c r="CE72" s="75">
        <v>38</v>
      </c>
      <c r="CF72" s="75">
        <v>33</v>
      </c>
      <c r="CG72" s="75">
        <v>24</v>
      </c>
      <c r="CH72" s="75">
        <v>230</v>
      </c>
      <c r="CI72" s="75">
        <v>10</v>
      </c>
      <c r="CJ72" s="75">
        <f>'QTR Raw'!BD26+'QTR Raw'!BD31+'QTR Raw'!BD32+'QTR Raw'!BD33+'QTR Raw'!BD36+'QTR Raw'!BD37+'QTR Raw'!BD39</f>
        <v>-2366</v>
      </c>
      <c r="CK72" s="75">
        <f>'QTR Raw'!BE26+'QTR Raw'!BE31+'QTR Raw'!BE32+'QTR Raw'!BE33+'QTR Raw'!BE36+'QTR Raw'!BE37+'QTR Raw'!BE39</f>
        <v>-1545</v>
      </c>
      <c r="CL72" s="75">
        <f>'QTR Raw'!BF26+'QTR Raw'!BF31+'QTR Raw'!BF32+'QTR Raw'!BF33+'QTR Raw'!BF36+'QTR Raw'!BF37+'QTR Raw'!BF39</f>
        <v>220</v>
      </c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E72" s="123"/>
      <c r="DF72" s="23">
        <v>-3681</v>
      </c>
    </row>
    <row r="73" spans="1:110" s="26" customFormat="1" x14ac:dyDescent="0.2">
      <c r="A73" s="35" t="s">
        <v>25</v>
      </c>
      <c r="B73" s="26" t="e">
        <f>B65+B69+B70+B72</f>
        <v>#REF!</v>
      </c>
      <c r="C73" s="26" t="e">
        <f>C65+C69+C70+C72</f>
        <v>#REF!</v>
      </c>
      <c r="D73" s="26" t="e">
        <f>D65+D69+D70+D72</f>
        <v>#REF!</v>
      </c>
      <c r="E73" s="26">
        <f t="shared" ref="E73:AE73" si="954">E65+E69+E70-E72+E71</f>
        <v>2727.5699999999983</v>
      </c>
      <c r="F73" s="26">
        <f t="shared" si="954"/>
        <v>3791.6800000000017</v>
      </c>
      <c r="G73" s="26">
        <f t="shared" si="954"/>
        <v>3863.9399999999987</v>
      </c>
      <c r="H73" s="26">
        <f t="shared" si="954"/>
        <v>5220.2400000000016</v>
      </c>
      <c r="I73" s="26">
        <f t="shared" si="954"/>
        <v>5486.7299999999968</v>
      </c>
      <c r="J73" s="26">
        <f t="shared" si="954"/>
        <v>2703.0900000000029</v>
      </c>
      <c r="K73" s="26">
        <f t="shared" si="954"/>
        <v>3949.1199999999935</v>
      </c>
      <c r="L73" s="26">
        <f t="shared" si="954"/>
        <v>4215.4600000000019</v>
      </c>
      <c r="M73" s="26">
        <f t="shared" si="954"/>
        <v>4638.5116154584921</v>
      </c>
      <c r="N73" s="26">
        <f t="shared" si="954"/>
        <v>3341.5518954585041</v>
      </c>
      <c r="O73" s="26">
        <f t="shared" si="954"/>
        <v>806.44261599999504</v>
      </c>
      <c r="P73" s="26">
        <f t="shared" si="954"/>
        <v>-4678.2213262399982</v>
      </c>
      <c r="Q73" s="26">
        <f t="shared" si="954"/>
        <v>4897.6599999999953</v>
      </c>
      <c r="R73" s="26">
        <f t="shared" si="954"/>
        <v>2890.4000000000037</v>
      </c>
      <c r="S73" s="26">
        <f t="shared" si="954"/>
        <v>213.91000000001588</v>
      </c>
      <c r="T73" s="26">
        <f t="shared" si="954"/>
        <v>2458.4799999999932</v>
      </c>
      <c r="U73" s="26">
        <f t="shared" si="954"/>
        <v>-6847.2199999999857</v>
      </c>
      <c r="V73" s="26">
        <f t="shared" si="954"/>
        <v>-1923.370000000006</v>
      </c>
      <c r="W73" s="26">
        <f t="shared" si="954"/>
        <v>-1739.2299999999875</v>
      </c>
      <c r="X73" s="26">
        <f t="shared" si="954"/>
        <v>2728.1299999999874</v>
      </c>
      <c r="Y73" s="26">
        <f t="shared" si="954"/>
        <v>7902</v>
      </c>
      <c r="Z73" s="26">
        <f t="shared" si="954"/>
        <v>5452</v>
      </c>
      <c r="AA73" s="26">
        <f t="shared" ref="AA73" si="955">AA65+AA69+AA70-AA72+AA71</f>
        <v>5452</v>
      </c>
      <c r="AB73" s="27">
        <f t="shared" si="954"/>
        <v>-4760.8376761976097</v>
      </c>
      <c r="AC73" s="27">
        <f t="shared" si="954"/>
        <v>-4693.3306601626937</v>
      </c>
      <c r="AD73" s="27">
        <f t="shared" si="954"/>
        <v>-4844.4813120393319</v>
      </c>
      <c r="AE73" s="27">
        <f t="shared" si="954"/>
        <v>-5817.5796306923658</v>
      </c>
      <c r="AI73" s="26">
        <f>AI65+AI69+AI70-AI72+AI71</f>
        <v>205.34000000000043</v>
      </c>
      <c r="AJ73" s="26">
        <f t="shared" ref="AJ73:CM73" si="956">AJ65+AJ69+AJ70-AJ72+AJ71</f>
        <v>867.01999999999987</v>
      </c>
      <c r="AK73" s="26">
        <f t="shared" si="956"/>
        <v>-458.48999999999978</v>
      </c>
      <c r="AL73" s="26">
        <f t="shared" si="956"/>
        <v>-312.08999999999861</v>
      </c>
      <c r="AM73" s="26">
        <f t="shared" si="956"/>
        <v>703.25999999999681</v>
      </c>
      <c r="AN73" s="26">
        <f t="shared" si="956"/>
        <v>-803.5300000000002</v>
      </c>
      <c r="AO73" s="26">
        <f t="shared" si="956"/>
        <v>1251.4000000000021</v>
      </c>
      <c r="AP73" s="26">
        <f t="shared" si="956"/>
        <v>-816.61</v>
      </c>
      <c r="AQ73" s="26">
        <f t="shared" si="956"/>
        <v>393.69999999999948</v>
      </c>
      <c r="AR73" s="26">
        <f t="shared" si="956"/>
        <v>-1845.6300000000015</v>
      </c>
      <c r="AS73" s="26">
        <f t="shared" si="956"/>
        <v>-2122.7200000000007</v>
      </c>
      <c r="AT73" s="26">
        <f>AT65+AT69+AT70-AT72+AT71</f>
        <v>-1164.2499999999989</v>
      </c>
      <c r="AU73" s="26">
        <f t="shared" si="956"/>
        <v>289.8399999999998</v>
      </c>
      <c r="AV73" s="26">
        <f t="shared" si="956"/>
        <v>-288.78999999999911</v>
      </c>
      <c r="AW73" s="26">
        <f t="shared" si="956"/>
        <v>-136.82000000000016</v>
      </c>
      <c r="AX73" s="26">
        <f t="shared" si="956"/>
        <v>397.95000000000084</v>
      </c>
      <c r="AY73" s="26">
        <f t="shared" si="956"/>
        <v>25.749999999998792</v>
      </c>
      <c r="AZ73" s="26">
        <f t="shared" si="956"/>
        <v>-630.76000000000056</v>
      </c>
      <c r="BA73" s="26">
        <f t="shared" si="956"/>
        <v>-1045.9400000000007</v>
      </c>
      <c r="BB73" s="26">
        <f t="shared" si="956"/>
        <v>-805.90999999999758</v>
      </c>
      <c r="BC73" s="26">
        <f t="shared" si="956"/>
        <v>-463.14000000000163</v>
      </c>
      <c r="BD73" s="26">
        <f t="shared" si="956"/>
        <v>-283.34999999999684</v>
      </c>
      <c r="BE73" s="26">
        <f t="shared" si="956"/>
        <v>211.58999999999901</v>
      </c>
      <c r="BF73" s="26">
        <f t="shared" si="956"/>
        <v>-499.93999999999642</v>
      </c>
      <c r="BG73" s="26">
        <f t="shared" si="956"/>
        <v>1187.6499999999976</v>
      </c>
      <c r="BH73" s="26">
        <f t="shared" si="956"/>
        <v>109.13999999999703</v>
      </c>
      <c r="BI73" s="26">
        <f t="shared" si="956"/>
        <v>617.62000000000194</v>
      </c>
      <c r="BJ73" s="26">
        <f t="shared" si="956"/>
        <v>106.18999999999906</v>
      </c>
      <c r="BK73" s="26">
        <f t="shared" si="956"/>
        <v>-97.100000000000563</v>
      </c>
      <c r="BL73" s="26">
        <f t="shared" si="956"/>
        <v>-1281.9700000000005</v>
      </c>
      <c r="BM73" s="26">
        <f t="shared" si="956"/>
        <v>-1039.5099999999984</v>
      </c>
      <c r="BN73" s="26">
        <f t="shared" si="956"/>
        <v>-4871.050000000002</v>
      </c>
      <c r="BO73" s="26">
        <f t="shared" si="956"/>
        <v>-2190.64</v>
      </c>
      <c r="BP73" s="26">
        <f t="shared" si="956"/>
        <v>-1212.4499999999991</v>
      </c>
      <c r="BQ73" s="26">
        <f t="shared" si="956"/>
        <v>-638.04</v>
      </c>
      <c r="BR73" s="26">
        <f t="shared" si="956"/>
        <v>1645.7200000000009</v>
      </c>
      <c r="BS73" s="26">
        <f t="shared" si="956"/>
        <v>-1320.7300000000005</v>
      </c>
      <c r="BT73" s="26">
        <f t="shared" si="956"/>
        <v>-575.67999999999813</v>
      </c>
      <c r="BU73" s="26">
        <f t="shared" si="956"/>
        <v>-635.48999999999967</v>
      </c>
      <c r="BV73" s="26">
        <f t="shared" si="956"/>
        <v>413.34999999999968</v>
      </c>
      <c r="BW73" s="26">
        <f t="shared" si="956"/>
        <v>-181.02999999999756</v>
      </c>
      <c r="BX73" s="26">
        <f t="shared" si="956"/>
        <v>-292.58999999999685</v>
      </c>
      <c r="BY73" s="26">
        <f t="shared" si="956"/>
        <v>484.71</v>
      </c>
      <c r="BZ73" s="26">
        <f t="shared" si="956"/>
        <v>2695.559999999999</v>
      </c>
      <c r="CA73" s="26">
        <f t="shared" si="956"/>
        <v>-63.99999999999735</v>
      </c>
      <c r="CB73" s="26">
        <f t="shared" si="956"/>
        <v>1269.6200000000017</v>
      </c>
      <c r="CC73" s="26">
        <f t="shared" si="956"/>
        <v>4570.0499999999965</v>
      </c>
      <c r="CD73" s="26">
        <f t="shared" si="956"/>
        <v>2126.429999999998</v>
      </c>
      <c r="CE73" s="26">
        <f t="shared" si="956"/>
        <v>2190</v>
      </c>
      <c r="CF73" s="26">
        <f t="shared" si="956"/>
        <v>643</v>
      </c>
      <c r="CG73" s="26">
        <f t="shared" si="956"/>
        <v>429.89999999999964</v>
      </c>
      <c r="CH73" s="26">
        <f t="shared" si="956"/>
        <v>271.59999999999854</v>
      </c>
      <c r="CI73" s="26">
        <f t="shared" si="956"/>
        <v>1411</v>
      </c>
      <c r="CJ73" s="26">
        <f>CJ65+CJ69+CJ70+CJ72+CJ71</f>
        <v>-1021</v>
      </c>
      <c r="CK73" s="26">
        <f>CK65+CK69+CK70+CK72+CK71</f>
        <v>561</v>
      </c>
      <c r="CL73" s="26">
        <f>CL65+CL69+CL70+CL72+CL71</f>
        <v>2406</v>
      </c>
      <c r="CM73" s="27">
        <f t="shared" si="956"/>
        <v>1203.3440839705352</v>
      </c>
      <c r="CN73" s="27">
        <f t="shared" ref="CN73:DB73" si="957">CN65+CN69+CN70+CN72</f>
        <v>1491.9290931614767</v>
      </c>
      <c r="CO73" s="27">
        <f t="shared" si="957"/>
        <v>1858.5283441736904</v>
      </c>
      <c r="CP73" s="27">
        <f t="shared" si="957"/>
        <v>2027.9744550760536</v>
      </c>
      <c r="CQ73" s="27">
        <f t="shared" si="957"/>
        <v>1361.6436325957989</v>
      </c>
      <c r="CR73" s="27">
        <f t="shared" si="957"/>
        <v>1627.3581616283059</v>
      </c>
      <c r="CS73" s="27">
        <f t="shared" si="957"/>
        <v>2031.2753021294661</v>
      </c>
      <c r="CT73" s="27">
        <f t="shared" si="957"/>
        <v>2332.0162368773481</v>
      </c>
      <c r="CU73" s="27">
        <f t="shared" si="957"/>
        <v>1627.1323778682474</v>
      </c>
      <c r="CV73" s="27">
        <f t="shared" si="957"/>
        <v>1906.8685758887175</v>
      </c>
      <c r="CW73" s="27">
        <f t="shared" si="957"/>
        <v>2359.618239315153</v>
      </c>
      <c r="CX73" s="27">
        <f t="shared" si="957"/>
        <v>2753.7484924638811</v>
      </c>
      <c r="CY73" s="27">
        <f t="shared" si="957"/>
        <v>1776.8238260935395</v>
      </c>
      <c r="CZ73" s="27">
        <f t="shared" si="957"/>
        <v>2085.9868259711052</v>
      </c>
      <c r="DA73" s="27">
        <f t="shared" si="957"/>
        <v>2617.1514040970205</v>
      </c>
      <c r="DB73" s="27">
        <f t="shared" si="957"/>
        <v>3048.5633474425067</v>
      </c>
      <c r="DE73" s="121"/>
      <c r="DF73" s="26">
        <v>2254.4231106233233</v>
      </c>
    </row>
    <row r="74" spans="1:110" s="25" customFormat="1" x14ac:dyDescent="0.2">
      <c r="A74" s="151" t="s">
        <v>489</v>
      </c>
      <c r="AB74" s="17"/>
      <c r="AC74" s="17"/>
      <c r="AD74" s="17"/>
      <c r="AE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9"/>
    </row>
    <row r="75" spans="1:110" s="1" customFormat="1" x14ac:dyDescent="0.2">
      <c r="A75" s="1" t="s">
        <v>487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</row>
    <row r="76" spans="1:110" s="22" customFormat="1" x14ac:dyDescent="0.2">
      <c r="A76" s="22" t="s">
        <v>436</v>
      </c>
      <c r="B76" s="22">
        <f>'Annual Raw'!C35</f>
        <v>0</v>
      </c>
      <c r="C76" s="22">
        <f>'Annual Raw'!D35</f>
        <v>0</v>
      </c>
      <c r="D76" s="22">
        <f>'Annual Raw'!E35</f>
        <v>0</v>
      </c>
      <c r="E76" s="22">
        <v>2727.5699999999979</v>
      </c>
      <c r="F76" s="22">
        <v>3791.6799999999989</v>
      </c>
      <c r="G76" s="22">
        <v>3863.9399999999996</v>
      </c>
      <c r="H76" s="22">
        <v>5220.2400000000025</v>
      </c>
      <c r="I76" s="22">
        <v>5486.729999999995</v>
      </c>
      <c r="J76" s="22">
        <v>2703.0899999999951</v>
      </c>
      <c r="K76" s="22">
        <v>3949.1200000000013</v>
      </c>
      <c r="L76" s="22">
        <v>4215.4599999999964</v>
      </c>
      <c r="M76" s="22">
        <v>4638.5116154584985</v>
      </c>
      <c r="N76" s="22">
        <v>3341.5518954585023</v>
      </c>
      <c r="O76" s="22">
        <v>806.44261599998913</v>
      </c>
      <c r="P76" s="22">
        <v>-4678.2213262399946</v>
      </c>
      <c r="Q76" s="22">
        <v>4897.6599999999953</v>
      </c>
      <c r="R76" s="22">
        <v>2890.4000000000055</v>
      </c>
      <c r="S76" s="22">
        <v>213.91000000001631</v>
      </c>
      <c r="T76" s="22">
        <v>2458.4799999999996</v>
      </c>
      <c r="U76" s="22">
        <v>-6847.2199999999957</v>
      </c>
      <c r="V76" s="22">
        <v>-1923.3700000000074</v>
      </c>
      <c r="W76" s="22">
        <v>-1739.2299999999918</v>
      </c>
      <c r="X76" s="22">
        <v>2728.1299999999983</v>
      </c>
      <c r="Y76" s="22">
        <v>7902</v>
      </c>
      <c r="Z76" s="22">
        <v>5452</v>
      </c>
      <c r="AA76" s="22">
        <v>5452</v>
      </c>
      <c r="AB76" s="21">
        <f t="shared" ref="AA76:AD76" si="958">+AB73</f>
        <v>-4760.8376761976097</v>
      </c>
      <c r="AC76" s="21">
        <f t="shared" si="958"/>
        <v>-4693.3306601626937</v>
      </c>
      <c r="AD76" s="21">
        <f t="shared" si="958"/>
        <v>-4844.4813120393319</v>
      </c>
      <c r="AE76" s="21">
        <f t="shared" ref="AE76" si="959">+AE73</f>
        <v>-5817.5796306923658</v>
      </c>
      <c r="AI76" s="22">
        <v>205.33999999999924</v>
      </c>
      <c r="AJ76" s="22">
        <v>867.02000000000157</v>
      </c>
      <c r="AK76" s="22">
        <v>-458.49000000000234</v>
      </c>
      <c r="AL76" s="22">
        <v>-312.09000000000003</v>
      </c>
      <c r="AM76" s="22">
        <v>703.2600000000009</v>
      </c>
      <c r="AN76" s="22">
        <v>-803.53000000000179</v>
      </c>
      <c r="AO76" s="22">
        <v>1251.4000000000012</v>
      </c>
      <c r="AP76" s="22">
        <v>-816.61000000000126</v>
      </c>
      <c r="AQ76" s="22">
        <v>393.69999999999953</v>
      </c>
      <c r="AR76" s="22">
        <v>-1845.6299999999999</v>
      </c>
      <c r="AS76" s="22">
        <v>-2122.7200000000021</v>
      </c>
      <c r="AT76" s="22">
        <v>-1164.2500000000014</v>
      </c>
      <c r="AU76" s="22">
        <v>289.83999999999867</v>
      </c>
      <c r="AV76" s="22">
        <v>-288.78999999999951</v>
      </c>
      <c r="AW76" s="22">
        <v>-136.82000000000124</v>
      </c>
      <c r="AX76" s="22">
        <v>397.94999999999709</v>
      </c>
      <c r="AY76" s="22">
        <v>25.750000000002142</v>
      </c>
      <c r="AZ76" s="22">
        <v>-630.75999999999942</v>
      </c>
      <c r="BA76" s="22">
        <v>-1045.9399999999998</v>
      </c>
      <c r="BB76" s="22">
        <v>-805.91000000000008</v>
      </c>
      <c r="BC76" s="22">
        <v>-463.14000000000095</v>
      </c>
      <c r="BD76" s="22">
        <v>-283.34999999999781</v>
      </c>
      <c r="BE76" s="22">
        <v>211.58999999999932</v>
      </c>
      <c r="BF76" s="22">
        <v>-499.93999999999716</v>
      </c>
      <c r="BG76" s="22">
        <v>1187.6500000000008</v>
      </c>
      <c r="BH76" s="22">
        <v>109.1399999999965</v>
      </c>
      <c r="BI76" s="22">
        <v>617.62000000000012</v>
      </c>
      <c r="BJ76" s="22">
        <v>106.18999999999821</v>
      </c>
      <c r="BK76" s="22">
        <v>-97.099999999997053</v>
      </c>
      <c r="BL76" s="22">
        <v>-1281.9699999999993</v>
      </c>
      <c r="BM76" s="22">
        <v>-1039.5100000000007</v>
      </c>
      <c r="BN76" s="22">
        <v>-4871.05</v>
      </c>
      <c r="BO76" s="22">
        <v>-2190.6400000000003</v>
      </c>
      <c r="BP76" s="22">
        <v>-1212.450000000001</v>
      </c>
      <c r="BQ76" s="22">
        <v>-638.03999999999758</v>
      </c>
      <c r="BR76" s="22">
        <v>1645.7200000000023</v>
      </c>
      <c r="BS76" s="22">
        <v>-1320.73</v>
      </c>
      <c r="BT76" s="22">
        <v>-575.67999999999768</v>
      </c>
      <c r="BU76" s="22">
        <v>-635.49000000000137</v>
      </c>
      <c r="BV76" s="22">
        <v>413.35000000000184</v>
      </c>
      <c r="BW76" s="22">
        <v>-181.02999999999878</v>
      </c>
      <c r="BX76" s="22">
        <v>-292.59000000000054</v>
      </c>
      <c r="BY76" s="22">
        <v>484.71000000000049</v>
      </c>
      <c r="BZ76" s="22">
        <v>2695.5599999999977</v>
      </c>
      <c r="CA76" s="22">
        <v>-63.999999999998366</v>
      </c>
      <c r="CB76" s="22">
        <v>1269.6199999999976</v>
      </c>
      <c r="CC76" s="22">
        <v>4570.0500000000011</v>
      </c>
      <c r="CD76" s="22">
        <v>2126.4300000000017</v>
      </c>
      <c r="CE76" s="22">
        <v>2190</v>
      </c>
      <c r="CF76" s="22">
        <v>643</v>
      </c>
      <c r="CG76" s="22">
        <v>1404</v>
      </c>
      <c r="CH76" s="22">
        <v>1382</v>
      </c>
      <c r="CI76" s="22">
        <v>1411</v>
      </c>
      <c r="CJ76" s="22">
        <f>'QTR Raw'!BD42</f>
        <v>-1021</v>
      </c>
      <c r="CK76" s="22">
        <f>'QTR Raw'!BE42</f>
        <v>561</v>
      </c>
      <c r="CL76" s="22">
        <f>'QTR Raw'!BF42</f>
        <v>2406</v>
      </c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  <c r="DF76" s="22">
        <v>10037</v>
      </c>
    </row>
    <row r="77" spans="1:110" s="25" customFormat="1" x14ac:dyDescent="0.2">
      <c r="A77" s="36" t="s">
        <v>437</v>
      </c>
      <c r="B77" s="25" t="e">
        <f t="shared" ref="B77:V77" si="960">B76-B73</f>
        <v>#REF!</v>
      </c>
      <c r="C77" s="25" t="e">
        <f>C76-C73</f>
        <v>#REF!</v>
      </c>
      <c r="D77" s="25" t="e">
        <f t="shared" si="960"/>
        <v>#REF!</v>
      </c>
      <c r="E77" s="25">
        <f t="shared" si="960"/>
        <v>0</v>
      </c>
      <c r="F77" s="25">
        <f t="shared" si="960"/>
        <v>0</v>
      </c>
      <c r="G77" s="25">
        <f t="shared" si="960"/>
        <v>0</v>
      </c>
      <c r="H77" s="25">
        <f t="shared" si="960"/>
        <v>0</v>
      </c>
      <c r="I77" s="25">
        <f t="shared" si="960"/>
        <v>0</v>
      </c>
      <c r="J77" s="25">
        <f t="shared" si="960"/>
        <v>-7.73070496506989E-12</v>
      </c>
      <c r="K77" s="25">
        <f t="shared" si="960"/>
        <v>7.73070496506989E-12</v>
      </c>
      <c r="L77" s="25">
        <f t="shared" si="960"/>
        <v>0</v>
      </c>
      <c r="M77" s="25">
        <f t="shared" si="960"/>
        <v>0</v>
      </c>
      <c r="N77" s="25">
        <f t="shared" si="960"/>
        <v>0</v>
      </c>
      <c r="O77" s="25">
        <f t="shared" si="960"/>
        <v>-5.9117155615240335E-12</v>
      </c>
      <c r="P77" s="25">
        <f t="shared" si="960"/>
        <v>0</v>
      </c>
      <c r="Q77" s="25">
        <f t="shared" si="960"/>
        <v>0</v>
      </c>
      <c r="R77" s="25">
        <f t="shared" si="960"/>
        <v>0</v>
      </c>
      <c r="S77" s="25">
        <f t="shared" si="960"/>
        <v>4.2632564145606011E-13</v>
      </c>
      <c r="T77" s="25">
        <f t="shared" si="960"/>
        <v>6.3664629124104977E-12</v>
      </c>
      <c r="U77" s="25">
        <f t="shared" si="960"/>
        <v>-1.0004441719502211E-11</v>
      </c>
      <c r="V77" s="25">
        <f t="shared" si="960"/>
        <v>0</v>
      </c>
      <c r="W77" s="25">
        <f t="shared" ref="W77" si="961">W76-W73</f>
        <v>-4.3200998334214091E-12</v>
      </c>
      <c r="X77" s="25">
        <f t="shared" ref="X77:Y77" si="962">X76-X73</f>
        <v>1.0913936421275139E-11</v>
      </c>
      <c r="Y77" s="25">
        <f t="shared" si="962"/>
        <v>0</v>
      </c>
      <c r="Z77" s="25">
        <f t="shared" ref="Z77:AA77" si="963">Z76-Z73</f>
        <v>0</v>
      </c>
      <c r="AA77" s="25">
        <f t="shared" si="963"/>
        <v>0</v>
      </c>
      <c r="AB77" s="17">
        <f t="shared" ref="AA77:AD77" si="964">AB76-AB73</f>
        <v>0</v>
      </c>
      <c r="AC77" s="17">
        <f t="shared" si="964"/>
        <v>0</v>
      </c>
      <c r="AD77" s="17">
        <f t="shared" si="964"/>
        <v>0</v>
      </c>
      <c r="AE77" s="17">
        <f t="shared" ref="AE77" si="965">AE76-AE73</f>
        <v>0</v>
      </c>
      <c r="AI77" s="25">
        <f t="shared" ref="AI77" si="966">AI76-AI73</f>
        <v>-1.1937117960769683E-12</v>
      </c>
      <c r="AJ77" s="25">
        <f t="shared" ref="AJ77" si="967">AJ76-AJ73</f>
        <v>1.7053025658242404E-12</v>
      </c>
      <c r="AK77" s="25">
        <f t="shared" ref="AK77:AM77" si="968">AK76-AK73</f>
        <v>-2.5579538487363607E-12</v>
      </c>
      <c r="AL77" s="25">
        <f t="shared" si="968"/>
        <v>-1.4210854715202004E-12</v>
      </c>
      <c r="AM77" s="25">
        <f t="shared" si="968"/>
        <v>4.0927261579781771E-12</v>
      </c>
      <c r="AN77" s="25">
        <f t="shared" ref="AN77:AO77" si="969">AN76-AN73</f>
        <v>-1.5916157281026244E-12</v>
      </c>
      <c r="AO77" s="25">
        <f t="shared" si="969"/>
        <v>0</v>
      </c>
      <c r="AP77" s="25">
        <f t="shared" ref="AP77:CD77" si="970">AP76-AP73</f>
        <v>-1.2505552149377763E-12</v>
      </c>
      <c r="AQ77" s="25">
        <f t="shared" si="970"/>
        <v>0</v>
      </c>
      <c r="AR77" s="25">
        <f t="shared" si="970"/>
        <v>0</v>
      </c>
      <c r="AS77" s="25">
        <f t="shared" si="970"/>
        <v>0</v>
      </c>
      <c r="AT77" s="25">
        <f t="shared" si="970"/>
        <v>-2.5011104298755527E-12</v>
      </c>
      <c r="AU77" s="25">
        <f t="shared" si="970"/>
        <v>-1.1368683772161603E-12</v>
      </c>
      <c r="AV77" s="25">
        <f t="shared" si="970"/>
        <v>0</v>
      </c>
      <c r="AW77" s="25">
        <f t="shared" si="970"/>
        <v>-1.0800249583553523E-12</v>
      </c>
      <c r="AX77" s="25">
        <f t="shared" si="970"/>
        <v>-3.751665644813329E-12</v>
      </c>
      <c r="AY77" s="25">
        <f t="shared" si="970"/>
        <v>3.3502089991088724E-12</v>
      </c>
      <c r="AZ77" s="25">
        <f t="shared" si="970"/>
        <v>1.1368683772161603E-12</v>
      </c>
      <c r="BA77" s="25">
        <f t="shared" si="970"/>
        <v>0</v>
      </c>
      <c r="BB77" s="25">
        <f t="shared" si="970"/>
        <v>-2.5011104298755527E-12</v>
      </c>
      <c r="BC77" s="25">
        <f t="shared" si="970"/>
        <v>6.8212102632969618E-13</v>
      </c>
      <c r="BD77" s="25">
        <f t="shared" si="970"/>
        <v>-9.6633812063373625E-13</v>
      </c>
      <c r="BE77" s="25">
        <f t="shared" si="970"/>
        <v>3.1263880373444408E-13</v>
      </c>
      <c r="BF77" s="25">
        <f t="shared" si="970"/>
        <v>-7.3896444519050419E-13</v>
      </c>
      <c r="BG77" s="25">
        <f t="shared" si="970"/>
        <v>3.1832314562052488E-12</v>
      </c>
      <c r="BH77" s="25">
        <f t="shared" si="970"/>
        <v>-5.2580162446247414E-13</v>
      </c>
      <c r="BI77" s="25">
        <f t="shared" si="970"/>
        <v>-1.8189894035458565E-12</v>
      </c>
      <c r="BJ77" s="25">
        <f t="shared" si="970"/>
        <v>-8.5265128291212022E-13</v>
      </c>
      <c r="BK77" s="25">
        <f t="shared" si="970"/>
        <v>3.5100811146548949E-12</v>
      </c>
      <c r="BL77" s="25">
        <f t="shared" si="970"/>
        <v>0</v>
      </c>
      <c r="BM77" s="25">
        <f t="shared" si="970"/>
        <v>-2.2737367544323206E-12</v>
      </c>
      <c r="BN77" s="25">
        <f t="shared" si="970"/>
        <v>0</v>
      </c>
      <c r="BO77" s="25">
        <f t="shared" si="970"/>
        <v>0</v>
      </c>
      <c r="BP77" s="25">
        <f t="shared" si="970"/>
        <v>-1.8189894035458565E-12</v>
      </c>
      <c r="BQ77" s="25">
        <f t="shared" si="970"/>
        <v>2.3874235921539366E-12</v>
      </c>
      <c r="BR77" s="25">
        <f t="shared" si="970"/>
        <v>0</v>
      </c>
      <c r="BS77" s="25">
        <f t="shared" si="970"/>
        <v>0</v>
      </c>
      <c r="BT77" s="25">
        <f t="shared" si="970"/>
        <v>0</v>
      </c>
      <c r="BU77" s="25">
        <f t="shared" si="970"/>
        <v>-1.7053025658242404E-12</v>
      </c>
      <c r="BV77" s="25">
        <f t="shared" si="970"/>
        <v>2.1600499167107046E-12</v>
      </c>
      <c r="BW77" s="25">
        <f t="shared" si="970"/>
        <v>-1.2221335055073723E-12</v>
      </c>
      <c r="BX77" s="25">
        <f t="shared" si="970"/>
        <v>-3.694822225952521E-12</v>
      </c>
      <c r="BY77" s="25">
        <f t="shared" si="970"/>
        <v>5.1159076974727213E-13</v>
      </c>
      <c r="BZ77" s="25">
        <f t="shared" si="970"/>
        <v>0</v>
      </c>
      <c r="CA77" s="25">
        <f t="shared" si="970"/>
        <v>-1.0160761121369433E-12</v>
      </c>
      <c r="CB77" s="25">
        <f t="shared" si="970"/>
        <v>-4.0927261579781771E-12</v>
      </c>
      <c r="CC77" s="25">
        <f t="shared" si="970"/>
        <v>0</v>
      </c>
      <c r="CD77" s="25">
        <f t="shared" si="970"/>
        <v>3.637978807091713E-12</v>
      </c>
      <c r="CE77" s="25">
        <f t="shared" ref="CE77:CF77" si="971">CE76-CE73</f>
        <v>0</v>
      </c>
      <c r="CF77" s="25">
        <f t="shared" si="971"/>
        <v>0</v>
      </c>
      <c r="CG77" s="25">
        <f t="shared" ref="CG77:CH77" si="972">CG76-CG73</f>
        <v>974.10000000000036</v>
      </c>
      <c r="CH77" s="25">
        <f t="shared" si="972"/>
        <v>1110.4000000000015</v>
      </c>
      <c r="CI77" s="25">
        <f t="shared" ref="CI77:CJ77" si="973">CI76-CI73</f>
        <v>0</v>
      </c>
      <c r="CJ77" s="25">
        <f t="shared" si="973"/>
        <v>0</v>
      </c>
      <c r="CK77" s="25">
        <f t="shared" ref="CK77:CL77" si="974">CK76-CK73</f>
        <v>0</v>
      </c>
      <c r="CL77" s="25">
        <f t="shared" si="974"/>
        <v>0</v>
      </c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E77" s="119"/>
      <c r="DF77" s="25">
        <v>0</v>
      </c>
    </row>
    <row r="78" spans="1:110" s="1" customFormat="1" x14ac:dyDescent="0.2">
      <c r="A78" s="150" t="s">
        <v>490</v>
      </c>
      <c r="AB78" s="20"/>
      <c r="AC78" s="20"/>
      <c r="AD78" s="20"/>
      <c r="AE78" s="20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E78" s="119"/>
    </row>
    <row r="79" spans="1:110" s="38" customFormat="1" x14ac:dyDescent="0.2">
      <c r="A79" s="38" t="s">
        <v>351</v>
      </c>
      <c r="B79" s="39" t="e">
        <f t="shared" ref="B79:AE79" si="975">(B73-B72)/B150</f>
        <v>#REF!</v>
      </c>
      <c r="C79" s="39" t="e">
        <f t="shared" si="975"/>
        <v>#REF!</v>
      </c>
      <c r="D79" s="39" t="e">
        <f t="shared" si="975"/>
        <v>#REF!</v>
      </c>
      <c r="E79" s="39">
        <f t="shared" si="975"/>
        <v>0.74429819679430054</v>
      </c>
      <c r="F79" s="39">
        <f t="shared" si="975"/>
        <v>0.91886928751590125</v>
      </c>
      <c r="G79" s="39">
        <f t="shared" si="975"/>
        <v>0.72852429172829647</v>
      </c>
      <c r="H79" s="39">
        <f t="shared" si="975"/>
        <v>0.74461516066814681</v>
      </c>
      <c r="I79" s="39">
        <f t="shared" si="975"/>
        <v>0.74151667835958879</v>
      </c>
      <c r="J79" s="39">
        <f t="shared" si="975"/>
        <v>0.26770726442439408</v>
      </c>
      <c r="K79" s="39">
        <f t="shared" si="975"/>
        <v>0.32741905199101617</v>
      </c>
      <c r="L79" s="39">
        <f t="shared" si="975"/>
        <v>0.21063292910214718</v>
      </c>
      <c r="M79" s="39">
        <f t="shared" si="975"/>
        <v>0.23278556188297875</v>
      </c>
      <c r="N79" s="39">
        <f t="shared" si="975"/>
        <v>0.1752720114439684</v>
      </c>
      <c r="O79" s="39">
        <f t="shared" si="975"/>
        <v>2.8140609334789707E-2</v>
      </c>
      <c r="P79" s="39">
        <f t="shared" si="975"/>
        <v>-0.32036618962374647</v>
      </c>
      <c r="Q79" s="39">
        <f t="shared" si="975"/>
        <v>0.19885522681597848</v>
      </c>
      <c r="R79" s="39">
        <f t="shared" si="975"/>
        <v>0.1205753921657113</v>
      </c>
      <c r="S79" s="39">
        <f t="shared" si="975"/>
        <v>-3.7318464447438048E-2</v>
      </c>
      <c r="T79" s="39">
        <f t="shared" si="975"/>
        <v>0.10176639765515057</v>
      </c>
      <c r="U79" s="39">
        <f t="shared" si="975"/>
        <v>-0.50893616095585814</v>
      </c>
      <c r="V79" s="39">
        <f t="shared" si="975"/>
        <v>-2.7880501491134056E-2</v>
      </c>
      <c r="W79" s="39">
        <f t="shared" si="975"/>
        <v>-8.3022841284285734E-2</v>
      </c>
      <c r="X79" s="39">
        <f t="shared" si="975"/>
        <v>0.10882627164845281</v>
      </c>
      <c r="Y79" s="39">
        <f t="shared" si="975"/>
        <v>0.3553395481538002</v>
      </c>
      <c r="Z79" s="39">
        <f t="shared" si="975"/>
        <v>0.15331020871957418</v>
      </c>
      <c r="AA79" s="39">
        <f t="shared" ref="AA79" si="976">(AA73-AA72)/AA150</f>
        <v>0.15316364939953397</v>
      </c>
      <c r="AB79" s="40">
        <f t="shared" si="975"/>
        <v>-0.23827091009003606</v>
      </c>
      <c r="AC79" s="40">
        <f t="shared" si="975"/>
        <v>-0.17170887787973788</v>
      </c>
      <c r="AD79" s="40">
        <f t="shared" si="975"/>
        <v>-0.13464209210945727</v>
      </c>
      <c r="AE79" s="40">
        <f t="shared" si="975"/>
        <v>-0.12783371283481063</v>
      </c>
      <c r="AF79" s="39"/>
      <c r="AG79" s="39"/>
      <c r="AH79" s="39"/>
      <c r="AI79" s="39"/>
      <c r="AJ79" s="39"/>
      <c r="AK79" s="39"/>
      <c r="AL79" s="39" t="e">
        <f t="shared" ref="AL79:BQ79" si="977">(SUM(AI73:AL73)-SUM(AI72:AL72))/AL150</f>
        <v>#DIV/0!</v>
      </c>
      <c r="AM79" s="39">
        <f t="shared" si="977"/>
        <v>1.1545516594147285</v>
      </c>
      <c r="AN79" s="39" t="e">
        <f t="shared" si="977"/>
        <v>#DIV/0!</v>
      </c>
      <c r="AO79" s="39">
        <f t="shared" si="977"/>
        <v>2.2152469234457373</v>
      </c>
      <c r="AP79" s="39" t="e">
        <f t="shared" si="977"/>
        <v>#DIV/0!</v>
      </c>
      <c r="AQ79" s="39">
        <f t="shared" si="977"/>
        <v>4.8464820929641963</v>
      </c>
      <c r="AR79" s="39" t="e">
        <f t="shared" si="977"/>
        <v>#DIV/0!</v>
      </c>
      <c r="AS79" s="39">
        <f t="shared" si="977"/>
        <v>2.226176792040401</v>
      </c>
      <c r="AT79" s="39" t="e">
        <f t="shared" si="977"/>
        <v>#DIV/0!</v>
      </c>
      <c r="AU79" s="39">
        <f t="shared" si="977"/>
        <v>-16.9290988131383</v>
      </c>
      <c r="AV79" s="39" t="e">
        <f t="shared" si="977"/>
        <v>#DIV/0!</v>
      </c>
      <c r="AW79" s="39">
        <f t="shared" si="977"/>
        <v>9.7227744481800666</v>
      </c>
      <c r="AX79" s="39" t="e">
        <f t="shared" si="977"/>
        <v>#DIV/0!</v>
      </c>
      <c r="AY79" s="39">
        <f t="shared" si="977"/>
        <v>-10.288932038835421</v>
      </c>
      <c r="AZ79" s="39" t="e">
        <f t="shared" si="977"/>
        <v>#DIV/0!</v>
      </c>
      <c r="BA79" s="39">
        <f t="shared" si="977"/>
        <v>1.2463812455781409</v>
      </c>
      <c r="BB79" s="39" t="e">
        <f t="shared" si="977"/>
        <v>#DIV/0!</v>
      </c>
      <c r="BC79" s="39">
        <f t="shared" si="977"/>
        <v>7.0917217256121017</v>
      </c>
      <c r="BD79" s="39" t="e">
        <f t="shared" si="977"/>
        <v>#DIV/0!</v>
      </c>
      <c r="BE79" s="39">
        <f t="shared" si="977"/>
        <v>-7.7217259794886557</v>
      </c>
      <c r="BF79" s="39" t="e">
        <f t="shared" si="977"/>
        <v>#DIV/0!</v>
      </c>
      <c r="BG79" s="39">
        <f t="shared" si="977"/>
        <v>-0.29529743611333081</v>
      </c>
      <c r="BH79" s="39" t="e">
        <f t="shared" si="977"/>
        <v>#DIV/0!</v>
      </c>
      <c r="BI79" s="39">
        <f t="shared" si="977"/>
        <v>0.53615491726304088</v>
      </c>
      <c r="BJ79" s="39" t="e">
        <f t="shared" si="977"/>
        <v>#DIV/0!</v>
      </c>
      <c r="BK79" s="39">
        <f t="shared" si="977"/>
        <v>-5.4052523171987064</v>
      </c>
      <c r="BL79" s="39" t="e">
        <f t="shared" si="977"/>
        <v>#DIV/0!</v>
      </c>
      <c r="BM79" s="39">
        <f t="shared" si="977"/>
        <v>2.2454906638704815</v>
      </c>
      <c r="BN79" s="39" t="e">
        <f t="shared" si="977"/>
        <v>#DIV/0!</v>
      </c>
      <c r="BO79" s="39">
        <f t="shared" si="977"/>
        <v>5.4481977869481071</v>
      </c>
      <c r="BP79" s="39" t="e">
        <f t="shared" si="977"/>
        <v>#DIV/0!</v>
      </c>
      <c r="BQ79" s="39">
        <f t="shared" si="977"/>
        <v>18.237869099116047</v>
      </c>
      <c r="BR79" s="39" t="e">
        <f t="shared" ref="BR79:CW79" si="978">(SUM(BO73:BR73)-SUM(BO72:BR72))/BR150</f>
        <v>#DIV/0!</v>
      </c>
      <c r="BS79" s="39">
        <f t="shared" si="978"/>
        <v>8.2855693442261971E-2</v>
      </c>
      <c r="BT79" s="39" t="e">
        <f t="shared" si="978"/>
        <v>#DIV/0!</v>
      </c>
      <c r="BU79" s="39">
        <f t="shared" si="978"/>
        <v>-0.94619899605029667</v>
      </c>
      <c r="BV79" s="39" t="e">
        <f t="shared" si="978"/>
        <v>#DIV/0!</v>
      </c>
      <c r="BW79" s="39">
        <f t="shared" si="978"/>
        <v>4.8167707009888279</v>
      </c>
      <c r="BX79" s="39" t="e">
        <f t="shared" si="978"/>
        <v>#DIV/0!</v>
      </c>
      <c r="BY79" s="39">
        <f t="shared" si="978"/>
        <v>1.156175857729375</v>
      </c>
      <c r="BZ79" s="39" t="e">
        <f t="shared" si="978"/>
        <v>#DIV/0!</v>
      </c>
      <c r="CA79" s="39">
        <f t="shared" si="978"/>
        <v>-29.599062500001299</v>
      </c>
      <c r="CB79" s="39" t="e">
        <f t="shared" si="978"/>
        <v>#DIV/0!</v>
      </c>
      <c r="CC79" s="39">
        <f t="shared" si="978"/>
        <v>2.4264329711928769</v>
      </c>
      <c r="CD79" s="39" t="e">
        <f t="shared" si="978"/>
        <v>#DIV/0!</v>
      </c>
      <c r="CE79" s="39">
        <f t="shared" si="978"/>
        <v>6.1983926940639247</v>
      </c>
      <c r="CF79" s="39" t="e">
        <f t="shared" si="978"/>
        <v>#DIV/0!</v>
      </c>
      <c r="CG79" s="39">
        <f t="shared" si="978"/>
        <v>12.114049779018382</v>
      </c>
      <c r="CH79" s="39">
        <f t="shared" si="978"/>
        <v>9.5972130853417797E-2</v>
      </c>
      <c r="CI79" s="39">
        <f t="shared" si="978"/>
        <v>7.0539121452959527E-2</v>
      </c>
      <c r="CJ79" s="39">
        <f t="shared" si="978"/>
        <v>0.30577364994255057</v>
      </c>
      <c r="CK79" s="39">
        <f t="shared" si="978"/>
        <v>0.44467060427078586</v>
      </c>
      <c r="CL79" s="39">
        <f t="shared" si="978"/>
        <v>0.52526307933427863</v>
      </c>
      <c r="CM79" s="40">
        <f t="shared" si="978"/>
        <v>0.46844150806440743</v>
      </c>
      <c r="CN79" s="40">
        <f t="shared" si="978"/>
        <v>0.43414655015673964</v>
      </c>
      <c r="CO79" s="40">
        <f t="shared" si="978"/>
        <v>0.37541781505839983</v>
      </c>
      <c r="CP79" s="40">
        <f t="shared" si="978"/>
        <v>0.3294054237013484</v>
      </c>
      <c r="CQ79" s="40">
        <f t="shared" si="978"/>
        <v>0.31580653217837817</v>
      </c>
      <c r="CR79" s="40">
        <f t="shared" si="978"/>
        <v>0.29932830270009608</v>
      </c>
      <c r="CS79" s="40">
        <f t="shared" si="978"/>
        <v>0.28191818684293873</v>
      </c>
      <c r="CT79" s="40">
        <f t="shared" si="978"/>
        <v>0.26898893973261967</v>
      </c>
      <c r="CU79" s="40">
        <f t="shared" si="978"/>
        <v>0.26304312935073321</v>
      </c>
      <c r="CV79" s="40">
        <f t="shared" si="978"/>
        <v>0.25584846327756605</v>
      </c>
      <c r="CW79" s="40">
        <f t="shared" si="978"/>
        <v>0.24756109623397515</v>
      </c>
      <c r="CX79" s="40">
        <f t="shared" ref="CX79:DB79" si="979">(SUM(CU73:CX73)-SUM(CU72:CX72))/CX150</f>
        <v>0.24033526014989601</v>
      </c>
      <c r="CY79" s="40">
        <f t="shared" si="979"/>
        <v>0.23298986585414774</v>
      </c>
      <c r="CZ79" s="40">
        <f t="shared" si="979"/>
        <v>0.22528729242460441</v>
      </c>
      <c r="DA79" s="40">
        <f t="shared" si="979"/>
        <v>0.21746640999457564</v>
      </c>
      <c r="DB79" s="40">
        <f t="shared" si="979"/>
        <v>0.20937689855713557</v>
      </c>
      <c r="DE79" s="122"/>
      <c r="DF79" s="38">
        <v>0.53595266184165469</v>
      </c>
    </row>
    <row r="80" spans="1:110" s="38" customFormat="1" x14ac:dyDescent="0.2">
      <c r="A80" s="38" t="s">
        <v>352</v>
      </c>
      <c r="B80" s="39" t="e">
        <f t="shared" ref="B80:AE80" si="980">+B58/B160</f>
        <v>#REF!</v>
      </c>
      <c r="C80" s="39" t="e">
        <f t="shared" si="980"/>
        <v>#REF!</v>
      </c>
      <c r="D80" s="39" t="e">
        <f t="shared" si="980"/>
        <v>#REF!</v>
      </c>
      <c r="E80" s="39">
        <f t="shared" si="980"/>
        <v>0.68958476275247893</v>
      </c>
      <c r="F80" s="39">
        <f t="shared" si="980"/>
        <v>0.65237535209881936</v>
      </c>
      <c r="G80" s="39">
        <f t="shared" si="980"/>
        <v>0.52497607361890786</v>
      </c>
      <c r="H80" s="39">
        <f t="shared" si="980"/>
        <v>0.56344718992470766</v>
      </c>
      <c r="I80" s="39">
        <f t="shared" si="980"/>
        <v>0.39786345911691323</v>
      </c>
      <c r="J80" s="39">
        <f t="shared" si="980"/>
        <v>0.11264081177378732</v>
      </c>
      <c r="K80" s="39">
        <f t="shared" si="980"/>
        <v>0.15163072419161258</v>
      </c>
      <c r="L80" s="39">
        <f t="shared" si="980"/>
        <v>0.17626947643521251</v>
      </c>
      <c r="M80" s="39">
        <f t="shared" si="980"/>
        <v>0.16928769516819686</v>
      </c>
      <c r="N80" s="39">
        <f t="shared" si="980"/>
        <v>7.869474817639284E-2</v>
      </c>
      <c r="O80" s="39">
        <f t="shared" si="980"/>
        <v>-2.6915663634707078E-2</v>
      </c>
      <c r="P80" s="39">
        <f t="shared" si="980"/>
        <v>-5.7824086429520645E-2</v>
      </c>
      <c r="Q80" s="39">
        <f t="shared" si="980"/>
        <v>0.14866088456598114</v>
      </c>
      <c r="R80" s="39">
        <f t="shared" si="980"/>
        <v>9.0998824712139534E-2</v>
      </c>
      <c r="S80" s="39">
        <f t="shared" si="980"/>
        <v>1.4758106403095292E-2</v>
      </c>
      <c r="T80" s="39">
        <f t="shared" si="980"/>
        <v>6.2821173219748394E-2</v>
      </c>
      <c r="U80" s="39">
        <f t="shared" si="980"/>
        <v>-8.5147402910792203E-2</v>
      </c>
      <c r="V80" s="39">
        <f t="shared" si="980"/>
        <v>-4.5226608981248521E-2</v>
      </c>
      <c r="W80" s="39">
        <f t="shared" si="980"/>
        <v>-2.8714229127722226E-3</v>
      </c>
      <c r="X80" s="39">
        <f t="shared" si="980"/>
        <v>7.2911531756559317E-2</v>
      </c>
      <c r="Y80" s="39">
        <f t="shared" si="980"/>
        <v>0.13202354904924096</v>
      </c>
      <c r="Z80" s="39">
        <f t="shared" si="980"/>
        <v>0.14309272521673577</v>
      </c>
      <c r="AA80" s="39">
        <f t="shared" ref="AA80" si="981">+AA58/AA160</f>
        <v>0.13645451890458968</v>
      </c>
      <c r="AB80" s="40">
        <f t="shared" si="980"/>
        <v>-9.2307352832653122E-2</v>
      </c>
      <c r="AC80" s="40">
        <f t="shared" si="980"/>
        <v>-5.2738697714571708E-2</v>
      </c>
      <c r="AD80" s="40">
        <f t="shared" si="980"/>
        <v>-3.6756336853036038E-2</v>
      </c>
      <c r="AE80" s="40">
        <f t="shared" si="980"/>
        <v>-3.408454758802465E-2</v>
      </c>
      <c r="AF80" s="39"/>
      <c r="AG80" s="39"/>
      <c r="AH80" s="39"/>
      <c r="AI80" s="39"/>
      <c r="AJ80" s="39"/>
      <c r="AK80" s="39"/>
      <c r="AL80" s="39" t="e">
        <f t="shared" ref="AL80:BQ80" si="982">+SUM(AI58:AL58)/AL160</f>
        <v>#DIV/0!</v>
      </c>
      <c r="AM80" s="39">
        <f t="shared" si="982"/>
        <v>-1.0873787788300271</v>
      </c>
      <c r="AN80" s="39" t="e">
        <f t="shared" si="982"/>
        <v>#DIV/0!</v>
      </c>
      <c r="AO80" s="39">
        <f t="shared" si="982"/>
        <v>-1.6324996004474959</v>
      </c>
      <c r="AP80" s="39" t="e">
        <f t="shared" si="982"/>
        <v>#DIV/0!</v>
      </c>
      <c r="AQ80" s="39">
        <f t="shared" si="982"/>
        <v>-8.690195580391169</v>
      </c>
      <c r="AR80" s="39" t="e">
        <f t="shared" si="982"/>
        <v>#DIV/0!</v>
      </c>
      <c r="AS80" s="39">
        <f t="shared" si="982"/>
        <v>1.9198339865832523</v>
      </c>
      <c r="AT80" s="39" t="e">
        <f t="shared" si="982"/>
        <v>#DIV/0!</v>
      </c>
      <c r="AU80" s="39">
        <f t="shared" si="982"/>
        <v>-9.7875724537676057</v>
      </c>
      <c r="AV80" s="39" t="e">
        <f t="shared" si="982"/>
        <v>#DIV/0!</v>
      </c>
      <c r="AW80" s="39">
        <f t="shared" si="982"/>
        <v>4.9861131413535844</v>
      </c>
      <c r="AX80" s="39" t="e">
        <f t="shared" si="982"/>
        <v>#DIV/0!</v>
      </c>
      <c r="AY80" s="39">
        <f t="shared" si="982"/>
        <v>22.640388349515643</v>
      </c>
      <c r="AZ80" s="39" t="e">
        <f t="shared" si="982"/>
        <v>#DIV/0!</v>
      </c>
      <c r="BA80" s="39">
        <f t="shared" si="982"/>
        <v>0.60070367325085672</v>
      </c>
      <c r="BB80" s="39" t="e">
        <f t="shared" si="982"/>
        <v>#DIV/0!</v>
      </c>
      <c r="BC80" s="39">
        <f t="shared" si="982"/>
        <v>4.9412920499200945</v>
      </c>
      <c r="BD80" s="39" t="e">
        <f t="shared" si="982"/>
        <v>#DIV/0!</v>
      </c>
      <c r="BE80" s="39">
        <f t="shared" si="982"/>
        <v>-3.5715771066685589</v>
      </c>
      <c r="BF80" s="39" t="e">
        <f t="shared" si="982"/>
        <v>#DIV/0!</v>
      </c>
      <c r="BG80" s="39">
        <f t="shared" si="982"/>
        <v>0.66618953395361014</v>
      </c>
      <c r="BH80" s="39" t="e">
        <f t="shared" si="982"/>
        <v>#DIV/0!</v>
      </c>
      <c r="BI80" s="39">
        <f t="shared" si="982"/>
        <v>2.5331109743855369</v>
      </c>
      <c r="BJ80" s="39" t="e">
        <f t="shared" si="982"/>
        <v>#DIV/0!</v>
      </c>
      <c r="BK80" s="39">
        <f t="shared" si="982"/>
        <v>-14.280844490216159</v>
      </c>
      <c r="BL80" s="39" t="e">
        <f t="shared" si="982"/>
        <v>#DIV/0!</v>
      </c>
      <c r="BM80" s="39">
        <f t="shared" si="982"/>
        <v>1.9049840790372421</v>
      </c>
      <c r="BN80" s="39" t="e">
        <f t="shared" si="982"/>
        <v>#DIV/0!</v>
      </c>
      <c r="BO80" s="39">
        <f t="shared" si="982"/>
        <v>2.551405068838331</v>
      </c>
      <c r="BP80" s="39" t="e">
        <f t="shared" si="982"/>
        <v>#DIV/0!</v>
      </c>
      <c r="BQ80" s="39">
        <f t="shared" si="982"/>
        <v>6.7628361858190731</v>
      </c>
      <c r="BR80" s="39" t="e">
        <f t="shared" ref="BR80:CW80" si="983">+SUM(BO58:BR58)/BR160</f>
        <v>#DIV/0!</v>
      </c>
      <c r="BS80" s="39">
        <f t="shared" si="983"/>
        <v>1.0261900615568651</v>
      </c>
      <c r="BT80" s="39" t="e">
        <f t="shared" si="983"/>
        <v>#DIV/0!</v>
      </c>
      <c r="BU80" s="39">
        <f t="shared" si="983"/>
        <v>1.245338242930649</v>
      </c>
      <c r="BV80" s="39" t="e">
        <f t="shared" si="983"/>
        <v>#DIV/0!</v>
      </c>
      <c r="BW80" s="39">
        <f t="shared" si="983"/>
        <v>-3.233552449870253</v>
      </c>
      <c r="BX80" s="39" t="e">
        <f t="shared" si="983"/>
        <v>#DIV/0!</v>
      </c>
      <c r="BY80" s="39">
        <f t="shared" si="983"/>
        <v>4.2676033091951995</v>
      </c>
      <c r="BZ80" s="39" t="e">
        <f t="shared" si="983"/>
        <v>#DIV/0!</v>
      </c>
      <c r="CA80" s="39">
        <f t="shared" si="983"/>
        <v>-56.032031250002397</v>
      </c>
      <c r="CB80" s="39" t="e">
        <f t="shared" si="983"/>
        <v>#DIV/0!</v>
      </c>
      <c r="CC80" s="39">
        <f t="shared" si="983"/>
        <v>1.2114331353048664</v>
      </c>
      <c r="CD80" s="39" t="e">
        <f t="shared" si="983"/>
        <v>#DIV/0!</v>
      </c>
      <c r="CE80" s="39">
        <f t="shared" si="983"/>
        <v>2.9496940639269393</v>
      </c>
      <c r="CF80" s="39" t="e">
        <f t="shared" si="983"/>
        <v>#DIV/0!</v>
      </c>
      <c r="CG80" s="39">
        <f t="shared" si="983"/>
        <v>11.820260525703658</v>
      </c>
      <c r="CH80" s="39">
        <f t="shared" si="983"/>
        <v>9.4174048247267203E-2</v>
      </c>
      <c r="CI80" s="39">
        <f t="shared" si="983"/>
        <v>9.1782758384824054E-2</v>
      </c>
      <c r="CJ80" s="39">
        <f t="shared" si="983"/>
        <v>0.28143283953691012</v>
      </c>
      <c r="CK80" s="39">
        <f t="shared" si="983"/>
        <v>0.37087869128525885</v>
      </c>
      <c r="CL80" s="39">
        <f t="shared" si="983"/>
        <v>0.50091866731994117</v>
      </c>
      <c r="CM80" s="40">
        <f t="shared" si="983"/>
        <v>0.48071431326124137</v>
      </c>
      <c r="CN80" s="40">
        <f t="shared" si="983"/>
        <v>0.45925172011873527</v>
      </c>
      <c r="CO80" s="40">
        <f t="shared" si="983"/>
        <v>0.43449515309081882</v>
      </c>
      <c r="CP80" s="40">
        <f t="shared" si="983"/>
        <v>0.40279192986102053</v>
      </c>
      <c r="CQ80" s="40">
        <f t="shared" si="983"/>
        <v>0.39164075399772302</v>
      </c>
      <c r="CR80" s="40">
        <f t="shared" si="983"/>
        <v>0.37847012348006132</v>
      </c>
      <c r="CS80" s="40">
        <f t="shared" si="983"/>
        <v>0.36243027997624921</v>
      </c>
      <c r="CT80" s="40">
        <f t="shared" si="983"/>
        <v>0.34530493473350243</v>
      </c>
      <c r="CU80" s="40">
        <f t="shared" si="983"/>
        <v>0.33803629808037217</v>
      </c>
      <c r="CV80" s="40">
        <f t="shared" si="983"/>
        <v>0.33011948527046531</v>
      </c>
      <c r="CW80" s="40">
        <f t="shared" si="983"/>
        <v>0.32011027199079684</v>
      </c>
      <c r="CX80" s="40">
        <f t="shared" ref="CX80:DB80" si="984">+SUM(CU58:CX58)/CX160</f>
        <v>0.30999370733952142</v>
      </c>
      <c r="CY80" s="40">
        <f t="shared" si="984"/>
        <v>0.30436876759724341</v>
      </c>
      <c r="CZ80" s="40">
        <f t="shared" si="984"/>
        <v>0.29773044223407041</v>
      </c>
      <c r="DA80" s="40">
        <f t="shared" si="984"/>
        <v>0.29055702614169671</v>
      </c>
      <c r="DB80" s="40">
        <f t="shared" si="984"/>
        <v>0.28273524156750884</v>
      </c>
      <c r="DE80" s="122"/>
      <c r="DF80" s="38">
        <v>0.41901484511275389</v>
      </c>
    </row>
    <row r="81" spans="1:110" s="1" customFormat="1" x14ac:dyDescent="0.2">
      <c r="A81" s="150" t="s">
        <v>491</v>
      </c>
      <c r="AB81" s="20"/>
      <c r="AC81" s="20"/>
      <c r="AD81" s="20"/>
      <c r="AE81" s="20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E81" s="119"/>
    </row>
    <row r="82" spans="1:110" s="8" customFormat="1" x14ac:dyDescent="0.2">
      <c r="A82" s="12" t="s">
        <v>26</v>
      </c>
      <c r="AB82" s="58"/>
      <c r="AC82" s="58"/>
      <c r="AD82" s="58"/>
      <c r="AE82" s="58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E82" s="133"/>
    </row>
    <row r="83" spans="1:110" s="9" customFormat="1" x14ac:dyDescent="0.2">
      <c r="A83" s="9" t="s">
        <v>455</v>
      </c>
      <c r="N83" s="9">
        <f>N32-SUM(AI32:AL32)</f>
        <v>3039.8318954585047</v>
      </c>
      <c r="O83" s="9">
        <f>O32-SUM(AM32:AP32)</f>
        <v>2074.2596159999957</v>
      </c>
      <c r="P83" s="9">
        <f>P32-SUM(AQ32:AT32)</f>
        <v>1763.6386737600042</v>
      </c>
      <c r="Q83" s="9">
        <f>Q32-SUM(AU32:AX32)</f>
        <v>4946.07</v>
      </c>
      <c r="R83" s="9">
        <f>R32-SUM(AY32:BB32)</f>
        <v>5284.9400000000096</v>
      </c>
      <c r="S83" s="9">
        <f>S32-SUM(BC32:BF32)</f>
        <v>1123.5500000000175</v>
      </c>
      <c r="T83" s="9">
        <f>T32-SUM(BG32:BJ32)</f>
        <v>437.88000000000466</v>
      </c>
      <c r="U83" s="9">
        <f>U32-SUM(BK32:BN32)</f>
        <v>442.41000000001077</v>
      </c>
      <c r="V83" s="9">
        <f>V32-SUM(BO32:BR32)</f>
        <v>472.07999999999447</v>
      </c>
      <c r="W83" s="9">
        <f>W32-SUM(BS32:BV32)</f>
        <v>-5327.5799999999872</v>
      </c>
      <c r="X83" s="9">
        <f>X32-SUM(BW32:BZ32)</f>
        <v>0</v>
      </c>
      <c r="Y83" s="9">
        <f>Y32-SUM(CA32:CD32)</f>
        <v>-7.0000000006984919E-2</v>
      </c>
      <c r="Z83" s="9">
        <f>Z32-SUM(CE32:CH32)</f>
        <v>0</v>
      </c>
      <c r="AA83" s="9">
        <f>AA32-SUM(CF32:CI32)</f>
        <v>1180</v>
      </c>
      <c r="AB83" s="15">
        <f>AB32-SUM(CM32:CP32)</f>
        <v>0</v>
      </c>
      <c r="AC83" s="15">
        <f>AC32-SUM(CQ32:CT32)</f>
        <v>0</v>
      </c>
      <c r="AD83" s="15">
        <f>AD32-SUM(CU32:CX32)</f>
        <v>0</v>
      </c>
      <c r="AE83" s="15">
        <f>AE32-SUM(CY32:DB32)</f>
        <v>0</v>
      </c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E83" s="134"/>
      <c r="DF83" s="9">
        <v>-778</v>
      </c>
    </row>
    <row r="84" spans="1:110" s="9" customFormat="1" x14ac:dyDescent="0.2">
      <c r="A84" s="9" t="s">
        <v>456</v>
      </c>
      <c r="N84" s="9">
        <f>N38-SUM(AI38:AL38)</f>
        <v>3039.8318954585011</v>
      </c>
      <c r="O84" s="9">
        <f>O38-SUM(AM38:AP38)</f>
        <v>2074.2596159999957</v>
      </c>
      <c r="P84" s="9">
        <f>P38-SUM(AQ38:AT38)</f>
        <v>1763.6386737600023</v>
      </c>
      <c r="Q84" s="9">
        <f>Q38-SUM(AU38:AX38)</f>
        <v>4946.0699999999943</v>
      </c>
      <c r="R84" s="9">
        <f>R38-SUM(AY38:BB38)</f>
        <v>5288.7500000000018</v>
      </c>
      <c r="S84" s="9">
        <f>S38-SUM(BC38:BF38)</f>
        <v>1123.5500000000138</v>
      </c>
      <c r="T84" s="9">
        <f>T38-SUM(BG38:BJ38)</f>
        <v>437.87999999999738</v>
      </c>
      <c r="U84" s="9">
        <f>U38-SUM(BK38:BN38)</f>
        <v>442.41000000001441</v>
      </c>
      <c r="V84" s="9">
        <f>V38-SUM(BO38:BR38)</f>
        <v>472.07999999999265</v>
      </c>
      <c r="W84" s="9">
        <f>W38-SUM(BS38:BV38)</f>
        <v>-932.47999999998865</v>
      </c>
      <c r="X84" s="9">
        <f>X38-SUM(BW38:BZ38)</f>
        <v>-1.0000000016589183E-2</v>
      </c>
      <c r="Y84" s="9">
        <f>Y38-SUM(CA38:CD38)</f>
        <v>-0.31999999999970896</v>
      </c>
      <c r="Z84" s="9">
        <f>Z38-SUM(CE38:CH38)</f>
        <v>2084.5</v>
      </c>
      <c r="AA84" s="9">
        <f>AA38-SUM(CF38:CI38)</f>
        <v>2229.5</v>
      </c>
      <c r="AB84" s="15">
        <f>AB38-SUM(CM38:CP38)</f>
        <v>0</v>
      </c>
      <c r="AC84" s="15">
        <f>AC38-SUM(CQ38:CT38)</f>
        <v>0</v>
      </c>
      <c r="AD84" s="15">
        <f>AD38-SUM(CU38:CX38)</f>
        <v>0</v>
      </c>
      <c r="AE84" s="15">
        <f>AE38-SUM(CY38:DB38)</f>
        <v>0</v>
      </c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E84" s="134"/>
      <c r="DF84" s="9">
        <v>-778</v>
      </c>
    </row>
    <row r="85" spans="1:110" s="9" customFormat="1" x14ac:dyDescent="0.2">
      <c r="A85" s="9" t="s">
        <v>457</v>
      </c>
      <c r="N85" s="9">
        <f>N52-SUM(AI52:AL52)</f>
        <v>3039.7718954585021</v>
      </c>
      <c r="O85" s="9">
        <f>O52-SUM(AM52:AP52)</f>
        <v>2074.0426159999965</v>
      </c>
      <c r="P85" s="9">
        <f>P52-SUM(AQ52:AT52)</f>
        <v>1480.7686737600038</v>
      </c>
      <c r="Q85" s="9">
        <f>Q52-SUM(AU52:AX52)</f>
        <v>4945.179999999993</v>
      </c>
      <c r="R85" s="9">
        <f>R52-SUM(AY52:BB52)</f>
        <v>5396.9800000000032</v>
      </c>
      <c r="S85" s="9">
        <f>S52-SUM(BC52:BF52)</f>
        <v>1126.2200000000116</v>
      </c>
      <c r="T85" s="9">
        <f>T52-SUM(BG52:BJ52)</f>
        <v>437.8799999999992</v>
      </c>
      <c r="U85" s="9">
        <f>U52-SUM(BK52:BN52)</f>
        <v>580.77000000001544</v>
      </c>
      <c r="V85" s="9">
        <f>V52-SUM(BO52:BR52)</f>
        <v>472.12999999999192</v>
      </c>
      <c r="W85" s="9">
        <f>W52-SUM(BS52:BV52)</f>
        <v>-112.92999999998847</v>
      </c>
      <c r="X85" s="9">
        <f>X52-SUM(BW52:BZ52)</f>
        <v>21.479999999983193</v>
      </c>
      <c r="Y85" s="9">
        <f>Y52-SUM(CA52:CD52)</f>
        <v>-9.0000000000145519E-2</v>
      </c>
      <c r="Z85" s="9">
        <f>Z52-SUM(CE52:CH52)</f>
        <v>2084.5000000000018</v>
      </c>
      <c r="AA85" s="9">
        <f>AA52-SUM(CF52:CI52)</f>
        <v>2110.5000000000018</v>
      </c>
      <c r="AB85" s="15">
        <f>AB52-SUM(CM52:CP52)</f>
        <v>-11342.613652579366</v>
      </c>
      <c r="AC85" s="15">
        <f>AC52-SUM(CQ52:CT52)</f>
        <v>-12045.623993393612</v>
      </c>
      <c r="AD85" s="15">
        <f>AD52-SUM(CU52:CX52)</f>
        <v>-13491.848997575333</v>
      </c>
      <c r="AE85" s="15">
        <f>AE52-SUM(CY52:DB52)</f>
        <v>-15346.105034296539</v>
      </c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E85" s="134"/>
      <c r="DF85" s="9">
        <v>-605</v>
      </c>
    </row>
    <row r="86" spans="1:110" s="9" customFormat="1" x14ac:dyDescent="0.2">
      <c r="A86" s="9" t="s">
        <v>458</v>
      </c>
      <c r="N86" s="9">
        <f>N73-SUM(AI73:AL73)</f>
        <v>3039.7718954585021</v>
      </c>
      <c r="O86" s="9">
        <f>O73-SUM(AM73:AP73)</f>
        <v>471.92261599999631</v>
      </c>
      <c r="P86" s="9">
        <f>P73-SUM(AQ73:AT73)</f>
        <v>60.678673760003221</v>
      </c>
      <c r="Q86" s="9">
        <f>Q73-SUM(AU73:AX73)</f>
        <v>4635.4799999999941</v>
      </c>
      <c r="R86" s="9">
        <f>R73-SUM(AY73:BB73)</f>
        <v>5347.2600000000039</v>
      </c>
      <c r="S86" s="9">
        <f>S73-SUM(BC73:BF73)</f>
        <v>1248.7500000000118</v>
      </c>
      <c r="T86" s="9">
        <f>T73-SUM(BG73:BJ73)</f>
        <v>437.87999999999761</v>
      </c>
      <c r="U86" s="9">
        <f>U73-SUM(BK73:BN73)</f>
        <v>442.41000000001532</v>
      </c>
      <c r="V86" s="9">
        <f>V73-SUM(BO73:BR73)</f>
        <v>472.03999999999201</v>
      </c>
      <c r="W86" s="9">
        <f>W65-SUM(BS65:BV65)</f>
        <v>370.72000000001071</v>
      </c>
      <c r="X86" s="9">
        <f>X65-SUM(BW65:BZ65)</f>
        <v>21.479999999983193</v>
      </c>
      <c r="Y86" s="9">
        <f>Y65-SUM(CA65:CD65)</f>
        <v>-0.63999999999941792</v>
      </c>
      <c r="Z86" s="9">
        <f>Z65-SUM(CE65:CH65)</f>
        <v>1913.5000000000018</v>
      </c>
      <c r="AA86" s="9">
        <f>AA65-SUM(CF65:CI65)</f>
        <v>2828.5000000000018</v>
      </c>
      <c r="AB86" s="15">
        <f>AB65-SUM(CM65:CP65)</f>
        <v>-11342.613652579366</v>
      </c>
      <c r="AC86" s="15">
        <f>AC65-SUM(CQ65:CT65)</f>
        <v>-12045.623993393612</v>
      </c>
      <c r="AD86" s="15">
        <f>AD65-SUM(CU65:CX65)</f>
        <v>-13491.848997575331</v>
      </c>
      <c r="AE86" s="15">
        <f>AE65-SUM(CY65:DB65)</f>
        <v>-15346.105034296537</v>
      </c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E86" s="134"/>
      <c r="DF86" s="9">
        <v>-605</v>
      </c>
    </row>
    <row r="87" spans="1:110" s="8" customFormat="1" x14ac:dyDescent="0.2">
      <c r="A87" s="149" t="s">
        <v>492</v>
      </c>
      <c r="AB87" s="58"/>
      <c r="AC87" s="58"/>
      <c r="AD87" s="58"/>
      <c r="AE87" s="58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E87" s="133"/>
    </row>
    <row r="88" spans="1:110" s="3" customFormat="1" x14ac:dyDescent="0.2">
      <c r="A88" s="3" t="s">
        <v>27</v>
      </c>
      <c r="B88" s="3">
        <f>'Annual Raw'!C104</f>
        <v>0</v>
      </c>
      <c r="C88" s="3">
        <f>'Annual Raw'!D104</f>
        <v>0</v>
      </c>
      <c r="D88" s="3">
        <f>'Annual Raw'!E104</f>
        <v>0</v>
      </c>
      <c r="E88" s="3">
        <f>'Annual Raw'!F104</f>
        <v>0</v>
      </c>
      <c r="F88" s="3">
        <f>'Annual Raw'!G104</f>
        <v>0</v>
      </c>
      <c r="G88" s="3">
        <f>'Annual Raw'!H104</f>
        <v>0</v>
      </c>
      <c r="H88" s="3">
        <f>'Annual Raw'!I104</f>
        <v>0</v>
      </c>
      <c r="I88" s="3">
        <f>'Annual Raw'!J104</f>
        <v>0</v>
      </c>
      <c r="J88" s="3">
        <f>'Annual Raw'!K104</f>
        <v>0</v>
      </c>
      <c r="K88" s="3">
        <f>'Annual Raw'!L104</f>
        <v>0</v>
      </c>
      <c r="L88" s="3">
        <f>'Annual Raw'!M104</f>
        <v>0</v>
      </c>
      <c r="M88" s="3">
        <f>'Annual Raw'!N104</f>
        <v>0</v>
      </c>
      <c r="N88" s="3">
        <f>'Annual Raw'!O104</f>
        <v>0</v>
      </c>
      <c r="O88" s="3">
        <f>'Annual Raw'!P104</f>
        <v>0</v>
      </c>
      <c r="P88" s="3">
        <f>'Annual Raw'!Q104</f>
        <v>0</v>
      </c>
      <c r="Q88" s="3">
        <f>'Annual Raw'!R104</f>
        <v>0</v>
      </c>
      <c r="R88" s="3">
        <f>'Annual Raw'!S104</f>
        <v>0</v>
      </c>
      <c r="S88" s="3">
        <f>'Annual Raw'!T104</f>
        <v>0</v>
      </c>
      <c r="T88" s="3">
        <f>'Annual Raw'!U104</f>
        <v>0</v>
      </c>
      <c r="U88" s="3">
        <f>'Annual Raw'!V104</f>
        <v>0</v>
      </c>
      <c r="V88" s="3">
        <f>'Annual Raw'!W104</f>
        <v>0</v>
      </c>
      <c r="W88" s="3">
        <f>'Annual Raw'!X104</f>
        <v>0</v>
      </c>
      <c r="X88" s="3">
        <f>'Annual Raw'!Y104</f>
        <v>0</v>
      </c>
      <c r="Y88" s="3">
        <f>'Annual Raw'!Z104</f>
        <v>0</v>
      </c>
      <c r="Z88" s="3">
        <f>'Annual Raw'!AA104</f>
        <v>0.1</v>
      </c>
      <c r="AA88" s="3">
        <f>'Annual Raw'!AB104</f>
        <v>736</v>
      </c>
      <c r="AB88" s="37">
        <f t="shared" ref="AB88:AB89" si="985">AA88</f>
        <v>736</v>
      </c>
      <c r="AC88" s="37">
        <f t="shared" ref="AC88:AC89" si="986">AB88</f>
        <v>736</v>
      </c>
      <c r="AD88" s="37">
        <f t="shared" ref="AD88:AD89" si="987">AC88</f>
        <v>736</v>
      </c>
      <c r="AE88" s="37">
        <f t="shared" ref="AE88:AE89" si="988">AD88</f>
        <v>736</v>
      </c>
      <c r="AI88" s="3">
        <f t="shared" ref="AI88:CH88" si="989">+AJ88</f>
        <v>736.46600000000001</v>
      </c>
      <c r="AJ88" s="3">
        <f t="shared" si="989"/>
        <v>736.46600000000001</v>
      </c>
      <c r="AK88" s="3">
        <f t="shared" si="989"/>
        <v>736.46600000000001</v>
      </c>
      <c r="AL88" s="3">
        <f t="shared" si="989"/>
        <v>736.46600000000001</v>
      </c>
      <c r="AM88" s="3">
        <f t="shared" si="989"/>
        <v>736.46600000000001</v>
      </c>
      <c r="AN88" s="3">
        <f t="shared" si="989"/>
        <v>736.46600000000001</v>
      </c>
      <c r="AO88" s="3">
        <f t="shared" si="989"/>
        <v>736.46600000000001</v>
      </c>
      <c r="AP88" s="3">
        <f t="shared" si="989"/>
        <v>736.46600000000001</v>
      </c>
      <c r="AQ88" s="3">
        <f t="shared" si="989"/>
        <v>736.46600000000001</v>
      </c>
      <c r="AR88" s="3">
        <f t="shared" si="989"/>
        <v>736.46600000000001</v>
      </c>
      <c r="AS88" s="3">
        <f t="shared" si="989"/>
        <v>736.46600000000001</v>
      </c>
      <c r="AT88" s="3">
        <f t="shared" si="989"/>
        <v>736.46600000000001</v>
      </c>
      <c r="AU88" s="3">
        <f t="shared" si="989"/>
        <v>736.46600000000001</v>
      </c>
      <c r="AV88" s="3">
        <f t="shared" si="989"/>
        <v>736.46600000000001</v>
      </c>
      <c r="AW88" s="3">
        <f t="shared" si="989"/>
        <v>736.46600000000001</v>
      </c>
      <c r="AX88" s="3">
        <f t="shared" si="989"/>
        <v>736.46600000000001</v>
      </c>
      <c r="AY88" s="3">
        <f t="shared" si="989"/>
        <v>736.46600000000001</v>
      </c>
      <c r="AZ88" s="3">
        <f t="shared" si="989"/>
        <v>736.46600000000001</v>
      </c>
      <c r="BA88" s="3">
        <f t="shared" si="989"/>
        <v>736.46600000000001</v>
      </c>
      <c r="BB88" s="3">
        <f t="shared" si="989"/>
        <v>736.46600000000001</v>
      </c>
      <c r="BC88" s="3">
        <f t="shared" si="989"/>
        <v>736.46600000000001</v>
      </c>
      <c r="BD88" s="3">
        <f t="shared" si="989"/>
        <v>736.46600000000001</v>
      </c>
      <c r="BE88" s="3">
        <f t="shared" si="989"/>
        <v>736.46600000000001</v>
      </c>
      <c r="BF88" s="3">
        <f t="shared" si="989"/>
        <v>736.46600000000001</v>
      </c>
      <c r="BG88" s="3">
        <f t="shared" si="989"/>
        <v>736.46600000000001</v>
      </c>
      <c r="BH88" s="3">
        <f t="shared" si="989"/>
        <v>736.46600000000001</v>
      </c>
      <c r="BI88" s="3">
        <f t="shared" si="989"/>
        <v>736.46600000000001</v>
      </c>
      <c r="BJ88" s="3">
        <f t="shared" si="989"/>
        <v>736.46600000000001</v>
      </c>
      <c r="BK88" s="3">
        <f t="shared" si="989"/>
        <v>736.46600000000001</v>
      </c>
      <c r="BL88" s="3">
        <f t="shared" si="989"/>
        <v>736.46600000000001</v>
      </c>
      <c r="BM88" s="3">
        <f t="shared" si="989"/>
        <v>736.46600000000001</v>
      </c>
      <c r="BN88" s="3">
        <f t="shared" si="989"/>
        <v>736.46600000000001</v>
      </c>
      <c r="BO88" s="3">
        <f t="shared" si="989"/>
        <v>736.46600000000001</v>
      </c>
      <c r="BP88" s="3">
        <f t="shared" si="989"/>
        <v>736.46600000000001</v>
      </c>
      <c r="BQ88" s="3">
        <f t="shared" si="989"/>
        <v>736.46600000000001</v>
      </c>
      <c r="BR88" s="3">
        <f t="shared" si="989"/>
        <v>736.46600000000001</v>
      </c>
      <c r="BS88" s="3">
        <f t="shared" si="989"/>
        <v>736.46600000000001</v>
      </c>
      <c r="BT88" s="3">
        <f t="shared" si="989"/>
        <v>736.46600000000001</v>
      </c>
      <c r="BU88" s="3">
        <f t="shared" si="989"/>
        <v>736.46600000000001</v>
      </c>
      <c r="BV88" s="3">
        <f t="shared" si="989"/>
        <v>736.46600000000001</v>
      </c>
      <c r="BW88" s="3">
        <f t="shared" si="989"/>
        <v>736.46600000000001</v>
      </c>
      <c r="BX88" s="3">
        <f t="shared" si="989"/>
        <v>736.46600000000001</v>
      </c>
      <c r="BY88" s="3">
        <f t="shared" si="989"/>
        <v>736.46600000000001</v>
      </c>
      <c r="BZ88" s="3">
        <f t="shared" si="989"/>
        <v>736.46600000000001</v>
      </c>
      <c r="CA88" s="3">
        <f t="shared" si="989"/>
        <v>736.46600000000001</v>
      </c>
      <c r="CB88" s="3">
        <f t="shared" si="989"/>
        <v>736.46600000000001</v>
      </c>
      <c r="CC88" s="3">
        <f t="shared" si="989"/>
        <v>736.46600000000001</v>
      </c>
      <c r="CD88" s="3">
        <f t="shared" si="989"/>
        <v>736.46600000000001</v>
      </c>
      <c r="CE88" s="3">
        <f t="shared" si="989"/>
        <v>736.46600000000001</v>
      </c>
      <c r="CF88" s="3">
        <f t="shared" si="989"/>
        <v>736.46600000000001</v>
      </c>
      <c r="CG88" s="3">
        <f t="shared" si="989"/>
        <v>736.46600000000001</v>
      </c>
      <c r="CH88" s="3">
        <f t="shared" si="989"/>
        <v>736.46600000000001</v>
      </c>
      <c r="CI88" s="3">
        <f>+CJ88</f>
        <v>736.46600000000001</v>
      </c>
      <c r="CJ88" s="3">
        <f>'QTR Raw'!BD45</f>
        <v>736.46600000000001</v>
      </c>
      <c r="CK88" s="3">
        <f>'QTR Raw'!BE45</f>
        <v>736</v>
      </c>
      <c r="CL88" s="3">
        <f>'QTR Raw'!BF45</f>
        <v>736</v>
      </c>
      <c r="CM88" s="37">
        <f t="shared" ref="CM88:CM89" si="990">+CL88</f>
        <v>736</v>
      </c>
      <c r="CN88" s="37">
        <f t="shared" ref="CN88:CN89" si="991">+CM88</f>
        <v>736</v>
      </c>
      <c r="CO88" s="37">
        <f t="shared" ref="CO88:CO89" si="992">+CN88</f>
        <v>736</v>
      </c>
      <c r="CP88" s="37">
        <f t="shared" ref="CP88:CP89" si="993">+CO88</f>
        <v>736</v>
      </c>
      <c r="CQ88" s="37">
        <f t="shared" ref="CQ88:CQ89" si="994">+CP88</f>
        <v>736</v>
      </c>
      <c r="CR88" s="37">
        <f t="shared" ref="CR88:CR89" si="995">+CQ88</f>
        <v>736</v>
      </c>
      <c r="CS88" s="37">
        <f t="shared" ref="CS88:CS89" si="996">+CR88</f>
        <v>736</v>
      </c>
      <c r="CT88" s="37">
        <f t="shared" ref="CT88:CT89" si="997">+CS88</f>
        <v>736</v>
      </c>
      <c r="CU88" s="37">
        <f t="shared" ref="CU88:CU89" si="998">+CT88</f>
        <v>736</v>
      </c>
      <c r="CV88" s="37">
        <f t="shared" ref="CV88:CV89" si="999">+CU88</f>
        <v>736</v>
      </c>
      <c r="CW88" s="37">
        <f t="shared" ref="CW88:CW89" si="1000">+CV88</f>
        <v>736</v>
      </c>
      <c r="CX88" s="37">
        <f t="shared" ref="CX88:CX89" si="1001">+CW88</f>
        <v>736</v>
      </c>
      <c r="CY88" s="37">
        <f t="shared" ref="CY88:CY89" si="1002">+CX88</f>
        <v>736</v>
      </c>
      <c r="CZ88" s="37">
        <f t="shared" ref="CZ88:CZ89" si="1003">+CY88</f>
        <v>736</v>
      </c>
      <c r="DA88" s="37">
        <f t="shared" ref="DA88:DA89" si="1004">+CZ88</f>
        <v>736</v>
      </c>
      <c r="DB88" s="37">
        <f t="shared" ref="DB88:DB89" si="1005">+DA88</f>
        <v>736</v>
      </c>
      <c r="DE88" s="135"/>
      <c r="DF88" s="3">
        <v>736</v>
      </c>
    </row>
    <row r="89" spans="1:110" s="3" customFormat="1" x14ac:dyDescent="0.2">
      <c r="A89" s="3" t="s">
        <v>28</v>
      </c>
      <c r="B89" s="3">
        <f>'Annual Raw'!C105</f>
        <v>0</v>
      </c>
      <c r="C89" s="3">
        <f>'Annual Raw'!D105</f>
        <v>0</v>
      </c>
      <c r="D89" s="3">
        <f>'Annual Raw'!E105</f>
        <v>0</v>
      </c>
      <c r="E89" s="3">
        <f>'Annual Raw'!F105</f>
        <v>0</v>
      </c>
      <c r="F89" s="3">
        <f>'Annual Raw'!G105</f>
        <v>0</v>
      </c>
      <c r="G89" s="3">
        <f>'Annual Raw'!H105</f>
        <v>0</v>
      </c>
      <c r="H89" s="3">
        <f>'Annual Raw'!I105</f>
        <v>0</v>
      </c>
      <c r="I89" s="3">
        <f>'Annual Raw'!J105</f>
        <v>0</v>
      </c>
      <c r="J89" s="3">
        <f>'Annual Raw'!K105</f>
        <v>0</v>
      </c>
      <c r="K89" s="3">
        <f>'Annual Raw'!L105</f>
        <v>0</v>
      </c>
      <c r="L89" s="3">
        <f>'Annual Raw'!M105</f>
        <v>0</v>
      </c>
      <c r="M89" s="3">
        <f>'Annual Raw'!N105</f>
        <v>0</v>
      </c>
      <c r="N89" s="3">
        <f>'Annual Raw'!O105</f>
        <v>0</v>
      </c>
      <c r="O89" s="3">
        <f>'Annual Raw'!P105</f>
        <v>0</v>
      </c>
      <c r="P89" s="3">
        <f>'Annual Raw'!Q105</f>
        <v>0</v>
      </c>
      <c r="Q89" s="3">
        <f>'Annual Raw'!R105</f>
        <v>0</v>
      </c>
      <c r="R89" s="3">
        <f>'Annual Raw'!S105</f>
        <v>0</v>
      </c>
      <c r="S89" s="3">
        <f>'Annual Raw'!T105</f>
        <v>0</v>
      </c>
      <c r="T89" s="3">
        <f>'Annual Raw'!U105</f>
        <v>0</v>
      </c>
      <c r="U89" s="3">
        <f>'Annual Raw'!V105</f>
        <v>0</v>
      </c>
      <c r="V89" s="3">
        <f>'Annual Raw'!W105</f>
        <v>0</v>
      </c>
      <c r="W89" s="3">
        <f>'Annual Raw'!X105</f>
        <v>0</v>
      </c>
      <c r="X89" s="3">
        <f>'Annual Raw'!Y105</f>
        <v>0</v>
      </c>
      <c r="Y89" s="3">
        <f>'Annual Raw'!Z105</f>
        <v>0</v>
      </c>
      <c r="Z89" s="3">
        <f>'Annual Raw'!AA105</f>
        <v>2</v>
      </c>
      <c r="AA89" s="3">
        <f>'Annual Raw'!AB105</f>
        <v>2</v>
      </c>
      <c r="AB89" s="37">
        <f t="shared" si="985"/>
        <v>2</v>
      </c>
      <c r="AC89" s="37">
        <f t="shared" si="986"/>
        <v>2</v>
      </c>
      <c r="AD89" s="37">
        <f t="shared" si="987"/>
        <v>2</v>
      </c>
      <c r="AE89" s="37">
        <f t="shared" si="988"/>
        <v>2</v>
      </c>
      <c r="AI89" s="3">
        <f t="shared" ref="AI89:CH89" si="1006">+AJ89</f>
        <v>2</v>
      </c>
      <c r="AJ89" s="3">
        <f t="shared" si="1006"/>
        <v>2</v>
      </c>
      <c r="AK89" s="3">
        <f t="shared" si="1006"/>
        <v>2</v>
      </c>
      <c r="AL89" s="3">
        <f t="shared" si="1006"/>
        <v>2</v>
      </c>
      <c r="AM89" s="3">
        <f t="shared" si="1006"/>
        <v>2</v>
      </c>
      <c r="AN89" s="3">
        <f t="shared" si="1006"/>
        <v>2</v>
      </c>
      <c r="AO89" s="3">
        <f t="shared" si="1006"/>
        <v>2</v>
      </c>
      <c r="AP89" s="3">
        <f t="shared" si="1006"/>
        <v>2</v>
      </c>
      <c r="AQ89" s="3">
        <f t="shared" si="1006"/>
        <v>2</v>
      </c>
      <c r="AR89" s="3">
        <f t="shared" si="1006"/>
        <v>2</v>
      </c>
      <c r="AS89" s="3">
        <f t="shared" si="1006"/>
        <v>2</v>
      </c>
      <c r="AT89" s="3">
        <f t="shared" si="1006"/>
        <v>2</v>
      </c>
      <c r="AU89" s="3">
        <f t="shared" si="1006"/>
        <v>2</v>
      </c>
      <c r="AV89" s="3">
        <f t="shared" si="1006"/>
        <v>2</v>
      </c>
      <c r="AW89" s="3">
        <f t="shared" si="1006"/>
        <v>2</v>
      </c>
      <c r="AX89" s="3">
        <f t="shared" si="1006"/>
        <v>2</v>
      </c>
      <c r="AY89" s="3">
        <f t="shared" si="1006"/>
        <v>2</v>
      </c>
      <c r="AZ89" s="3">
        <f t="shared" si="1006"/>
        <v>2</v>
      </c>
      <c r="BA89" s="3">
        <f t="shared" si="1006"/>
        <v>2</v>
      </c>
      <c r="BB89" s="3">
        <f t="shared" si="1006"/>
        <v>2</v>
      </c>
      <c r="BC89" s="3">
        <f t="shared" si="1006"/>
        <v>2</v>
      </c>
      <c r="BD89" s="3">
        <f t="shared" si="1006"/>
        <v>2</v>
      </c>
      <c r="BE89" s="3">
        <f t="shared" si="1006"/>
        <v>2</v>
      </c>
      <c r="BF89" s="3">
        <f t="shared" si="1006"/>
        <v>2</v>
      </c>
      <c r="BG89" s="3">
        <f t="shared" si="1006"/>
        <v>2</v>
      </c>
      <c r="BH89" s="3">
        <f t="shared" si="1006"/>
        <v>2</v>
      </c>
      <c r="BI89" s="3">
        <f t="shared" si="1006"/>
        <v>2</v>
      </c>
      <c r="BJ89" s="3">
        <f t="shared" si="1006"/>
        <v>2</v>
      </c>
      <c r="BK89" s="3">
        <f t="shared" si="1006"/>
        <v>2</v>
      </c>
      <c r="BL89" s="3">
        <f t="shared" si="1006"/>
        <v>2</v>
      </c>
      <c r="BM89" s="3">
        <f t="shared" si="1006"/>
        <v>2</v>
      </c>
      <c r="BN89" s="3">
        <f t="shared" si="1006"/>
        <v>2</v>
      </c>
      <c r="BO89" s="3">
        <f t="shared" si="1006"/>
        <v>2</v>
      </c>
      <c r="BP89" s="3">
        <f t="shared" si="1006"/>
        <v>2</v>
      </c>
      <c r="BQ89" s="3">
        <f t="shared" si="1006"/>
        <v>2</v>
      </c>
      <c r="BR89" s="3">
        <f t="shared" si="1006"/>
        <v>2</v>
      </c>
      <c r="BS89" s="3">
        <f t="shared" si="1006"/>
        <v>2</v>
      </c>
      <c r="BT89" s="3">
        <f t="shared" si="1006"/>
        <v>2</v>
      </c>
      <c r="BU89" s="3">
        <f t="shared" si="1006"/>
        <v>2</v>
      </c>
      <c r="BV89" s="3">
        <f t="shared" si="1006"/>
        <v>2</v>
      </c>
      <c r="BW89" s="3">
        <f t="shared" si="1006"/>
        <v>2</v>
      </c>
      <c r="BX89" s="3">
        <f t="shared" si="1006"/>
        <v>2</v>
      </c>
      <c r="BY89" s="3">
        <f t="shared" si="1006"/>
        <v>2</v>
      </c>
      <c r="BZ89" s="3">
        <f t="shared" si="1006"/>
        <v>2</v>
      </c>
      <c r="CA89" s="3">
        <f t="shared" si="1006"/>
        <v>2</v>
      </c>
      <c r="CB89" s="3">
        <f t="shared" si="1006"/>
        <v>2</v>
      </c>
      <c r="CC89" s="3">
        <f t="shared" si="1006"/>
        <v>2</v>
      </c>
      <c r="CD89" s="3">
        <f t="shared" si="1006"/>
        <v>2</v>
      </c>
      <c r="CE89" s="3">
        <f t="shared" si="1006"/>
        <v>2</v>
      </c>
      <c r="CF89" s="3">
        <f t="shared" si="1006"/>
        <v>2</v>
      </c>
      <c r="CG89" s="3">
        <f t="shared" si="1006"/>
        <v>2</v>
      </c>
      <c r="CH89" s="3">
        <f t="shared" si="1006"/>
        <v>2</v>
      </c>
      <c r="CI89" s="3">
        <f>+CJ89</f>
        <v>2</v>
      </c>
      <c r="CJ89" s="3">
        <f>'QTR Raw'!BD46</f>
        <v>2</v>
      </c>
      <c r="CK89" s="3">
        <f>'QTR Raw'!BE46</f>
        <v>2</v>
      </c>
      <c r="CL89" s="3">
        <f>'QTR Raw'!BF46</f>
        <v>2</v>
      </c>
      <c r="CM89" s="37">
        <f t="shared" si="990"/>
        <v>2</v>
      </c>
      <c r="CN89" s="37">
        <f t="shared" si="991"/>
        <v>2</v>
      </c>
      <c r="CO89" s="37">
        <f t="shared" si="992"/>
        <v>2</v>
      </c>
      <c r="CP89" s="37">
        <f t="shared" si="993"/>
        <v>2</v>
      </c>
      <c r="CQ89" s="37">
        <f t="shared" si="994"/>
        <v>2</v>
      </c>
      <c r="CR89" s="37">
        <f t="shared" si="995"/>
        <v>2</v>
      </c>
      <c r="CS89" s="37">
        <f t="shared" si="996"/>
        <v>2</v>
      </c>
      <c r="CT89" s="37">
        <f t="shared" si="997"/>
        <v>2</v>
      </c>
      <c r="CU89" s="37">
        <f t="shared" si="998"/>
        <v>2</v>
      </c>
      <c r="CV89" s="37">
        <f t="shared" si="999"/>
        <v>2</v>
      </c>
      <c r="CW89" s="37">
        <f t="shared" si="1000"/>
        <v>2</v>
      </c>
      <c r="CX89" s="37">
        <f t="shared" si="1001"/>
        <v>2</v>
      </c>
      <c r="CY89" s="37">
        <f t="shared" si="1002"/>
        <v>2</v>
      </c>
      <c r="CZ89" s="37">
        <f t="shared" si="1003"/>
        <v>2</v>
      </c>
      <c r="DA89" s="37">
        <f t="shared" si="1004"/>
        <v>2</v>
      </c>
      <c r="DB89" s="37">
        <f t="shared" si="1005"/>
        <v>2</v>
      </c>
      <c r="DE89" s="135"/>
      <c r="DF89" s="3">
        <v>2</v>
      </c>
    </row>
    <row r="90" spans="1:110" s="3" customFormat="1" x14ac:dyDescent="0.2">
      <c r="A90" s="3" t="s">
        <v>29</v>
      </c>
      <c r="B90" s="3" t="e">
        <f>B88/B89</f>
        <v>#DIV/0!</v>
      </c>
      <c r="C90" s="3" t="e">
        <f t="shared" ref="C90:W90" si="1007">C88/C89</f>
        <v>#DIV/0!</v>
      </c>
      <c r="D90" s="3" t="e">
        <f t="shared" si="1007"/>
        <v>#DIV/0!</v>
      </c>
      <c r="E90" s="3" t="e">
        <f t="shared" si="1007"/>
        <v>#DIV/0!</v>
      </c>
      <c r="F90" s="3" t="e">
        <f t="shared" si="1007"/>
        <v>#DIV/0!</v>
      </c>
      <c r="G90" s="3" t="e">
        <f t="shared" si="1007"/>
        <v>#DIV/0!</v>
      </c>
      <c r="H90" s="3" t="e">
        <f t="shared" si="1007"/>
        <v>#DIV/0!</v>
      </c>
      <c r="I90" s="3" t="e">
        <f t="shared" si="1007"/>
        <v>#DIV/0!</v>
      </c>
      <c r="J90" s="3" t="e">
        <f t="shared" si="1007"/>
        <v>#DIV/0!</v>
      </c>
      <c r="K90" s="3" t="e">
        <f t="shared" si="1007"/>
        <v>#DIV/0!</v>
      </c>
      <c r="L90" s="3" t="e">
        <f t="shared" si="1007"/>
        <v>#DIV/0!</v>
      </c>
      <c r="M90" s="3" t="e">
        <f t="shared" si="1007"/>
        <v>#DIV/0!</v>
      </c>
      <c r="N90" s="3" t="e">
        <f t="shared" si="1007"/>
        <v>#DIV/0!</v>
      </c>
      <c r="O90" s="3" t="e">
        <f t="shared" si="1007"/>
        <v>#DIV/0!</v>
      </c>
      <c r="P90" s="3" t="e">
        <f t="shared" si="1007"/>
        <v>#DIV/0!</v>
      </c>
      <c r="Q90" s="3" t="e">
        <f t="shared" si="1007"/>
        <v>#DIV/0!</v>
      </c>
      <c r="R90" s="3" t="e">
        <f t="shared" si="1007"/>
        <v>#DIV/0!</v>
      </c>
      <c r="S90" s="3" t="e">
        <f t="shared" si="1007"/>
        <v>#DIV/0!</v>
      </c>
      <c r="T90" s="3" t="e">
        <f t="shared" si="1007"/>
        <v>#DIV/0!</v>
      </c>
      <c r="U90" s="3" t="e">
        <f t="shared" si="1007"/>
        <v>#DIV/0!</v>
      </c>
      <c r="V90" s="3" t="e">
        <f>V88/V89</f>
        <v>#DIV/0!</v>
      </c>
      <c r="W90" s="3" t="e">
        <f t="shared" si="1007"/>
        <v>#DIV/0!</v>
      </c>
      <c r="X90" s="3" t="e">
        <f t="shared" ref="X90:Y90" si="1008">X88/X89</f>
        <v>#DIV/0!</v>
      </c>
      <c r="Y90" s="3" t="e">
        <f t="shared" si="1008"/>
        <v>#DIV/0!</v>
      </c>
      <c r="Z90" s="3">
        <f t="shared" ref="Z90:AA90" si="1009">Z88/Z89</f>
        <v>0.05</v>
      </c>
      <c r="AA90" s="3">
        <f t="shared" si="1009"/>
        <v>368</v>
      </c>
      <c r="AB90" s="37">
        <f t="shared" ref="AA90:AD90" si="1010">AB88/AB89</f>
        <v>368</v>
      </c>
      <c r="AC90" s="37">
        <f t="shared" si="1010"/>
        <v>368</v>
      </c>
      <c r="AD90" s="37">
        <f t="shared" si="1010"/>
        <v>368</v>
      </c>
      <c r="AE90" s="37">
        <f t="shared" ref="AE90" si="1011">AE88/AE89</f>
        <v>368</v>
      </c>
      <c r="AI90" s="3">
        <f t="shared" ref="AI90" si="1012">AI88/AI89</f>
        <v>368.233</v>
      </c>
      <c r="AJ90" s="3">
        <f t="shared" ref="AJ90" si="1013">AJ88/AJ89</f>
        <v>368.233</v>
      </c>
      <c r="AK90" s="3">
        <f t="shared" ref="AK90:AM90" si="1014">AK88/AK89</f>
        <v>368.233</v>
      </c>
      <c r="AL90" s="3">
        <f t="shared" si="1014"/>
        <v>368.233</v>
      </c>
      <c r="AM90" s="3">
        <f t="shared" si="1014"/>
        <v>368.233</v>
      </c>
      <c r="AN90" s="3">
        <f t="shared" ref="AN90:AO90" si="1015">AN88/AN89</f>
        <v>368.233</v>
      </c>
      <c r="AO90" s="3">
        <f t="shared" si="1015"/>
        <v>368.233</v>
      </c>
      <c r="AP90" s="3">
        <f t="shared" ref="AP90:CD90" si="1016">AP88/AP89</f>
        <v>368.233</v>
      </c>
      <c r="AQ90" s="3">
        <f t="shared" si="1016"/>
        <v>368.233</v>
      </c>
      <c r="AR90" s="3">
        <f t="shared" si="1016"/>
        <v>368.233</v>
      </c>
      <c r="AS90" s="3">
        <f t="shared" si="1016"/>
        <v>368.233</v>
      </c>
      <c r="AT90" s="3">
        <f t="shared" si="1016"/>
        <v>368.233</v>
      </c>
      <c r="AU90" s="3">
        <f t="shared" si="1016"/>
        <v>368.233</v>
      </c>
      <c r="AV90" s="3">
        <f t="shared" si="1016"/>
        <v>368.233</v>
      </c>
      <c r="AW90" s="3">
        <f t="shared" si="1016"/>
        <v>368.233</v>
      </c>
      <c r="AX90" s="3">
        <f t="shared" si="1016"/>
        <v>368.233</v>
      </c>
      <c r="AY90" s="3">
        <f t="shared" si="1016"/>
        <v>368.233</v>
      </c>
      <c r="AZ90" s="3">
        <f t="shared" si="1016"/>
        <v>368.233</v>
      </c>
      <c r="BA90" s="3">
        <f t="shared" si="1016"/>
        <v>368.233</v>
      </c>
      <c r="BB90" s="3">
        <f t="shared" si="1016"/>
        <v>368.233</v>
      </c>
      <c r="BC90" s="3">
        <f t="shared" si="1016"/>
        <v>368.233</v>
      </c>
      <c r="BD90" s="3">
        <f t="shared" si="1016"/>
        <v>368.233</v>
      </c>
      <c r="BE90" s="3">
        <f t="shared" si="1016"/>
        <v>368.233</v>
      </c>
      <c r="BF90" s="3">
        <f t="shared" si="1016"/>
        <v>368.233</v>
      </c>
      <c r="BG90" s="3">
        <f t="shared" si="1016"/>
        <v>368.233</v>
      </c>
      <c r="BH90" s="3">
        <f t="shared" si="1016"/>
        <v>368.233</v>
      </c>
      <c r="BI90" s="3">
        <f t="shared" si="1016"/>
        <v>368.233</v>
      </c>
      <c r="BJ90" s="3">
        <f t="shared" si="1016"/>
        <v>368.233</v>
      </c>
      <c r="BK90" s="3">
        <f t="shared" si="1016"/>
        <v>368.233</v>
      </c>
      <c r="BL90" s="3">
        <f t="shared" si="1016"/>
        <v>368.233</v>
      </c>
      <c r="BM90" s="3">
        <f t="shared" si="1016"/>
        <v>368.233</v>
      </c>
      <c r="BN90" s="3">
        <f t="shared" si="1016"/>
        <v>368.233</v>
      </c>
      <c r="BO90" s="3">
        <f t="shared" si="1016"/>
        <v>368.233</v>
      </c>
      <c r="BP90" s="3">
        <f t="shared" si="1016"/>
        <v>368.233</v>
      </c>
      <c r="BQ90" s="3">
        <f t="shared" si="1016"/>
        <v>368.233</v>
      </c>
      <c r="BR90" s="3">
        <f t="shared" si="1016"/>
        <v>368.233</v>
      </c>
      <c r="BS90" s="3">
        <f t="shared" si="1016"/>
        <v>368.233</v>
      </c>
      <c r="BT90" s="3">
        <f t="shared" si="1016"/>
        <v>368.233</v>
      </c>
      <c r="BU90" s="3">
        <f t="shared" si="1016"/>
        <v>368.233</v>
      </c>
      <c r="BV90" s="3">
        <f t="shared" si="1016"/>
        <v>368.233</v>
      </c>
      <c r="BW90" s="3">
        <f t="shared" si="1016"/>
        <v>368.233</v>
      </c>
      <c r="BX90" s="3">
        <f t="shared" si="1016"/>
        <v>368.233</v>
      </c>
      <c r="BY90" s="3">
        <f t="shared" si="1016"/>
        <v>368.233</v>
      </c>
      <c r="BZ90" s="3">
        <f t="shared" si="1016"/>
        <v>368.233</v>
      </c>
      <c r="CA90" s="3">
        <f t="shared" si="1016"/>
        <v>368.233</v>
      </c>
      <c r="CB90" s="3">
        <f t="shared" si="1016"/>
        <v>368.233</v>
      </c>
      <c r="CC90" s="3">
        <f t="shared" si="1016"/>
        <v>368.233</v>
      </c>
      <c r="CD90" s="3">
        <f t="shared" si="1016"/>
        <v>368.233</v>
      </c>
      <c r="CE90" s="3">
        <f t="shared" ref="CE90:CF90" si="1017">CE88/CE89</f>
        <v>368.233</v>
      </c>
      <c r="CF90" s="3">
        <f t="shared" si="1017"/>
        <v>368.233</v>
      </c>
      <c r="CG90" s="3">
        <f t="shared" ref="CG90:CH90" si="1018">CG88/CG89</f>
        <v>368.233</v>
      </c>
      <c r="CH90" s="3">
        <f t="shared" si="1018"/>
        <v>368.233</v>
      </c>
      <c r="CI90" s="3">
        <f t="shared" ref="CI90:CJ90" si="1019">CI88/CI89</f>
        <v>368.233</v>
      </c>
      <c r="CJ90" s="3">
        <f t="shared" si="1019"/>
        <v>368.233</v>
      </c>
      <c r="CK90" s="3">
        <f t="shared" ref="CK90:CL90" si="1020">CK88/CK89</f>
        <v>368</v>
      </c>
      <c r="CL90" s="3">
        <f t="shared" si="1020"/>
        <v>368</v>
      </c>
      <c r="CM90" s="37">
        <f t="shared" ref="CM90:DB90" si="1021">CM88/CM89</f>
        <v>368</v>
      </c>
      <c r="CN90" s="37">
        <f t="shared" si="1021"/>
        <v>368</v>
      </c>
      <c r="CO90" s="37">
        <f t="shared" si="1021"/>
        <v>368</v>
      </c>
      <c r="CP90" s="37">
        <f t="shared" si="1021"/>
        <v>368</v>
      </c>
      <c r="CQ90" s="37">
        <f t="shared" si="1021"/>
        <v>368</v>
      </c>
      <c r="CR90" s="37">
        <f t="shared" si="1021"/>
        <v>368</v>
      </c>
      <c r="CS90" s="37">
        <f t="shared" si="1021"/>
        <v>368</v>
      </c>
      <c r="CT90" s="37">
        <f t="shared" si="1021"/>
        <v>368</v>
      </c>
      <c r="CU90" s="37">
        <f t="shared" si="1021"/>
        <v>368</v>
      </c>
      <c r="CV90" s="37">
        <f t="shared" si="1021"/>
        <v>368</v>
      </c>
      <c r="CW90" s="37">
        <f t="shared" si="1021"/>
        <v>368</v>
      </c>
      <c r="CX90" s="37">
        <f t="shared" si="1021"/>
        <v>368</v>
      </c>
      <c r="CY90" s="37">
        <f t="shared" si="1021"/>
        <v>368</v>
      </c>
      <c r="CZ90" s="37">
        <f t="shared" si="1021"/>
        <v>368</v>
      </c>
      <c r="DA90" s="37">
        <f t="shared" si="1021"/>
        <v>368</v>
      </c>
      <c r="DB90" s="37">
        <f t="shared" si="1021"/>
        <v>368</v>
      </c>
      <c r="DE90" s="135"/>
      <c r="DF90" s="3">
        <v>368</v>
      </c>
    </row>
    <row r="91" spans="1:110" s="53" customFormat="1" x14ac:dyDescent="0.2">
      <c r="A91" s="53" t="s">
        <v>30</v>
      </c>
      <c r="B91" s="53" t="e">
        <f t="shared" ref="B91:AE91" si="1022">(B73-B72)/B90</f>
        <v>#REF!</v>
      </c>
      <c r="C91" s="53" t="e">
        <f t="shared" si="1022"/>
        <v>#REF!</v>
      </c>
      <c r="D91" s="53" t="e">
        <f t="shared" si="1022"/>
        <v>#REF!</v>
      </c>
      <c r="E91" s="53" t="e">
        <f t="shared" si="1022"/>
        <v>#DIV/0!</v>
      </c>
      <c r="F91" s="53" t="e">
        <f t="shared" si="1022"/>
        <v>#DIV/0!</v>
      </c>
      <c r="G91" s="53" t="e">
        <f t="shared" si="1022"/>
        <v>#DIV/0!</v>
      </c>
      <c r="H91" s="53" t="e">
        <f t="shared" si="1022"/>
        <v>#DIV/0!</v>
      </c>
      <c r="I91" s="53" t="e">
        <f t="shared" si="1022"/>
        <v>#DIV/0!</v>
      </c>
      <c r="J91" s="53" t="e">
        <f t="shared" si="1022"/>
        <v>#DIV/0!</v>
      </c>
      <c r="K91" s="53" t="e">
        <f t="shared" si="1022"/>
        <v>#DIV/0!</v>
      </c>
      <c r="L91" s="53" t="e">
        <f t="shared" si="1022"/>
        <v>#DIV/0!</v>
      </c>
      <c r="M91" s="53" t="e">
        <f t="shared" si="1022"/>
        <v>#DIV/0!</v>
      </c>
      <c r="N91" s="53" t="e">
        <f t="shared" si="1022"/>
        <v>#DIV/0!</v>
      </c>
      <c r="O91" s="53" t="e">
        <f t="shared" si="1022"/>
        <v>#DIV/0!</v>
      </c>
      <c r="P91" s="53" t="e">
        <f t="shared" si="1022"/>
        <v>#DIV/0!</v>
      </c>
      <c r="Q91" s="53" t="e">
        <f t="shared" si="1022"/>
        <v>#DIV/0!</v>
      </c>
      <c r="R91" s="53" t="e">
        <f t="shared" si="1022"/>
        <v>#DIV/0!</v>
      </c>
      <c r="S91" s="53" t="e">
        <f t="shared" si="1022"/>
        <v>#DIV/0!</v>
      </c>
      <c r="T91" s="53" t="e">
        <f t="shared" si="1022"/>
        <v>#DIV/0!</v>
      </c>
      <c r="U91" s="53" t="e">
        <f t="shared" si="1022"/>
        <v>#DIV/0!</v>
      </c>
      <c r="V91" s="53" t="e">
        <f t="shared" si="1022"/>
        <v>#DIV/0!</v>
      </c>
      <c r="W91" s="53" t="e">
        <f t="shared" si="1022"/>
        <v>#DIV/0!</v>
      </c>
      <c r="X91" s="53" t="e">
        <f t="shared" si="1022"/>
        <v>#DIV/0!</v>
      </c>
      <c r="Y91" s="53" t="e">
        <f t="shared" si="1022"/>
        <v>#DIV/0!</v>
      </c>
      <c r="Z91" s="53">
        <f t="shared" si="1022"/>
        <v>102540</v>
      </c>
      <c r="AA91" s="53">
        <f t="shared" ref="AA91" si="1023">(AA73-AA72)/AA90</f>
        <v>13.932065217391305</v>
      </c>
      <c r="AB91" s="54">
        <f t="shared" si="1022"/>
        <v>-12.937058902710897</v>
      </c>
      <c r="AC91" s="54">
        <f t="shared" si="1022"/>
        <v>-12.753615924355145</v>
      </c>
      <c r="AD91" s="54">
        <f t="shared" si="1022"/>
        <v>-13.164351391411229</v>
      </c>
      <c r="AE91" s="54">
        <f t="shared" si="1022"/>
        <v>-15.808640300794472</v>
      </c>
      <c r="AI91" s="53">
        <f t="shared" ref="AI91:BN91" si="1024">(AI73-AI72)/AI90</f>
        <v>0.55763606194990789</v>
      </c>
      <c r="AJ91" s="53">
        <f t="shared" si="1024"/>
        <v>2.3545418254203176</v>
      </c>
      <c r="AK91" s="53">
        <f t="shared" si="1024"/>
        <v>-1.2451083960427223</v>
      </c>
      <c r="AL91" s="53">
        <f t="shared" si="1024"/>
        <v>-0.81426705374042685</v>
      </c>
      <c r="AM91" s="53">
        <f t="shared" si="1024"/>
        <v>1.9098233998582332</v>
      </c>
      <c r="AN91" s="53">
        <f t="shared" si="1024"/>
        <v>-2.1821238183432778</v>
      </c>
      <c r="AO91" s="53">
        <f t="shared" si="1024"/>
        <v>8.6148444055801683</v>
      </c>
      <c r="AP91" s="53">
        <f t="shared" si="1024"/>
        <v>-2.3202157329734163</v>
      </c>
      <c r="AQ91" s="53">
        <f t="shared" si="1024"/>
        <v>1.0691600155336416</v>
      </c>
      <c r="AR91" s="53">
        <f t="shared" si="1024"/>
        <v>-5.0124785122463269</v>
      </c>
      <c r="AS91" s="53">
        <f t="shared" si="1024"/>
        <v>-6.5695089793690427</v>
      </c>
      <c r="AT91" s="53">
        <f t="shared" si="1024"/>
        <v>-3.3874476214787892</v>
      </c>
      <c r="AU91" s="53">
        <f t="shared" si="1024"/>
        <v>1.6443664744876199</v>
      </c>
      <c r="AV91" s="53">
        <f t="shared" si="1024"/>
        <v>-1.054631171024865</v>
      </c>
      <c r="AW91" s="53">
        <f t="shared" si="1024"/>
        <v>-0.81486450155200696</v>
      </c>
      <c r="AX91" s="53">
        <f t="shared" si="1024"/>
        <v>1.0800770164542581</v>
      </c>
      <c r="AY91" s="53">
        <f t="shared" si="1024"/>
        <v>6.992855067307599E-2</v>
      </c>
      <c r="AZ91" s="53">
        <f t="shared" si="1024"/>
        <v>-1.8477974543291897</v>
      </c>
      <c r="BA91" s="53">
        <f t="shared" si="1024"/>
        <v>-2.8424665904468114</v>
      </c>
      <c r="BB91" s="53">
        <f t="shared" si="1024"/>
        <v>-2.9715153177471807</v>
      </c>
      <c r="BC91" s="53">
        <f t="shared" si="1024"/>
        <v>-1.2577362702419437</v>
      </c>
      <c r="BD91" s="53">
        <f t="shared" si="1024"/>
        <v>-0.76948562459094338</v>
      </c>
      <c r="BE91" s="53">
        <f t="shared" si="1024"/>
        <v>0.56176388319351878</v>
      </c>
      <c r="BF91" s="53">
        <f t="shared" si="1024"/>
        <v>-3.9699592377652091</v>
      </c>
      <c r="BG91" s="53">
        <f t="shared" si="1024"/>
        <v>3.2252676973546572</v>
      </c>
      <c r="BH91" s="53">
        <f t="shared" si="1024"/>
        <v>4.3260652901823092E-2</v>
      </c>
      <c r="BI91" s="53">
        <f t="shared" si="1024"/>
        <v>1.6006984708051746</v>
      </c>
      <c r="BJ91" s="53">
        <f t="shared" si="1024"/>
        <v>6.6588274271993708E-2</v>
      </c>
      <c r="BK91" s="53">
        <f t="shared" si="1024"/>
        <v>-0.28522701659004102</v>
      </c>
      <c r="BL91" s="53">
        <f t="shared" si="1024"/>
        <v>-3.286777665228267</v>
      </c>
      <c r="BM91" s="53">
        <f t="shared" si="1024"/>
        <v>-2.833532029991876</v>
      </c>
      <c r="BN91" s="53">
        <f t="shared" si="1024"/>
        <v>-20.20954124155087</v>
      </c>
      <c r="BO91" s="53">
        <f t="shared" ref="BO91:CT91" si="1025">(BO73-BO72)/BO90</f>
        <v>-6.0818014680922134</v>
      </c>
      <c r="BP91" s="53">
        <f t="shared" si="1025"/>
        <v>-3.418514907680732</v>
      </c>
      <c r="BQ91" s="53">
        <f t="shared" si="1025"/>
        <v>-1.8910309505123113</v>
      </c>
      <c r="BR91" s="53">
        <f t="shared" si="1025"/>
        <v>8.6666322681563059</v>
      </c>
      <c r="BS91" s="53">
        <f t="shared" si="1025"/>
        <v>-3.6542623827848142</v>
      </c>
      <c r="BT91" s="53">
        <f t="shared" si="1025"/>
        <v>-1.6534096618173768</v>
      </c>
      <c r="BU91" s="53">
        <f t="shared" si="1025"/>
        <v>-1.7260267276425516</v>
      </c>
      <c r="BV91" s="53">
        <f t="shared" si="1025"/>
        <v>1.5069263211064723</v>
      </c>
      <c r="BW91" s="53">
        <f t="shared" si="1025"/>
        <v>-0.49550148954601453</v>
      </c>
      <c r="BX91" s="53">
        <f t="shared" si="1025"/>
        <v>-0.80554974703515669</v>
      </c>
      <c r="BY91" s="53">
        <f t="shared" si="1025"/>
        <v>1.3160145885892898</v>
      </c>
      <c r="BZ91" s="53">
        <f t="shared" si="1025"/>
        <v>6.5673635985911059</v>
      </c>
      <c r="CA91" s="53">
        <f t="shared" si="1025"/>
        <v>-1.9334225884154799</v>
      </c>
      <c r="CB91" s="53">
        <f t="shared" si="1025"/>
        <v>3.1056423514459643</v>
      </c>
      <c r="CC91" s="53">
        <f t="shared" si="1025"/>
        <v>22.374284759921014</v>
      </c>
      <c r="CD91" s="53">
        <f t="shared" si="1025"/>
        <v>5.5397805193993968</v>
      </c>
      <c r="CE91" s="53">
        <f t="shared" si="1025"/>
        <v>5.8441258659598674</v>
      </c>
      <c r="CF91" s="53">
        <f t="shared" si="1025"/>
        <v>1.6565598411875089</v>
      </c>
      <c r="CG91" s="53">
        <f t="shared" si="1025"/>
        <v>1.1022912123573922</v>
      </c>
      <c r="CH91" s="53">
        <f t="shared" si="1025"/>
        <v>0.11297194982524256</v>
      </c>
      <c r="CI91" s="53">
        <f t="shared" si="1025"/>
        <v>3.8046562909896724</v>
      </c>
      <c r="CJ91" s="53">
        <f t="shared" si="1025"/>
        <v>3.6525786662249171</v>
      </c>
      <c r="CK91" s="53">
        <f t="shared" ref="CK91:CL91" si="1026">(CK73-CK72)/CK90</f>
        <v>5.7228260869565215</v>
      </c>
      <c r="CL91" s="53">
        <f t="shared" si="1026"/>
        <v>5.9402173913043477</v>
      </c>
      <c r="CM91" s="54">
        <f t="shared" si="1025"/>
        <v>3.2699567499199325</v>
      </c>
      <c r="CN91" s="54">
        <f t="shared" si="1025"/>
        <v>4.0541551444605348</v>
      </c>
      <c r="CO91" s="54">
        <f t="shared" si="1025"/>
        <v>5.0503487613415503</v>
      </c>
      <c r="CP91" s="54">
        <f t="shared" si="1025"/>
        <v>5.5108001496631891</v>
      </c>
      <c r="CQ91" s="54">
        <f t="shared" si="1025"/>
        <v>3.7001185668364101</v>
      </c>
      <c r="CR91" s="54">
        <f t="shared" si="1025"/>
        <v>4.4221689174682224</v>
      </c>
      <c r="CS91" s="54">
        <f t="shared" si="1025"/>
        <v>5.5197698427431146</v>
      </c>
      <c r="CT91" s="54">
        <f t="shared" si="1025"/>
        <v>6.3370006436884463</v>
      </c>
      <c r="CU91" s="54">
        <f t="shared" ref="CU91:DB91" si="1027">(CU73-CU72)/CU90</f>
        <v>4.4215553746419767</v>
      </c>
      <c r="CV91" s="54">
        <f t="shared" si="1027"/>
        <v>5.1817080866541234</v>
      </c>
      <c r="CW91" s="54">
        <f t="shared" si="1027"/>
        <v>6.4120060850955243</v>
      </c>
      <c r="CX91" s="54">
        <f t="shared" si="1027"/>
        <v>7.483012207782286</v>
      </c>
      <c r="CY91" s="54">
        <f t="shared" si="1027"/>
        <v>4.8283256143846183</v>
      </c>
      <c r="CZ91" s="54">
        <f t="shared" si="1027"/>
        <v>5.6684424618780032</v>
      </c>
      <c r="DA91" s="54">
        <f t="shared" si="1027"/>
        <v>7.1118244676549471</v>
      </c>
      <c r="DB91" s="54">
        <f t="shared" si="1027"/>
        <v>8.2841395310937678</v>
      </c>
      <c r="DE91" s="133"/>
      <c r="DF91" s="53">
        <v>6.1261497571285961</v>
      </c>
    </row>
    <row r="92" spans="1:110" s="3" customFormat="1" x14ac:dyDescent="0.2">
      <c r="A92" s="3" t="s">
        <v>31</v>
      </c>
      <c r="B92" s="3">
        <f>'Annual Raw'!C110</f>
        <v>0</v>
      </c>
      <c r="C92" s="3">
        <f>'Annual Raw'!D110</f>
        <v>0</v>
      </c>
      <c r="D92" s="3">
        <f>'Annual Raw'!E110</f>
        <v>0</v>
      </c>
      <c r="E92" s="3">
        <f>'Annual Raw'!F110</f>
        <v>0</v>
      </c>
      <c r="F92" s="3">
        <f>'Annual Raw'!G110</f>
        <v>0</v>
      </c>
      <c r="G92" s="3">
        <f>'Annual Raw'!H110</f>
        <v>0</v>
      </c>
      <c r="H92" s="3">
        <f>'Annual Raw'!I110</f>
        <v>0</v>
      </c>
      <c r="I92" s="3">
        <f>'Annual Raw'!J110</f>
        <v>0</v>
      </c>
      <c r="J92" s="3">
        <f>'Annual Raw'!K110</f>
        <v>0</v>
      </c>
      <c r="K92" s="3">
        <f>'Annual Raw'!L110</f>
        <v>0</v>
      </c>
      <c r="L92" s="3">
        <f>'Annual Raw'!M110</f>
        <v>0</v>
      </c>
      <c r="M92" s="3">
        <f>'Annual Raw'!N110</f>
        <v>0</v>
      </c>
      <c r="N92" s="3">
        <f>'Annual Raw'!O110</f>
        <v>0</v>
      </c>
      <c r="O92" s="3">
        <f>'Annual Raw'!P110</f>
        <v>0</v>
      </c>
      <c r="P92" s="3">
        <f>'Annual Raw'!Q110</f>
        <v>0</v>
      </c>
      <c r="Q92" s="3">
        <f>'Annual Raw'!R110</f>
        <v>0</v>
      </c>
      <c r="R92" s="3">
        <f>'Annual Raw'!S110</f>
        <v>0</v>
      </c>
      <c r="S92" s="3">
        <f>'Annual Raw'!T110</f>
        <v>0</v>
      </c>
      <c r="T92" s="3">
        <f>'Annual Raw'!U110</f>
        <v>0</v>
      </c>
      <c r="U92" s="3">
        <f>'Annual Raw'!V110</f>
        <v>0</v>
      </c>
      <c r="V92" s="3">
        <f>'Annual Raw'!W110</f>
        <v>0</v>
      </c>
      <c r="W92" s="3">
        <f>'Annual Raw'!X110</f>
        <v>0</v>
      </c>
      <c r="X92" s="3">
        <f>'Annual Raw'!Y110</f>
        <v>0</v>
      </c>
      <c r="Y92" s="3">
        <f>'Annual Raw'!Z110</f>
        <v>0</v>
      </c>
      <c r="Z92" s="3">
        <f>'Annual Raw'!AA110</f>
        <v>0</v>
      </c>
      <c r="AA92" s="3">
        <f>'Annual Raw'!AB110</f>
        <v>4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5"/>
    </row>
    <row r="93" spans="1:110" s="3" customFormat="1" x14ac:dyDescent="0.2">
      <c r="A93" s="3" t="s">
        <v>32</v>
      </c>
      <c r="B93" s="3" t="e">
        <f>B92/B91</f>
        <v>#REF!</v>
      </c>
      <c r="C93" s="3" t="e">
        <f t="shared" ref="C93:U93" si="1028">C92/C91</f>
        <v>#REF!</v>
      </c>
      <c r="D93" s="3" t="e">
        <f t="shared" si="1028"/>
        <v>#REF!</v>
      </c>
      <c r="E93" s="3" t="e">
        <f t="shared" si="1028"/>
        <v>#DIV/0!</v>
      </c>
      <c r="F93" s="3" t="e">
        <f t="shared" si="1028"/>
        <v>#DIV/0!</v>
      </c>
      <c r="G93" s="3" t="e">
        <f t="shared" si="1028"/>
        <v>#DIV/0!</v>
      </c>
      <c r="H93" s="3" t="e">
        <f t="shared" si="1028"/>
        <v>#DIV/0!</v>
      </c>
      <c r="I93" s="3" t="e">
        <f t="shared" si="1028"/>
        <v>#DIV/0!</v>
      </c>
      <c r="J93" s="3" t="e">
        <f t="shared" si="1028"/>
        <v>#DIV/0!</v>
      </c>
      <c r="K93" s="3" t="e">
        <f t="shared" si="1028"/>
        <v>#DIV/0!</v>
      </c>
      <c r="L93" s="3" t="e">
        <f t="shared" si="1028"/>
        <v>#DIV/0!</v>
      </c>
      <c r="M93" s="3" t="e">
        <f t="shared" si="1028"/>
        <v>#DIV/0!</v>
      </c>
      <c r="N93" s="3" t="e">
        <f t="shared" si="1028"/>
        <v>#DIV/0!</v>
      </c>
      <c r="O93" s="3" t="e">
        <f t="shared" si="1028"/>
        <v>#DIV/0!</v>
      </c>
      <c r="P93" s="3" t="e">
        <f t="shared" si="1028"/>
        <v>#DIV/0!</v>
      </c>
      <c r="Q93" s="3" t="e">
        <f t="shared" si="1028"/>
        <v>#DIV/0!</v>
      </c>
      <c r="R93" s="3" t="e">
        <f t="shared" si="1028"/>
        <v>#DIV/0!</v>
      </c>
      <c r="S93" s="3" t="e">
        <f t="shared" si="1028"/>
        <v>#DIV/0!</v>
      </c>
      <c r="T93" s="3" t="e">
        <f t="shared" si="1028"/>
        <v>#DIV/0!</v>
      </c>
      <c r="U93" s="3" t="e">
        <f t="shared" si="1028"/>
        <v>#DIV/0!</v>
      </c>
      <c r="V93" s="3" t="e">
        <f>V92/V91</f>
        <v>#DIV/0!</v>
      </c>
      <c r="W93" s="3" t="e">
        <f t="shared" ref="W93" si="1029">W92/W91</f>
        <v>#DIV/0!</v>
      </c>
      <c r="X93" s="3" t="e">
        <f t="shared" ref="X93:Y93" si="1030">X92/X91</f>
        <v>#DIV/0!</v>
      </c>
      <c r="Y93" s="3" t="e">
        <f t="shared" si="1030"/>
        <v>#DIV/0!</v>
      </c>
      <c r="Z93" s="3">
        <f t="shared" ref="Z93:AA93" si="1031">Z92/Z91</f>
        <v>0</v>
      </c>
      <c r="AA93" s="3">
        <f t="shared" si="1031"/>
        <v>0.28710747025551003</v>
      </c>
      <c r="AB93" s="37">
        <f t="shared" ref="AA93:AD93" si="1032">AB92/AB91</f>
        <v>0</v>
      </c>
      <c r="AC93" s="37">
        <f t="shared" si="1032"/>
        <v>0</v>
      </c>
      <c r="AD93" s="37">
        <f t="shared" si="1032"/>
        <v>0</v>
      </c>
      <c r="AE93" s="37">
        <f t="shared" ref="AE93" si="1033">AE92/AE91</f>
        <v>0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5"/>
      <c r="DF93" s="3">
        <v>0</v>
      </c>
    </row>
    <row r="94" spans="1:110" s="3" customFormat="1" x14ac:dyDescent="0.2">
      <c r="A94" s="3" t="s">
        <v>33</v>
      </c>
      <c r="B94" s="3" t="e">
        <f>+B91</f>
        <v>#REF!</v>
      </c>
      <c r="C94" s="3" t="e">
        <f t="shared" ref="C94:U94" si="1034">+C91</f>
        <v>#REF!</v>
      </c>
      <c r="D94" s="3" t="e">
        <f t="shared" si="1034"/>
        <v>#REF!</v>
      </c>
      <c r="E94" s="3" t="e">
        <f t="shared" si="1034"/>
        <v>#DIV/0!</v>
      </c>
      <c r="F94" s="3" t="e">
        <f t="shared" si="1034"/>
        <v>#DIV/0!</v>
      </c>
      <c r="G94" s="3" t="e">
        <f t="shared" si="1034"/>
        <v>#DIV/0!</v>
      </c>
      <c r="H94" s="3" t="e">
        <f t="shared" si="1034"/>
        <v>#DIV/0!</v>
      </c>
      <c r="I94" s="3" t="e">
        <f t="shared" si="1034"/>
        <v>#DIV/0!</v>
      </c>
      <c r="J94" s="3" t="e">
        <f t="shared" si="1034"/>
        <v>#DIV/0!</v>
      </c>
      <c r="K94" s="3" t="e">
        <f t="shared" si="1034"/>
        <v>#DIV/0!</v>
      </c>
      <c r="L94" s="3" t="e">
        <f t="shared" si="1034"/>
        <v>#DIV/0!</v>
      </c>
      <c r="M94" s="3" t="e">
        <f t="shared" si="1034"/>
        <v>#DIV/0!</v>
      </c>
      <c r="N94" s="3" t="e">
        <f t="shared" si="1034"/>
        <v>#DIV/0!</v>
      </c>
      <c r="O94" s="3" t="e">
        <f t="shared" si="1034"/>
        <v>#DIV/0!</v>
      </c>
      <c r="P94" s="3" t="e">
        <f t="shared" si="1034"/>
        <v>#DIV/0!</v>
      </c>
      <c r="Q94" s="3" t="e">
        <f t="shared" si="1034"/>
        <v>#DIV/0!</v>
      </c>
      <c r="R94" s="3" t="e">
        <f t="shared" si="1034"/>
        <v>#DIV/0!</v>
      </c>
      <c r="S94" s="3" t="e">
        <f t="shared" si="1034"/>
        <v>#DIV/0!</v>
      </c>
      <c r="T94" s="3" t="e">
        <f>+T91</f>
        <v>#DIV/0!</v>
      </c>
      <c r="U94" s="3" t="e">
        <f t="shared" si="1034"/>
        <v>#DIV/0!</v>
      </c>
      <c r="V94" s="3" t="e">
        <f>+V91</f>
        <v>#DIV/0!</v>
      </c>
      <c r="W94" s="3" t="e">
        <f t="shared" ref="W94" si="1035">+W91</f>
        <v>#DIV/0!</v>
      </c>
      <c r="X94" s="3" t="e">
        <f t="shared" ref="X94:Y94" si="1036">+X91</f>
        <v>#DIV/0!</v>
      </c>
      <c r="Y94" s="3" t="e">
        <f t="shared" si="1036"/>
        <v>#DIV/0!</v>
      </c>
      <c r="Z94" s="3">
        <f t="shared" ref="Z94:AA94" si="1037">+Z91</f>
        <v>102540</v>
      </c>
      <c r="AA94" s="3">
        <f t="shared" si="1037"/>
        <v>13.932065217391305</v>
      </c>
      <c r="AB94" s="37">
        <f t="shared" ref="AA94:AD94" si="1038">+AB91</f>
        <v>-12.937058902710897</v>
      </c>
      <c r="AC94" s="37">
        <f t="shared" si="1038"/>
        <v>-12.753615924355145</v>
      </c>
      <c r="AD94" s="37">
        <f t="shared" si="1038"/>
        <v>-13.164351391411229</v>
      </c>
      <c r="AE94" s="37">
        <f t="shared" ref="AE94" si="1039">+AE91</f>
        <v>-15.808640300794472</v>
      </c>
      <c r="AL94" s="3">
        <f>SUM(AI91:AL91)</f>
        <v>0.85280243758707641</v>
      </c>
      <c r="AM94" s="3">
        <f t="shared" ref="AM94" si="1040">SUM(AJ91:AM91)</f>
        <v>2.2049897754954015</v>
      </c>
      <c r="AN94" s="3">
        <f t="shared" ref="AN94" si="1041">SUM(AK91:AN91)</f>
        <v>-2.331675868268194</v>
      </c>
      <c r="AO94" s="3">
        <f t="shared" ref="AO94" si="1042">SUM(AL91:AO91)</f>
        <v>7.5282769333546966</v>
      </c>
      <c r="AP94" s="3">
        <f t="shared" ref="AP94" si="1043">SUM(AM91:AP91)</f>
        <v>6.0223282541217067</v>
      </c>
      <c r="AQ94" s="3">
        <f t="shared" ref="AQ94" si="1044">SUM(AN91:AQ91)</f>
        <v>5.1816648697971157</v>
      </c>
      <c r="AR94" s="3">
        <f t="shared" ref="AR94" si="1045">SUM(AO91:AR91)</f>
        <v>2.3513101758940671</v>
      </c>
      <c r="AS94" s="3">
        <f t="shared" ref="AS94" si="1046">SUM(AP91:AS91)</f>
        <v>-12.833043209055145</v>
      </c>
      <c r="AT94" s="3">
        <f t="shared" ref="AT94" si="1047">SUM(AQ91:AT91)</f>
        <v>-13.900275097560517</v>
      </c>
      <c r="AU94" s="3">
        <f t="shared" ref="AU94" si="1048">SUM(AR91:AU91)</f>
        <v>-13.325068638606536</v>
      </c>
      <c r="AV94" s="3">
        <f t="shared" ref="AV94" si="1049">SUM(AS91:AV91)</f>
        <v>-9.3672212973850755</v>
      </c>
      <c r="AW94" s="3">
        <f t="shared" ref="AW94" si="1050">SUM(AT91:AW91)</f>
        <v>-3.6125768195680417</v>
      </c>
      <c r="AX94" s="3">
        <f t="shared" ref="AX94" si="1051">SUM(AU91:AX91)</f>
        <v>0.854947818365006</v>
      </c>
      <c r="AY94" s="3">
        <f t="shared" ref="AY94" si="1052">SUM(AV91:AY91)</f>
        <v>-0.71949010544953795</v>
      </c>
      <c r="AZ94" s="3">
        <f t="shared" ref="AZ94" si="1053">SUM(AW91:AZ91)</f>
        <v>-1.5126563887538627</v>
      </c>
      <c r="BA94" s="3">
        <f t="shared" ref="BA94" si="1054">SUM(AX91:BA91)</f>
        <v>-3.540258477648667</v>
      </c>
      <c r="BB94" s="3">
        <f t="shared" ref="BB94" si="1055">SUM(AY91:BB91)</f>
        <v>-7.5918508118501054</v>
      </c>
      <c r="BC94" s="3">
        <f t="shared" ref="BC94" si="1056">SUM(AZ91:BC91)</f>
        <v>-8.9195156327651244</v>
      </c>
      <c r="BD94" s="3">
        <f t="shared" ref="BD94" si="1057">SUM(BA91:BD91)</f>
        <v>-7.8412038030268789</v>
      </c>
      <c r="BE94" s="3">
        <f t="shared" ref="BE94" si="1058">SUM(BB91:BE91)</f>
        <v>-4.4369733293865483</v>
      </c>
      <c r="BF94" s="3">
        <f t="shared" ref="BF94" si="1059">SUM(BC91:BF91)</f>
        <v>-5.4354172494045772</v>
      </c>
      <c r="BG94" s="3">
        <f t="shared" ref="BG94" si="1060">SUM(BD91:BG91)</f>
        <v>-0.95241328180797691</v>
      </c>
      <c r="BH94" s="3">
        <f t="shared" ref="BH94" si="1061">SUM(BE91:BH91)</f>
        <v>-0.13966700431520998</v>
      </c>
      <c r="BI94" s="3">
        <f t="shared" ref="BI94" si="1062">SUM(BF91:BI91)</f>
        <v>0.89926758329644585</v>
      </c>
      <c r="BJ94" s="3">
        <f t="shared" ref="BJ94" si="1063">SUM(BG91:BJ91)</f>
        <v>4.9358150953336484</v>
      </c>
      <c r="BK94" s="3">
        <f t="shared" ref="BK94" si="1064">SUM(BH91:BK91)</f>
        <v>1.4253203813889503</v>
      </c>
      <c r="BL94" s="3">
        <f t="shared" ref="BL94" si="1065">SUM(BI91:BL91)</f>
        <v>-1.9047179367411398</v>
      </c>
      <c r="BM94" s="3">
        <f t="shared" ref="BM94" si="1066">SUM(BJ91:BM91)</f>
        <v>-6.3389484375381908</v>
      </c>
      <c r="BN94" s="3">
        <f t="shared" ref="BN94" si="1067">SUM(BK91:BN91)</f>
        <v>-26.615077953361052</v>
      </c>
      <c r="BO94" s="3">
        <f t="shared" ref="BO94" si="1068">SUM(BL91:BO91)</f>
        <v>-32.411652404863226</v>
      </c>
      <c r="BP94" s="3">
        <f t="shared" ref="BP94" si="1069">SUM(BM91:BP91)</f>
        <v>-32.543389647315692</v>
      </c>
      <c r="BQ94" s="3">
        <f t="shared" ref="BQ94" si="1070">SUM(BN91:BQ91)</f>
        <v>-31.600888567836122</v>
      </c>
      <c r="BR94" s="3">
        <f t="shared" ref="BR94" si="1071">SUM(BO91:BR91)</f>
        <v>-2.7247150581289503</v>
      </c>
      <c r="BS94" s="3">
        <f t="shared" ref="BS94" si="1072">SUM(BP91:BS91)</f>
        <v>-0.29717597282155195</v>
      </c>
      <c r="BT94" s="3">
        <f t="shared" ref="BT94" si="1073">SUM(BQ91:BT91)</f>
        <v>1.4679292730418037</v>
      </c>
      <c r="BU94" s="3">
        <f t="shared" ref="BU94" si="1074">SUM(BR91:BU91)</f>
        <v>1.6329334959115629</v>
      </c>
      <c r="BV94" s="3">
        <f t="shared" ref="BV94" si="1075">SUM(BS91:BV91)</f>
        <v>-5.5267724511382701</v>
      </c>
      <c r="BW94" s="3">
        <f t="shared" ref="BW94" si="1076">SUM(BT91:BW91)</f>
        <v>-2.3680115578994707</v>
      </c>
      <c r="BX94" s="3">
        <f t="shared" ref="BX94" si="1077">SUM(BU91:BX91)</f>
        <v>-1.5201516431172506</v>
      </c>
      <c r="BY94" s="3">
        <f t="shared" ref="BY94" si="1078">SUM(BV91:BY91)</f>
        <v>1.5218896731145908</v>
      </c>
      <c r="BZ94" s="3">
        <f t="shared" ref="BZ94" si="1079">SUM(BW91:BZ91)</f>
        <v>6.5823269505992243</v>
      </c>
      <c r="CA94" s="3">
        <f t="shared" ref="CA94" si="1080">SUM(BX91:CA91)</f>
        <v>5.1444058517297586</v>
      </c>
      <c r="CB94" s="3">
        <f t="shared" ref="CB94" si="1081">SUM(BY91:CB91)</f>
        <v>9.0555979502108812</v>
      </c>
      <c r="CC94" s="3">
        <f t="shared" ref="CC94" si="1082">SUM(BZ91:CC91)</f>
        <v>30.113868121542605</v>
      </c>
      <c r="CD94" s="3">
        <f t="shared" ref="CD94" si="1083">SUM(CA91:CD91)</f>
        <v>29.086285042350895</v>
      </c>
      <c r="CE94" s="3">
        <f t="shared" ref="CE94" si="1084">SUM(CB91:CE91)</f>
        <v>36.863833496726244</v>
      </c>
      <c r="CF94" s="3">
        <f t="shared" ref="CF94" si="1085">SUM(CC91:CF91)</f>
        <v>35.414750986467787</v>
      </c>
      <c r="CG94" s="3">
        <f t="shared" ref="CG94" si="1086">SUM(CD91:CG91)</f>
        <v>14.142757438904166</v>
      </c>
      <c r="CH94" s="3">
        <f t="shared" ref="CH94:CL94" si="1087">SUM(CE91:CH91)</f>
        <v>8.7159488693300116</v>
      </c>
      <c r="CI94" s="3">
        <f t="shared" si="1087"/>
        <v>6.6764792943598152</v>
      </c>
      <c r="CJ94" s="3">
        <f t="shared" si="1087"/>
        <v>8.6724981193972255</v>
      </c>
      <c r="CK94" s="3">
        <f t="shared" si="1087"/>
        <v>13.293032993996354</v>
      </c>
      <c r="CL94" s="3">
        <f t="shared" si="1087"/>
        <v>19.120278435475459</v>
      </c>
      <c r="CM94" s="37">
        <f t="shared" ref="CM94" si="1088">SUM(CJ91:CM91)</f>
        <v>18.585578894405717</v>
      </c>
      <c r="CN94" s="37">
        <f t="shared" ref="CN94" si="1089">SUM(CK91:CN91)</f>
        <v>18.987155372641336</v>
      </c>
      <c r="CO94" s="37">
        <f t="shared" ref="CO94" si="1090">SUM(CL91:CO91)</f>
        <v>18.314678047026366</v>
      </c>
      <c r="CP94" s="37">
        <f t="shared" ref="CP94" si="1091">SUM(CM91:CP91)</f>
        <v>17.885260805385208</v>
      </c>
      <c r="CQ94" s="37">
        <f t="shared" ref="CQ94" si="1092">SUM(CN91:CQ91)</f>
        <v>18.315422622301682</v>
      </c>
      <c r="CR94" s="37">
        <f t="shared" ref="CR94" si="1093">SUM(CO91:CR91)</f>
        <v>18.683436395309371</v>
      </c>
      <c r="CS94" s="37">
        <f t="shared" ref="CS94" si="1094">SUM(CP91:CS91)</f>
        <v>19.152857476710935</v>
      </c>
      <c r="CT94" s="37">
        <f t="shared" ref="CT94" si="1095">SUM(CQ91:CT91)</f>
        <v>19.979057970736193</v>
      </c>
      <c r="CU94" s="37">
        <f t="shared" ref="CU94" si="1096">SUM(CR91:CU91)</f>
        <v>20.70049477854176</v>
      </c>
      <c r="CV94" s="37">
        <f t="shared" ref="CV94" si="1097">SUM(CS91:CV91)</f>
        <v>21.460033947727659</v>
      </c>
      <c r="CW94" s="37">
        <f t="shared" ref="CW94" si="1098">SUM(CT91:CW91)</f>
        <v>22.35227019008007</v>
      </c>
      <c r="CX94" s="37">
        <f t="shared" ref="CX94" si="1099">SUM(CU91:CX91)</f>
        <v>23.49828175417391</v>
      </c>
      <c r="CY94" s="37">
        <f t="shared" ref="CY94" si="1100">SUM(CV91:CY91)</f>
        <v>23.905051993916551</v>
      </c>
      <c r="CZ94" s="37">
        <f t="shared" ref="CZ94" si="1101">SUM(CW91:CZ91)</f>
        <v>24.391786369140434</v>
      </c>
      <c r="DA94" s="37">
        <f t="shared" ref="DA94" si="1102">SUM(CX91:DA91)</f>
        <v>25.091604751699855</v>
      </c>
      <c r="DB94" s="37">
        <f t="shared" ref="DB94" si="1103">SUM(CY91:DB91)</f>
        <v>25.892732075011338</v>
      </c>
      <c r="DE94" s="135"/>
      <c r="DF94" s="3">
        <v>19.306210801299706</v>
      </c>
    </row>
    <row r="95" spans="1:110" s="224" customFormat="1" x14ac:dyDescent="0.2">
      <c r="A95" s="227" t="s">
        <v>426</v>
      </c>
      <c r="C95" s="224" t="e">
        <f t="shared" ref="C95:AA95" si="1104">+C94/B94-1</f>
        <v>#REF!</v>
      </c>
      <c r="D95" s="224" t="e">
        <f t="shared" si="1104"/>
        <v>#REF!</v>
      </c>
      <c r="E95" s="224" t="e">
        <f t="shared" si="1104"/>
        <v>#DIV/0!</v>
      </c>
      <c r="F95" s="224" t="e">
        <f t="shared" si="1104"/>
        <v>#DIV/0!</v>
      </c>
      <c r="G95" s="224" t="e">
        <f t="shared" si="1104"/>
        <v>#DIV/0!</v>
      </c>
      <c r="H95" s="224" t="e">
        <f t="shared" si="1104"/>
        <v>#DIV/0!</v>
      </c>
      <c r="I95" s="224" t="e">
        <f t="shared" si="1104"/>
        <v>#DIV/0!</v>
      </c>
      <c r="J95" s="224" t="e">
        <f t="shared" si="1104"/>
        <v>#DIV/0!</v>
      </c>
      <c r="K95" s="224" t="e">
        <f t="shared" si="1104"/>
        <v>#DIV/0!</v>
      </c>
      <c r="L95" s="224" t="e">
        <f t="shared" si="1104"/>
        <v>#DIV/0!</v>
      </c>
      <c r="M95" s="224" t="e">
        <f t="shared" si="1104"/>
        <v>#DIV/0!</v>
      </c>
      <c r="N95" s="224" t="e">
        <f t="shared" si="1104"/>
        <v>#DIV/0!</v>
      </c>
      <c r="O95" s="224" t="e">
        <f t="shared" si="1104"/>
        <v>#DIV/0!</v>
      </c>
      <c r="P95" s="224" t="e">
        <f t="shared" si="1104"/>
        <v>#DIV/0!</v>
      </c>
      <c r="Q95" s="224" t="e">
        <f t="shared" si="1104"/>
        <v>#DIV/0!</v>
      </c>
      <c r="R95" s="224" t="e">
        <f t="shared" si="1104"/>
        <v>#DIV/0!</v>
      </c>
      <c r="S95" s="224" t="e">
        <f t="shared" si="1104"/>
        <v>#DIV/0!</v>
      </c>
      <c r="T95" s="224" t="e">
        <f t="shared" si="1104"/>
        <v>#DIV/0!</v>
      </c>
      <c r="U95" s="224" t="e">
        <f t="shared" si="1104"/>
        <v>#DIV/0!</v>
      </c>
      <c r="V95" s="224" t="e">
        <f t="shared" si="1104"/>
        <v>#DIV/0!</v>
      </c>
      <c r="W95" s="224" t="e">
        <f t="shared" si="1104"/>
        <v>#DIV/0!</v>
      </c>
      <c r="X95" s="224" t="e">
        <f t="shared" si="1104"/>
        <v>#DIV/0!</v>
      </c>
      <c r="Y95" s="224" t="e">
        <f t="shared" si="1104"/>
        <v>#DIV/0!</v>
      </c>
      <c r="Z95" s="224" t="e">
        <f t="shared" si="1104"/>
        <v>#DIV/0!</v>
      </c>
      <c r="AA95" s="224">
        <f t="shared" si="1104"/>
        <v>-0.99986413043478262</v>
      </c>
      <c r="AB95" s="225"/>
      <c r="AC95" s="225"/>
      <c r="AD95" s="225"/>
      <c r="AE95" s="225"/>
      <c r="AP95" s="224">
        <f t="shared" ref="AP95:CL95" si="1105">+IF(AL94&lt;0,1-AP94/AL94,AP94/AL94-1)</f>
        <v>6.0618093812692573</v>
      </c>
      <c r="AQ95" s="224">
        <f t="shared" si="1105"/>
        <v>1.3499722889340546</v>
      </c>
      <c r="AR95" s="224">
        <f t="shared" si="1105"/>
        <v>2.0084206848357771</v>
      </c>
      <c r="AS95" s="224">
        <f t="shared" si="1105"/>
        <v>-2.7046454750086584</v>
      </c>
      <c r="AT95" s="224">
        <f t="shared" si="1105"/>
        <v>-3.3081231229877099</v>
      </c>
      <c r="AU95" s="224">
        <f t="shared" si="1105"/>
        <v>-3.5715805582633657</v>
      </c>
      <c r="AV95" s="224">
        <f t="shared" si="1105"/>
        <v>-4.9838305441021893</v>
      </c>
      <c r="AW95" s="224">
        <f t="shared" si="1105"/>
        <v>0.71849414353884777</v>
      </c>
      <c r="AX95" s="224">
        <f t="shared" si="1105"/>
        <v>1.06150582001899</v>
      </c>
      <c r="AY95" s="224">
        <f t="shared" si="1105"/>
        <v>0.94600477303621766</v>
      </c>
      <c r="AZ95" s="224">
        <f t="shared" si="1105"/>
        <v>0.83851599735600024</v>
      </c>
      <c r="BA95" s="224">
        <f t="shared" si="1105"/>
        <v>2.0018492486485573E-2</v>
      </c>
      <c r="BB95" s="224">
        <f t="shared" si="1105"/>
        <v>-9.8798996251826079</v>
      </c>
      <c r="BC95" s="224">
        <f t="shared" si="1105"/>
        <v>-11.396995546161408</v>
      </c>
      <c r="BD95" s="224">
        <f t="shared" si="1105"/>
        <v>-4.183730992262241</v>
      </c>
      <c r="BE95" s="224">
        <f t="shared" si="1105"/>
        <v>-0.25329078579975683</v>
      </c>
      <c r="BF95" s="224">
        <f t="shared" si="1105"/>
        <v>0.28404582965191505</v>
      </c>
      <c r="BG95" s="224">
        <f t="shared" si="1105"/>
        <v>0.89322141234784502</v>
      </c>
      <c r="BH95" s="224">
        <f t="shared" si="1105"/>
        <v>0.98218806603887843</v>
      </c>
      <c r="BI95" s="224">
        <f t="shared" si="1105"/>
        <v>1.2026759046173436</v>
      </c>
      <c r="BJ95" s="224">
        <f t="shared" si="1105"/>
        <v>1.9080839370472142</v>
      </c>
      <c r="BK95" s="224">
        <f t="shared" si="1105"/>
        <v>2.4965355992130314</v>
      </c>
      <c r="BL95" s="224">
        <f t="shared" si="1105"/>
        <v>-12.637565623176416</v>
      </c>
      <c r="BM95" s="224">
        <f t="shared" si="1105"/>
        <v>-8.0490125022649011</v>
      </c>
      <c r="BN95" s="224">
        <f t="shared" si="1105"/>
        <v>-6.3922356164685175</v>
      </c>
      <c r="BO95" s="224">
        <f t="shared" si="1105"/>
        <v>-23.739906639992494</v>
      </c>
      <c r="BP95" s="224">
        <f t="shared" si="1105"/>
        <v>-16.085673957056084</v>
      </c>
      <c r="BQ95" s="224">
        <f t="shared" si="1105"/>
        <v>-3.9851941342038613</v>
      </c>
      <c r="BR95" s="224">
        <f t="shared" si="1105"/>
        <v>0.89762513328333637</v>
      </c>
      <c r="BS95" s="224">
        <f t="shared" si="1105"/>
        <v>0.99083119956028642</v>
      </c>
      <c r="BT95" s="224">
        <f t="shared" si="1105"/>
        <v>1.0451068339515421</v>
      </c>
      <c r="BU95" s="224">
        <f t="shared" si="1105"/>
        <v>1.0516736576063748</v>
      </c>
      <c r="BV95" s="224">
        <f t="shared" si="1105"/>
        <v>-1.0283854763637121</v>
      </c>
      <c r="BW95" s="224">
        <f t="shared" si="1105"/>
        <v>-6.9683816138171197</v>
      </c>
      <c r="BX95" s="224">
        <f t="shared" si="1105"/>
        <v>-2.0355755355755205</v>
      </c>
      <c r="BY95" s="224">
        <f t="shared" si="1105"/>
        <v>-6.8002660901375744E-2</v>
      </c>
      <c r="BZ95" s="224">
        <f t="shared" si="1105"/>
        <v>2.1909893176882207</v>
      </c>
      <c r="CA95" s="224">
        <f t="shared" si="1105"/>
        <v>3.1724580839010224</v>
      </c>
      <c r="CB95" s="224">
        <f t="shared" si="1105"/>
        <v>6.9570359254694534</v>
      </c>
      <c r="CC95" s="224">
        <f t="shared" si="1105"/>
        <v>18.787155832336854</v>
      </c>
      <c r="CD95" s="224">
        <f t="shared" si="1105"/>
        <v>3.4188453810704456</v>
      </c>
      <c r="CE95" s="224">
        <f t="shared" si="1105"/>
        <v>6.1658097279263302</v>
      </c>
      <c r="CF95" s="224">
        <f t="shared" si="1105"/>
        <v>2.9108130883442183</v>
      </c>
      <c r="CG95" s="224">
        <f t="shared" si="1105"/>
        <v>-0.53035732965879467</v>
      </c>
      <c r="CH95" s="224">
        <f t="shared" si="1105"/>
        <v>-0.70034162641811393</v>
      </c>
      <c r="CI95" s="224">
        <f t="shared" si="1105"/>
        <v>-0.81888809000418439</v>
      </c>
      <c r="CJ95" s="224">
        <f t="shared" si="1105"/>
        <v>-0.75511621915085481</v>
      </c>
      <c r="CK95" s="224">
        <f t="shared" si="1105"/>
        <v>-6.0081949971819038E-2</v>
      </c>
      <c r="CL95" s="224">
        <f t="shared" si="1105"/>
        <v>1.1937116339400027</v>
      </c>
      <c r="CM95" s="225">
        <f t="shared" ref="CM95:DB95" si="1106">+IF(CI94&lt;0,1-CM94/CI94,CM94/CI94-1)</f>
        <v>1.7837394643171471</v>
      </c>
      <c r="CN95" s="225">
        <f t="shared" si="1106"/>
        <v>1.1893524923544199</v>
      </c>
      <c r="CO95" s="225">
        <f t="shared" si="1106"/>
        <v>0.37776518385969404</v>
      </c>
      <c r="CP95" s="225">
        <f t="shared" si="1106"/>
        <v>-6.4592031661987681E-2</v>
      </c>
      <c r="CQ95" s="225">
        <f t="shared" si="1106"/>
        <v>-1.4535800775371754E-2</v>
      </c>
      <c r="CR95" s="225">
        <f t="shared" si="1106"/>
        <v>-1.5996023173097007E-2</v>
      </c>
      <c r="CS95" s="225">
        <f t="shared" si="1106"/>
        <v>4.5765447120194258E-2</v>
      </c>
      <c r="CT95" s="225">
        <f t="shared" si="1106"/>
        <v>0.11706830490951226</v>
      </c>
      <c r="CU95" s="225">
        <f t="shared" si="1106"/>
        <v>0.13022206505548528</v>
      </c>
      <c r="CV95" s="225">
        <f t="shared" si="1106"/>
        <v>0.14861278694509195</v>
      </c>
      <c r="CW95" s="225">
        <f t="shared" si="1106"/>
        <v>0.16704623408071018</v>
      </c>
      <c r="CX95" s="225">
        <f t="shared" si="1106"/>
        <v>0.17614563152038532</v>
      </c>
      <c r="CY95" s="225">
        <f t="shared" si="1106"/>
        <v>0.15480582709050283</v>
      </c>
      <c r="CZ95" s="225">
        <f t="shared" si="1106"/>
        <v>0.13661452859552492</v>
      </c>
      <c r="DA95" s="225">
        <f t="shared" si="1106"/>
        <v>0.12255285652530734</v>
      </c>
      <c r="DB95" s="225">
        <f t="shared" si="1106"/>
        <v>0.10189895354421452</v>
      </c>
      <c r="DE95" s="226"/>
      <c r="DF95" s="224">
        <v>0.6456825208905288</v>
      </c>
    </row>
    <row r="96" spans="1:110" s="144" customFormat="1" x14ac:dyDescent="0.2">
      <c r="A96" s="144" t="s">
        <v>425</v>
      </c>
      <c r="AB96" s="145"/>
      <c r="AC96" s="145"/>
      <c r="AD96" s="145"/>
      <c r="AE96" s="145"/>
      <c r="CM96" s="145"/>
      <c r="CN96" s="145"/>
      <c r="CO96" s="145"/>
      <c r="CP96" s="145">
        <v>18.5</v>
      </c>
      <c r="CQ96" s="145"/>
      <c r="CR96" s="145"/>
      <c r="CS96" s="145"/>
      <c r="CT96" s="145">
        <v>21.7</v>
      </c>
      <c r="CU96" s="145"/>
      <c r="CV96" s="145"/>
      <c r="CW96" s="145"/>
      <c r="CX96" s="145">
        <v>23.1</v>
      </c>
      <c r="CY96" s="145"/>
      <c r="CZ96" s="145"/>
      <c r="DA96" s="145"/>
      <c r="DB96" s="145"/>
      <c r="DE96" s="146"/>
    </row>
    <row r="97" spans="1:110" s="144" customFormat="1" x14ac:dyDescent="0.2">
      <c r="A97" s="144" t="s">
        <v>438</v>
      </c>
      <c r="AB97" s="145"/>
      <c r="AC97" s="145"/>
      <c r="AD97" s="145"/>
      <c r="AE97" s="145"/>
      <c r="CM97" s="145"/>
      <c r="CN97" s="145"/>
      <c r="CO97" s="145"/>
      <c r="CP97" s="145">
        <f>CP94/CP96-1</f>
        <v>-3.3229145654853576E-2</v>
      </c>
      <c r="CQ97" s="145"/>
      <c r="CR97" s="145"/>
      <c r="CS97" s="145"/>
      <c r="CT97" s="145">
        <f>CT94/CT96-1</f>
        <v>-7.9306084297871227E-2</v>
      </c>
      <c r="CU97" s="145"/>
      <c r="CV97" s="145"/>
      <c r="CW97" s="145"/>
      <c r="CX97" s="145">
        <f>CX94/CX96-1</f>
        <v>1.7241634379822957E-2</v>
      </c>
      <c r="CY97" s="145"/>
      <c r="CZ97" s="145"/>
      <c r="DA97" s="145"/>
      <c r="DB97" s="145"/>
      <c r="DE97" s="146"/>
    </row>
    <row r="98" spans="1:110" s="3" customFormat="1" x14ac:dyDescent="0.2">
      <c r="A98" s="3" t="s">
        <v>34</v>
      </c>
      <c r="B98" s="3">
        <f>'Annual Raw'!C112</f>
        <v>0</v>
      </c>
      <c r="C98" s="3">
        <f>'Annual Raw'!D112</f>
        <v>0</v>
      </c>
      <c r="D98" s="3">
        <f>'Annual Raw'!E112</f>
        <v>0</v>
      </c>
      <c r="E98" s="3">
        <f>'Annual Raw'!F112</f>
        <v>0</v>
      </c>
      <c r="F98" s="3">
        <f>'Annual Raw'!G112</f>
        <v>0</v>
      </c>
      <c r="G98" s="3">
        <f>'Annual Raw'!H112</f>
        <v>0</v>
      </c>
      <c r="H98" s="3">
        <f>'Annual Raw'!I112</f>
        <v>0</v>
      </c>
      <c r="I98" s="3">
        <f>'Annual Raw'!J112</f>
        <v>0</v>
      </c>
      <c r="J98" s="3">
        <f>'Annual Raw'!K112</f>
        <v>0</v>
      </c>
      <c r="K98" s="3">
        <f>'Annual Raw'!L112</f>
        <v>0</v>
      </c>
      <c r="L98" s="3">
        <f>'Annual Raw'!M112</f>
        <v>0</v>
      </c>
      <c r="M98" s="3">
        <f>'Annual Raw'!N112</f>
        <v>0</v>
      </c>
      <c r="N98" s="3">
        <f>'Annual Raw'!O112</f>
        <v>0</v>
      </c>
      <c r="O98" s="3">
        <f>'Annual Raw'!P112</f>
        <v>0</v>
      </c>
      <c r="P98" s="3">
        <f>'Annual Raw'!Q112</f>
        <v>0</v>
      </c>
      <c r="Q98" s="3">
        <f>'Annual Raw'!R112</f>
        <v>0</v>
      </c>
      <c r="R98" s="3">
        <f>'Annual Raw'!S112</f>
        <v>0</v>
      </c>
      <c r="S98" s="3">
        <f>'Annual Raw'!T112</f>
        <v>0</v>
      </c>
      <c r="T98" s="3">
        <f>'Annual Raw'!U112</f>
        <v>0</v>
      </c>
      <c r="U98" s="3">
        <f>'Annual Raw'!V112</f>
        <v>0</v>
      </c>
      <c r="V98" s="3">
        <f>'Annual Raw'!W112</f>
        <v>0</v>
      </c>
      <c r="W98" s="3">
        <f>'Annual Raw'!X112</f>
        <v>0</v>
      </c>
      <c r="X98" s="3">
        <f>'Annual Raw'!Y112</f>
        <v>0</v>
      </c>
      <c r="Y98" s="3">
        <f>'Annual Raw'!Z112</f>
        <v>0</v>
      </c>
      <c r="Z98" s="3">
        <f>'Annual Raw'!AA112</f>
        <v>0</v>
      </c>
      <c r="AA98" s="3">
        <f>'Annual Raw'!AB112</f>
        <v>42.56</v>
      </c>
      <c r="AB98" s="37"/>
      <c r="AC98" s="37"/>
      <c r="AD98" s="37"/>
      <c r="AE98" s="37"/>
      <c r="AI98" s="3">
        <f>'QTR Raw'!C49</f>
        <v>0</v>
      </c>
      <c r="AJ98" s="3">
        <f>'QTR Raw'!D49</f>
        <v>0</v>
      </c>
      <c r="AK98" s="3">
        <f>'QTR Raw'!E49</f>
        <v>0</v>
      </c>
      <c r="AL98" s="3">
        <f>'QTR Raw'!F49</f>
        <v>0</v>
      </c>
      <c r="AM98" s="3">
        <f>'QTR Raw'!G49</f>
        <v>0</v>
      </c>
      <c r="AN98" s="3">
        <f>'QTR Raw'!H49</f>
        <v>0</v>
      </c>
      <c r="AO98" s="3">
        <f>'QTR Raw'!I49</f>
        <v>0</v>
      </c>
      <c r="AP98" s="3">
        <f>'QTR Raw'!J49</f>
        <v>0</v>
      </c>
      <c r="AQ98" s="3">
        <f>'QTR Raw'!K49</f>
        <v>0</v>
      </c>
      <c r="AR98" s="3">
        <f>'QTR Raw'!L49</f>
        <v>0</v>
      </c>
      <c r="AS98" s="3">
        <f>'QTR Raw'!M49</f>
        <v>0</v>
      </c>
      <c r="AT98" s="3">
        <f>'QTR Raw'!N49</f>
        <v>0</v>
      </c>
      <c r="AU98" s="3">
        <f>'QTR Raw'!O49</f>
        <v>0</v>
      </c>
      <c r="AV98" s="3">
        <f>'QTR Raw'!P49</f>
        <v>0</v>
      </c>
      <c r="AW98" s="3">
        <f>'QTR Raw'!Q49</f>
        <v>0</v>
      </c>
      <c r="AX98" s="3">
        <f>'QTR Raw'!R49</f>
        <v>0</v>
      </c>
      <c r="AY98" s="3">
        <f>'QTR Raw'!S49</f>
        <v>0</v>
      </c>
      <c r="AZ98" s="3">
        <f>'QTR Raw'!T49</f>
        <v>0</v>
      </c>
      <c r="BA98" s="3">
        <f>'QTR Raw'!U49</f>
        <v>0</v>
      </c>
      <c r="BB98" s="3">
        <f>'QTR Raw'!V49</f>
        <v>0</v>
      </c>
      <c r="BC98" s="3">
        <f>'QTR Raw'!W49</f>
        <v>0</v>
      </c>
      <c r="BD98" s="3">
        <f>'QTR Raw'!X49</f>
        <v>0</v>
      </c>
      <c r="BE98" s="3">
        <f>'QTR Raw'!Y49</f>
        <v>0</v>
      </c>
      <c r="BF98" s="3">
        <f>'QTR Raw'!Z49</f>
        <v>0</v>
      </c>
      <c r="BG98" s="3">
        <f>'QTR Raw'!AA49</f>
        <v>0</v>
      </c>
      <c r="BH98" s="3">
        <f>'QTR Raw'!AB49</f>
        <v>0</v>
      </c>
      <c r="BI98" s="3">
        <f>'QTR Raw'!AC49</f>
        <v>0</v>
      </c>
      <c r="BJ98" s="3">
        <f>'QTR Raw'!AD49</f>
        <v>0</v>
      </c>
      <c r="BK98" s="3">
        <f>'QTR Raw'!AE49</f>
        <v>0</v>
      </c>
      <c r="BL98" s="3">
        <f>'QTR Raw'!AF49</f>
        <v>0</v>
      </c>
      <c r="BM98" s="3">
        <f>'QTR Raw'!AG49</f>
        <v>0</v>
      </c>
      <c r="BN98" s="3">
        <f>'QTR Raw'!AH49</f>
        <v>0</v>
      </c>
      <c r="BO98" s="3">
        <f>'QTR Raw'!AI49</f>
        <v>0</v>
      </c>
      <c r="BP98" s="3">
        <f>'QTR Raw'!AJ49</f>
        <v>0</v>
      </c>
      <c r="BQ98" s="3">
        <f>'QTR Raw'!AK49</f>
        <v>0</v>
      </c>
      <c r="BR98" s="3">
        <f>'QTR Raw'!AL49</f>
        <v>0</v>
      </c>
      <c r="BS98" s="3">
        <f>'QTR Raw'!AM49</f>
        <v>0</v>
      </c>
      <c r="BT98" s="3">
        <f>'QTR Raw'!AN49</f>
        <v>0</v>
      </c>
      <c r="BU98" s="3">
        <f>'QTR Raw'!AO49</f>
        <v>0</v>
      </c>
      <c r="BV98" s="3">
        <f>'QTR Raw'!AP49</f>
        <v>0</v>
      </c>
      <c r="BW98" s="3">
        <f>'QTR Raw'!AQ49</f>
        <v>0</v>
      </c>
      <c r="BX98" s="3">
        <f>'QTR Raw'!AR49</f>
        <v>0</v>
      </c>
      <c r="BY98" s="3">
        <f>'QTR Raw'!AS49</f>
        <v>0</v>
      </c>
      <c r="BZ98" s="3">
        <f>'QTR Raw'!AT49</f>
        <v>0</v>
      </c>
      <c r="CA98" s="3">
        <f>'QTR Raw'!AU49</f>
        <v>0</v>
      </c>
      <c r="CB98" s="3">
        <f>'QTR Raw'!AV49</f>
        <v>0</v>
      </c>
      <c r="CC98" s="3">
        <f>'QTR Raw'!AW49</f>
        <v>0</v>
      </c>
      <c r="CD98" s="3">
        <f>'QTR Raw'!AX49</f>
        <v>0</v>
      </c>
      <c r="CE98" s="3">
        <f>'QTR Raw'!AY49</f>
        <v>0</v>
      </c>
      <c r="CF98" s="3">
        <f>'QTR Raw'!AZ49</f>
        <v>0</v>
      </c>
      <c r="CG98" s="3">
        <f>'QTR Raw'!BA49</f>
        <v>0</v>
      </c>
      <c r="CH98" s="3">
        <f>'QTR Raw'!BB49</f>
        <v>0</v>
      </c>
      <c r="CI98" s="3">
        <f>'QTR Raw'!BC49</f>
        <v>0</v>
      </c>
      <c r="CJ98" s="3">
        <f>'QTR Raw'!BD49</f>
        <v>0</v>
      </c>
      <c r="CK98" s="3">
        <f>'QTR Raw'!BE49</f>
        <v>42.56</v>
      </c>
      <c r="CL98" s="3">
        <f>'QTR Raw'!BF49</f>
        <v>42.56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5"/>
    </row>
    <row r="99" spans="1:110" s="3" customFormat="1" x14ac:dyDescent="0.2">
      <c r="A99" s="3" t="s">
        <v>35</v>
      </c>
      <c r="B99" s="3">
        <f>'Annual Raw'!C113</f>
        <v>0</v>
      </c>
      <c r="C99" s="3">
        <f>'Annual Raw'!D113</f>
        <v>0</v>
      </c>
      <c r="D99" s="3">
        <f>'Annual Raw'!E113</f>
        <v>0</v>
      </c>
      <c r="E99" s="3">
        <f>'Annual Raw'!F113</f>
        <v>0</v>
      </c>
      <c r="F99" s="3">
        <f>'Annual Raw'!G113</f>
        <v>0</v>
      </c>
      <c r="G99" s="3">
        <f>'Annual Raw'!H113</f>
        <v>0</v>
      </c>
      <c r="H99" s="3">
        <f>'Annual Raw'!I113</f>
        <v>0</v>
      </c>
      <c r="I99" s="3">
        <f>'Annual Raw'!J113</f>
        <v>0</v>
      </c>
      <c r="J99" s="3">
        <f>'Annual Raw'!K113</f>
        <v>0</v>
      </c>
      <c r="K99" s="3">
        <f>'Annual Raw'!L113</f>
        <v>0</v>
      </c>
      <c r="L99" s="3">
        <f>'Annual Raw'!M113</f>
        <v>0</v>
      </c>
      <c r="M99" s="3">
        <f>'Annual Raw'!N113</f>
        <v>0</v>
      </c>
      <c r="N99" s="3">
        <f>'Annual Raw'!O113</f>
        <v>0</v>
      </c>
      <c r="O99" s="3">
        <f>'Annual Raw'!P113</f>
        <v>0</v>
      </c>
      <c r="P99" s="3">
        <f>'Annual Raw'!Q113</f>
        <v>0</v>
      </c>
      <c r="Q99" s="3">
        <f>'Annual Raw'!R113</f>
        <v>0</v>
      </c>
      <c r="R99" s="3">
        <f>'Annual Raw'!S113</f>
        <v>0</v>
      </c>
      <c r="S99" s="3">
        <f>'Annual Raw'!T113</f>
        <v>0</v>
      </c>
      <c r="T99" s="3">
        <f>'Annual Raw'!U113</f>
        <v>0</v>
      </c>
      <c r="U99" s="3">
        <f>'Annual Raw'!V113</f>
        <v>0</v>
      </c>
      <c r="V99" s="3">
        <f>'Annual Raw'!W113</f>
        <v>0</v>
      </c>
      <c r="W99" s="3">
        <f>'Annual Raw'!X113</f>
        <v>0</v>
      </c>
      <c r="X99" s="3">
        <f>'Annual Raw'!Y113</f>
        <v>0</v>
      </c>
      <c r="Y99" s="3">
        <f>'Annual Raw'!Z113</f>
        <v>0</v>
      </c>
      <c r="Z99" s="3">
        <f>'Annual Raw'!AA113</f>
        <v>0</v>
      </c>
      <c r="AA99" s="3">
        <f>'Annual Raw'!AB113</f>
        <v>0</v>
      </c>
      <c r="AB99" s="37"/>
      <c r="AC99" s="37"/>
      <c r="AD99" s="37"/>
      <c r="AE99" s="37"/>
      <c r="AI99" s="3">
        <f>'QTR Raw'!C50</f>
        <v>0</v>
      </c>
      <c r="AJ99" s="3">
        <f>'QTR Raw'!D50</f>
        <v>0</v>
      </c>
      <c r="AK99" s="3">
        <f>'QTR Raw'!E50</f>
        <v>0</v>
      </c>
      <c r="AL99" s="3">
        <f>'QTR Raw'!F50</f>
        <v>0</v>
      </c>
      <c r="AM99" s="3">
        <f>'QTR Raw'!G50</f>
        <v>0</v>
      </c>
      <c r="AN99" s="3">
        <f>'QTR Raw'!H50</f>
        <v>0</v>
      </c>
      <c r="AO99" s="3">
        <f>'QTR Raw'!I50</f>
        <v>0</v>
      </c>
      <c r="AP99" s="3">
        <f>'QTR Raw'!J50</f>
        <v>0</v>
      </c>
      <c r="AQ99" s="3">
        <f>'QTR Raw'!K50</f>
        <v>0</v>
      </c>
      <c r="AR99" s="3">
        <f>'QTR Raw'!L50</f>
        <v>0</v>
      </c>
      <c r="AS99" s="3">
        <f>'QTR Raw'!M50</f>
        <v>0</v>
      </c>
      <c r="AT99" s="3">
        <f>'QTR Raw'!N50</f>
        <v>0</v>
      </c>
      <c r="AU99" s="3">
        <f>'QTR Raw'!O50</f>
        <v>0</v>
      </c>
      <c r="AV99" s="3">
        <f>'QTR Raw'!P50</f>
        <v>0</v>
      </c>
      <c r="AW99" s="3">
        <f>'QTR Raw'!Q50</f>
        <v>0</v>
      </c>
      <c r="AX99" s="3">
        <f>'QTR Raw'!R50</f>
        <v>0</v>
      </c>
      <c r="AY99" s="3">
        <f>'QTR Raw'!S50</f>
        <v>0</v>
      </c>
      <c r="AZ99" s="3">
        <f>'QTR Raw'!T50</f>
        <v>0</v>
      </c>
      <c r="BA99" s="3">
        <f>'QTR Raw'!U50</f>
        <v>0</v>
      </c>
      <c r="BB99" s="3">
        <f>'QTR Raw'!V50</f>
        <v>0</v>
      </c>
      <c r="BC99" s="3">
        <f>'QTR Raw'!W50</f>
        <v>0</v>
      </c>
      <c r="BD99" s="3">
        <f>'QTR Raw'!X50</f>
        <v>0</v>
      </c>
      <c r="BE99" s="3">
        <f>'QTR Raw'!Y50</f>
        <v>0</v>
      </c>
      <c r="BF99" s="3">
        <f>'QTR Raw'!Z50</f>
        <v>0</v>
      </c>
      <c r="BG99" s="3">
        <f>'QTR Raw'!AA50</f>
        <v>0</v>
      </c>
      <c r="BH99" s="3">
        <f>'QTR Raw'!AB50</f>
        <v>0</v>
      </c>
      <c r="BI99" s="3">
        <f>'QTR Raw'!AC50</f>
        <v>0</v>
      </c>
      <c r="BJ99" s="3">
        <f>'QTR Raw'!AD50</f>
        <v>0</v>
      </c>
      <c r="BK99" s="3">
        <f>'QTR Raw'!AE50</f>
        <v>0</v>
      </c>
      <c r="BL99" s="3">
        <f>'QTR Raw'!AF50</f>
        <v>0</v>
      </c>
      <c r="BM99" s="3">
        <f>'QTR Raw'!AG50</f>
        <v>0</v>
      </c>
      <c r="BN99" s="3">
        <f>'QTR Raw'!AH50</f>
        <v>0</v>
      </c>
      <c r="BO99" s="3">
        <f>'QTR Raw'!AI50</f>
        <v>0</v>
      </c>
      <c r="BP99" s="3">
        <f>'QTR Raw'!AJ50</f>
        <v>0</v>
      </c>
      <c r="BQ99" s="3">
        <f>'QTR Raw'!AK50</f>
        <v>0</v>
      </c>
      <c r="BR99" s="3">
        <f>'QTR Raw'!AL50</f>
        <v>0</v>
      </c>
      <c r="BS99" s="3">
        <f>'QTR Raw'!AM50</f>
        <v>0</v>
      </c>
      <c r="BT99" s="3">
        <f>'QTR Raw'!AN50</f>
        <v>0</v>
      </c>
      <c r="BU99" s="3">
        <f>'QTR Raw'!AO50</f>
        <v>0</v>
      </c>
      <c r="BV99" s="3">
        <f>'QTR Raw'!AP50</f>
        <v>0</v>
      </c>
      <c r="BW99" s="3">
        <f>'QTR Raw'!AQ50</f>
        <v>0</v>
      </c>
      <c r="BX99" s="3">
        <f>'QTR Raw'!AR50</f>
        <v>0</v>
      </c>
      <c r="BY99" s="3">
        <f>'QTR Raw'!AS50</f>
        <v>0</v>
      </c>
      <c r="BZ99" s="3">
        <f>'QTR Raw'!AT50</f>
        <v>0</v>
      </c>
      <c r="CA99" s="3">
        <f>'QTR Raw'!AU50</f>
        <v>0</v>
      </c>
      <c r="CB99" s="3">
        <f>'QTR Raw'!AV50</f>
        <v>0</v>
      </c>
      <c r="CC99" s="3">
        <f>'QTR Raw'!AW50</f>
        <v>0</v>
      </c>
      <c r="CD99" s="3">
        <f>'QTR Raw'!AX50</f>
        <v>0</v>
      </c>
      <c r="CE99" s="3">
        <f>'QTR Raw'!AY50</f>
        <v>0</v>
      </c>
      <c r="CF99" s="3">
        <f>'QTR Raw'!AZ50</f>
        <v>0</v>
      </c>
      <c r="CG99" s="3">
        <f>'QTR Raw'!BA50</f>
        <v>0</v>
      </c>
      <c r="CH99" s="3">
        <f>'QTR Raw'!BB50</f>
        <v>0</v>
      </c>
      <c r="CI99" s="3">
        <f>'QTR Raw'!BC50</f>
        <v>0</v>
      </c>
      <c r="CJ99" s="3">
        <f>'QTR Raw'!BD50</f>
        <v>0</v>
      </c>
      <c r="CK99" s="3">
        <f>'QTR Raw'!BE50</f>
        <v>0</v>
      </c>
      <c r="CL99" s="3">
        <f>'QTR Raw'!BF50</f>
        <v>0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5"/>
    </row>
    <row r="100" spans="1:110" s="3" customFormat="1" x14ac:dyDescent="0.2"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5"/>
    </row>
    <row r="101" spans="1:110" s="13" customFormat="1" x14ac:dyDescent="0.2">
      <c r="A101" s="13" t="s">
        <v>36</v>
      </c>
      <c r="AB101" s="37"/>
      <c r="AC101" s="37"/>
      <c r="AD101" s="37"/>
      <c r="AE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5"/>
    </row>
    <row r="102" spans="1:110" s="13" customFormat="1" x14ac:dyDescent="0.2">
      <c r="A102" s="13" t="s">
        <v>459</v>
      </c>
      <c r="B102" s="13">
        <f>'Annual Raw'!C106</f>
        <v>0</v>
      </c>
      <c r="C102" s="13">
        <f>'Annual Raw'!D106</f>
        <v>0</v>
      </c>
      <c r="D102" s="13">
        <f>'Annual Raw'!E106</f>
        <v>0</v>
      </c>
      <c r="E102" s="13">
        <f>'Annual Raw'!F106</f>
        <v>0</v>
      </c>
      <c r="F102" s="13">
        <f>'Annual Raw'!G106</f>
        <v>0</v>
      </c>
      <c r="G102" s="13">
        <f>'Annual Raw'!H106</f>
        <v>0</v>
      </c>
      <c r="H102" s="13">
        <f>'Annual Raw'!I106</f>
        <v>0</v>
      </c>
      <c r="I102" s="13">
        <f>'Annual Raw'!J106</f>
        <v>0</v>
      </c>
      <c r="J102" s="13">
        <f>'Annual Raw'!K106</f>
        <v>0</v>
      </c>
      <c r="K102" s="13">
        <f>'Annual Raw'!L106</f>
        <v>0</v>
      </c>
      <c r="L102" s="13">
        <f>'Annual Raw'!M106</f>
        <v>0</v>
      </c>
      <c r="M102" s="13">
        <f>'Annual Raw'!N106</f>
        <v>0</v>
      </c>
      <c r="N102" s="13">
        <f>'Annual Raw'!O106</f>
        <v>0</v>
      </c>
      <c r="O102" s="13">
        <f>'Annual Raw'!P106</f>
        <v>0</v>
      </c>
      <c r="P102" s="13">
        <f>'Annual Raw'!Q106</f>
        <v>0</v>
      </c>
      <c r="Q102" s="13">
        <f>'Annual Raw'!R106</f>
        <v>0</v>
      </c>
      <c r="R102" s="13">
        <f>'Annual Raw'!S106</f>
        <v>0</v>
      </c>
      <c r="S102" s="13">
        <f>'Annual Raw'!T106</f>
        <v>0</v>
      </c>
      <c r="T102" s="13">
        <f>'Annual Raw'!U106</f>
        <v>0</v>
      </c>
      <c r="U102" s="13">
        <f>'Annual Raw'!V106</f>
        <v>0</v>
      </c>
      <c r="V102" s="13">
        <f>'Annual Raw'!W106</f>
        <v>0</v>
      </c>
      <c r="W102" s="13">
        <f>'Annual Raw'!X106</f>
        <v>0</v>
      </c>
      <c r="X102" s="13">
        <f>'Annual Raw'!Y106</f>
        <v>0</v>
      </c>
      <c r="Y102" s="13">
        <f>'Annual Raw'!Z106</f>
        <v>0</v>
      </c>
      <c r="Z102" s="13">
        <f>'Annual Raw'!AA106</f>
        <v>0</v>
      </c>
      <c r="AA102" s="13">
        <f>'Annual Raw'!AB106</f>
        <v>394.6</v>
      </c>
      <c r="AB102" s="37">
        <f>+CP102</f>
        <v>374</v>
      </c>
      <c r="AC102" s="37">
        <f>+CT102</f>
        <v>374</v>
      </c>
      <c r="AD102" s="37">
        <f>+CX102</f>
        <v>374</v>
      </c>
      <c r="AE102" s="37">
        <f>+DB102</f>
        <v>374</v>
      </c>
      <c r="AJ102" s="13">
        <f>'QTR Share Price'!HP21</f>
        <v>0</v>
      </c>
      <c r="AK102" s="13">
        <f>'QTR Share Price'!HQ21</f>
        <v>0</v>
      </c>
      <c r="AL102" s="13">
        <f>'QTR Share Price'!HR21</f>
        <v>0</v>
      </c>
      <c r="AM102" s="13">
        <f>'QTR Share Price'!HS21</f>
        <v>0</v>
      </c>
      <c r="AN102" s="13">
        <f>'QTR Share Price'!HT21</f>
        <v>0</v>
      </c>
      <c r="AO102" s="13">
        <f>'QTR Share Price'!HU21</f>
        <v>0</v>
      </c>
      <c r="AP102" s="13">
        <f>'QTR Share Price'!HV21</f>
        <v>0</v>
      </c>
      <c r="AQ102" s="13">
        <f>'QTR Share Price'!HW21</f>
        <v>0</v>
      </c>
      <c r="AR102" s="13">
        <f>'QTR Share Price'!HX21</f>
        <v>0</v>
      </c>
      <c r="AS102" s="13">
        <f>'QTR Share Price'!HY21</f>
        <v>0</v>
      </c>
      <c r="AT102" s="13">
        <f>'QTR Share Price'!HZ21</f>
        <v>0</v>
      </c>
      <c r="AU102" s="13">
        <f>'QTR Share Price'!IA21</f>
        <v>0</v>
      </c>
      <c r="AV102" s="13">
        <f>'QTR Share Price'!IB21</f>
        <v>0</v>
      </c>
      <c r="AW102" s="13">
        <f>'QTR Share Price'!IC21</f>
        <v>0</v>
      </c>
      <c r="AX102" s="13">
        <f>'QTR Share Price'!ID21</f>
        <v>0</v>
      </c>
      <c r="AY102" s="13">
        <f>'QTR Share Price'!IE21</f>
        <v>0</v>
      </c>
      <c r="AZ102" s="13">
        <f>'QTR Share Price'!IF21</f>
        <v>0</v>
      </c>
      <c r="BA102" s="13">
        <f>'QTR Share Price'!IG21</f>
        <v>0</v>
      </c>
      <c r="BB102" s="13">
        <f>'QTR Share Price'!IH21</f>
        <v>0</v>
      </c>
      <c r="BC102" s="13">
        <f>'QTR Share Price'!II21</f>
        <v>0</v>
      </c>
      <c r="BD102" s="13">
        <f>'QTR Share Price'!IJ21</f>
        <v>0</v>
      </c>
      <c r="BE102" s="13">
        <f>'QTR Share Price'!IK21</f>
        <v>0</v>
      </c>
      <c r="BF102" s="13">
        <f>'QTR Share Price'!IL21</f>
        <v>0</v>
      </c>
      <c r="BG102" s="13">
        <f>'QTR Share Price'!IM21</f>
        <v>0</v>
      </c>
      <c r="BH102" s="13">
        <f>'QTR Share Price'!IN21</f>
        <v>0</v>
      </c>
      <c r="BI102" s="13">
        <f>'QTR Share Price'!IO21</f>
        <v>0</v>
      </c>
      <c r="BJ102" s="13">
        <f>'QTR Share Price'!IP21</f>
        <v>0</v>
      </c>
      <c r="BK102" s="13">
        <f>'QTR Share Price'!IQ21</f>
        <v>0</v>
      </c>
      <c r="BL102" s="13">
        <f>'QTR Share Price'!IR21</f>
        <v>0</v>
      </c>
      <c r="BM102" s="13">
        <f>'QTR Share Price'!IS21</f>
        <v>0</v>
      </c>
      <c r="BN102" s="13">
        <f>'QTR Share Price'!IT21</f>
        <v>0</v>
      </c>
      <c r="BO102" s="13">
        <f>'QTR Share Price'!IU21</f>
        <v>0</v>
      </c>
      <c r="BP102" s="13">
        <f>'QTR Share Price'!IV21</f>
        <v>0</v>
      </c>
      <c r="BQ102" s="13">
        <f>'QTR Share Price'!IW21</f>
        <v>0</v>
      </c>
      <c r="BR102" s="13">
        <f>'QTR Share Price'!IX21</f>
        <v>0</v>
      </c>
      <c r="BS102" s="13">
        <f>'QTR Share Price'!IY21</f>
        <v>0</v>
      </c>
      <c r="BT102" s="13">
        <f>'QTR Share Price'!IZ21</f>
        <v>0</v>
      </c>
      <c r="BU102" s="13">
        <f>'QTR Share Price'!JA21</f>
        <v>0</v>
      </c>
      <c r="BV102" s="13">
        <f>'QTR Share Price'!JB21</f>
        <v>0</v>
      </c>
      <c r="BW102" s="13">
        <f>'QTR Share Price'!JC21</f>
        <v>0</v>
      </c>
      <c r="BX102" s="13">
        <f>'QTR Share Price'!JD21</f>
        <v>0</v>
      </c>
      <c r="BY102" s="13">
        <f>'QTR Share Price'!JE21</f>
        <v>0</v>
      </c>
      <c r="BZ102" s="13">
        <f>'QTR Share Price'!JF21</f>
        <v>0</v>
      </c>
      <c r="CA102" s="13">
        <f>'QTR Share Price'!JG21</f>
        <v>0</v>
      </c>
      <c r="CB102" s="13">
        <f>'QTR Share Price'!JH21</f>
        <v>0</v>
      </c>
      <c r="CC102" s="13">
        <f>'QTR Share Price'!JI21</f>
        <v>0</v>
      </c>
      <c r="CD102" s="13">
        <f>'QTR Share Price'!JJ21</f>
        <v>0</v>
      </c>
      <c r="CE102" s="13">
        <f>'QTR Share Price'!JK21</f>
        <v>0</v>
      </c>
      <c r="CF102" s="13">
        <f>'QTR Share Price'!JL21</f>
        <v>0</v>
      </c>
      <c r="CG102" s="13">
        <f>'QTR Share Price'!JM21</f>
        <v>0</v>
      </c>
      <c r="CH102" s="13">
        <f>'QTR Share Price'!JN21</f>
        <v>0</v>
      </c>
      <c r="CI102" s="13">
        <f>'QTR Share Price'!JO21</f>
        <v>0</v>
      </c>
      <c r="CJ102" s="13">
        <f>'QTR Share Price'!JP21</f>
        <v>0</v>
      </c>
      <c r="CK102" s="13">
        <f>'QTR Share Price'!JQ21</f>
        <v>415.45</v>
      </c>
      <c r="CL102" s="13">
        <f>'QTR Share Price'!JR21</f>
        <v>394.6</v>
      </c>
      <c r="CM102" s="37">
        <v>374</v>
      </c>
      <c r="CN102" s="37">
        <f t="shared" ref="CN102" si="1107">+CM102</f>
        <v>374</v>
      </c>
      <c r="CO102" s="37">
        <f t="shared" ref="CO102" si="1108">+CN102</f>
        <v>374</v>
      </c>
      <c r="CP102" s="37">
        <f t="shared" ref="CP102" si="1109">+CO102</f>
        <v>374</v>
      </c>
      <c r="CQ102" s="37">
        <f t="shared" ref="CQ102" si="1110">+CP102</f>
        <v>374</v>
      </c>
      <c r="CR102" s="37">
        <f t="shared" ref="CR102" si="1111">+CQ102</f>
        <v>374</v>
      </c>
      <c r="CS102" s="37">
        <f t="shared" ref="CS102" si="1112">+CR102</f>
        <v>374</v>
      </c>
      <c r="CT102" s="37">
        <f t="shared" ref="CT102" si="1113">+CS102</f>
        <v>374</v>
      </c>
      <c r="CU102" s="37">
        <f t="shared" ref="CU102" si="1114">+CT102</f>
        <v>374</v>
      </c>
      <c r="CV102" s="37">
        <f t="shared" ref="CV102" si="1115">+CU102</f>
        <v>374</v>
      </c>
      <c r="CW102" s="37">
        <f t="shared" ref="CW102" si="1116">+CV102</f>
        <v>374</v>
      </c>
      <c r="CX102" s="37">
        <f t="shared" ref="CX102" si="1117">+CW102</f>
        <v>374</v>
      </c>
      <c r="CY102" s="37">
        <f t="shared" ref="CY102" si="1118">+CX102</f>
        <v>374</v>
      </c>
      <c r="CZ102" s="37">
        <f t="shared" ref="CZ102" si="1119">+CY102</f>
        <v>374</v>
      </c>
      <c r="DA102" s="37">
        <f t="shared" ref="DA102" si="1120">+CZ102</f>
        <v>374</v>
      </c>
      <c r="DB102" s="37">
        <f t="shared" ref="DB102" si="1121">+DA102</f>
        <v>374</v>
      </c>
      <c r="DE102" s="135"/>
      <c r="DF102" s="13">
        <v>356.95</v>
      </c>
    </row>
    <row r="103" spans="1:110" s="13" customFormat="1" x14ac:dyDescent="0.2">
      <c r="A103" s="13" t="s">
        <v>460</v>
      </c>
      <c r="B103" s="13">
        <f>'Annual Raw'!C107</f>
        <v>0</v>
      </c>
      <c r="C103" s="13">
        <f>'Annual Raw'!D107</f>
        <v>0</v>
      </c>
      <c r="D103" s="13">
        <f>'Annual Raw'!E107</f>
        <v>0</v>
      </c>
      <c r="E103" s="13">
        <f>'Annual Raw'!F107</f>
        <v>0</v>
      </c>
      <c r="F103" s="13">
        <f>'Annual Raw'!G107</f>
        <v>0</v>
      </c>
      <c r="G103" s="13">
        <f>'Annual Raw'!H107</f>
        <v>0</v>
      </c>
      <c r="H103" s="13">
        <f>'Annual Raw'!I107</f>
        <v>0</v>
      </c>
      <c r="I103" s="13">
        <f>'Annual Raw'!J107</f>
        <v>0</v>
      </c>
      <c r="J103" s="13">
        <f>'Annual Raw'!K107</f>
        <v>0</v>
      </c>
      <c r="K103" s="13">
        <f>'Annual Raw'!L107</f>
        <v>0</v>
      </c>
      <c r="L103" s="13">
        <f>'Annual Raw'!M107</f>
        <v>0</v>
      </c>
      <c r="M103" s="13">
        <f>'Annual Raw'!N107</f>
        <v>0</v>
      </c>
      <c r="N103" s="13">
        <f>'Annual Raw'!O107</f>
        <v>0</v>
      </c>
      <c r="O103" s="13">
        <f>'Annual Raw'!P107</f>
        <v>0</v>
      </c>
      <c r="P103" s="13">
        <f>'Annual Raw'!Q107</f>
        <v>0</v>
      </c>
      <c r="Q103" s="13">
        <f>'Annual Raw'!R107</f>
        <v>0</v>
      </c>
      <c r="R103" s="13">
        <f>'Annual Raw'!S107</f>
        <v>0</v>
      </c>
      <c r="S103" s="13">
        <f>'Annual Raw'!T107</f>
        <v>0</v>
      </c>
      <c r="T103" s="13">
        <f>'Annual Raw'!U107</f>
        <v>0</v>
      </c>
      <c r="U103" s="13">
        <f>'Annual Raw'!V107</f>
        <v>0</v>
      </c>
      <c r="V103" s="13">
        <f>'Annual Raw'!W107</f>
        <v>0</v>
      </c>
      <c r="W103" s="13">
        <f>'Annual Raw'!X107</f>
        <v>0</v>
      </c>
      <c r="X103" s="13">
        <f>'Annual Raw'!Y107</f>
        <v>0</v>
      </c>
      <c r="Y103" s="13">
        <f>'Annual Raw'!Z107</f>
        <v>0</v>
      </c>
      <c r="Z103" s="13">
        <f>'Annual Raw'!AA107</f>
        <v>0</v>
      </c>
      <c r="AA103" s="13">
        <f>'Annual Raw'!AB107</f>
        <v>508.95</v>
      </c>
      <c r="AB103" s="37">
        <f>+MAX(CM103:CP103)</f>
        <v>505.40648555495301</v>
      </c>
      <c r="AC103" s="37">
        <f>+MAX(CQ103:CT103)</f>
        <v>531.80928240772926</v>
      </c>
      <c r="AD103" s="37">
        <f>+MAX(CU103:CX103)</f>
        <v>625.48516430584175</v>
      </c>
      <c r="AE103" s="37">
        <f>+MAX(CY103:DB103)</f>
        <v>689.22144800603803</v>
      </c>
      <c r="AJ103" s="13">
        <f>'QTR Share Price'!HP19</f>
        <v>0</v>
      </c>
      <c r="AK103" s="13">
        <f>'QTR Share Price'!HQ19</f>
        <v>0</v>
      </c>
      <c r="AL103" s="13">
        <f>'QTR Share Price'!HR19</f>
        <v>0</v>
      </c>
      <c r="AM103" s="13">
        <f>'QTR Share Price'!HS19</f>
        <v>0</v>
      </c>
      <c r="AN103" s="13">
        <f>'QTR Share Price'!HT19</f>
        <v>0</v>
      </c>
      <c r="AO103" s="13">
        <f>'QTR Share Price'!HU19</f>
        <v>0</v>
      </c>
      <c r="AP103" s="13">
        <f>'QTR Share Price'!HV19</f>
        <v>0</v>
      </c>
      <c r="AQ103" s="13">
        <f>'QTR Share Price'!HW19</f>
        <v>0</v>
      </c>
      <c r="AR103" s="13">
        <f>'QTR Share Price'!HX19</f>
        <v>0</v>
      </c>
      <c r="AS103" s="13">
        <f>'QTR Share Price'!HY19</f>
        <v>0</v>
      </c>
      <c r="AT103" s="13">
        <f>'QTR Share Price'!HZ19</f>
        <v>0</v>
      </c>
      <c r="AU103" s="13">
        <f>'QTR Share Price'!IA19</f>
        <v>0</v>
      </c>
      <c r="AV103" s="13">
        <f>'QTR Share Price'!IB19</f>
        <v>0</v>
      </c>
      <c r="AW103" s="13">
        <f>'QTR Share Price'!IC19</f>
        <v>0</v>
      </c>
      <c r="AX103" s="13">
        <f>'QTR Share Price'!ID19</f>
        <v>0</v>
      </c>
      <c r="AY103" s="13">
        <f>'QTR Share Price'!IE19</f>
        <v>0</v>
      </c>
      <c r="AZ103" s="13">
        <f>'QTR Share Price'!IF19</f>
        <v>0</v>
      </c>
      <c r="BA103" s="13">
        <f>'QTR Share Price'!IG19</f>
        <v>0</v>
      </c>
      <c r="BB103" s="13">
        <f>'QTR Share Price'!IH19</f>
        <v>0</v>
      </c>
      <c r="BC103" s="13">
        <f>'QTR Share Price'!II19</f>
        <v>0</v>
      </c>
      <c r="BD103" s="13">
        <f>'QTR Share Price'!IJ19</f>
        <v>0</v>
      </c>
      <c r="BE103" s="13">
        <f>'QTR Share Price'!IK19</f>
        <v>0</v>
      </c>
      <c r="BF103" s="13">
        <f>'QTR Share Price'!IL19</f>
        <v>0</v>
      </c>
      <c r="BG103" s="13">
        <f>'QTR Share Price'!IM19</f>
        <v>0</v>
      </c>
      <c r="BH103" s="13">
        <f>'QTR Share Price'!IN19</f>
        <v>0</v>
      </c>
      <c r="BI103" s="13">
        <f>'QTR Share Price'!IO19</f>
        <v>0</v>
      </c>
      <c r="BJ103" s="13">
        <f>'QTR Share Price'!IP19</f>
        <v>0</v>
      </c>
      <c r="BK103" s="13">
        <f>'QTR Share Price'!IQ19</f>
        <v>0</v>
      </c>
      <c r="BL103" s="13">
        <f>'QTR Share Price'!IR19</f>
        <v>0</v>
      </c>
      <c r="BM103" s="13">
        <f>'QTR Share Price'!IS19</f>
        <v>0</v>
      </c>
      <c r="BN103" s="13">
        <f>'QTR Share Price'!IT19</f>
        <v>0</v>
      </c>
      <c r="BO103" s="13">
        <f>'QTR Share Price'!IU19</f>
        <v>0</v>
      </c>
      <c r="BP103" s="13">
        <f>'QTR Share Price'!IV19</f>
        <v>0</v>
      </c>
      <c r="BQ103" s="13">
        <f>'QTR Share Price'!IW19</f>
        <v>0</v>
      </c>
      <c r="BR103" s="13">
        <f>'QTR Share Price'!IX19</f>
        <v>0</v>
      </c>
      <c r="BS103" s="13">
        <f>'QTR Share Price'!IY19</f>
        <v>0</v>
      </c>
      <c r="BT103" s="13">
        <f>'QTR Share Price'!IZ19</f>
        <v>0</v>
      </c>
      <c r="BU103" s="13">
        <f>'QTR Share Price'!JA19</f>
        <v>0</v>
      </c>
      <c r="BV103" s="13">
        <f>'QTR Share Price'!JB19</f>
        <v>0</v>
      </c>
      <c r="BW103" s="13">
        <f>'QTR Share Price'!JC19</f>
        <v>0</v>
      </c>
      <c r="BX103" s="13">
        <f>'QTR Share Price'!JD19</f>
        <v>0</v>
      </c>
      <c r="BY103" s="13">
        <f>'QTR Share Price'!JE19</f>
        <v>0</v>
      </c>
      <c r="BZ103" s="13">
        <f>'QTR Share Price'!JF19</f>
        <v>0</v>
      </c>
      <c r="CA103" s="13">
        <f>'QTR Share Price'!JG19</f>
        <v>0</v>
      </c>
      <c r="CB103" s="13">
        <f>'QTR Share Price'!JH19</f>
        <v>0</v>
      </c>
      <c r="CC103" s="13">
        <f>'QTR Share Price'!JI19</f>
        <v>0</v>
      </c>
      <c r="CD103" s="13">
        <f>'QTR Share Price'!JJ19</f>
        <v>0</v>
      </c>
      <c r="CE103" s="13">
        <f>'QTR Share Price'!JK19</f>
        <v>0</v>
      </c>
      <c r="CF103" s="13">
        <f>'QTR Share Price'!JL19</f>
        <v>0</v>
      </c>
      <c r="CG103" s="13">
        <f>'QTR Share Price'!JM19</f>
        <v>0</v>
      </c>
      <c r="CH103" s="13">
        <f>'QTR Share Price'!JN19</f>
        <v>0</v>
      </c>
      <c r="CI103" s="13">
        <f>'QTR Share Price'!JO19</f>
        <v>0</v>
      </c>
      <c r="CJ103" s="13">
        <f>'QTR Share Price'!JP19</f>
        <v>0</v>
      </c>
      <c r="CK103" s="13">
        <f>'QTR Share Price'!JQ19</f>
        <v>433.65</v>
      </c>
      <c r="CL103" s="13">
        <f>'QTR Share Price'!JR19</f>
        <v>508.95</v>
      </c>
      <c r="CM103" s="37">
        <f t="shared" ref="CM103:DB103" si="1122">+CM94*CM111</f>
        <v>494.71718783955941</v>
      </c>
      <c r="CN103" s="37">
        <f t="shared" si="1122"/>
        <v>505.40648555495301</v>
      </c>
      <c r="CO103" s="37">
        <f t="shared" si="1122"/>
        <v>487.50625800195252</v>
      </c>
      <c r="CP103" s="37">
        <f t="shared" si="1122"/>
        <v>476.07588548563132</v>
      </c>
      <c r="CQ103" s="37">
        <f t="shared" si="1122"/>
        <v>487.52607735697137</v>
      </c>
      <c r="CR103" s="37">
        <f t="shared" si="1122"/>
        <v>497.32199170018248</v>
      </c>
      <c r="CS103" s="37">
        <f t="shared" si="1122"/>
        <v>509.81719987330467</v>
      </c>
      <c r="CT103" s="37">
        <f t="shared" si="1122"/>
        <v>531.80928240772926</v>
      </c>
      <c r="CU103" s="37">
        <f t="shared" si="1122"/>
        <v>551.01272991879648</v>
      </c>
      <c r="CV103" s="37">
        <f t="shared" si="1122"/>
        <v>571.23039889583049</v>
      </c>
      <c r="CW103" s="37">
        <f t="shared" si="1122"/>
        <v>594.98024318171292</v>
      </c>
      <c r="CX103" s="37">
        <f t="shared" si="1122"/>
        <v>625.48516430584175</v>
      </c>
      <c r="CY103" s="37">
        <f t="shared" si="1122"/>
        <v>636.31271131127164</v>
      </c>
      <c r="CZ103" s="37">
        <f t="shared" si="1122"/>
        <v>649.26877056041792</v>
      </c>
      <c r="DA103" s="37">
        <f t="shared" si="1122"/>
        <v>667.8967715597538</v>
      </c>
      <c r="DB103" s="37">
        <f t="shared" si="1122"/>
        <v>689.22144800603803</v>
      </c>
      <c r="DE103" s="135"/>
      <c r="DF103" s="13">
        <v>368</v>
      </c>
    </row>
    <row r="104" spans="1:110" s="13" customFormat="1" x14ac:dyDescent="0.2">
      <c r="A104" s="13" t="s">
        <v>461</v>
      </c>
      <c r="B104" s="13">
        <f>'Annual Raw'!C108</f>
        <v>0</v>
      </c>
      <c r="C104" s="13">
        <f>'Annual Raw'!D108</f>
        <v>0</v>
      </c>
      <c r="D104" s="13">
        <f>'Annual Raw'!E108</f>
        <v>0</v>
      </c>
      <c r="E104" s="13">
        <f>'Annual Raw'!F108</f>
        <v>0</v>
      </c>
      <c r="F104" s="13">
        <f>'Annual Raw'!G108</f>
        <v>0</v>
      </c>
      <c r="G104" s="13">
        <f>'Annual Raw'!H108</f>
        <v>0</v>
      </c>
      <c r="H104" s="13">
        <f>'Annual Raw'!I108</f>
        <v>0</v>
      </c>
      <c r="I104" s="13">
        <f>'Annual Raw'!J108</f>
        <v>0</v>
      </c>
      <c r="J104" s="13">
        <f>'Annual Raw'!K108</f>
        <v>0</v>
      </c>
      <c r="K104" s="13">
        <f>'Annual Raw'!L108</f>
        <v>0</v>
      </c>
      <c r="L104" s="13">
        <f>'Annual Raw'!M108</f>
        <v>0</v>
      </c>
      <c r="M104" s="13">
        <f>'Annual Raw'!N108</f>
        <v>0</v>
      </c>
      <c r="N104" s="13">
        <f>'Annual Raw'!O108</f>
        <v>0</v>
      </c>
      <c r="O104" s="13">
        <f>'Annual Raw'!P108</f>
        <v>0</v>
      </c>
      <c r="P104" s="13">
        <f>'Annual Raw'!Q108</f>
        <v>0</v>
      </c>
      <c r="Q104" s="13">
        <f>'Annual Raw'!R108</f>
        <v>0</v>
      </c>
      <c r="R104" s="13">
        <f>'Annual Raw'!S108</f>
        <v>0</v>
      </c>
      <c r="S104" s="13">
        <f>'Annual Raw'!T108</f>
        <v>0</v>
      </c>
      <c r="T104" s="13">
        <f>'Annual Raw'!U108</f>
        <v>0</v>
      </c>
      <c r="U104" s="13">
        <f>'Annual Raw'!V108</f>
        <v>0</v>
      </c>
      <c r="V104" s="13">
        <f>'Annual Raw'!W108</f>
        <v>0</v>
      </c>
      <c r="W104" s="13">
        <f>'Annual Raw'!X108</f>
        <v>0</v>
      </c>
      <c r="X104" s="13">
        <f>'Annual Raw'!Y108</f>
        <v>0</v>
      </c>
      <c r="Y104" s="13">
        <f>'Annual Raw'!Z108</f>
        <v>0</v>
      </c>
      <c r="Z104" s="13">
        <f>'Annual Raw'!AA108</f>
        <v>0</v>
      </c>
      <c r="AA104" s="13">
        <f>'Annual Raw'!AB108</f>
        <v>306</v>
      </c>
      <c r="AB104" s="37">
        <f>+MIN(CM104:CP104)</f>
        <v>363.92047008190372</v>
      </c>
      <c r="AC104" s="37">
        <f>+MIN(CQ104:CT104)</f>
        <v>372.67319067831755</v>
      </c>
      <c r="AD104" s="37">
        <f>+MIN(CU104:CX104)</f>
        <v>421.20346315926474</v>
      </c>
      <c r="AE104" s="37">
        <f>+MIN(CY104:DB104)</f>
        <v>486.40821364701884</v>
      </c>
      <c r="AJ104" s="13">
        <f>+'QTR Share Price'!HP20</f>
        <v>0</v>
      </c>
      <c r="AK104" s="13">
        <f>+'QTR Share Price'!HQ20</f>
        <v>0</v>
      </c>
      <c r="AL104" s="13">
        <f>+'QTR Share Price'!HR20</f>
        <v>0</v>
      </c>
      <c r="AM104" s="13">
        <f>+'QTR Share Price'!HS20</f>
        <v>0</v>
      </c>
      <c r="AN104" s="13">
        <f>+'QTR Share Price'!HT20</f>
        <v>0</v>
      </c>
      <c r="AO104" s="13">
        <f>+'QTR Share Price'!HU20</f>
        <v>0</v>
      </c>
      <c r="AP104" s="13">
        <f>+'QTR Share Price'!HV20</f>
        <v>0</v>
      </c>
      <c r="AQ104" s="13">
        <f>+'QTR Share Price'!HW20</f>
        <v>0</v>
      </c>
      <c r="AR104" s="13">
        <f>+'QTR Share Price'!HX20</f>
        <v>0</v>
      </c>
      <c r="AS104" s="13">
        <f>+'QTR Share Price'!HY20</f>
        <v>0</v>
      </c>
      <c r="AT104" s="13">
        <f>+'QTR Share Price'!HZ20</f>
        <v>0</v>
      </c>
      <c r="AU104" s="13">
        <f>+'QTR Share Price'!IA20</f>
        <v>0</v>
      </c>
      <c r="AV104" s="13">
        <f>+'QTR Share Price'!IB20</f>
        <v>0</v>
      </c>
      <c r="AW104" s="13">
        <f>+'QTR Share Price'!IC20</f>
        <v>0</v>
      </c>
      <c r="AX104" s="13">
        <f>+'QTR Share Price'!ID20</f>
        <v>0</v>
      </c>
      <c r="AY104" s="13">
        <f>+'QTR Share Price'!IE20</f>
        <v>0</v>
      </c>
      <c r="AZ104" s="13">
        <f>+'QTR Share Price'!IF20</f>
        <v>0</v>
      </c>
      <c r="BA104" s="13">
        <f>+'QTR Share Price'!IG20</f>
        <v>0</v>
      </c>
      <c r="BB104" s="13">
        <f>+'QTR Share Price'!IH20</f>
        <v>0</v>
      </c>
      <c r="BC104" s="13">
        <f>+'QTR Share Price'!II20</f>
        <v>0</v>
      </c>
      <c r="BD104" s="13">
        <f>+'QTR Share Price'!IJ20</f>
        <v>0</v>
      </c>
      <c r="BE104" s="13">
        <f>+'QTR Share Price'!IK20</f>
        <v>0</v>
      </c>
      <c r="BF104" s="13">
        <f>+'QTR Share Price'!IL20</f>
        <v>0</v>
      </c>
      <c r="BG104" s="13">
        <f>+'QTR Share Price'!IM20</f>
        <v>0</v>
      </c>
      <c r="BH104" s="13">
        <f>+'QTR Share Price'!IN20</f>
        <v>0</v>
      </c>
      <c r="BI104" s="13">
        <f>+'QTR Share Price'!IO20</f>
        <v>0</v>
      </c>
      <c r="BJ104" s="13">
        <f>+'QTR Share Price'!IP20</f>
        <v>0</v>
      </c>
      <c r="BK104" s="13">
        <f>+'QTR Share Price'!IQ20</f>
        <v>0</v>
      </c>
      <c r="BL104" s="13">
        <f>+'QTR Share Price'!IR20</f>
        <v>0</v>
      </c>
      <c r="BM104" s="13">
        <f>+'QTR Share Price'!IS20</f>
        <v>0</v>
      </c>
      <c r="BN104" s="13">
        <f>+'QTR Share Price'!IT20</f>
        <v>0</v>
      </c>
      <c r="BO104" s="13">
        <f>+'QTR Share Price'!IU20</f>
        <v>0</v>
      </c>
      <c r="BP104" s="13">
        <f>+'QTR Share Price'!IV20</f>
        <v>0</v>
      </c>
      <c r="BQ104" s="13">
        <f>+'QTR Share Price'!IW20</f>
        <v>0</v>
      </c>
      <c r="BR104" s="13">
        <f>+'QTR Share Price'!IX20</f>
        <v>0</v>
      </c>
      <c r="BS104" s="13">
        <f>+'QTR Share Price'!IY20</f>
        <v>0</v>
      </c>
      <c r="BT104" s="13">
        <f>+'QTR Share Price'!IZ20</f>
        <v>0</v>
      </c>
      <c r="BU104" s="13">
        <f>+'QTR Share Price'!JA20</f>
        <v>0</v>
      </c>
      <c r="BV104" s="13">
        <f>+'QTR Share Price'!JB20</f>
        <v>0</v>
      </c>
      <c r="BW104" s="13">
        <f>+'QTR Share Price'!JC20</f>
        <v>0</v>
      </c>
      <c r="BX104" s="13">
        <f>+'QTR Share Price'!JD20</f>
        <v>0</v>
      </c>
      <c r="BY104" s="13">
        <f>+'QTR Share Price'!JE20</f>
        <v>0</v>
      </c>
      <c r="BZ104" s="13">
        <f>+'QTR Share Price'!JF20</f>
        <v>0</v>
      </c>
      <c r="CA104" s="13">
        <f>+'QTR Share Price'!JG20</f>
        <v>0</v>
      </c>
      <c r="CB104" s="13">
        <f>+'QTR Share Price'!JH20</f>
        <v>0</v>
      </c>
      <c r="CC104" s="13">
        <f>+'QTR Share Price'!JI20</f>
        <v>0</v>
      </c>
      <c r="CD104" s="13">
        <f>+'QTR Share Price'!JJ20</f>
        <v>0</v>
      </c>
      <c r="CE104" s="13">
        <f>+'QTR Share Price'!JK20</f>
        <v>0</v>
      </c>
      <c r="CF104" s="13">
        <f>+'QTR Share Price'!JL20</f>
        <v>0</v>
      </c>
      <c r="CG104" s="13">
        <f>+'QTR Share Price'!JM20</f>
        <v>0</v>
      </c>
      <c r="CH104" s="13">
        <f>+'QTR Share Price'!JN20</f>
        <v>0</v>
      </c>
      <c r="CI104" s="13">
        <f>+'QTR Share Price'!JO20</f>
        <v>0</v>
      </c>
      <c r="CJ104" s="13">
        <f>+'QTR Share Price'!JP20</f>
        <v>0</v>
      </c>
      <c r="CK104" s="13">
        <f>+'QTR Share Price'!JQ20</f>
        <v>0</v>
      </c>
      <c r="CL104" s="13">
        <f>+'QTR Share Price'!JR20</f>
        <v>389.05</v>
      </c>
      <c r="CM104" s="37">
        <f t="shared" ref="CM104:DB104" si="1123">+CM112*CM94</f>
        <v>378.17019732582884</v>
      </c>
      <c r="CN104" s="37">
        <f t="shared" si="1123"/>
        <v>386.34127754230178</v>
      </c>
      <c r="CO104" s="37">
        <f t="shared" si="1123"/>
        <v>372.6580404276641</v>
      </c>
      <c r="CP104" s="37">
        <f t="shared" si="1123"/>
        <v>363.92047008190372</v>
      </c>
      <c r="CQ104" s="37">
        <f t="shared" si="1123"/>
        <v>372.67319067831755</v>
      </c>
      <c r="CR104" s="37">
        <f t="shared" si="1123"/>
        <v>380.16135351401118</v>
      </c>
      <c r="CS104" s="37">
        <f t="shared" si="1123"/>
        <v>389.71290227077162</v>
      </c>
      <c r="CT104" s="37">
        <f t="shared" si="1123"/>
        <v>406.52402263626504</v>
      </c>
      <c r="CU104" s="37">
        <f t="shared" si="1123"/>
        <v>421.20346315926474</v>
      </c>
      <c r="CV104" s="37">
        <f t="shared" si="1123"/>
        <v>436.6581917485467</v>
      </c>
      <c r="CW104" s="37">
        <f t="shared" si="1123"/>
        <v>454.81297496776784</v>
      </c>
      <c r="CX104" s="37">
        <f t="shared" si="1123"/>
        <v>478.13145333173742</v>
      </c>
      <c r="CY104" s="37">
        <f t="shared" si="1123"/>
        <v>486.40821364701884</v>
      </c>
      <c r="CZ104" s="37">
        <f t="shared" si="1123"/>
        <v>496.31204477164874</v>
      </c>
      <c r="DA104" s="37">
        <f t="shared" si="1123"/>
        <v>510.55160423484085</v>
      </c>
      <c r="DB104" s="37">
        <f t="shared" si="1123"/>
        <v>526.85254808281582</v>
      </c>
      <c r="DE104" s="135"/>
      <c r="DF104" s="13">
        <v>306.3</v>
      </c>
    </row>
    <row r="105" spans="1:110" s="14" customFormat="1" x14ac:dyDescent="0.2">
      <c r="AB105" s="16"/>
      <c r="AC105" s="16"/>
      <c r="AD105" s="16"/>
      <c r="AE105" s="16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5"/>
    </row>
    <row r="106" spans="1:110" s="51" customFormat="1" x14ac:dyDescent="0.2">
      <c r="A106" s="51" t="s">
        <v>347</v>
      </c>
      <c r="AB106" s="48">
        <f t="shared" ref="AB106:AD106" si="1124">+AB103/AB102-1</f>
        <v>0.35135423945174593</v>
      </c>
      <c r="AC106" s="48">
        <f t="shared" si="1124"/>
        <v>0.4219499529618429</v>
      </c>
      <c r="AD106" s="48">
        <f t="shared" si="1124"/>
        <v>0.67242022541668911</v>
      </c>
      <c r="AE106" s="48">
        <f t="shared" ref="AE106" si="1125">+AE103/AE102-1</f>
        <v>0.84283809627282902</v>
      </c>
      <c r="CM106" s="48">
        <f t="shared" ref="CM106:DB106" si="1126">+CM103/CM102-1</f>
        <v>0.32277322951753851</v>
      </c>
      <c r="CN106" s="48">
        <f t="shared" si="1126"/>
        <v>0.35135423945174593</v>
      </c>
      <c r="CO106" s="48">
        <f t="shared" si="1126"/>
        <v>0.30349266845441858</v>
      </c>
      <c r="CP106" s="48">
        <f t="shared" si="1126"/>
        <v>0.27293017509527084</v>
      </c>
      <c r="CQ106" s="48">
        <f t="shared" si="1126"/>
        <v>0.30354566138227645</v>
      </c>
      <c r="CR106" s="48">
        <f t="shared" si="1126"/>
        <v>0.329737945722413</v>
      </c>
      <c r="CS106" s="48">
        <f t="shared" si="1126"/>
        <v>0.36314759324413015</v>
      </c>
      <c r="CT106" s="48">
        <f t="shared" si="1126"/>
        <v>0.4219499529618429</v>
      </c>
      <c r="CU106" s="48">
        <f t="shared" si="1126"/>
        <v>0.47329606930159485</v>
      </c>
      <c r="CV106" s="48">
        <f t="shared" si="1126"/>
        <v>0.52735400774286223</v>
      </c>
      <c r="CW106" s="48">
        <f t="shared" si="1126"/>
        <v>0.59085626519174572</v>
      </c>
      <c r="CX106" s="48">
        <f t="shared" si="1126"/>
        <v>0.67242022541668911</v>
      </c>
      <c r="CY106" s="48">
        <f t="shared" si="1126"/>
        <v>0.70137088585901508</v>
      </c>
      <c r="CZ106" s="48">
        <f t="shared" si="1126"/>
        <v>0.73601275550913892</v>
      </c>
      <c r="DA106" s="48">
        <f t="shared" si="1126"/>
        <v>0.78582024481217605</v>
      </c>
      <c r="DB106" s="48">
        <f t="shared" si="1126"/>
        <v>0.84283809627282902</v>
      </c>
      <c r="DE106" s="130"/>
      <c r="DF106" s="51">
        <v>3.0956716626978631E-2</v>
      </c>
    </row>
    <row r="107" spans="1:110" s="51" customFormat="1" x14ac:dyDescent="0.2">
      <c r="A107" s="51" t="s">
        <v>348</v>
      </c>
      <c r="AB107" s="48">
        <f t="shared" ref="AB107:AD107" si="1127">+AB104/AB102-1</f>
        <v>-2.6950614754268187E-2</v>
      </c>
      <c r="AC107" s="48">
        <f t="shared" si="1127"/>
        <v>-3.5476185071723343E-3</v>
      </c>
      <c r="AD107" s="48">
        <f t="shared" si="1127"/>
        <v>0.1262124683402801</v>
      </c>
      <c r="AE107" s="48">
        <f t="shared" ref="AE107" si="1128">+AE104/AE102-1</f>
        <v>0.30055672098133379</v>
      </c>
      <c r="CM107" s="48">
        <f t="shared" ref="CM107:DB107" si="1129">+CM104/CM102-1</f>
        <v>1.115026022948884E-2</v>
      </c>
      <c r="CN107" s="48">
        <f t="shared" si="1129"/>
        <v>3.2998068294924465E-2</v>
      </c>
      <c r="CO107" s="48">
        <f t="shared" si="1129"/>
        <v>-3.5881271987591168E-3</v>
      </c>
      <c r="CP107" s="48">
        <f t="shared" si="1129"/>
        <v>-2.6950614754268187E-2</v>
      </c>
      <c r="CQ107" s="48">
        <f t="shared" si="1129"/>
        <v>-3.5476185071723343E-3</v>
      </c>
      <c r="CR107" s="48">
        <f t="shared" si="1129"/>
        <v>1.6474207256714335E-2</v>
      </c>
      <c r="CS107" s="48">
        <f t="shared" si="1129"/>
        <v>4.2013107675859862E-2</v>
      </c>
      <c r="CT107" s="48">
        <f t="shared" si="1129"/>
        <v>8.6962627369692624E-2</v>
      </c>
      <c r="CU107" s="48">
        <f t="shared" si="1129"/>
        <v>0.1262124683402801</v>
      </c>
      <c r="CV107" s="48">
        <f t="shared" si="1129"/>
        <v>0.16753527205493768</v>
      </c>
      <c r="CW107" s="48">
        <f t="shared" si="1129"/>
        <v>0.21607747317584991</v>
      </c>
      <c r="CX107" s="48">
        <f t="shared" si="1129"/>
        <v>0.2784263458067846</v>
      </c>
      <c r="CY107" s="48">
        <f t="shared" si="1129"/>
        <v>0.30055672098133379</v>
      </c>
      <c r="CZ107" s="48">
        <f t="shared" si="1129"/>
        <v>0.32703755286537106</v>
      </c>
      <c r="DA107" s="48">
        <f t="shared" si="1129"/>
        <v>0.36511124126962802</v>
      </c>
      <c r="DB107" s="48">
        <f t="shared" si="1129"/>
        <v>0.40869665262784971</v>
      </c>
      <c r="DE107" s="130"/>
      <c r="DF107" s="51">
        <v>-0.14189662417705551</v>
      </c>
    </row>
    <row r="108" spans="1:110" s="14" customFormat="1" x14ac:dyDescent="0.2">
      <c r="AB108" s="16"/>
      <c r="AC108" s="16"/>
      <c r="AD108" s="16"/>
      <c r="AE108" s="16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5"/>
    </row>
    <row r="109" spans="1:110" s="13" customFormat="1" x14ac:dyDescent="0.2">
      <c r="A109" s="13" t="s">
        <v>40</v>
      </c>
      <c r="AB109" s="37"/>
      <c r="AC109" s="37"/>
      <c r="AD109" s="37"/>
      <c r="AE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35"/>
    </row>
    <row r="110" spans="1:110" s="13" customFormat="1" x14ac:dyDescent="0.2">
      <c r="A110" s="13" t="s">
        <v>462</v>
      </c>
      <c r="B110" s="13" t="e">
        <f t="shared" ref="B110:AE110" si="1130">+B102/B94</f>
        <v>#REF!</v>
      </c>
      <c r="C110" s="13" t="e">
        <f t="shared" si="1130"/>
        <v>#REF!</v>
      </c>
      <c r="D110" s="13" t="e">
        <f t="shared" si="1130"/>
        <v>#REF!</v>
      </c>
      <c r="E110" s="13" t="e">
        <f t="shared" si="1130"/>
        <v>#DIV/0!</v>
      </c>
      <c r="F110" s="13" t="e">
        <f t="shared" si="1130"/>
        <v>#DIV/0!</v>
      </c>
      <c r="G110" s="13" t="e">
        <f t="shared" si="1130"/>
        <v>#DIV/0!</v>
      </c>
      <c r="H110" s="13" t="e">
        <f t="shared" si="1130"/>
        <v>#DIV/0!</v>
      </c>
      <c r="I110" s="13" t="e">
        <f t="shared" si="1130"/>
        <v>#DIV/0!</v>
      </c>
      <c r="J110" s="13" t="e">
        <f t="shared" si="1130"/>
        <v>#DIV/0!</v>
      </c>
      <c r="K110" s="13" t="e">
        <f t="shared" si="1130"/>
        <v>#DIV/0!</v>
      </c>
      <c r="L110" s="13" t="e">
        <f t="shared" si="1130"/>
        <v>#DIV/0!</v>
      </c>
      <c r="M110" s="13" t="e">
        <f t="shared" si="1130"/>
        <v>#DIV/0!</v>
      </c>
      <c r="N110" s="13" t="e">
        <f t="shared" si="1130"/>
        <v>#DIV/0!</v>
      </c>
      <c r="O110" s="13" t="e">
        <f t="shared" si="1130"/>
        <v>#DIV/0!</v>
      </c>
      <c r="P110" s="13" t="e">
        <f t="shared" si="1130"/>
        <v>#DIV/0!</v>
      </c>
      <c r="Q110" s="13" t="e">
        <f t="shared" si="1130"/>
        <v>#DIV/0!</v>
      </c>
      <c r="R110" s="13" t="e">
        <f t="shared" si="1130"/>
        <v>#DIV/0!</v>
      </c>
      <c r="S110" s="13" t="e">
        <f t="shared" si="1130"/>
        <v>#DIV/0!</v>
      </c>
      <c r="T110" s="13" t="e">
        <f t="shared" si="1130"/>
        <v>#DIV/0!</v>
      </c>
      <c r="U110" s="13" t="e">
        <f t="shared" si="1130"/>
        <v>#DIV/0!</v>
      </c>
      <c r="V110" s="13" t="e">
        <f t="shared" si="1130"/>
        <v>#DIV/0!</v>
      </c>
      <c r="W110" s="13" t="e">
        <f t="shared" si="1130"/>
        <v>#DIV/0!</v>
      </c>
      <c r="X110" s="13" t="e">
        <f t="shared" si="1130"/>
        <v>#DIV/0!</v>
      </c>
      <c r="Y110" s="13" t="e">
        <f t="shared" si="1130"/>
        <v>#DIV/0!</v>
      </c>
      <c r="Z110" s="13">
        <f t="shared" ref="Z110:AA110" si="1131">+Z102/Z94</f>
        <v>0</v>
      </c>
      <c r="AA110" s="13">
        <f t="shared" si="1131"/>
        <v>28.323151940706065</v>
      </c>
      <c r="AB110" s="37">
        <f t="shared" si="1130"/>
        <v>-28.909198204363911</v>
      </c>
      <c r="AC110" s="37">
        <f t="shared" si="1130"/>
        <v>-29.325016702579617</v>
      </c>
      <c r="AD110" s="37">
        <f t="shared" si="1130"/>
        <v>-28.410059020758705</v>
      </c>
      <c r="AE110" s="37">
        <f t="shared" si="1130"/>
        <v>-23.657948620742822</v>
      </c>
      <c r="AL110" s="13">
        <f t="shared" ref="AL110:BQ110" si="1132">+AL102/AL94</f>
        <v>0</v>
      </c>
      <c r="AM110" s="13">
        <f t="shared" si="1132"/>
        <v>0</v>
      </c>
      <c r="AN110" s="13">
        <f t="shared" si="1132"/>
        <v>0</v>
      </c>
      <c r="AO110" s="13">
        <f t="shared" si="1132"/>
        <v>0</v>
      </c>
      <c r="AP110" s="13">
        <f t="shared" si="1132"/>
        <v>0</v>
      </c>
      <c r="AQ110" s="13">
        <f t="shared" si="1132"/>
        <v>0</v>
      </c>
      <c r="AR110" s="13">
        <f t="shared" si="1132"/>
        <v>0</v>
      </c>
      <c r="AS110" s="13">
        <f t="shared" si="1132"/>
        <v>0</v>
      </c>
      <c r="AT110" s="13">
        <f t="shared" si="1132"/>
        <v>0</v>
      </c>
      <c r="AU110" s="13">
        <f t="shared" si="1132"/>
        <v>0</v>
      </c>
      <c r="AV110" s="13">
        <f t="shared" si="1132"/>
        <v>0</v>
      </c>
      <c r="AW110" s="13">
        <f t="shared" si="1132"/>
        <v>0</v>
      </c>
      <c r="AX110" s="13">
        <f t="shared" si="1132"/>
        <v>0</v>
      </c>
      <c r="AY110" s="13">
        <f t="shared" si="1132"/>
        <v>0</v>
      </c>
      <c r="AZ110" s="13">
        <f t="shared" si="1132"/>
        <v>0</v>
      </c>
      <c r="BA110" s="13">
        <f t="shared" si="1132"/>
        <v>0</v>
      </c>
      <c r="BB110" s="13">
        <f t="shared" si="1132"/>
        <v>0</v>
      </c>
      <c r="BC110" s="13">
        <f t="shared" si="1132"/>
        <v>0</v>
      </c>
      <c r="BD110" s="13">
        <f t="shared" si="1132"/>
        <v>0</v>
      </c>
      <c r="BE110" s="13">
        <f t="shared" si="1132"/>
        <v>0</v>
      </c>
      <c r="BF110" s="13">
        <f t="shared" si="1132"/>
        <v>0</v>
      </c>
      <c r="BG110" s="13">
        <f t="shared" si="1132"/>
        <v>0</v>
      </c>
      <c r="BH110" s="13">
        <f t="shared" si="1132"/>
        <v>0</v>
      </c>
      <c r="BI110" s="13">
        <f t="shared" si="1132"/>
        <v>0</v>
      </c>
      <c r="BJ110" s="13">
        <f t="shared" si="1132"/>
        <v>0</v>
      </c>
      <c r="BK110" s="13">
        <f t="shared" si="1132"/>
        <v>0</v>
      </c>
      <c r="BL110" s="13">
        <f t="shared" si="1132"/>
        <v>0</v>
      </c>
      <c r="BM110" s="13">
        <f t="shared" si="1132"/>
        <v>0</v>
      </c>
      <c r="BN110" s="13">
        <f t="shared" si="1132"/>
        <v>0</v>
      </c>
      <c r="BO110" s="13">
        <f t="shared" si="1132"/>
        <v>0</v>
      </c>
      <c r="BP110" s="13">
        <f t="shared" si="1132"/>
        <v>0</v>
      </c>
      <c r="BQ110" s="13">
        <f t="shared" si="1132"/>
        <v>0</v>
      </c>
      <c r="BR110" s="13">
        <f t="shared" ref="BR110:DB110" si="1133">+BR102/BR94</f>
        <v>0</v>
      </c>
      <c r="BS110" s="13">
        <f t="shared" si="1133"/>
        <v>0</v>
      </c>
      <c r="BT110" s="13">
        <f t="shared" si="1133"/>
        <v>0</v>
      </c>
      <c r="BU110" s="13">
        <f t="shared" si="1133"/>
        <v>0</v>
      </c>
      <c r="BV110" s="13">
        <f t="shared" si="1133"/>
        <v>0</v>
      </c>
      <c r="BW110" s="13">
        <f t="shared" si="1133"/>
        <v>0</v>
      </c>
      <c r="BX110" s="13">
        <f t="shared" si="1133"/>
        <v>0</v>
      </c>
      <c r="BY110" s="13">
        <f t="shared" si="1133"/>
        <v>0</v>
      </c>
      <c r="BZ110" s="13">
        <f t="shared" si="1133"/>
        <v>0</v>
      </c>
      <c r="CA110" s="13">
        <f t="shared" si="1133"/>
        <v>0</v>
      </c>
      <c r="CB110" s="13">
        <f t="shared" si="1133"/>
        <v>0</v>
      </c>
      <c r="CC110" s="13">
        <f t="shared" si="1133"/>
        <v>0</v>
      </c>
      <c r="CD110" s="13">
        <f t="shared" si="1133"/>
        <v>0</v>
      </c>
      <c r="CE110" s="13">
        <f t="shared" si="1133"/>
        <v>0</v>
      </c>
      <c r="CF110" s="13">
        <f t="shared" si="1133"/>
        <v>0</v>
      </c>
      <c r="CG110" s="13">
        <f t="shared" si="1133"/>
        <v>0</v>
      </c>
      <c r="CH110" s="13">
        <f t="shared" si="1133"/>
        <v>0</v>
      </c>
      <c r="CI110" s="13">
        <f t="shared" ref="CI110:CJ110" si="1134">+CI102/CI94</f>
        <v>0</v>
      </c>
      <c r="CJ110" s="13">
        <f t="shared" si="1134"/>
        <v>0</v>
      </c>
      <c r="CK110" s="13">
        <f t="shared" ref="CK110:CL110" si="1135">+CK102/CK94</f>
        <v>31.253213633610422</v>
      </c>
      <c r="CL110" s="13">
        <f t="shared" si="1135"/>
        <v>20.63777477569916</v>
      </c>
      <c r="CM110" s="37">
        <f t="shared" si="1133"/>
        <v>20.123128912200549</v>
      </c>
      <c r="CN110" s="37">
        <f t="shared" si="1133"/>
        <v>19.69752670475842</v>
      </c>
      <c r="CO110" s="37">
        <f t="shared" si="1133"/>
        <v>20.420779390152802</v>
      </c>
      <c r="CP110" s="37">
        <f t="shared" si="1133"/>
        <v>20.911073317275278</v>
      </c>
      <c r="CQ110" s="37">
        <f t="shared" si="1133"/>
        <v>20.419949225992788</v>
      </c>
      <c r="CR110" s="37">
        <f t="shared" si="1133"/>
        <v>20.017730790353735</v>
      </c>
      <c r="CS110" s="37">
        <f t="shared" si="1133"/>
        <v>19.527112361942244</v>
      </c>
      <c r="CT110" s="37">
        <f t="shared" si="1133"/>
        <v>18.719601321934537</v>
      </c>
      <c r="CU110" s="37">
        <f t="shared" si="1133"/>
        <v>18.067201001769792</v>
      </c>
      <c r="CV110" s="37">
        <f t="shared" si="1133"/>
        <v>17.427745031111741</v>
      </c>
      <c r="CW110" s="37">
        <f t="shared" si="1133"/>
        <v>16.732081207839958</v>
      </c>
      <c r="CX110" s="37">
        <f t="shared" si="1133"/>
        <v>15.916057348898194</v>
      </c>
      <c r="CY110" s="37">
        <f t="shared" si="1133"/>
        <v>15.645228468659132</v>
      </c>
      <c r="CZ110" s="37">
        <f t="shared" si="1133"/>
        <v>15.333030321763177</v>
      </c>
      <c r="DA110" s="37">
        <f t="shared" si="1133"/>
        <v>14.905383840571735</v>
      </c>
      <c r="DB110" s="37">
        <f t="shared" si="1133"/>
        <v>14.444207699539803</v>
      </c>
      <c r="DE110" s="135"/>
      <c r="DF110" s="13">
        <v>18.488868876121973</v>
      </c>
    </row>
    <row r="111" spans="1:110" s="13" customFormat="1" x14ac:dyDescent="0.2">
      <c r="A111" s="13" t="s">
        <v>463</v>
      </c>
      <c r="B111" s="13" t="e">
        <f t="shared" ref="B111:AE111" si="1136">+B103/B94</f>
        <v>#REF!</v>
      </c>
      <c r="C111" s="13" t="e">
        <f t="shared" si="1136"/>
        <v>#REF!</v>
      </c>
      <c r="D111" s="13" t="e">
        <f t="shared" si="1136"/>
        <v>#REF!</v>
      </c>
      <c r="E111" s="13" t="e">
        <f t="shared" si="1136"/>
        <v>#DIV/0!</v>
      </c>
      <c r="F111" s="13" t="e">
        <f t="shared" si="1136"/>
        <v>#DIV/0!</v>
      </c>
      <c r="G111" s="13" t="e">
        <f t="shared" si="1136"/>
        <v>#DIV/0!</v>
      </c>
      <c r="H111" s="13" t="e">
        <f t="shared" si="1136"/>
        <v>#DIV/0!</v>
      </c>
      <c r="I111" s="13" t="e">
        <f t="shared" si="1136"/>
        <v>#DIV/0!</v>
      </c>
      <c r="J111" s="13" t="e">
        <f t="shared" si="1136"/>
        <v>#DIV/0!</v>
      </c>
      <c r="K111" s="13" t="e">
        <f t="shared" si="1136"/>
        <v>#DIV/0!</v>
      </c>
      <c r="L111" s="13" t="e">
        <f t="shared" si="1136"/>
        <v>#DIV/0!</v>
      </c>
      <c r="M111" s="13" t="e">
        <f t="shared" si="1136"/>
        <v>#DIV/0!</v>
      </c>
      <c r="N111" s="13" t="e">
        <f t="shared" si="1136"/>
        <v>#DIV/0!</v>
      </c>
      <c r="O111" s="13" t="e">
        <f t="shared" si="1136"/>
        <v>#DIV/0!</v>
      </c>
      <c r="P111" s="13" t="e">
        <f t="shared" si="1136"/>
        <v>#DIV/0!</v>
      </c>
      <c r="Q111" s="13" t="e">
        <f t="shared" si="1136"/>
        <v>#DIV/0!</v>
      </c>
      <c r="R111" s="13" t="e">
        <f t="shared" si="1136"/>
        <v>#DIV/0!</v>
      </c>
      <c r="S111" s="13" t="e">
        <f t="shared" si="1136"/>
        <v>#DIV/0!</v>
      </c>
      <c r="T111" s="13" t="e">
        <f t="shared" si="1136"/>
        <v>#DIV/0!</v>
      </c>
      <c r="U111" s="13" t="e">
        <f t="shared" si="1136"/>
        <v>#DIV/0!</v>
      </c>
      <c r="V111" s="13" t="e">
        <f t="shared" si="1136"/>
        <v>#DIV/0!</v>
      </c>
      <c r="W111" s="13" t="e">
        <f t="shared" si="1136"/>
        <v>#DIV/0!</v>
      </c>
      <c r="X111" s="13" t="e">
        <f t="shared" si="1136"/>
        <v>#DIV/0!</v>
      </c>
      <c r="Y111" s="13" t="e">
        <f t="shared" si="1136"/>
        <v>#DIV/0!</v>
      </c>
      <c r="Z111" s="13">
        <f t="shared" ref="Z111:AA111" si="1137">+Z103/Z94</f>
        <v>0</v>
      </c>
      <c r="AA111" s="13">
        <f t="shared" si="1137"/>
        <v>36.530836746635458</v>
      </c>
      <c r="AB111" s="60">
        <f t="shared" si="1136"/>
        <v>-39.066567552617975</v>
      </c>
      <c r="AC111" s="60">
        <f t="shared" si="1136"/>
        <v>-41.698706120838345</v>
      </c>
      <c r="AD111" s="60">
        <f t="shared" si="1136"/>
        <v>-47.513557311598717</v>
      </c>
      <c r="AE111" s="60">
        <f t="shared" si="1136"/>
        <v>-43.597768997970107</v>
      </c>
      <c r="AL111" s="13">
        <f t="shared" ref="AL111:BQ111" si="1138">+AL103/AL94</f>
        <v>0</v>
      </c>
      <c r="AM111" s="13">
        <f t="shared" si="1138"/>
        <v>0</v>
      </c>
      <c r="AN111" s="13">
        <f t="shared" si="1138"/>
        <v>0</v>
      </c>
      <c r="AO111" s="13">
        <f t="shared" si="1138"/>
        <v>0</v>
      </c>
      <c r="AP111" s="13">
        <f t="shared" si="1138"/>
        <v>0</v>
      </c>
      <c r="AQ111" s="13">
        <f t="shared" si="1138"/>
        <v>0</v>
      </c>
      <c r="AR111" s="13">
        <f t="shared" si="1138"/>
        <v>0</v>
      </c>
      <c r="AS111" s="13">
        <f t="shared" si="1138"/>
        <v>0</v>
      </c>
      <c r="AT111" s="13">
        <f t="shared" si="1138"/>
        <v>0</v>
      </c>
      <c r="AU111" s="13">
        <f t="shared" si="1138"/>
        <v>0</v>
      </c>
      <c r="AV111" s="13">
        <f t="shared" si="1138"/>
        <v>0</v>
      </c>
      <c r="AW111" s="13">
        <f t="shared" si="1138"/>
        <v>0</v>
      </c>
      <c r="AX111" s="13">
        <f t="shared" si="1138"/>
        <v>0</v>
      </c>
      <c r="AY111" s="13">
        <f t="shared" si="1138"/>
        <v>0</v>
      </c>
      <c r="AZ111" s="13">
        <f t="shared" si="1138"/>
        <v>0</v>
      </c>
      <c r="BA111" s="13">
        <f t="shared" si="1138"/>
        <v>0</v>
      </c>
      <c r="BB111" s="13">
        <f t="shared" si="1138"/>
        <v>0</v>
      </c>
      <c r="BC111" s="13">
        <f t="shared" si="1138"/>
        <v>0</v>
      </c>
      <c r="BD111" s="13">
        <f t="shared" si="1138"/>
        <v>0</v>
      </c>
      <c r="BE111" s="13">
        <f t="shared" si="1138"/>
        <v>0</v>
      </c>
      <c r="BF111" s="13">
        <f t="shared" si="1138"/>
        <v>0</v>
      </c>
      <c r="BG111" s="13">
        <f t="shared" si="1138"/>
        <v>0</v>
      </c>
      <c r="BH111" s="13">
        <f t="shared" si="1138"/>
        <v>0</v>
      </c>
      <c r="BI111" s="13">
        <f t="shared" si="1138"/>
        <v>0</v>
      </c>
      <c r="BJ111" s="13">
        <f t="shared" si="1138"/>
        <v>0</v>
      </c>
      <c r="BK111" s="13">
        <f t="shared" si="1138"/>
        <v>0</v>
      </c>
      <c r="BL111" s="13">
        <f t="shared" si="1138"/>
        <v>0</v>
      </c>
      <c r="BM111" s="13">
        <f t="shared" si="1138"/>
        <v>0</v>
      </c>
      <c r="BN111" s="13">
        <f t="shared" si="1138"/>
        <v>0</v>
      </c>
      <c r="BO111" s="13">
        <f t="shared" si="1138"/>
        <v>0</v>
      </c>
      <c r="BP111" s="13">
        <f t="shared" si="1138"/>
        <v>0</v>
      </c>
      <c r="BQ111" s="13">
        <f t="shared" si="1138"/>
        <v>0</v>
      </c>
      <c r="BR111" s="13">
        <f t="shared" ref="BR111:CH111" si="1139">+BR103/BR94</f>
        <v>0</v>
      </c>
      <c r="BS111" s="13">
        <f t="shared" si="1139"/>
        <v>0</v>
      </c>
      <c r="BT111" s="13">
        <f t="shared" si="1139"/>
        <v>0</v>
      </c>
      <c r="BU111" s="13">
        <f t="shared" si="1139"/>
        <v>0</v>
      </c>
      <c r="BV111" s="13">
        <f t="shared" si="1139"/>
        <v>0</v>
      </c>
      <c r="BW111" s="13">
        <f t="shared" si="1139"/>
        <v>0</v>
      </c>
      <c r="BX111" s="13">
        <f t="shared" si="1139"/>
        <v>0</v>
      </c>
      <c r="BY111" s="13">
        <f t="shared" si="1139"/>
        <v>0</v>
      </c>
      <c r="BZ111" s="13">
        <f t="shared" si="1139"/>
        <v>0</v>
      </c>
      <c r="CA111" s="13">
        <f t="shared" si="1139"/>
        <v>0</v>
      </c>
      <c r="CB111" s="13">
        <f t="shared" si="1139"/>
        <v>0</v>
      </c>
      <c r="CC111" s="13">
        <f t="shared" si="1139"/>
        <v>0</v>
      </c>
      <c r="CD111" s="13">
        <f t="shared" si="1139"/>
        <v>0</v>
      </c>
      <c r="CE111" s="13">
        <f t="shared" si="1139"/>
        <v>0</v>
      </c>
      <c r="CF111" s="13">
        <f t="shared" si="1139"/>
        <v>0</v>
      </c>
      <c r="CG111" s="13">
        <f t="shared" si="1139"/>
        <v>0</v>
      </c>
      <c r="CH111" s="13">
        <f t="shared" si="1139"/>
        <v>0</v>
      </c>
      <c r="CI111" s="13">
        <f t="shared" ref="CI111:CJ111" si="1140">+CI103/CI94</f>
        <v>0</v>
      </c>
      <c r="CJ111" s="13">
        <f t="shared" si="1140"/>
        <v>0</v>
      </c>
      <c r="CK111" s="13">
        <f t="shared" ref="CK111:CL111" si="1141">+CK103/CK94</f>
        <v>32.622351888831766</v>
      </c>
      <c r="CL111" s="13">
        <f t="shared" si="1141"/>
        <v>26.618336219189271</v>
      </c>
      <c r="CM111" s="60">
        <f t="shared" ref="CM111:CM112" si="1142">+CL111</f>
        <v>26.618336219189271</v>
      </c>
      <c r="CN111" s="60">
        <f t="shared" ref="CN111:CN112" si="1143">+CM111</f>
        <v>26.618336219189271</v>
      </c>
      <c r="CO111" s="60">
        <f t="shared" ref="CO111:CO112" si="1144">+CN111</f>
        <v>26.618336219189271</v>
      </c>
      <c r="CP111" s="60">
        <f t="shared" ref="CP111:CP112" si="1145">+CO111</f>
        <v>26.618336219189271</v>
      </c>
      <c r="CQ111" s="60">
        <f t="shared" ref="CQ111:CQ112" si="1146">+CP111</f>
        <v>26.618336219189271</v>
      </c>
      <c r="CR111" s="60">
        <f t="shared" ref="CR111:CR112" si="1147">+CQ111</f>
        <v>26.618336219189271</v>
      </c>
      <c r="CS111" s="60">
        <f t="shared" ref="CS111:CS112" si="1148">+CR111</f>
        <v>26.618336219189271</v>
      </c>
      <c r="CT111" s="60">
        <f t="shared" ref="CT111:CT112" si="1149">+CS111</f>
        <v>26.618336219189271</v>
      </c>
      <c r="CU111" s="60">
        <f t="shared" ref="CU111:CU112" si="1150">+CT111</f>
        <v>26.618336219189271</v>
      </c>
      <c r="CV111" s="60">
        <f t="shared" ref="CV111:CV112" si="1151">+CU111</f>
        <v>26.618336219189271</v>
      </c>
      <c r="CW111" s="60">
        <f t="shared" ref="CW111:CW112" si="1152">+CV111</f>
        <v>26.618336219189271</v>
      </c>
      <c r="CX111" s="60">
        <f t="shared" ref="CX111:CX112" si="1153">+CW111</f>
        <v>26.618336219189271</v>
      </c>
      <c r="CY111" s="60">
        <f t="shared" ref="CY111:CY112" si="1154">+CX111</f>
        <v>26.618336219189271</v>
      </c>
      <c r="CZ111" s="60">
        <f t="shared" ref="CZ111:CZ112" si="1155">+CY111</f>
        <v>26.618336219189271</v>
      </c>
      <c r="DA111" s="60">
        <f t="shared" ref="DA111:DA112" si="1156">+CZ111</f>
        <v>26.618336219189271</v>
      </c>
      <c r="DB111" s="60">
        <f t="shared" ref="DB111:DB112" si="1157">+DA111</f>
        <v>26.618336219189271</v>
      </c>
      <c r="DE111" s="136"/>
      <c r="DF111" s="13">
        <v>26.590403783186389</v>
      </c>
    </row>
    <row r="112" spans="1:110" s="13" customFormat="1" x14ac:dyDescent="0.2">
      <c r="A112" s="13" t="s">
        <v>464</v>
      </c>
      <c r="B112" s="13" t="e">
        <f t="shared" ref="B112:AE112" si="1158">+B104/B94</f>
        <v>#REF!</v>
      </c>
      <c r="C112" s="13" t="e">
        <f t="shared" si="1158"/>
        <v>#REF!</v>
      </c>
      <c r="D112" s="13" t="e">
        <f t="shared" si="1158"/>
        <v>#REF!</v>
      </c>
      <c r="E112" s="13" t="e">
        <f t="shared" si="1158"/>
        <v>#DIV/0!</v>
      </c>
      <c r="F112" s="13" t="e">
        <f t="shared" si="1158"/>
        <v>#DIV/0!</v>
      </c>
      <c r="G112" s="13" t="e">
        <f t="shared" si="1158"/>
        <v>#DIV/0!</v>
      </c>
      <c r="H112" s="13" t="e">
        <f t="shared" si="1158"/>
        <v>#DIV/0!</v>
      </c>
      <c r="I112" s="13" t="e">
        <f t="shared" si="1158"/>
        <v>#DIV/0!</v>
      </c>
      <c r="J112" s="13" t="e">
        <f t="shared" si="1158"/>
        <v>#DIV/0!</v>
      </c>
      <c r="K112" s="13" t="e">
        <f t="shared" si="1158"/>
        <v>#DIV/0!</v>
      </c>
      <c r="L112" s="13" t="e">
        <f t="shared" si="1158"/>
        <v>#DIV/0!</v>
      </c>
      <c r="M112" s="13" t="e">
        <f t="shared" si="1158"/>
        <v>#DIV/0!</v>
      </c>
      <c r="N112" s="13" t="e">
        <f t="shared" si="1158"/>
        <v>#DIV/0!</v>
      </c>
      <c r="O112" s="13" t="e">
        <f t="shared" si="1158"/>
        <v>#DIV/0!</v>
      </c>
      <c r="P112" s="13" t="e">
        <f t="shared" si="1158"/>
        <v>#DIV/0!</v>
      </c>
      <c r="Q112" s="13" t="e">
        <f t="shared" si="1158"/>
        <v>#DIV/0!</v>
      </c>
      <c r="R112" s="13" t="e">
        <f t="shared" si="1158"/>
        <v>#DIV/0!</v>
      </c>
      <c r="S112" s="13" t="e">
        <f t="shared" si="1158"/>
        <v>#DIV/0!</v>
      </c>
      <c r="T112" s="13" t="e">
        <f t="shared" si="1158"/>
        <v>#DIV/0!</v>
      </c>
      <c r="U112" s="13" t="e">
        <f t="shared" si="1158"/>
        <v>#DIV/0!</v>
      </c>
      <c r="V112" s="13" t="e">
        <f t="shared" si="1158"/>
        <v>#DIV/0!</v>
      </c>
      <c r="W112" s="13" t="e">
        <f t="shared" si="1158"/>
        <v>#DIV/0!</v>
      </c>
      <c r="X112" s="13" t="e">
        <f t="shared" si="1158"/>
        <v>#DIV/0!</v>
      </c>
      <c r="Y112" s="13" t="e">
        <f t="shared" si="1158"/>
        <v>#DIV/0!</v>
      </c>
      <c r="Z112" s="13">
        <f t="shared" ref="Z112:AA112" si="1159">+Z104/Z94</f>
        <v>0</v>
      </c>
      <c r="AA112" s="13">
        <f t="shared" si="1159"/>
        <v>21.963721474546517</v>
      </c>
      <c r="AB112" s="60">
        <f t="shared" si="1158"/>
        <v>-28.130077540703319</v>
      </c>
      <c r="AC112" s="60">
        <f t="shared" si="1158"/>
        <v>-29.220982730602408</v>
      </c>
      <c r="AD112" s="60">
        <f t="shared" si="1158"/>
        <v>-31.995762695461703</v>
      </c>
      <c r="AE112" s="60">
        <f t="shared" si="1158"/>
        <v>-30.768504083338154</v>
      </c>
      <c r="AL112" s="13">
        <f t="shared" ref="AL112:BQ112" si="1160">+AL104/AL94</f>
        <v>0</v>
      </c>
      <c r="AM112" s="13">
        <f t="shared" si="1160"/>
        <v>0</v>
      </c>
      <c r="AN112" s="13">
        <f t="shared" si="1160"/>
        <v>0</v>
      </c>
      <c r="AO112" s="13">
        <f t="shared" si="1160"/>
        <v>0</v>
      </c>
      <c r="AP112" s="13">
        <f t="shared" si="1160"/>
        <v>0</v>
      </c>
      <c r="AQ112" s="13">
        <f t="shared" si="1160"/>
        <v>0</v>
      </c>
      <c r="AR112" s="13">
        <f t="shared" si="1160"/>
        <v>0</v>
      </c>
      <c r="AS112" s="13">
        <f t="shared" si="1160"/>
        <v>0</v>
      </c>
      <c r="AT112" s="13">
        <f t="shared" si="1160"/>
        <v>0</v>
      </c>
      <c r="AU112" s="13">
        <f t="shared" si="1160"/>
        <v>0</v>
      </c>
      <c r="AV112" s="13">
        <f t="shared" si="1160"/>
        <v>0</v>
      </c>
      <c r="AW112" s="13">
        <f t="shared" si="1160"/>
        <v>0</v>
      </c>
      <c r="AX112" s="13">
        <f t="shared" si="1160"/>
        <v>0</v>
      </c>
      <c r="AY112" s="13">
        <f t="shared" si="1160"/>
        <v>0</v>
      </c>
      <c r="AZ112" s="13">
        <f t="shared" si="1160"/>
        <v>0</v>
      </c>
      <c r="BA112" s="13">
        <f t="shared" si="1160"/>
        <v>0</v>
      </c>
      <c r="BB112" s="13">
        <f t="shared" si="1160"/>
        <v>0</v>
      </c>
      <c r="BC112" s="13">
        <f t="shared" si="1160"/>
        <v>0</v>
      </c>
      <c r="BD112" s="13">
        <f t="shared" si="1160"/>
        <v>0</v>
      </c>
      <c r="BE112" s="13">
        <f t="shared" si="1160"/>
        <v>0</v>
      </c>
      <c r="BF112" s="13">
        <f t="shared" si="1160"/>
        <v>0</v>
      </c>
      <c r="BG112" s="13">
        <f t="shared" si="1160"/>
        <v>0</v>
      </c>
      <c r="BH112" s="13">
        <f t="shared" si="1160"/>
        <v>0</v>
      </c>
      <c r="BI112" s="13">
        <f t="shared" si="1160"/>
        <v>0</v>
      </c>
      <c r="BJ112" s="13">
        <f t="shared" si="1160"/>
        <v>0</v>
      </c>
      <c r="BK112" s="13">
        <f t="shared" si="1160"/>
        <v>0</v>
      </c>
      <c r="BL112" s="13">
        <f t="shared" si="1160"/>
        <v>0</v>
      </c>
      <c r="BM112" s="13">
        <f t="shared" si="1160"/>
        <v>0</v>
      </c>
      <c r="BN112" s="13">
        <f t="shared" si="1160"/>
        <v>0</v>
      </c>
      <c r="BO112" s="13">
        <f t="shared" si="1160"/>
        <v>0</v>
      </c>
      <c r="BP112" s="13">
        <f t="shared" si="1160"/>
        <v>0</v>
      </c>
      <c r="BQ112" s="13">
        <f t="shared" si="1160"/>
        <v>0</v>
      </c>
      <c r="BR112" s="13">
        <f t="shared" ref="BR112:CH112" si="1161">+BR104/BR94</f>
        <v>0</v>
      </c>
      <c r="BS112" s="13">
        <f t="shared" si="1161"/>
        <v>0</v>
      </c>
      <c r="BT112" s="13">
        <f t="shared" si="1161"/>
        <v>0</v>
      </c>
      <c r="BU112" s="13">
        <f t="shared" si="1161"/>
        <v>0</v>
      </c>
      <c r="BV112" s="13">
        <f t="shared" si="1161"/>
        <v>0</v>
      </c>
      <c r="BW112" s="13">
        <f t="shared" si="1161"/>
        <v>0</v>
      </c>
      <c r="BX112" s="13">
        <f t="shared" si="1161"/>
        <v>0</v>
      </c>
      <c r="BY112" s="13">
        <f t="shared" si="1161"/>
        <v>0</v>
      </c>
      <c r="BZ112" s="13">
        <f t="shared" si="1161"/>
        <v>0</v>
      </c>
      <c r="CA112" s="13">
        <f t="shared" si="1161"/>
        <v>0</v>
      </c>
      <c r="CB112" s="13">
        <f t="shared" si="1161"/>
        <v>0</v>
      </c>
      <c r="CC112" s="13">
        <f t="shared" si="1161"/>
        <v>0</v>
      </c>
      <c r="CD112" s="13">
        <f t="shared" si="1161"/>
        <v>0</v>
      </c>
      <c r="CE112" s="13">
        <f t="shared" si="1161"/>
        <v>0</v>
      </c>
      <c r="CF112" s="13">
        <f t="shared" si="1161"/>
        <v>0</v>
      </c>
      <c r="CG112" s="13">
        <f t="shared" si="1161"/>
        <v>0</v>
      </c>
      <c r="CH112" s="13">
        <f t="shared" si="1161"/>
        <v>0</v>
      </c>
      <c r="CI112" s="13">
        <f t="shared" ref="CI112:CJ112" si="1162">+CI104/CI94</f>
        <v>0</v>
      </c>
      <c r="CJ112" s="13">
        <f t="shared" si="1162"/>
        <v>0</v>
      </c>
      <c r="CK112" s="13">
        <f t="shared" ref="CK112:CL112" si="1163">+CK104/CK94</f>
        <v>0</v>
      </c>
      <c r="CL112" s="13">
        <f t="shared" si="1163"/>
        <v>20.347507036203137</v>
      </c>
      <c r="CM112" s="60">
        <f t="shared" si="1142"/>
        <v>20.347507036203137</v>
      </c>
      <c r="CN112" s="60">
        <f t="shared" si="1143"/>
        <v>20.347507036203137</v>
      </c>
      <c r="CO112" s="60">
        <f t="shared" si="1144"/>
        <v>20.347507036203137</v>
      </c>
      <c r="CP112" s="60">
        <f t="shared" si="1145"/>
        <v>20.347507036203137</v>
      </c>
      <c r="CQ112" s="60">
        <f t="shared" si="1146"/>
        <v>20.347507036203137</v>
      </c>
      <c r="CR112" s="60">
        <f t="shared" si="1147"/>
        <v>20.347507036203137</v>
      </c>
      <c r="CS112" s="60">
        <f t="shared" si="1148"/>
        <v>20.347507036203137</v>
      </c>
      <c r="CT112" s="60">
        <f t="shared" si="1149"/>
        <v>20.347507036203137</v>
      </c>
      <c r="CU112" s="60">
        <f t="shared" si="1150"/>
        <v>20.347507036203137</v>
      </c>
      <c r="CV112" s="60">
        <f t="shared" si="1151"/>
        <v>20.347507036203137</v>
      </c>
      <c r="CW112" s="60">
        <f t="shared" si="1152"/>
        <v>20.347507036203137</v>
      </c>
      <c r="CX112" s="60">
        <f t="shared" si="1153"/>
        <v>20.347507036203137</v>
      </c>
      <c r="CY112" s="60">
        <f t="shared" si="1154"/>
        <v>20.347507036203137</v>
      </c>
      <c r="CZ112" s="60">
        <f t="shared" si="1155"/>
        <v>20.347507036203137</v>
      </c>
      <c r="DA112" s="60">
        <f t="shared" si="1156"/>
        <v>20.347507036203137</v>
      </c>
      <c r="DB112" s="60">
        <f t="shared" si="1157"/>
        <v>20.347507036203137</v>
      </c>
      <c r="DE112" s="136"/>
      <c r="DF112" s="13">
        <v>0</v>
      </c>
    </row>
    <row r="113" spans="1:110" s="13" customFormat="1" x14ac:dyDescent="0.2">
      <c r="AB113" s="60"/>
      <c r="AC113" s="60"/>
      <c r="AD113" s="60"/>
      <c r="AE113" s="60"/>
      <c r="CM113" s="60"/>
      <c r="CN113" s="60"/>
      <c r="CO113" s="60"/>
      <c r="CP113" s="60"/>
      <c r="CQ113" s="60"/>
      <c r="CR113" s="60"/>
      <c r="CS113" s="60"/>
      <c r="CT113" s="60"/>
      <c r="CU113" s="60"/>
      <c r="CV113" s="60"/>
      <c r="CW113" s="60"/>
      <c r="CX113" s="60"/>
      <c r="CY113" s="60"/>
      <c r="CZ113" s="60"/>
      <c r="DA113" s="60"/>
      <c r="DB113" s="60"/>
      <c r="DE113" s="136"/>
    </row>
    <row r="114" spans="1:110" s="13" customFormat="1" x14ac:dyDescent="0.2">
      <c r="A114" s="13" t="s">
        <v>465</v>
      </c>
      <c r="B114" s="13" t="e">
        <f t="shared" ref="B114:AD114" si="1164">+B103/C94</f>
        <v>#REF!</v>
      </c>
      <c r="C114" s="13" t="e">
        <f t="shared" si="1164"/>
        <v>#REF!</v>
      </c>
      <c r="D114" s="13" t="e">
        <f t="shared" si="1164"/>
        <v>#DIV/0!</v>
      </c>
      <c r="E114" s="13" t="e">
        <f t="shared" si="1164"/>
        <v>#DIV/0!</v>
      </c>
      <c r="F114" s="13" t="e">
        <f t="shared" si="1164"/>
        <v>#DIV/0!</v>
      </c>
      <c r="G114" s="13" t="e">
        <f t="shared" si="1164"/>
        <v>#DIV/0!</v>
      </c>
      <c r="H114" s="13" t="e">
        <f t="shared" si="1164"/>
        <v>#DIV/0!</v>
      </c>
      <c r="I114" s="13" t="e">
        <f t="shared" si="1164"/>
        <v>#DIV/0!</v>
      </c>
      <c r="J114" s="13" t="e">
        <f t="shared" si="1164"/>
        <v>#DIV/0!</v>
      </c>
      <c r="K114" s="13" t="e">
        <f t="shared" si="1164"/>
        <v>#DIV/0!</v>
      </c>
      <c r="L114" s="13" t="e">
        <f t="shared" si="1164"/>
        <v>#DIV/0!</v>
      </c>
      <c r="M114" s="13" t="e">
        <f t="shared" si="1164"/>
        <v>#DIV/0!</v>
      </c>
      <c r="N114" s="13" t="e">
        <f t="shared" si="1164"/>
        <v>#DIV/0!</v>
      </c>
      <c r="O114" s="13" t="e">
        <f t="shared" si="1164"/>
        <v>#DIV/0!</v>
      </c>
      <c r="P114" s="13" t="e">
        <f t="shared" si="1164"/>
        <v>#DIV/0!</v>
      </c>
      <c r="Q114" s="13" t="e">
        <f t="shared" si="1164"/>
        <v>#DIV/0!</v>
      </c>
      <c r="R114" s="13" t="e">
        <f t="shared" si="1164"/>
        <v>#DIV/0!</v>
      </c>
      <c r="S114" s="13" t="e">
        <f t="shared" si="1164"/>
        <v>#DIV/0!</v>
      </c>
      <c r="T114" s="13" t="e">
        <f t="shared" si="1164"/>
        <v>#DIV/0!</v>
      </c>
      <c r="U114" s="13" t="e">
        <f t="shared" si="1164"/>
        <v>#DIV/0!</v>
      </c>
      <c r="V114" s="13" t="e">
        <f t="shared" si="1164"/>
        <v>#DIV/0!</v>
      </c>
      <c r="W114" s="13" t="e">
        <f t="shared" si="1164"/>
        <v>#DIV/0!</v>
      </c>
      <c r="X114" s="13" t="e">
        <f t="shared" si="1164"/>
        <v>#DIV/0!</v>
      </c>
      <c r="Y114" s="13">
        <f t="shared" si="1164"/>
        <v>0</v>
      </c>
      <c r="Z114" s="13">
        <f t="shared" ref="Z114:AA114" si="1165">+Z103/AA94</f>
        <v>0</v>
      </c>
      <c r="AA114" s="13">
        <f t="shared" si="1165"/>
        <v>-39.34047172756955</v>
      </c>
      <c r="AB114" s="37">
        <f t="shared" si="1164"/>
        <v>-39.628485643024227</v>
      </c>
      <c r="AC114" s="37">
        <f t="shared" si="1164"/>
        <v>-40.39768208821102</v>
      </c>
      <c r="AD114" s="37">
        <f t="shared" si="1164"/>
        <v>-39.566031765199163</v>
      </c>
      <c r="AE114" s="37"/>
      <c r="AL114" s="13">
        <f t="shared" ref="AL114:BQ114" si="1166">+AL103/AP94</f>
        <v>0</v>
      </c>
      <c r="AM114" s="13">
        <f t="shared" si="1166"/>
        <v>0</v>
      </c>
      <c r="AN114" s="13">
        <f t="shared" si="1166"/>
        <v>0</v>
      </c>
      <c r="AO114" s="13">
        <f t="shared" si="1166"/>
        <v>0</v>
      </c>
      <c r="AP114" s="13">
        <f t="shared" si="1166"/>
        <v>0</v>
      </c>
      <c r="AQ114" s="13">
        <f t="shared" si="1166"/>
        <v>0</v>
      </c>
      <c r="AR114" s="13">
        <f t="shared" si="1166"/>
        <v>0</v>
      </c>
      <c r="AS114" s="13">
        <f t="shared" si="1166"/>
        <v>0</v>
      </c>
      <c r="AT114" s="13">
        <f t="shared" si="1166"/>
        <v>0</v>
      </c>
      <c r="AU114" s="13">
        <f t="shared" si="1166"/>
        <v>0</v>
      </c>
      <c r="AV114" s="13">
        <f t="shared" si="1166"/>
        <v>0</v>
      </c>
      <c r="AW114" s="13">
        <f t="shared" si="1166"/>
        <v>0</v>
      </c>
      <c r="AX114" s="13">
        <f t="shared" si="1166"/>
        <v>0</v>
      </c>
      <c r="AY114" s="13">
        <f t="shared" si="1166"/>
        <v>0</v>
      </c>
      <c r="AZ114" s="13">
        <f t="shared" si="1166"/>
        <v>0</v>
      </c>
      <c r="BA114" s="13">
        <f t="shared" si="1166"/>
        <v>0</v>
      </c>
      <c r="BB114" s="13">
        <f t="shared" si="1166"/>
        <v>0</v>
      </c>
      <c r="BC114" s="13">
        <f t="shared" si="1166"/>
        <v>0</v>
      </c>
      <c r="BD114" s="13">
        <f t="shared" si="1166"/>
        <v>0</v>
      </c>
      <c r="BE114" s="13">
        <f t="shared" si="1166"/>
        <v>0</v>
      </c>
      <c r="BF114" s="13">
        <f t="shared" si="1166"/>
        <v>0</v>
      </c>
      <c r="BG114" s="13">
        <f t="shared" si="1166"/>
        <v>0</v>
      </c>
      <c r="BH114" s="13">
        <f t="shared" si="1166"/>
        <v>0</v>
      </c>
      <c r="BI114" s="13">
        <f t="shared" si="1166"/>
        <v>0</v>
      </c>
      <c r="BJ114" s="13">
        <f t="shared" si="1166"/>
        <v>0</v>
      </c>
      <c r="BK114" s="13">
        <f t="shared" si="1166"/>
        <v>0</v>
      </c>
      <c r="BL114" s="13">
        <f t="shared" si="1166"/>
        <v>0</v>
      </c>
      <c r="BM114" s="13">
        <f t="shared" si="1166"/>
        <v>0</v>
      </c>
      <c r="BN114" s="13">
        <f t="shared" si="1166"/>
        <v>0</v>
      </c>
      <c r="BO114" s="13">
        <f t="shared" si="1166"/>
        <v>0</v>
      </c>
      <c r="BP114" s="13">
        <f t="shared" si="1166"/>
        <v>0</v>
      </c>
      <c r="BQ114" s="13">
        <f t="shared" si="1166"/>
        <v>0</v>
      </c>
      <c r="BR114" s="13">
        <f t="shared" ref="BR114:CL114" si="1167">+BR103/BV94</f>
        <v>0</v>
      </c>
      <c r="BS114" s="13">
        <f t="shared" si="1167"/>
        <v>0</v>
      </c>
      <c r="BT114" s="13">
        <f t="shared" si="1167"/>
        <v>0</v>
      </c>
      <c r="BU114" s="13">
        <f t="shared" si="1167"/>
        <v>0</v>
      </c>
      <c r="BV114" s="13">
        <f t="shared" si="1167"/>
        <v>0</v>
      </c>
      <c r="BW114" s="13">
        <f t="shared" si="1167"/>
        <v>0</v>
      </c>
      <c r="BX114" s="13">
        <f t="shared" si="1167"/>
        <v>0</v>
      </c>
      <c r="BY114" s="13">
        <f t="shared" si="1167"/>
        <v>0</v>
      </c>
      <c r="BZ114" s="13">
        <f t="shared" si="1167"/>
        <v>0</v>
      </c>
      <c r="CA114" s="13">
        <f t="shared" si="1167"/>
        <v>0</v>
      </c>
      <c r="CB114" s="13">
        <f t="shared" si="1167"/>
        <v>0</v>
      </c>
      <c r="CC114" s="13">
        <f t="shared" si="1167"/>
        <v>0</v>
      </c>
      <c r="CD114" s="13">
        <f t="shared" si="1167"/>
        <v>0</v>
      </c>
      <c r="CE114" s="13">
        <f t="shared" si="1167"/>
        <v>0</v>
      </c>
      <c r="CF114" s="13">
        <f t="shared" si="1167"/>
        <v>0</v>
      </c>
      <c r="CG114" s="13">
        <f t="shared" si="1167"/>
        <v>0</v>
      </c>
      <c r="CH114" s="13">
        <f t="shared" si="1167"/>
        <v>0</v>
      </c>
      <c r="CI114" s="13">
        <f t="shared" si="1167"/>
        <v>0</v>
      </c>
      <c r="CJ114" s="13">
        <f t="shared" si="1167"/>
        <v>0</v>
      </c>
      <c r="CK114" s="13">
        <f t="shared" si="1167"/>
        <v>23.677729899838937</v>
      </c>
      <c r="CL114" s="13">
        <f t="shared" si="1167"/>
        <v>28.456392419324207</v>
      </c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E114" s="135"/>
      <c r="DF114" s="13">
        <v>-39.34047172756955</v>
      </c>
    </row>
    <row r="115" spans="1:110" s="98" customFormat="1" x14ac:dyDescent="0.2">
      <c r="A115" s="98" t="s">
        <v>427</v>
      </c>
      <c r="AB115" s="99"/>
      <c r="AC115" s="99"/>
      <c r="AD115" s="99"/>
      <c r="AE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  <c r="DA115" s="99"/>
      <c r="DB115" s="99"/>
      <c r="DE115" s="137"/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61" customFormat="1" x14ac:dyDescent="0.2">
      <c r="A117" s="49" t="s">
        <v>508</v>
      </c>
      <c r="E117" s="161" t="e">
        <f t="shared" ref="E117:AE117" si="1168">+E$150/E$90</f>
        <v>#DIV/0!</v>
      </c>
      <c r="F117" s="161" t="e">
        <f t="shared" si="1168"/>
        <v>#DIV/0!</v>
      </c>
      <c r="G117" s="161" t="e">
        <f t="shared" si="1168"/>
        <v>#DIV/0!</v>
      </c>
      <c r="H117" s="161" t="e">
        <f t="shared" si="1168"/>
        <v>#DIV/0!</v>
      </c>
      <c r="I117" s="161" t="e">
        <f t="shared" si="1168"/>
        <v>#DIV/0!</v>
      </c>
      <c r="J117" s="161" t="e">
        <f t="shared" si="1168"/>
        <v>#DIV/0!</v>
      </c>
      <c r="K117" s="161" t="e">
        <f t="shared" si="1168"/>
        <v>#DIV/0!</v>
      </c>
      <c r="L117" s="161" t="e">
        <f t="shared" si="1168"/>
        <v>#DIV/0!</v>
      </c>
      <c r="M117" s="161" t="e">
        <f t="shared" si="1168"/>
        <v>#DIV/0!</v>
      </c>
      <c r="N117" s="161" t="e">
        <f t="shared" si="1168"/>
        <v>#DIV/0!</v>
      </c>
      <c r="O117" s="161" t="e">
        <f t="shared" si="1168"/>
        <v>#DIV/0!</v>
      </c>
      <c r="P117" s="161" t="e">
        <f t="shared" si="1168"/>
        <v>#DIV/0!</v>
      </c>
      <c r="Q117" s="161" t="e">
        <f t="shared" si="1168"/>
        <v>#DIV/0!</v>
      </c>
      <c r="R117" s="161" t="e">
        <f t="shared" si="1168"/>
        <v>#DIV/0!</v>
      </c>
      <c r="S117" s="161" t="e">
        <f t="shared" si="1168"/>
        <v>#DIV/0!</v>
      </c>
      <c r="T117" s="161" t="e">
        <f t="shared" si="1168"/>
        <v>#DIV/0!</v>
      </c>
      <c r="U117" s="161" t="e">
        <f t="shared" si="1168"/>
        <v>#DIV/0!</v>
      </c>
      <c r="V117" s="161" t="e">
        <f t="shared" si="1168"/>
        <v>#DIV/0!</v>
      </c>
      <c r="W117" s="161" t="e">
        <f t="shared" si="1168"/>
        <v>#DIV/0!</v>
      </c>
      <c r="X117" s="161" t="e">
        <f t="shared" si="1168"/>
        <v>#DIV/0!</v>
      </c>
      <c r="Y117" s="161" t="e">
        <f t="shared" si="1168"/>
        <v>#DIV/0!</v>
      </c>
      <c r="Z117" s="161">
        <f t="shared" si="1168"/>
        <v>668840</v>
      </c>
      <c r="AA117" s="161">
        <f t="shared" si="1168"/>
        <v>90.961956521739125</v>
      </c>
      <c r="AB117" s="21">
        <f t="shared" si="1168"/>
        <v>54.295586892341724</v>
      </c>
      <c r="AC117" s="21">
        <f t="shared" si="1168"/>
        <v>74.274644863077924</v>
      </c>
      <c r="AD117" s="21">
        <f t="shared" si="1168"/>
        <v>97.772926617251827</v>
      </c>
      <c r="AE117" s="21">
        <f t="shared" si="1168"/>
        <v>123.66565869226316</v>
      </c>
      <c r="AL117" s="161">
        <f t="shared" ref="AL117:BQ117" si="1169">+AL$150/AL$90</f>
        <v>0</v>
      </c>
      <c r="AM117" s="161">
        <f t="shared" si="1169"/>
        <v>1.9098233998582332</v>
      </c>
      <c r="AN117" s="161">
        <f t="shared" si="1169"/>
        <v>0</v>
      </c>
      <c r="AO117" s="161">
        <f t="shared" si="1169"/>
        <v>3.3983917791181186</v>
      </c>
      <c r="AP117" s="161">
        <f t="shared" si="1169"/>
        <v>0</v>
      </c>
      <c r="AQ117" s="161">
        <f t="shared" si="1169"/>
        <v>1.0691600155336416</v>
      </c>
      <c r="AR117" s="161">
        <f t="shared" si="1169"/>
        <v>0</v>
      </c>
      <c r="AS117" s="161">
        <f t="shared" si="1169"/>
        <v>-5.7646109935828695</v>
      </c>
      <c r="AT117" s="161">
        <f t="shared" si="1169"/>
        <v>0</v>
      </c>
      <c r="AU117" s="161">
        <f t="shared" si="1169"/>
        <v>0.78711033503243821</v>
      </c>
      <c r="AV117" s="161">
        <f t="shared" si="1169"/>
        <v>0</v>
      </c>
      <c r="AW117" s="161">
        <f t="shared" si="1169"/>
        <v>-0.3715582253627463</v>
      </c>
      <c r="AX117" s="161">
        <f t="shared" si="1169"/>
        <v>0</v>
      </c>
      <c r="AY117" s="161">
        <f t="shared" si="1169"/>
        <v>6.992855067307599E-2</v>
      </c>
      <c r="AZ117" s="161">
        <f t="shared" si="1169"/>
        <v>0</v>
      </c>
      <c r="BA117" s="161">
        <f t="shared" si="1169"/>
        <v>-2.840429836543712</v>
      </c>
      <c r="BB117" s="161">
        <f t="shared" si="1169"/>
        <v>0</v>
      </c>
      <c r="BC117" s="161">
        <f t="shared" si="1169"/>
        <v>-1.2577362702419437</v>
      </c>
      <c r="BD117" s="161">
        <f t="shared" si="1169"/>
        <v>0</v>
      </c>
      <c r="BE117" s="161">
        <f t="shared" si="1169"/>
        <v>0.57460901114239904</v>
      </c>
      <c r="BF117" s="161">
        <f t="shared" si="1169"/>
        <v>0</v>
      </c>
      <c r="BG117" s="161">
        <f t="shared" si="1169"/>
        <v>3.2252676973546572</v>
      </c>
      <c r="BH117" s="161">
        <f t="shared" si="1169"/>
        <v>0</v>
      </c>
      <c r="BI117" s="161">
        <f t="shared" si="1169"/>
        <v>1.6772532608430042</v>
      </c>
      <c r="BJ117" s="161">
        <f t="shared" si="1169"/>
        <v>0</v>
      </c>
      <c r="BK117" s="161">
        <f t="shared" si="1169"/>
        <v>-0.26369173865460338</v>
      </c>
      <c r="BL117" s="161">
        <f t="shared" si="1169"/>
        <v>0</v>
      </c>
      <c r="BM117" s="161">
        <f t="shared" si="1169"/>
        <v>-2.8229680664144667</v>
      </c>
      <c r="BN117" s="161">
        <f t="shared" si="1169"/>
        <v>0</v>
      </c>
      <c r="BO117" s="161">
        <f t="shared" si="1169"/>
        <v>-5.9490594270475485</v>
      </c>
      <c r="BP117" s="161">
        <f t="shared" si="1169"/>
        <v>0</v>
      </c>
      <c r="BQ117" s="161">
        <f t="shared" si="1169"/>
        <v>-1.7327072804447183</v>
      </c>
      <c r="BR117" s="161">
        <f t="shared" ref="BR117:DB117" si="1170">+BR$150/BR$90</f>
        <v>0</v>
      </c>
      <c r="BS117" s="161">
        <f t="shared" si="1170"/>
        <v>-3.5866693099206222</v>
      </c>
      <c r="BT117" s="161">
        <f t="shared" si="1170"/>
        <v>0</v>
      </c>
      <c r="BU117" s="161">
        <f t="shared" si="1170"/>
        <v>-1.7257823171741795</v>
      </c>
      <c r="BV117" s="161">
        <f t="shared" si="1170"/>
        <v>0</v>
      </c>
      <c r="BW117" s="161">
        <f t="shared" si="1170"/>
        <v>-0.49161807877077163</v>
      </c>
      <c r="BX117" s="161">
        <f t="shared" si="1170"/>
        <v>0</v>
      </c>
      <c r="BY117" s="161">
        <f t="shared" si="1170"/>
        <v>1.3163133124950779</v>
      </c>
      <c r="BZ117" s="161">
        <f t="shared" si="1170"/>
        <v>0</v>
      </c>
      <c r="CA117" s="161">
        <f t="shared" si="1170"/>
        <v>-0.17380299973114127</v>
      </c>
      <c r="CB117" s="161">
        <f t="shared" si="1170"/>
        <v>0</v>
      </c>
      <c r="CC117" s="161">
        <f t="shared" si="1170"/>
        <v>12.410756233145852</v>
      </c>
      <c r="CD117" s="161">
        <f t="shared" si="1170"/>
        <v>0</v>
      </c>
      <c r="CE117" s="161">
        <f t="shared" si="1170"/>
        <v>5.9473213970502368</v>
      </c>
      <c r="CF117" s="161">
        <f t="shared" si="1170"/>
        <v>0</v>
      </c>
      <c r="CG117" s="161">
        <f t="shared" si="1170"/>
        <v>1.1674673372565729</v>
      </c>
      <c r="CH117" s="161">
        <f t="shared" si="1170"/>
        <v>90.817498703266679</v>
      </c>
      <c r="CI117" s="161">
        <f t="shared" si="1170"/>
        <v>94.649311712964348</v>
      </c>
      <c r="CJ117" s="161">
        <f t="shared" si="1170"/>
        <v>28.362477018626794</v>
      </c>
      <c r="CK117" s="161">
        <f t="shared" si="1170"/>
        <v>29.904891304347824</v>
      </c>
      <c r="CL117" s="161">
        <f t="shared" si="1170"/>
        <v>36.410326086956523</v>
      </c>
      <c r="CM117" s="21">
        <f t="shared" si="1170"/>
        <v>39.680282836876451</v>
      </c>
      <c r="CN117" s="21">
        <f t="shared" si="1170"/>
        <v>43.734437981336988</v>
      </c>
      <c r="CO117" s="21">
        <f t="shared" si="1170"/>
        <v>48.784786742678534</v>
      </c>
      <c r="CP117" s="21">
        <f t="shared" si="1170"/>
        <v>54.295586892341724</v>
      </c>
      <c r="CQ117" s="21">
        <f t="shared" si="1170"/>
        <v>57.995705459178133</v>
      </c>
      <c r="CR117" s="21">
        <f t="shared" si="1170"/>
        <v>62.417874376646353</v>
      </c>
      <c r="CS117" s="21">
        <f t="shared" si="1170"/>
        <v>67.937644219389469</v>
      </c>
      <c r="CT117" s="21">
        <f t="shared" si="1170"/>
        <v>74.274644863077924</v>
      </c>
      <c r="CU117" s="21">
        <f t="shared" si="1170"/>
        <v>78.696200237719907</v>
      </c>
      <c r="CV117" s="21">
        <f t="shared" si="1170"/>
        <v>83.877908324374033</v>
      </c>
      <c r="CW117" s="21">
        <f t="shared" si="1170"/>
        <v>90.28991440946956</v>
      </c>
      <c r="CX117" s="21">
        <f t="shared" si="1170"/>
        <v>97.772926617251827</v>
      </c>
      <c r="CY117" s="21">
        <f t="shared" si="1170"/>
        <v>102.60125223163645</v>
      </c>
      <c r="CZ117" s="21">
        <f t="shared" si="1170"/>
        <v>108.26969469351445</v>
      </c>
      <c r="DA117" s="21">
        <f t="shared" si="1170"/>
        <v>115.38151916116941</v>
      </c>
      <c r="DB117" s="21">
        <f t="shared" si="1170"/>
        <v>123.66565869226316</v>
      </c>
      <c r="DE117" s="22"/>
      <c r="DF117" s="161">
        <v>36.031041061476422</v>
      </c>
    </row>
    <row r="118" spans="1:110" s="161" customFormat="1" x14ac:dyDescent="0.2">
      <c r="A118" s="49" t="s">
        <v>504</v>
      </c>
      <c r="AB118" s="21"/>
      <c r="AC118" s="21"/>
      <c r="AD118" s="21"/>
      <c r="AE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E118" s="22"/>
    </row>
    <row r="119" spans="1:110" s="161" customFormat="1" x14ac:dyDescent="0.2">
      <c r="A119" s="49" t="s">
        <v>505</v>
      </c>
      <c r="E119" s="161" t="e">
        <f t="shared" ref="E119:AE121" si="1171">+E102/E$117</f>
        <v>#DIV/0!</v>
      </c>
      <c r="F119" s="161" t="e">
        <f t="shared" si="1171"/>
        <v>#DIV/0!</v>
      </c>
      <c r="G119" s="161" t="e">
        <f t="shared" si="1171"/>
        <v>#DIV/0!</v>
      </c>
      <c r="H119" s="161" t="e">
        <f t="shared" si="1171"/>
        <v>#DIV/0!</v>
      </c>
      <c r="I119" s="161" t="e">
        <f t="shared" si="1171"/>
        <v>#DIV/0!</v>
      </c>
      <c r="J119" s="161" t="e">
        <f t="shared" si="1171"/>
        <v>#DIV/0!</v>
      </c>
      <c r="K119" s="161" t="e">
        <f t="shared" si="1171"/>
        <v>#DIV/0!</v>
      </c>
      <c r="L119" s="161" t="e">
        <f t="shared" si="1171"/>
        <v>#DIV/0!</v>
      </c>
      <c r="M119" s="161" t="e">
        <f t="shared" si="1171"/>
        <v>#DIV/0!</v>
      </c>
      <c r="N119" s="161" t="e">
        <f t="shared" si="1171"/>
        <v>#DIV/0!</v>
      </c>
      <c r="O119" s="161" t="e">
        <f t="shared" si="1171"/>
        <v>#DIV/0!</v>
      </c>
      <c r="P119" s="161" t="e">
        <f t="shared" si="1171"/>
        <v>#DIV/0!</v>
      </c>
      <c r="Q119" s="161" t="e">
        <f t="shared" si="1171"/>
        <v>#DIV/0!</v>
      </c>
      <c r="R119" s="161" t="e">
        <f t="shared" si="1171"/>
        <v>#DIV/0!</v>
      </c>
      <c r="S119" s="161" t="e">
        <f t="shared" si="1171"/>
        <v>#DIV/0!</v>
      </c>
      <c r="T119" s="161" t="e">
        <f t="shared" si="1171"/>
        <v>#DIV/0!</v>
      </c>
      <c r="U119" s="161" t="e">
        <f t="shared" si="1171"/>
        <v>#DIV/0!</v>
      </c>
      <c r="V119" s="161" t="e">
        <f t="shared" si="1171"/>
        <v>#DIV/0!</v>
      </c>
      <c r="W119" s="161" t="e">
        <f t="shared" si="1171"/>
        <v>#DIV/0!</v>
      </c>
      <c r="X119" s="161" t="e">
        <f t="shared" si="1171"/>
        <v>#DIV/0!</v>
      </c>
      <c r="Y119" s="161" t="e">
        <f t="shared" si="1171"/>
        <v>#DIV/0!</v>
      </c>
      <c r="Z119" s="161">
        <f t="shared" si="1171"/>
        <v>0</v>
      </c>
      <c r="AA119" s="161">
        <f t="shared" ref="AA119" si="1172">+AA102/AA$117</f>
        <v>4.3380773137360347</v>
      </c>
      <c r="AB119" s="21">
        <f t="shared" si="1171"/>
        <v>6.8882209661270259</v>
      </c>
      <c r="AC119" s="21">
        <f t="shared" si="1171"/>
        <v>5.0353657118045163</v>
      </c>
      <c r="AD119" s="21">
        <f t="shared" si="1171"/>
        <v>3.8251897835081117</v>
      </c>
      <c r="AE119" s="21">
        <f t="shared" si="1171"/>
        <v>3.0242834102447422</v>
      </c>
      <c r="AL119" s="161" t="e">
        <f t="shared" ref="AL119:CI121" si="1173">+AL102/AL$117</f>
        <v>#DIV/0!</v>
      </c>
      <c r="AM119" s="161">
        <f t="shared" si="1173"/>
        <v>0</v>
      </c>
      <c r="AN119" s="161" t="e">
        <f t="shared" si="1173"/>
        <v>#DIV/0!</v>
      </c>
      <c r="AO119" s="161">
        <f t="shared" si="1173"/>
        <v>0</v>
      </c>
      <c r="AP119" s="161" t="e">
        <f t="shared" si="1173"/>
        <v>#DIV/0!</v>
      </c>
      <c r="AQ119" s="161">
        <f t="shared" si="1173"/>
        <v>0</v>
      </c>
      <c r="AR119" s="161" t="e">
        <f t="shared" si="1173"/>
        <v>#DIV/0!</v>
      </c>
      <c r="AS119" s="161">
        <f t="shared" si="1173"/>
        <v>0</v>
      </c>
      <c r="AT119" s="161" t="e">
        <f t="shared" si="1173"/>
        <v>#DIV/0!</v>
      </c>
      <c r="AU119" s="161">
        <f t="shared" si="1173"/>
        <v>0</v>
      </c>
      <c r="AV119" s="161" t="e">
        <f t="shared" si="1173"/>
        <v>#DIV/0!</v>
      </c>
      <c r="AW119" s="161">
        <f t="shared" si="1173"/>
        <v>0</v>
      </c>
      <c r="AX119" s="161" t="e">
        <f t="shared" si="1173"/>
        <v>#DIV/0!</v>
      </c>
      <c r="AY119" s="161">
        <f t="shared" si="1173"/>
        <v>0</v>
      </c>
      <c r="AZ119" s="161" t="e">
        <f t="shared" si="1173"/>
        <v>#DIV/0!</v>
      </c>
      <c r="BA119" s="161">
        <f t="shared" si="1173"/>
        <v>0</v>
      </c>
      <c r="BB119" s="161" t="e">
        <f t="shared" si="1173"/>
        <v>#DIV/0!</v>
      </c>
      <c r="BC119" s="161">
        <f t="shared" si="1173"/>
        <v>0</v>
      </c>
      <c r="BD119" s="161" t="e">
        <f t="shared" si="1173"/>
        <v>#DIV/0!</v>
      </c>
      <c r="BE119" s="161">
        <f t="shared" si="1173"/>
        <v>0</v>
      </c>
      <c r="BF119" s="161" t="e">
        <f t="shared" si="1173"/>
        <v>#DIV/0!</v>
      </c>
      <c r="BG119" s="161">
        <f t="shared" si="1173"/>
        <v>0</v>
      </c>
      <c r="BH119" s="161" t="e">
        <f t="shared" si="1173"/>
        <v>#DIV/0!</v>
      </c>
      <c r="BI119" s="161">
        <f t="shared" si="1173"/>
        <v>0</v>
      </c>
      <c r="BJ119" s="161" t="e">
        <f t="shared" si="1173"/>
        <v>#DIV/0!</v>
      </c>
      <c r="BK119" s="161">
        <f t="shared" si="1173"/>
        <v>0</v>
      </c>
      <c r="BL119" s="161" t="e">
        <f t="shared" si="1173"/>
        <v>#DIV/0!</v>
      </c>
      <c r="BM119" s="161">
        <f t="shared" si="1173"/>
        <v>0</v>
      </c>
      <c r="BN119" s="161" t="e">
        <f t="shared" si="1173"/>
        <v>#DIV/0!</v>
      </c>
      <c r="BO119" s="161">
        <f t="shared" si="1173"/>
        <v>0</v>
      </c>
      <c r="BP119" s="161" t="e">
        <f t="shared" si="1173"/>
        <v>#DIV/0!</v>
      </c>
      <c r="BQ119" s="161">
        <f t="shared" si="1173"/>
        <v>0</v>
      </c>
      <c r="BR119" s="161" t="e">
        <f t="shared" si="1173"/>
        <v>#DIV/0!</v>
      </c>
      <c r="BS119" s="161">
        <f t="shared" si="1173"/>
        <v>0</v>
      </c>
      <c r="BT119" s="161" t="e">
        <f t="shared" si="1173"/>
        <v>#DIV/0!</v>
      </c>
      <c r="BU119" s="161">
        <f t="shared" si="1173"/>
        <v>0</v>
      </c>
      <c r="BV119" s="161" t="e">
        <f t="shared" si="1173"/>
        <v>#DIV/0!</v>
      </c>
      <c r="BW119" s="161">
        <f t="shared" si="1173"/>
        <v>0</v>
      </c>
      <c r="BX119" s="161" t="e">
        <f t="shared" si="1173"/>
        <v>#DIV/0!</v>
      </c>
      <c r="BY119" s="161">
        <f t="shared" si="1173"/>
        <v>0</v>
      </c>
      <c r="BZ119" s="161" t="e">
        <f t="shared" si="1173"/>
        <v>#DIV/0!</v>
      </c>
      <c r="CA119" s="161">
        <f t="shared" si="1173"/>
        <v>0</v>
      </c>
      <c r="CB119" s="161" t="e">
        <f t="shared" si="1173"/>
        <v>#DIV/0!</v>
      </c>
      <c r="CC119" s="161">
        <f t="shared" si="1173"/>
        <v>0</v>
      </c>
      <c r="CD119" s="161" t="e">
        <f t="shared" si="1173"/>
        <v>#DIV/0!</v>
      </c>
      <c r="CE119" s="161">
        <f t="shared" si="1173"/>
        <v>0</v>
      </c>
      <c r="CF119" s="161" t="e">
        <f t="shared" si="1173"/>
        <v>#DIV/0!</v>
      </c>
      <c r="CG119" s="161">
        <f t="shared" si="1173"/>
        <v>0</v>
      </c>
      <c r="CH119" s="161">
        <f t="shared" si="1173"/>
        <v>0</v>
      </c>
      <c r="CI119" s="161">
        <f t="shared" si="1173"/>
        <v>0</v>
      </c>
      <c r="CJ119" s="161">
        <f>+CJ102/CJ$117</f>
        <v>0</v>
      </c>
      <c r="CK119" s="161">
        <f>+CK102/CK$117</f>
        <v>13.892376192639709</v>
      </c>
      <c r="CL119" s="161">
        <f>+CL102/CL$117</f>
        <v>10.837584894395103</v>
      </c>
      <c r="CM119" s="21">
        <f t="shared" ref="CM119:DB119" si="1174">+CM102/CM$117</f>
        <v>9.425336042525057</v>
      </c>
      <c r="CN119" s="21">
        <f t="shared" si="1174"/>
        <v>8.5516132654911186</v>
      </c>
      <c r="CO119" s="21">
        <f t="shared" si="1174"/>
        <v>7.6663243804407681</v>
      </c>
      <c r="CP119" s="21">
        <f t="shared" si="1174"/>
        <v>6.8882209661270259</v>
      </c>
      <c r="CQ119" s="21">
        <f t="shared" si="1174"/>
        <v>6.4487533523193399</v>
      </c>
      <c r="CR119" s="21">
        <f t="shared" si="1174"/>
        <v>5.9918733813840364</v>
      </c>
      <c r="CS119" s="21">
        <f t="shared" si="1174"/>
        <v>5.505048111357091</v>
      </c>
      <c r="CT119" s="21">
        <f t="shared" si="1174"/>
        <v>5.0353657118045163</v>
      </c>
      <c r="CU119" s="21">
        <f t="shared" si="1174"/>
        <v>4.7524530901142281</v>
      </c>
      <c r="CV119" s="21">
        <f t="shared" si="1174"/>
        <v>4.4588617846031759</v>
      </c>
      <c r="CW119" s="21">
        <f t="shared" si="1174"/>
        <v>4.1422123660887538</v>
      </c>
      <c r="CX119" s="21">
        <f t="shared" si="1174"/>
        <v>3.8251897835081117</v>
      </c>
      <c r="CY119" s="21">
        <f t="shared" si="1174"/>
        <v>3.6451796821703843</v>
      </c>
      <c r="CZ119" s="21">
        <f t="shared" si="1174"/>
        <v>3.4543368858543873</v>
      </c>
      <c r="DA119" s="21">
        <f t="shared" si="1174"/>
        <v>3.2414203134002961</v>
      </c>
      <c r="DB119" s="21">
        <f t="shared" si="1174"/>
        <v>3.0242834102447422</v>
      </c>
      <c r="DE119" s="22"/>
      <c r="DF119" s="161">
        <v>9.9067356780218851</v>
      </c>
    </row>
    <row r="120" spans="1:110" s="161" customFormat="1" x14ac:dyDescent="0.2">
      <c r="A120" s="49" t="s">
        <v>506</v>
      </c>
      <c r="E120" s="161" t="e">
        <f t="shared" si="1171"/>
        <v>#DIV/0!</v>
      </c>
      <c r="F120" s="161" t="e">
        <f t="shared" si="1171"/>
        <v>#DIV/0!</v>
      </c>
      <c r="G120" s="161" t="e">
        <f t="shared" si="1171"/>
        <v>#DIV/0!</v>
      </c>
      <c r="H120" s="161" t="e">
        <f t="shared" si="1171"/>
        <v>#DIV/0!</v>
      </c>
      <c r="I120" s="161" t="e">
        <f t="shared" si="1171"/>
        <v>#DIV/0!</v>
      </c>
      <c r="J120" s="161" t="e">
        <f t="shared" si="1171"/>
        <v>#DIV/0!</v>
      </c>
      <c r="K120" s="161" t="e">
        <f t="shared" si="1171"/>
        <v>#DIV/0!</v>
      </c>
      <c r="L120" s="161" t="e">
        <f t="shared" si="1171"/>
        <v>#DIV/0!</v>
      </c>
      <c r="M120" s="161" t="e">
        <f t="shared" si="1171"/>
        <v>#DIV/0!</v>
      </c>
      <c r="N120" s="161" t="e">
        <f t="shared" si="1171"/>
        <v>#DIV/0!</v>
      </c>
      <c r="O120" s="161" t="e">
        <f t="shared" si="1171"/>
        <v>#DIV/0!</v>
      </c>
      <c r="P120" s="161" t="e">
        <f t="shared" si="1171"/>
        <v>#DIV/0!</v>
      </c>
      <c r="Q120" s="161" t="e">
        <f t="shared" si="1171"/>
        <v>#DIV/0!</v>
      </c>
      <c r="R120" s="161" t="e">
        <f t="shared" si="1171"/>
        <v>#DIV/0!</v>
      </c>
      <c r="S120" s="161" t="e">
        <f t="shared" si="1171"/>
        <v>#DIV/0!</v>
      </c>
      <c r="T120" s="161" t="e">
        <f t="shared" si="1171"/>
        <v>#DIV/0!</v>
      </c>
      <c r="U120" s="161" t="e">
        <f t="shared" si="1171"/>
        <v>#DIV/0!</v>
      </c>
      <c r="V120" s="161" t="e">
        <f t="shared" si="1171"/>
        <v>#DIV/0!</v>
      </c>
      <c r="W120" s="161" t="e">
        <f t="shared" si="1171"/>
        <v>#DIV/0!</v>
      </c>
      <c r="X120" s="161" t="e">
        <f t="shared" si="1171"/>
        <v>#DIV/0!</v>
      </c>
      <c r="Y120" s="161" t="e">
        <f t="shared" si="1171"/>
        <v>#DIV/0!</v>
      </c>
      <c r="Z120" s="161">
        <f t="shared" si="1171"/>
        <v>0</v>
      </c>
      <c r="AA120" s="161">
        <f t="shared" ref="AA120" si="1175">+AA103/AA$117</f>
        <v>5.5951962717332862</v>
      </c>
      <c r="AB120" s="21">
        <f t="shared" si="1171"/>
        <v>9.3084266048561588</v>
      </c>
      <c r="AC120" s="21">
        <f t="shared" si="1171"/>
        <v>7.1600380370461085</v>
      </c>
      <c r="AD120" s="21">
        <f t="shared" si="1171"/>
        <v>6.3973247599962528</v>
      </c>
      <c r="AE120" s="21">
        <f t="shared" si="1171"/>
        <v>5.5732646823249201</v>
      </c>
      <c r="AL120" s="161" t="e">
        <f t="shared" si="1173"/>
        <v>#DIV/0!</v>
      </c>
      <c r="AM120" s="161">
        <f t="shared" si="1173"/>
        <v>0</v>
      </c>
      <c r="AN120" s="161" t="e">
        <f t="shared" si="1173"/>
        <v>#DIV/0!</v>
      </c>
      <c r="AO120" s="161">
        <f t="shared" si="1173"/>
        <v>0</v>
      </c>
      <c r="AP120" s="161" t="e">
        <f t="shared" si="1173"/>
        <v>#DIV/0!</v>
      </c>
      <c r="AQ120" s="161">
        <f t="shared" si="1173"/>
        <v>0</v>
      </c>
      <c r="AR120" s="161" t="e">
        <f t="shared" si="1173"/>
        <v>#DIV/0!</v>
      </c>
      <c r="AS120" s="161">
        <f t="shared" si="1173"/>
        <v>0</v>
      </c>
      <c r="AT120" s="161" t="e">
        <f t="shared" si="1173"/>
        <v>#DIV/0!</v>
      </c>
      <c r="AU120" s="161">
        <f t="shared" si="1173"/>
        <v>0</v>
      </c>
      <c r="AV120" s="161" t="e">
        <f t="shared" si="1173"/>
        <v>#DIV/0!</v>
      </c>
      <c r="AW120" s="161">
        <f t="shared" si="1173"/>
        <v>0</v>
      </c>
      <c r="AX120" s="161" t="e">
        <f t="shared" si="1173"/>
        <v>#DIV/0!</v>
      </c>
      <c r="AY120" s="161">
        <f t="shared" si="1173"/>
        <v>0</v>
      </c>
      <c r="AZ120" s="161" t="e">
        <f t="shared" si="1173"/>
        <v>#DIV/0!</v>
      </c>
      <c r="BA120" s="161">
        <f t="shared" si="1173"/>
        <v>0</v>
      </c>
      <c r="BB120" s="161" t="e">
        <f t="shared" si="1173"/>
        <v>#DIV/0!</v>
      </c>
      <c r="BC120" s="161">
        <f t="shared" si="1173"/>
        <v>0</v>
      </c>
      <c r="BD120" s="161" t="e">
        <f t="shared" si="1173"/>
        <v>#DIV/0!</v>
      </c>
      <c r="BE120" s="161">
        <f t="shared" si="1173"/>
        <v>0</v>
      </c>
      <c r="BF120" s="161" t="e">
        <f t="shared" si="1173"/>
        <v>#DIV/0!</v>
      </c>
      <c r="BG120" s="161">
        <f t="shared" si="1173"/>
        <v>0</v>
      </c>
      <c r="BH120" s="161" t="e">
        <f t="shared" si="1173"/>
        <v>#DIV/0!</v>
      </c>
      <c r="BI120" s="161">
        <f t="shared" si="1173"/>
        <v>0</v>
      </c>
      <c r="BJ120" s="161" t="e">
        <f t="shared" si="1173"/>
        <v>#DIV/0!</v>
      </c>
      <c r="BK120" s="161">
        <f t="shared" si="1173"/>
        <v>0</v>
      </c>
      <c r="BL120" s="161" t="e">
        <f t="shared" si="1173"/>
        <v>#DIV/0!</v>
      </c>
      <c r="BM120" s="161">
        <f t="shared" si="1173"/>
        <v>0</v>
      </c>
      <c r="BN120" s="161" t="e">
        <f t="shared" si="1173"/>
        <v>#DIV/0!</v>
      </c>
      <c r="BO120" s="161">
        <f t="shared" si="1173"/>
        <v>0</v>
      </c>
      <c r="BP120" s="161" t="e">
        <f t="shared" si="1173"/>
        <v>#DIV/0!</v>
      </c>
      <c r="BQ120" s="161">
        <f t="shared" si="1173"/>
        <v>0</v>
      </c>
      <c r="BR120" s="161" t="e">
        <f t="shared" si="1173"/>
        <v>#DIV/0!</v>
      </c>
      <c r="BS120" s="161">
        <f t="shared" si="1173"/>
        <v>0</v>
      </c>
      <c r="BT120" s="161" t="e">
        <f t="shared" si="1173"/>
        <v>#DIV/0!</v>
      </c>
      <c r="BU120" s="161">
        <f t="shared" si="1173"/>
        <v>0</v>
      </c>
      <c r="BV120" s="161" t="e">
        <f t="shared" si="1173"/>
        <v>#DIV/0!</v>
      </c>
      <c r="BW120" s="161">
        <f t="shared" si="1173"/>
        <v>0</v>
      </c>
      <c r="BX120" s="161" t="e">
        <f t="shared" si="1173"/>
        <v>#DIV/0!</v>
      </c>
      <c r="BY120" s="161">
        <f t="shared" si="1173"/>
        <v>0</v>
      </c>
      <c r="BZ120" s="161" t="e">
        <f t="shared" si="1173"/>
        <v>#DIV/0!</v>
      </c>
      <c r="CA120" s="161">
        <f t="shared" si="1173"/>
        <v>0</v>
      </c>
      <c r="CB120" s="161" t="e">
        <f t="shared" si="1173"/>
        <v>#DIV/0!</v>
      </c>
      <c r="CC120" s="161">
        <f t="shared" si="1173"/>
        <v>0</v>
      </c>
      <c r="CD120" s="161" t="e">
        <f t="shared" si="1173"/>
        <v>#DIV/0!</v>
      </c>
      <c r="CE120" s="161">
        <f t="shared" si="1173"/>
        <v>0</v>
      </c>
      <c r="CF120" s="161" t="e">
        <f t="shared" si="1173"/>
        <v>#DIV/0!</v>
      </c>
      <c r="CG120" s="161">
        <f t="shared" si="1173"/>
        <v>0</v>
      </c>
      <c r="CH120" s="161">
        <f t="shared" si="1173"/>
        <v>0</v>
      </c>
      <c r="CI120" s="161">
        <f t="shared" si="1173"/>
        <v>0</v>
      </c>
      <c r="CJ120" s="161">
        <f t="shared" ref="CJ120:CL121" si="1176">+CJ103/CJ$117</f>
        <v>0</v>
      </c>
      <c r="CK120" s="161">
        <f t="shared" ref="CK120" si="1177">+CK103/CK$117</f>
        <v>14.500972285324853</v>
      </c>
      <c r="CL120" s="161">
        <f t="shared" si="1176"/>
        <v>13.978177475931039</v>
      </c>
      <c r="CM120" s="94">
        <f t="shared" ref="CM120:DB120" si="1178">+CL120</f>
        <v>13.978177475931039</v>
      </c>
      <c r="CN120" s="94">
        <f t="shared" si="1178"/>
        <v>13.978177475931039</v>
      </c>
      <c r="CO120" s="94">
        <f t="shared" si="1178"/>
        <v>13.978177475931039</v>
      </c>
      <c r="CP120" s="94">
        <f t="shared" si="1178"/>
        <v>13.978177475931039</v>
      </c>
      <c r="CQ120" s="94">
        <f t="shared" si="1178"/>
        <v>13.978177475931039</v>
      </c>
      <c r="CR120" s="94">
        <f t="shared" si="1178"/>
        <v>13.978177475931039</v>
      </c>
      <c r="CS120" s="94">
        <f t="shared" si="1178"/>
        <v>13.978177475931039</v>
      </c>
      <c r="CT120" s="94">
        <f t="shared" si="1178"/>
        <v>13.978177475931039</v>
      </c>
      <c r="CU120" s="94">
        <f t="shared" si="1178"/>
        <v>13.978177475931039</v>
      </c>
      <c r="CV120" s="94">
        <f t="shared" si="1178"/>
        <v>13.978177475931039</v>
      </c>
      <c r="CW120" s="94">
        <f t="shared" si="1178"/>
        <v>13.978177475931039</v>
      </c>
      <c r="CX120" s="94">
        <f t="shared" si="1178"/>
        <v>13.978177475931039</v>
      </c>
      <c r="CY120" s="94">
        <f t="shared" si="1178"/>
        <v>13.978177475931039</v>
      </c>
      <c r="CZ120" s="94">
        <f t="shared" si="1178"/>
        <v>13.978177475931039</v>
      </c>
      <c r="DA120" s="94">
        <f t="shared" si="1178"/>
        <v>13.978177475931039</v>
      </c>
      <c r="DB120" s="94">
        <f t="shared" si="1178"/>
        <v>13.978177475931039</v>
      </c>
      <c r="DC120" s="94"/>
      <c r="DE120" s="22"/>
      <c r="DF120" s="161">
        <v>14.500972285324853</v>
      </c>
    </row>
    <row r="121" spans="1:110" s="161" customFormat="1" x14ac:dyDescent="0.2">
      <c r="A121" s="49" t="s">
        <v>507</v>
      </c>
      <c r="E121" s="161" t="e">
        <f t="shared" si="1171"/>
        <v>#DIV/0!</v>
      </c>
      <c r="F121" s="161" t="e">
        <f t="shared" si="1171"/>
        <v>#DIV/0!</v>
      </c>
      <c r="G121" s="161" t="e">
        <f t="shared" si="1171"/>
        <v>#DIV/0!</v>
      </c>
      <c r="H121" s="161" t="e">
        <f t="shared" si="1171"/>
        <v>#DIV/0!</v>
      </c>
      <c r="I121" s="161" t="e">
        <f t="shared" si="1171"/>
        <v>#DIV/0!</v>
      </c>
      <c r="J121" s="161" t="e">
        <f t="shared" si="1171"/>
        <v>#DIV/0!</v>
      </c>
      <c r="K121" s="161" t="e">
        <f t="shared" si="1171"/>
        <v>#DIV/0!</v>
      </c>
      <c r="L121" s="161" t="e">
        <f t="shared" si="1171"/>
        <v>#DIV/0!</v>
      </c>
      <c r="M121" s="161" t="e">
        <f t="shared" si="1171"/>
        <v>#DIV/0!</v>
      </c>
      <c r="N121" s="161" t="e">
        <f t="shared" si="1171"/>
        <v>#DIV/0!</v>
      </c>
      <c r="O121" s="161" t="e">
        <f t="shared" si="1171"/>
        <v>#DIV/0!</v>
      </c>
      <c r="P121" s="161" t="e">
        <f t="shared" si="1171"/>
        <v>#DIV/0!</v>
      </c>
      <c r="Q121" s="161" t="e">
        <f t="shared" si="1171"/>
        <v>#DIV/0!</v>
      </c>
      <c r="R121" s="161" t="e">
        <f t="shared" si="1171"/>
        <v>#DIV/0!</v>
      </c>
      <c r="S121" s="161" t="e">
        <f t="shared" si="1171"/>
        <v>#DIV/0!</v>
      </c>
      <c r="T121" s="161" t="e">
        <f t="shared" si="1171"/>
        <v>#DIV/0!</v>
      </c>
      <c r="U121" s="161" t="e">
        <f t="shared" si="1171"/>
        <v>#DIV/0!</v>
      </c>
      <c r="V121" s="161" t="e">
        <f t="shared" si="1171"/>
        <v>#DIV/0!</v>
      </c>
      <c r="W121" s="161" t="e">
        <f t="shared" si="1171"/>
        <v>#DIV/0!</v>
      </c>
      <c r="X121" s="161" t="e">
        <f t="shared" si="1171"/>
        <v>#DIV/0!</v>
      </c>
      <c r="Y121" s="161" t="e">
        <f t="shared" si="1171"/>
        <v>#DIV/0!</v>
      </c>
      <c r="Z121" s="161">
        <f t="shared" si="1171"/>
        <v>0</v>
      </c>
      <c r="AA121" s="161">
        <f t="shared" ref="AA121" si="1179">+AA104/AA$117</f>
        <v>3.3640437354364585</v>
      </c>
      <c r="AB121" s="21">
        <f t="shared" si="1171"/>
        <v>6.7025791765266636</v>
      </c>
      <c r="AC121" s="21">
        <f t="shared" si="1171"/>
        <v>5.0175021552149373</v>
      </c>
      <c r="AD121" s="21">
        <f t="shared" si="1171"/>
        <v>4.3079764279546922</v>
      </c>
      <c r="AE121" s="21">
        <f t="shared" si="1171"/>
        <v>3.9332521153461482</v>
      </c>
      <c r="AL121" s="161" t="e">
        <f t="shared" si="1173"/>
        <v>#DIV/0!</v>
      </c>
      <c r="AM121" s="161">
        <f t="shared" si="1173"/>
        <v>0</v>
      </c>
      <c r="AN121" s="161" t="e">
        <f t="shared" si="1173"/>
        <v>#DIV/0!</v>
      </c>
      <c r="AO121" s="161">
        <f t="shared" si="1173"/>
        <v>0</v>
      </c>
      <c r="AP121" s="161" t="e">
        <f t="shared" si="1173"/>
        <v>#DIV/0!</v>
      </c>
      <c r="AQ121" s="161">
        <f t="shared" si="1173"/>
        <v>0</v>
      </c>
      <c r="AR121" s="161" t="e">
        <f t="shared" si="1173"/>
        <v>#DIV/0!</v>
      </c>
      <c r="AS121" s="161">
        <f t="shared" si="1173"/>
        <v>0</v>
      </c>
      <c r="AT121" s="161" t="e">
        <f t="shared" si="1173"/>
        <v>#DIV/0!</v>
      </c>
      <c r="AU121" s="161">
        <f t="shared" si="1173"/>
        <v>0</v>
      </c>
      <c r="AV121" s="161" t="e">
        <f t="shared" si="1173"/>
        <v>#DIV/0!</v>
      </c>
      <c r="AW121" s="161">
        <f t="shared" si="1173"/>
        <v>0</v>
      </c>
      <c r="AX121" s="161" t="e">
        <f t="shared" si="1173"/>
        <v>#DIV/0!</v>
      </c>
      <c r="AY121" s="161">
        <f t="shared" si="1173"/>
        <v>0</v>
      </c>
      <c r="AZ121" s="161" t="e">
        <f t="shared" si="1173"/>
        <v>#DIV/0!</v>
      </c>
      <c r="BA121" s="161">
        <f t="shared" si="1173"/>
        <v>0</v>
      </c>
      <c r="BB121" s="161" t="e">
        <f t="shared" si="1173"/>
        <v>#DIV/0!</v>
      </c>
      <c r="BC121" s="161">
        <f t="shared" si="1173"/>
        <v>0</v>
      </c>
      <c r="BD121" s="161" t="e">
        <f t="shared" si="1173"/>
        <v>#DIV/0!</v>
      </c>
      <c r="BE121" s="161">
        <f t="shared" si="1173"/>
        <v>0</v>
      </c>
      <c r="BF121" s="161" t="e">
        <f t="shared" si="1173"/>
        <v>#DIV/0!</v>
      </c>
      <c r="BG121" s="161">
        <f t="shared" si="1173"/>
        <v>0</v>
      </c>
      <c r="BH121" s="161" t="e">
        <f t="shared" si="1173"/>
        <v>#DIV/0!</v>
      </c>
      <c r="BI121" s="161">
        <f t="shared" si="1173"/>
        <v>0</v>
      </c>
      <c r="BJ121" s="161" t="e">
        <f t="shared" si="1173"/>
        <v>#DIV/0!</v>
      </c>
      <c r="BK121" s="161">
        <f t="shared" si="1173"/>
        <v>0</v>
      </c>
      <c r="BL121" s="161" t="e">
        <f t="shared" si="1173"/>
        <v>#DIV/0!</v>
      </c>
      <c r="BM121" s="161">
        <f t="shared" si="1173"/>
        <v>0</v>
      </c>
      <c r="BN121" s="161" t="e">
        <f t="shared" si="1173"/>
        <v>#DIV/0!</v>
      </c>
      <c r="BO121" s="161">
        <f t="shared" si="1173"/>
        <v>0</v>
      </c>
      <c r="BP121" s="161" t="e">
        <f t="shared" si="1173"/>
        <v>#DIV/0!</v>
      </c>
      <c r="BQ121" s="161">
        <f t="shared" si="1173"/>
        <v>0</v>
      </c>
      <c r="BR121" s="161" t="e">
        <f t="shared" si="1173"/>
        <v>#DIV/0!</v>
      </c>
      <c r="BS121" s="161">
        <f t="shared" si="1173"/>
        <v>0</v>
      </c>
      <c r="BT121" s="161" t="e">
        <f t="shared" si="1173"/>
        <v>#DIV/0!</v>
      </c>
      <c r="BU121" s="161">
        <f t="shared" si="1173"/>
        <v>0</v>
      </c>
      <c r="BV121" s="161" t="e">
        <f t="shared" si="1173"/>
        <v>#DIV/0!</v>
      </c>
      <c r="BW121" s="161">
        <f t="shared" si="1173"/>
        <v>0</v>
      </c>
      <c r="BX121" s="161" t="e">
        <f t="shared" si="1173"/>
        <v>#DIV/0!</v>
      </c>
      <c r="BY121" s="161">
        <f t="shared" si="1173"/>
        <v>0</v>
      </c>
      <c r="BZ121" s="161" t="e">
        <f t="shared" si="1173"/>
        <v>#DIV/0!</v>
      </c>
      <c r="CA121" s="161">
        <f t="shared" si="1173"/>
        <v>0</v>
      </c>
      <c r="CB121" s="161" t="e">
        <f t="shared" si="1173"/>
        <v>#DIV/0!</v>
      </c>
      <c r="CC121" s="161">
        <f t="shared" si="1173"/>
        <v>0</v>
      </c>
      <c r="CD121" s="161" t="e">
        <f t="shared" si="1173"/>
        <v>#DIV/0!</v>
      </c>
      <c r="CE121" s="161">
        <f t="shared" si="1173"/>
        <v>0</v>
      </c>
      <c r="CF121" s="161" t="e">
        <f t="shared" si="1173"/>
        <v>#DIV/0!</v>
      </c>
      <c r="CG121" s="161">
        <f t="shared" si="1173"/>
        <v>0</v>
      </c>
      <c r="CH121" s="161">
        <f t="shared" si="1173"/>
        <v>0</v>
      </c>
      <c r="CI121" s="161">
        <f t="shared" si="1173"/>
        <v>0</v>
      </c>
      <c r="CJ121" s="161">
        <f t="shared" si="1176"/>
        <v>0</v>
      </c>
      <c r="CK121" s="161">
        <f t="shared" ref="CK121" si="1180">+CK104/CK$117</f>
        <v>0</v>
      </c>
      <c r="CL121" s="161">
        <f t="shared" si="1176"/>
        <v>10.685155608627509</v>
      </c>
      <c r="CM121" s="94">
        <f t="shared" ref="CM121:DB121" si="1181">+CL121</f>
        <v>10.685155608627509</v>
      </c>
      <c r="CN121" s="94">
        <f t="shared" si="1181"/>
        <v>10.685155608627509</v>
      </c>
      <c r="CO121" s="94">
        <f t="shared" si="1181"/>
        <v>10.685155608627509</v>
      </c>
      <c r="CP121" s="94">
        <f t="shared" si="1181"/>
        <v>10.685155608627509</v>
      </c>
      <c r="CQ121" s="94">
        <f t="shared" si="1181"/>
        <v>10.685155608627509</v>
      </c>
      <c r="CR121" s="94">
        <f t="shared" si="1181"/>
        <v>10.685155608627509</v>
      </c>
      <c r="CS121" s="94">
        <f t="shared" si="1181"/>
        <v>10.685155608627509</v>
      </c>
      <c r="CT121" s="94">
        <f t="shared" si="1181"/>
        <v>10.685155608627509</v>
      </c>
      <c r="CU121" s="94">
        <f t="shared" si="1181"/>
        <v>10.685155608627509</v>
      </c>
      <c r="CV121" s="94">
        <f t="shared" si="1181"/>
        <v>10.685155608627509</v>
      </c>
      <c r="CW121" s="94">
        <f t="shared" si="1181"/>
        <v>10.685155608627509</v>
      </c>
      <c r="CX121" s="94">
        <f t="shared" si="1181"/>
        <v>10.685155608627509</v>
      </c>
      <c r="CY121" s="94">
        <f t="shared" si="1181"/>
        <v>10.685155608627509</v>
      </c>
      <c r="CZ121" s="94">
        <f t="shared" si="1181"/>
        <v>10.685155608627509</v>
      </c>
      <c r="DA121" s="94">
        <f t="shared" si="1181"/>
        <v>10.685155608627509</v>
      </c>
      <c r="DB121" s="94">
        <f t="shared" si="1181"/>
        <v>10.685155608627509</v>
      </c>
      <c r="DC121" s="94"/>
      <c r="DE121" s="22"/>
      <c r="DF121" s="161">
        <v>0</v>
      </c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2" customFormat="1" x14ac:dyDescent="0.2">
      <c r="A123" s="162" t="s">
        <v>513</v>
      </c>
      <c r="AB123" s="50"/>
      <c r="AC123" s="50"/>
      <c r="AD123" s="50"/>
      <c r="AE123" s="50"/>
      <c r="AL123" s="162">
        <f t="shared" ref="AL123:BQ123" si="1182">+SUM(AI29:AL29)</f>
        <v>48927.05</v>
      </c>
      <c r="AM123" s="162">
        <f t="shared" si="1182"/>
        <v>47358.399999999994</v>
      </c>
      <c r="AN123" s="162">
        <f t="shared" si="1182"/>
        <v>43301.469999999994</v>
      </c>
      <c r="AO123" s="162">
        <f t="shared" si="1182"/>
        <v>40175.17</v>
      </c>
      <c r="AP123" s="162">
        <f t="shared" si="1182"/>
        <v>37376.86</v>
      </c>
      <c r="AQ123" s="162">
        <f t="shared" si="1182"/>
        <v>35620.270000000004</v>
      </c>
      <c r="AR123" s="162">
        <f t="shared" si="1182"/>
        <v>35340.06</v>
      </c>
      <c r="AS123" s="162">
        <f t="shared" si="1182"/>
        <v>36563.71</v>
      </c>
      <c r="AT123" s="162">
        <f t="shared" si="1182"/>
        <v>39120.1</v>
      </c>
      <c r="AU123" s="162">
        <f t="shared" si="1182"/>
        <v>41126.400000000001</v>
      </c>
      <c r="AV123" s="162">
        <f t="shared" si="1182"/>
        <v>43350.18</v>
      </c>
      <c r="AW123" s="162">
        <f t="shared" si="1182"/>
        <v>44560.480000000003</v>
      </c>
      <c r="AX123" s="162">
        <f t="shared" si="1182"/>
        <v>46903.960000000006</v>
      </c>
      <c r="AY123" s="162">
        <f t="shared" si="1182"/>
        <v>48076.11</v>
      </c>
      <c r="AZ123" s="162">
        <f t="shared" si="1182"/>
        <v>47840.97</v>
      </c>
      <c r="BA123" s="162">
        <f t="shared" si="1182"/>
        <v>48155.95</v>
      </c>
      <c r="BB123" s="162">
        <f t="shared" si="1182"/>
        <v>49088.53</v>
      </c>
      <c r="BC123" s="162">
        <f t="shared" si="1182"/>
        <v>48019.81</v>
      </c>
      <c r="BD123" s="162">
        <f t="shared" si="1182"/>
        <v>49964.32</v>
      </c>
      <c r="BE123" s="162">
        <f t="shared" si="1182"/>
        <v>54719.51</v>
      </c>
      <c r="BF123" s="162">
        <f t="shared" si="1182"/>
        <v>58812.409999999996</v>
      </c>
      <c r="BG123" s="162">
        <f t="shared" si="1182"/>
        <v>65121.21</v>
      </c>
      <c r="BH123" s="162">
        <f t="shared" si="1182"/>
        <v>69569.53</v>
      </c>
      <c r="BI123" s="162">
        <f t="shared" si="1182"/>
        <v>69814.81</v>
      </c>
      <c r="BJ123" s="162">
        <f t="shared" si="1182"/>
        <v>69202.759999999995</v>
      </c>
      <c r="BK123" s="162">
        <f t="shared" si="1182"/>
        <v>65879.680000000008</v>
      </c>
      <c r="BL123" s="162">
        <f t="shared" si="1182"/>
        <v>58121.47</v>
      </c>
      <c r="BM123" s="162">
        <f t="shared" si="1182"/>
        <v>52756.710000000006</v>
      </c>
      <c r="BN123" s="162">
        <f t="shared" si="1182"/>
        <v>43928.17</v>
      </c>
      <c r="BO123" s="162">
        <f t="shared" si="1182"/>
        <v>33263.129999999997</v>
      </c>
      <c r="BP123" s="162">
        <f t="shared" si="1182"/>
        <v>32930.75</v>
      </c>
      <c r="BQ123" s="162">
        <f t="shared" si="1182"/>
        <v>36718.439999999995</v>
      </c>
      <c r="BR123" s="162">
        <f t="shared" ref="BR123:CW123" si="1183">+SUM(BO29:BR29)</f>
        <v>47031.47</v>
      </c>
      <c r="BS123" s="162">
        <f t="shared" si="1183"/>
        <v>56248.790000000008</v>
      </c>
      <c r="BT123" s="162">
        <f t="shared" si="1183"/>
        <v>57576.710000000006</v>
      </c>
      <c r="BU123" s="162">
        <f t="shared" si="1183"/>
        <v>55298.89</v>
      </c>
      <c r="BV123" s="162">
        <f t="shared" si="1183"/>
        <v>52591.259999999995</v>
      </c>
      <c r="BW123" s="162">
        <f t="shared" si="1183"/>
        <v>55561.510000000009</v>
      </c>
      <c r="BX123" s="162">
        <f t="shared" si="1183"/>
        <v>59512.270000000004</v>
      </c>
      <c r="BY123" s="162">
        <f t="shared" si="1183"/>
        <v>62953.47</v>
      </c>
      <c r="BZ123" s="162">
        <f t="shared" si="1183"/>
        <v>65757.33</v>
      </c>
      <c r="CA123" s="162">
        <f t="shared" si="1183"/>
        <v>66715.460000000006</v>
      </c>
      <c r="CB123" s="162">
        <f t="shared" si="1183"/>
        <v>70310.38</v>
      </c>
      <c r="CC123" s="162">
        <f t="shared" si="1183"/>
        <v>73184.959999999992</v>
      </c>
      <c r="CD123" s="162">
        <f t="shared" si="1183"/>
        <v>73303.070000000007</v>
      </c>
      <c r="CE123" s="162">
        <f t="shared" si="1183"/>
        <v>74332.5</v>
      </c>
      <c r="CF123" s="162">
        <f t="shared" si="1183"/>
        <v>71308.800000000003</v>
      </c>
      <c r="CG123" s="162">
        <f t="shared" si="1183"/>
        <v>69680.239999999991</v>
      </c>
      <c r="CH123" s="162">
        <f t="shared" si="1183"/>
        <v>69419</v>
      </c>
      <c r="CI123" s="162">
        <f t="shared" si="1183"/>
        <v>68239</v>
      </c>
      <c r="CJ123" s="162">
        <f t="shared" si="1183"/>
        <v>69582</v>
      </c>
      <c r="CK123" s="162">
        <f t="shared" si="1183"/>
        <v>72946</v>
      </c>
      <c r="CL123" s="162">
        <f t="shared" si="1183"/>
        <v>77399</v>
      </c>
      <c r="CM123" s="50">
        <f t="shared" si="1183"/>
        <v>79176.214141649165</v>
      </c>
      <c r="CN123" s="50">
        <f t="shared" si="1183"/>
        <v>81645.970852159255</v>
      </c>
      <c r="CO123" s="50">
        <f t="shared" si="1183"/>
        <v>84672.934551859522</v>
      </c>
      <c r="CP123" s="50">
        <f t="shared" si="1183"/>
        <v>87366.163651030249</v>
      </c>
      <c r="CQ123" s="50">
        <f t="shared" si="1183"/>
        <v>89038.26699815059</v>
      </c>
      <c r="CR123" s="50">
        <f t="shared" si="1183"/>
        <v>90840.408515850722</v>
      </c>
      <c r="CS123" s="50">
        <f t="shared" si="1183"/>
        <v>92821.727364580613</v>
      </c>
      <c r="CT123" s="50">
        <f t="shared" si="1183"/>
        <v>94717.369000015446</v>
      </c>
      <c r="CU123" s="50">
        <f t="shared" si="1183"/>
        <v>96776.914500972125</v>
      </c>
      <c r="CV123" s="50">
        <f t="shared" si="1183"/>
        <v>99151.867805999485</v>
      </c>
      <c r="CW123" s="50">
        <f t="shared" si="1183"/>
        <v>102120.15809225272</v>
      </c>
      <c r="CX123" s="50">
        <f t="shared" ref="CX123:DB123" si="1184">+SUM(CU29:CX29)</f>
        <v>105678.2994552767</v>
      </c>
      <c r="CY123" s="50">
        <f t="shared" si="1184"/>
        <v>108104.08519145299</v>
      </c>
      <c r="CZ123" s="50">
        <f t="shared" si="1184"/>
        <v>110878.12455321722</v>
      </c>
      <c r="DA123" s="50">
        <f t="shared" si="1184"/>
        <v>114256.68688042226</v>
      </c>
      <c r="DB123" s="50">
        <f t="shared" si="1184"/>
        <v>118074.8077757274</v>
      </c>
      <c r="DE123" s="104"/>
      <c r="DF123" s="162">
        <v>77244.636705281649</v>
      </c>
    </row>
    <row r="124" spans="1:110" s="162" customFormat="1" x14ac:dyDescent="0.2">
      <c r="A124" s="162" t="s">
        <v>514</v>
      </c>
      <c r="AB124" s="94"/>
      <c r="AC124" s="94"/>
      <c r="AD124" s="94"/>
      <c r="AE124" s="94"/>
      <c r="AL124" s="162">
        <f t="shared" ref="AL124:BQ124" si="1185">+AL123/AL90</f>
        <v>132.86981340618576</v>
      </c>
      <c r="AM124" s="162">
        <f t="shared" si="1185"/>
        <v>128.60987472605657</v>
      </c>
      <c r="AN124" s="162">
        <f t="shared" si="1185"/>
        <v>117.5925840432552</v>
      </c>
      <c r="AO124" s="162">
        <f t="shared" si="1185"/>
        <v>109.1025790735757</v>
      </c>
      <c r="AP124" s="162">
        <f t="shared" si="1185"/>
        <v>101.5032873207996</v>
      </c>
      <c r="AQ124" s="162">
        <f t="shared" si="1185"/>
        <v>96.732965269272455</v>
      </c>
      <c r="AR124" s="162">
        <f t="shared" si="1185"/>
        <v>95.972006854355797</v>
      </c>
      <c r="AS124" s="162">
        <f t="shared" si="1185"/>
        <v>99.295038739059237</v>
      </c>
      <c r="AT124" s="162">
        <f t="shared" si="1185"/>
        <v>106.23735515285159</v>
      </c>
      <c r="AU124" s="162">
        <f t="shared" si="1185"/>
        <v>111.68580762723602</v>
      </c>
      <c r="AV124" s="162">
        <f t="shared" si="1185"/>
        <v>117.72486442008184</v>
      </c>
      <c r="AW124" s="162">
        <f t="shared" si="1185"/>
        <v>121.01164208531013</v>
      </c>
      <c r="AX124" s="162">
        <f t="shared" si="1185"/>
        <v>127.37576480109063</v>
      </c>
      <c r="AY124" s="162">
        <f t="shared" si="1185"/>
        <v>130.5589395844479</v>
      </c>
      <c r="AZ124" s="162">
        <f t="shared" si="1185"/>
        <v>129.92037650074818</v>
      </c>
      <c r="BA124" s="162">
        <f t="shared" si="1185"/>
        <v>130.7757588266125</v>
      </c>
      <c r="BB124" s="162">
        <f t="shared" si="1185"/>
        <v>133.3083400998824</v>
      </c>
      <c r="BC124" s="162">
        <f t="shared" si="1185"/>
        <v>130.4060472581219</v>
      </c>
      <c r="BD124" s="162">
        <f t="shared" si="1185"/>
        <v>135.68669836760964</v>
      </c>
      <c r="BE124" s="162">
        <f t="shared" si="1185"/>
        <v>148.60023409091528</v>
      </c>
      <c r="BF124" s="162">
        <f t="shared" si="1185"/>
        <v>159.71520749090928</v>
      </c>
      <c r="BG124" s="162">
        <f t="shared" si="1185"/>
        <v>176.84783818940724</v>
      </c>
      <c r="BH124" s="162">
        <f t="shared" si="1185"/>
        <v>188.92801568572071</v>
      </c>
      <c r="BI124" s="162">
        <f t="shared" si="1185"/>
        <v>189.59411568219033</v>
      </c>
      <c r="BJ124" s="162">
        <f t="shared" si="1185"/>
        <v>187.93198871366769</v>
      </c>
      <c r="BK124" s="162">
        <f t="shared" si="1185"/>
        <v>178.90759383325232</v>
      </c>
      <c r="BL124" s="162">
        <f t="shared" si="1185"/>
        <v>157.8388411684993</v>
      </c>
      <c r="BM124" s="162">
        <f t="shared" si="1185"/>
        <v>143.26991334291063</v>
      </c>
      <c r="BN124" s="162">
        <f t="shared" si="1185"/>
        <v>119.29449560468507</v>
      </c>
      <c r="BO124" s="162">
        <f t="shared" si="1185"/>
        <v>90.331746475736821</v>
      </c>
      <c r="BP124" s="162">
        <f t="shared" si="1185"/>
        <v>89.429111459320595</v>
      </c>
      <c r="BQ124" s="162">
        <f t="shared" si="1185"/>
        <v>99.71523464762798</v>
      </c>
      <c r="BR124" s="162">
        <f t="shared" ref="BR124:CW124" si="1186">+BR123/BR90</f>
        <v>127.72204012133622</v>
      </c>
      <c r="BS124" s="162">
        <f t="shared" si="1186"/>
        <v>152.75325676949109</v>
      </c>
      <c r="BT124" s="162">
        <f t="shared" si="1186"/>
        <v>156.35945176016273</v>
      </c>
      <c r="BU124" s="162">
        <f t="shared" si="1186"/>
        <v>150.17364005941889</v>
      </c>
      <c r="BV124" s="162">
        <f t="shared" si="1186"/>
        <v>142.82060543188686</v>
      </c>
      <c r="BW124" s="162">
        <f t="shared" si="1186"/>
        <v>150.88682980612822</v>
      </c>
      <c r="BX124" s="162">
        <f t="shared" si="1186"/>
        <v>161.61579760640683</v>
      </c>
      <c r="BY124" s="162">
        <f t="shared" si="1186"/>
        <v>170.96096764820101</v>
      </c>
      <c r="BZ124" s="162">
        <f t="shared" si="1186"/>
        <v>178.57533137986005</v>
      </c>
      <c r="CA124" s="162">
        <f t="shared" si="1186"/>
        <v>181.17729806942887</v>
      </c>
      <c r="CB124" s="162">
        <f t="shared" si="1186"/>
        <v>190.93992119120233</v>
      </c>
      <c r="CC124" s="162">
        <f t="shared" si="1186"/>
        <v>198.74633723756423</v>
      </c>
      <c r="CD124" s="162">
        <f t="shared" si="1186"/>
        <v>199.06708524222438</v>
      </c>
      <c r="CE124" s="162">
        <f t="shared" si="1186"/>
        <v>201.86267933618117</v>
      </c>
      <c r="CF124" s="162">
        <f t="shared" si="1186"/>
        <v>193.65130230044565</v>
      </c>
      <c r="CG124" s="162">
        <f t="shared" si="1186"/>
        <v>189.22866771853688</v>
      </c>
      <c r="CH124" s="162">
        <f t="shared" si="1186"/>
        <v>188.51922559900933</v>
      </c>
      <c r="CI124" s="162">
        <f t="shared" si="1186"/>
        <v>185.31473279146627</v>
      </c>
      <c r="CJ124" s="162">
        <f t="shared" si="1186"/>
        <v>188.96188011394958</v>
      </c>
      <c r="CK124" s="162">
        <f t="shared" ref="CK124:CL124" si="1187">+CK123/CK90</f>
        <v>198.22282608695653</v>
      </c>
      <c r="CL124" s="162">
        <f t="shared" si="1187"/>
        <v>210.3233695652174</v>
      </c>
      <c r="CM124" s="50">
        <f t="shared" si="1186"/>
        <v>215.15275581969883</v>
      </c>
      <c r="CN124" s="50">
        <f t="shared" si="1186"/>
        <v>221.86405122869363</v>
      </c>
      <c r="CO124" s="50">
        <f t="shared" si="1186"/>
        <v>230.08949606483566</v>
      </c>
      <c r="CP124" s="50">
        <f t="shared" si="1186"/>
        <v>237.40805339953872</v>
      </c>
      <c r="CQ124" s="50">
        <f t="shared" si="1186"/>
        <v>241.95181249497443</v>
      </c>
      <c r="CR124" s="50">
        <f t="shared" si="1186"/>
        <v>246.84893618437695</v>
      </c>
      <c r="CS124" s="50">
        <f t="shared" si="1186"/>
        <v>252.232954795056</v>
      </c>
      <c r="CT124" s="50">
        <f t="shared" si="1186"/>
        <v>257.38415489134633</v>
      </c>
      <c r="CU124" s="50">
        <f t="shared" si="1186"/>
        <v>262.98074592655468</v>
      </c>
      <c r="CV124" s="50">
        <f t="shared" si="1186"/>
        <v>269.43442338586817</v>
      </c>
      <c r="CW124" s="50">
        <f t="shared" si="1186"/>
        <v>277.50042959851282</v>
      </c>
      <c r="CX124" s="50">
        <f t="shared" ref="CX124:DB124" si="1188">+CX123/CX90</f>
        <v>287.16929199803451</v>
      </c>
      <c r="CY124" s="50">
        <f t="shared" si="1188"/>
        <v>293.76110106373096</v>
      </c>
      <c r="CZ124" s="50">
        <f t="shared" si="1188"/>
        <v>301.29925150330763</v>
      </c>
      <c r="DA124" s="50">
        <f t="shared" si="1188"/>
        <v>310.48012739245178</v>
      </c>
      <c r="DB124" s="50">
        <f t="shared" si="1188"/>
        <v>320.85545591230272</v>
      </c>
      <c r="DE124" s="163"/>
      <c r="DF124" s="162">
        <v>209.90390409043926</v>
      </c>
    </row>
    <row r="125" spans="1:110" s="162" customFormat="1" x14ac:dyDescent="0.2">
      <c r="AB125" s="94"/>
      <c r="AC125" s="94"/>
      <c r="AD125" s="94"/>
      <c r="AE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E125" s="163"/>
    </row>
    <row r="126" spans="1:110" s="162" customFormat="1" x14ac:dyDescent="0.2">
      <c r="A126" s="162" t="s">
        <v>509</v>
      </c>
      <c r="AB126" s="94"/>
      <c r="AC126" s="94"/>
      <c r="AD126" s="94"/>
      <c r="AE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E126" s="163"/>
    </row>
    <row r="127" spans="1:110" s="162" customFormat="1" x14ac:dyDescent="0.2">
      <c r="A127" s="162" t="s">
        <v>510</v>
      </c>
      <c r="E127" s="162" t="e">
        <f t="shared" ref="E127:AE127" si="1189">+E110/E$32</f>
        <v>#DIV/0!</v>
      </c>
      <c r="F127" s="162" t="e">
        <f t="shared" si="1189"/>
        <v>#DIV/0!</v>
      </c>
      <c r="G127" s="162" t="e">
        <f t="shared" si="1189"/>
        <v>#DIV/0!</v>
      </c>
      <c r="H127" s="162" t="e">
        <f t="shared" si="1189"/>
        <v>#DIV/0!</v>
      </c>
      <c r="I127" s="162" t="e">
        <f t="shared" si="1189"/>
        <v>#DIV/0!</v>
      </c>
      <c r="J127" s="162" t="e">
        <f t="shared" si="1189"/>
        <v>#DIV/0!</v>
      </c>
      <c r="K127" s="162" t="e">
        <f t="shared" si="1189"/>
        <v>#DIV/0!</v>
      </c>
      <c r="L127" s="162" t="e">
        <f t="shared" si="1189"/>
        <v>#DIV/0!</v>
      </c>
      <c r="M127" s="162" t="e">
        <f t="shared" si="1189"/>
        <v>#DIV/0!</v>
      </c>
      <c r="N127" s="162" t="e">
        <f t="shared" si="1189"/>
        <v>#DIV/0!</v>
      </c>
      <c r="O127" s="162" t="e">
        <f t="shared" si="1189"/>
        <v>#DIV/0!</v>
      </c>
      <c r="P127" s="162" t="e">
        <f t="shared" si="1189"/>
        <v>#DIV/0!</v>
      </c>
      <c r="Q127" s="162" t="e">
        <f t="shared" si="1189"/>
        <v>#DIV/0!</v>
      </c>
      <c r="R127" s="162" t="e">
        <f t="shared" si="1189"/>
        <v>#DIV/0!</v>
      </c>
      <c r="S127" s="162" t="e">
        <f t="shared" si="1189"/>
        <v>#DIV/0!</v>
      </c>
      <c r="T127" s="162" t="e">
        <f t="shared" si="1189"/>
        <v>#DIV/0!</v>
      </c>
      <c r="U127" s="162" t="e">
        <f t="shared" si="1189"/>
        <v>#DIV/0!</v>
      </c>
      <c r="V127" s="162" t="e">
        <f t="shared" si="1189"/>
        <v>#DIV/0!</v>
      </c>
      <c r="W127" s="162" t="e">
        <f t="shared" si="1189"/>
        <v>#DIV/0!</v>
      </c>
      <c r="X127" s="162" t="e">
        <f t="shared" si="1189"/>
        <v>#DIV/0!</v>
      </c>
      <c r="Y127" s="162" t="e">
        <f t="shared" si="1189"/>
        <v>#DIV/0!</v>
      </c>
      <c r="Z127" s="162">
        <f t="shared" si="1189"/>
        <v>0</v>
      </c>
      <c r="AA127" s="162">
        <f t="shared" ref="AA127" si="1190">+AA110/AA$32</f>
        <v>4.0800288020147315E-4</v>
      </c>
      <c r="AB127" s="50">
        <f t="shared" si="1189"/>
        <v>-3.3089696280858732E-4</v>
      </c>
      <c r="AC127" s="50">
        <f t="shared" si="1189"/>
        <v>-3.0960548220648775E-4</v>
      </c>
      <c r="AD127" s="50">
        <f t="shared" si="1189"/>
        <v>-2.6883531592767452E-4</v>
      </c>
      <c r="AE127" s="50">
        <f t="shared" si="1189"/>
        <v>-2.0036406636103946E-4</v>
      </c>
      <c r="AL127" s="162">
        <f t="shared" ref="AL127:BQ127" si="1191">+AL102/AL124</f>
        <v>0</v>
      </c>
      <c r="AM127" s="162">
        <f t="shared" si="1191"/>
        <v>0</v>
      </c>
      <c r="AN127" s="162">
        <f t="shared" si="1191"/>
        <v>0</v>
      </c>
      <c r="AO127" s="162">
        <f t="shared" si="1191"/>
        <v>0</v>
      </c>
      <c r="AP127" s="162">
        <f t="shared" si="1191"/>
        <v>0</v>
      </c>
      <c r="AQ127" s="162">
        <f t="shared" si="1191"/>
        <v>0</v>
      </c>
      <c r="AR127" s="162">
        <f t="shared" si="1191"/>
        <v>0</v>
      </c>
      <c r="AS127" s="162">
        <f t="shared" si="1191"/>
        <v>0</v>
      </c>
      <c r="AT127" s="162">
        <f t="shared" si="1191"/>
        <v>0</v>
      </c>
      <c r="AU127" s="162">
        <f t="shared" si="1191"/>
        <v>0</v>
      </c>
      <c r="AV127" s="162">
        <f t="shared" si="1191"/>
        <v>0</v>
      </c>
      <c r="AW127" s="162">
        <f t="shared" si="1191"/>
        <v>0</v>
      </c>
      <c r="AX127" s="162">
        <f t="shared" si="1191"/>
        <v>0</v>
      </c>
      <c r="AY127" s="162">
        <f t="shared" si="1191"/>
        <v>0</v>
      </c>
      <c r="AZ127" s="162">
        <f t="shared" si="1191"/>
        <v>0</v>
      </c>
      <c r="BA127" s="162">
        <f t="shared" si="1191"/>
        <v>0</v>
      </c>
      <c r="BB127" s="162">
        <f t="shared" si="1191"/>
        <v>0</v>
      </c>
      <c r="BC127" s="162">
        <f t="shared" si="1191"/>
        <v>0</v>
      </c>
      <c r="BD127" s="162">
        <f t="shared" si="1191"/>
        <v>0</v>
      </c>
      <c r="BE127" s="162">
        <f t="shared" si="1191"/>
        <v>0</v>
      </c>
      <c r="BF127" s="162">
        <f t="shared" si="1191"/>
        <v>0</v>
      </c>
      <c r="BG127" s="162">
        <f t="shared" si="1191"/>
        <v>0</v>
      </c>
      <c r="BH127" s="162">
        <f t="shared" si="1191"/>
        <v>0</v>
      </c>
      <c r="BI127" s="162">
        <f t="shared" si="1191"/>
        <v>0</v>
      </c>
      <c r="BJ127" s="162">
        <f t="shared" si="1191"/>
        <v>0</v>
      </c>
      <c r="BK127" s="162">
        <f t="shared" si="1191"/>
        <v>0</v>
      </c>
      <c r="BL127" s="162">
        <f t="shared" si="1191"/>
        <v>0</v>
      </c>
      <c r="BM127" s="162">
        <f t="shared" si="1191"/>
        <v>0</v>
      </c>
      <c r="BN127" s="162">
        <f t="shared" si="1191"/>
        <v>0</v>
      </c>
      <c r="BO127" s="162">
        <f t="shared" si="1191"/>
        <v>0</v>
      </c>
      <c r="BP127" s="162">
        <f t="shared" si="1191"/>
        <v>0</v>
      </c>
      <c r="BQ127" s="162">
        <f t="shared" si="1191"/>
        <v>0</v>
      </c>
      <c r="BR127" s="162">
        <f t="shared" ref="BR127:DB127" si="1192">+BR102/BR124</f>
        <v>0</v>
      </c>
      <c r="BS127" s="162">
        <f t="shared" si="1192"/>
        <v>0</v>
      </c>
      <c r="BT127" s="162">
        <f t="shared" si="1192"/>
        <v>0</v>
      </c>
      <c r="BU127" s="162">
        <f t="shared" si="1192"/>
        <v>0</v>
      </c>
      <c r="BV127" s="162">
        <f t="shared" si="1192"/>
        <v>0</v>
      </c>
      <c r="BW127" s="162">
        <f t="shared" si="1192"/>
        <v>0</v>
      </c>
      <c r="BX127" s="162">
        <f t="shared" si="1192"/>
        <v>0</v>
      </c>
      <c r="BY127" s="162">
        <f t="shared" si="1192"/>
        <v>0</v>
      </c>
      <c r="BZ127" s="162">
        <f t="shared" si="1192"/>
        <v>0</v>
      </c>
      <c r="CA127" s="162">
        <f t="shared" si="1192"/>
        <v>0</v>
      </c>
      <c r="CB127" s="162">
        <f t="shared" si="1192"/>
        <v>0</v>
      </c>
      <c r="CC127" s="162">
        <f t="shared" si="1192"/>
        <v>0</v>
      </c>
      <c r="CD127" s="162">
        <f t="shared" si="1192"/>
        <v>0</v>
      </c>
      <c r="CE127" s="162">
        <f t="shared" si="1192"/>
        <v>0</v>
      </c>
      <c r="CF127" s="162">
        <f t="shared" si="1192"/>
        <v>0</v>
      </c>
      <c r="CG127" s="162">
        <f t="shared" si="1192"/>
        <v>0</v>
      </c>
      <c r="CH127" s="162">
        <f t="shared" si="1192"/>
        <v>0</v>
      </c>
      <c r="CI127" s="162">
        <f t="shared" si="1192"/>
        <v>0</v>
      </c>
      <c r="CJ127" s="162">
        <f t="shared" si="1192"/>
        <v>0</v>
      </c>
      <c r="CK127" s="162">
        <f t="shared" ref="CK127:CL127" si="1193">+CK102/CK124</f>
        <v>2.0958736599676473</v>
      </c>
      <c r="CL127" s="162">
        <f t="shared" si="1193"/>
        <v>1.8761586067003448</v>
      </c>
      <c r="CM127" s="50">
        <f t="shared" si="1192"/>
        <v>1.7382998352733976</v>
      </c>
      <c r="CN127" s="50">
        <f t="shared" si="1192"/>
        <v>1.6857169871764726</v>
      </c>
      <c r="CO127" s="50">
        <f t="shared" si="1192"/>
        <v>1.6254544705274707</v>
      </c>
      <c r="CP127" s="50">
        <f t="shared" si="1192"/>
        <v>1.5753467274784818</v>
      </c>
      <c r="CQ127" s="50">
        <f t="shared" si="1192"/>
        <v>1.5457623406221366</v>
      </c>
      <c r="CR127" s="50">
        <f t="shared" si="1192"/>
        <v>1.5150966651144533</v>
      </c>
      <c r="CS127" s="50">
        <f t="shared" si="1192"/>
        <v>1.4827562889388581</v>
      </c>
      <c r="CT127" s="50">
        <f t="shared" si="1192"/>
        <v>1.4530809021941642</v>
      </c>
      <c r="CU127" s="50">
        <f t="shared" si="1192"/>
        <v>1.4221573472319939</v>
      </c>
      <c r="CV127" s="50">
        <f t="shared" si="1192"/>
        <v>1.3880928624490536</v>
      </c>
      <c r="CW127" s="50">
        <f t="shared" si="1192"/>
        <v>1.3477456612989847</v>
      </c>
      <c r="CX127" s="50">
        <f t="shared" si="1192"/>
        <v>1.302367664027809</v>
      </c>
      <c r="CY127" s="50">
        <f t="shared" si="1192"/>
        <v>1.2731433761846547</v>
      </c>
      <c r="CZ127" s="50">
        <f t="shared" si="1192"/>
        <v>1.2412908367145223</v>
      </c>
      <c r="DA127" s="50">
        <f t="shared" si="1192"/>
        <v>1.2045859525407181</v>
      </c>
      <c r="DB127" s="50">
        <f t="shared" si="1192"/>
        <v>1.1656339111846767</v>
      </c>
      <c r="DE127" s="104"/>
      <c r="DF127" s="162">
        <v>1.7005400711661105</v>
      </c>
    </row>
    <row r="128" spans="1:110" s="162" customFormat="1" x14ac:dyDescent="0.2">
      <c r="A128" s="162" t="s">
        <v>511</v>
      </c>
      <c r="E128" s="162" t="e">
        <f t="shared" ref="E128:AE128" si="1194">+E111/E$32</f>
        <v>#DIV/0!</v>
      </c>
      <c r="F128" s="162" t="e">
        <f t="shared" si="1194"/>
        <v>#DIV/0!</v>
      </c>
      <c r="G128" s="162" t="e">
        <f t="shared" si="1194"/>
        <v>#DIV/0!</v>
      </c>
      <c r="H128" s="162" t="e">
        <f t="shared" si="1194"/>
        <v>#DIV/0!</v>
      </c>
      <c r="I128" s="162" t="e">
        <f t="shared" si="1194"/>
        <v>#DIV/0!</v>
      </c>
      <c r="J128" s="162" t="e">
        <f t="shared" si="1194"/>
        <v>#DIV/0!</v>
      </c>
      <c r="K128" s="162" t="e">
        <f t="shared" si="1194"/>
        <v>#DIV/0!</v>
      </c>
      <c r="L128" s="162" t="e">
        <f t="shared" si="1194"/>
        <v>#DIV/0!</v>
      </c>
      <c r="M128" s="162" t="e">
        <f t="shared" si="1194"/>
        <v>#DIV/0!</v>
      </c>
      <c r="N128" s="162" t="e">
        <f t="shared" si="1194"/>
        <v>#DIV/0!</v>
      </c>
      <c r="O128" s="162" t="e">
        <f t="shared" si="1194"/>
        <v>#DIV/0!</v>
      </c>
      <c r="P128" s="162" t="e">
        <f t="shared" si="1194"/>
        <v>#DIV/0!</v>
      </c>
      <c r="Q128" s="162" t="e">
        <f t="shared" si="1194"/>
        <v>#DIV/0!</v>
      </c>
      <c r="R128" s="162" t="e">
        <f t="shared" si="1194"/>
        <v>#DIV/0!</v>
      </c>
      <c r="S128" s="162" t="e">
        <f t="shared" si="1194"/>
        <v>#DIV/0!</v>
      </c>
      <c r="T128" s="162" t="e">
        <f t="shared" si="1194"/>
        <v>#DIV/0!</v>
      </c>
      <c r="U128" s="162" t="e">
        <f t="shared" si="1194"/>
        <v>#DIV/0!</v>
      </c>
      <c r="V128" s="162" t="e">
        <f t="shared" si="1194"/>
        <v>#DIV/0!</v>
      </c>
      <c r="W128" s="162" t="e">
        <f t="shared" si="1194"/>
        <v>#DIV/0!</v>
      </c>
      <c r="X128" s="162" t="e">
        <f t="shared" si="1194"/>
        <v>#DIV/0!</v>
      </c>
      <c r="Y128" s="162" t="e">
        <f t="shared" si="1194"/>
        <v>#DIV/0!</v>
      </c>
      <c r="Z128" s="162">
        <f t="shared" si="1194"/>
        <v>0</v>
      </c>
      <c r="AA128" s="162">
        <f t="shared" ref="AA128" si="1195">+AA111/AA$32</f>
        <v>5.2623686233791117E-4</v>
      </c>
      <c r="AB128" s="94">
        <f t="shared" si="1194"/>
        <v>-4.4715901351309123E-4</v>
      </c>
      <c r="AC128" s="94">
        <f t="shared" si="1194"/>
        <v>-4.4024350086024395E-4</v>
      </c>
      <c r="AD128" s="94">
        <f t="shared" si="1194"/>
        <v>-4.4960561966372821E-4</v>
      </c>
      <c r="AE128" s="94">
        <f t="shared" si="1194"/>
        <v>-3.6923853461426077E-4</v>
      </c>
      <c r="AL128" s="162">
        <f t="shared" ref="AL128:BQ128" si="1196">+AL103/AL124</f>
        <v>0</v>
      </c>
      <c r="AM128" s="162">
        <f t="shared" si="1196"/>
        <v>0</v>
      </c>
      <c r="AN128" s="162">
        <f t="shared" si="1196"/>
        <v>0</v>
      </c>
      <c r="AO128" s="162">
        <f t="shared" si="1196"/>
        <v>0</v>
      </c>
      <c r="AP128" s="162">
        <f t="shared" si="1196"/>
        <v>0</v>
      </c>
      <c r="AQ128" s="162">
        <f t="shared" si="1196"/>
        <v>0</v>
      </c>
      <c r="AR128" s="162">
        <f t="shared" si="1196"/>
        <v>0</v>
      </c>
      <c r="AS128" s="162">
        <f t="shared" si="1196"/>
        <v>0</v>
      </c>
      <c r="AT128" s="162">
        <f t="shared" si="1196"/>
        <v>0</v>
      </c>
      <c r="AU128" s="162">
        <f t="shared" si="1196"/>
        <v>0</v>
      </c>
      <c r="AV128" s="162">
        <f t="shared" si="1196"/>
        <v>0</v>
      </c>
      <c r="AW128" s="162">
        <f t="shared" si="1196"/>
        <v>0</v>
      </c>
      <c r="AX128" s="162">
        <f t="shared" si="1196"/>
        <v>0</v>
      </c>
      <c r="AY128" s="162">
        <f t="shared" si="1196"/>
        <v>0</v>
      </c>
      <c r="AZ128" s="162">
        <f t="shared" si="1196"/>
        <v>0</v>
      </c>
      <c r="BA128" s="162">
        <f t="shared" si="1196"/>
        <v>0</v>
      </c>
      <c r="BB128" s="162">
        <f t="shared" si="1196"/>
        <v>0</v>
      </c>
      <c r="BC128" s="162">
        <f t="shared" si="1196"/>
        <v>0</v>
      </c>
      <c r="BD128" s="162">
        <f t="shared" si="1196"/>
        <v>0</v>
      </c>
      <c r="BE128" s="162">
        <f t="shared" si="1196"/>
        <v>0</v>
      </c>
      <c r="BF128" s="162">
        <f t="shared" si="1196"/>
        <v>0</v>
      </c>
      <c r="BG128" s="162">
        <f t="shared" si="1196"/>
        <v>0</v>
      </c>
      <c r="BH128" s="162">
        <f t="shared" si="1196"/>
        <v>0</v>
      </c>
      <c r="BI128" s="162">
        <f t="shared" si="1196"/>
        <v>0</v>
      </c>
      <c r="BJ128" s="162">
        <f t="shared" si="1196"/>
        <v>0</v>
      </c>
      <c r="BK128" s="162">
        <f t="shared" si="1196"/>
        <v>0</v>
      </c>
      <c r="BL128" s="162">
        <f t="shared" si="1196"/>
        <v>0</v>
      </c>
      <c r="BM128" s="162">
        <f t="shared" si="1196"/>
        <v>0</v>
      </c>
      <c r="BN128" s="162">
        <f t="shared" si="1196"/>
        <v>0</v>
      </c>
      <c r="BO128" s="162">
        <f t="shared" si="1196"/>
        <v>0</v>
      </c>
      <c r="BP128" s="162">
        <f t="shared" si="1196"/>
        <v>0</v>
      </c>
      <c r="BQ128" s="162">
        <f t="shared" si="1196"/>
        <v>0</v>
      </c>
      <c r="BR128" s="162">
        <f t="shared" ref="BR128:CJ128" si="1197">+BR103/BR124</f>
        <v>0</v>
      </c>
      <c r="BS128" s="162">
        <f t="shared" si="1197"/>
        <v>0</v>
      </c>
      <c r="BT128" s="162">
        <f t="shared" si="1197"/>
        <v>0</v>
      </c>
      <c r="BU128" s="162">
        <f t="shared" si="1197"/>
        <v>0</v>
      </c>
      <c r="BV128" s="162">
        <f t="shared" si="1197"/>
        <v>0</v>
      </c>
      <c r="BW128" s="162">
        <f t="shared" si="1197"/>
        <v>0</v>
      </c>
      <c r="BX128" s="162">
        <f t="shared" si="1197"/>
        <v>0</v>
      </c>
      <c r="BY128" s="162">
        <f t="shared" si="1197"/>
        <v>0</v>
      </c>
      <c r="BZ128" s="162">
        <f t="shared" si="1197"/>
        <v>0</v>
      </c>
      <c r="CA128" s="162">
        <f t="shared" si="1197"/>
        <v>0</v>
      </c>
      <c r="CB128" s="162">
        <f t="shared" si="1197"/>
        <v>0</v>
      </c>
      <c r="CC128" s="162">
        <f t="shared" si="1197"/>
        <v>0</v>
      </c>
      <c r="CD128" s="162">
        <f t="shared" si="1197"/>
        <v>0</v>
      </c>
      <c r="CE128" s="162">
        <f t="shared" si="1197"/>
        <v>0</v>
      </c>
      <c r="CF128" s="162">
        <f t="shared" si="1197"/>
        <v>0</v>
      </c>
      <c r="CG128" s="162">
        <f t="shared" si="1197"/>
        <v>0</v>
      </c>
      <c r="CH128" s="162">
        <f t="shared" si="1197"/>
        <v>0</v>
      </c>
      <c r="CI128" s="162">
        <f t="shared" si="1197"/>
        <v>0</v>
      </c>
      <c r="CJ128" s="162">
        <f t="shared" si="1197"/>
        <v>0</v>
      </c>
      <c r="CK128" s="162">
        <f t="shared" ref="CK128:CL128" si="1198">+CK103/CK124</f>
        <v>2.1876895237572995</v>
      </c>
      <c r="CL128" s="162">
        <f t="shared" si="1198"/>
        <v>2.4198452176384704</v>
      </c>
      <c r="CM128" s="94">
        <f t="shared" ref="CM128:DB128" si="1199">+CL128</f>
        <v>2.4198452176384704</v>
      </c>
      <c r="CN128" s="94">
        <f t="shared" si="1199"/>
        <v>2.4198452176384704</v>
      </c>
      <c r="CO128" s="94">
        <f t="shared" si="1199"/>
        <v>2.4198452176384704</v>
      </c>
      <c r="CP128" s="94">
        <f t="shared" si="1199"/>
        <v>2.4198452176384704</v>
      </c>
      <c r="CQ128" s="94">
        <f t="shared" si="1199"/>
        <v>2.4198452176384704</v>
      </c>
      <c r="CR128" s="94">
        <f t="shared" si="1199"/>
        <v>2.4198452176384704</v>
      </c>
      <c r="CS128" s="94">
        <f t="shared" si="1199"/>
        <v>2.4198452176384704</v>
      </c>
      <c r="CT128" s="94">
        <f t="shared" si="1199"/>
        <v>2.4198452176384704</v>
      </c>
      <c r="CU128" s="94">
        <f t="shared" si="1199"/>
        <v>2.4198452176384704</v>
      </c>
      <c r="CV128" s="94">
        <f t="shared" si="1199"/>
        <v>2.4198452176384704</v>
      </c>
      <c r="CW128" s="94">
        <f t="shared" si="1199"/>
        <v>2.4198452176384704</v>
      </c>
      <c r="CX128" s="94">
        <f t="shared" si="1199"/>
        <v>2.4198452176384704</v>
      </c>
      <c r="CY128" s="94">
        <f t="shared" si="1199"/>
        <v>2.4198452176384704</v>
      </c>
      <c r="CZ128" s="94">
        <f t="shared" si="1199"/>
        <v>2.4198452176384704</v>
      </c>
      <c r="DA128" s="94">
        <f t="shared" si="1199"/>
        <v>2.4198452176384704</v>
      </c>
      <c r="DB128" s="94">
        <f t="shared" si="1199"/>
        <v>2.4198452176384704</v>
      </c>
      <c r="DE128" s="163"/>
      <c r="DF128" s="162">
        <v>2.1876895237572995</v>
      </c>
    </row>
    <row r="129" spans="1:110" s="162" customFormat="1" x14ac:dyDescent="0.2">
      <c r="A129" s="162" t="s">
        <v>512</v>
      </c>
      <c r="E129" s="162" t="e">
        <f t="shared" ref="E129:AE129" si="1200">+E112/E$32</f>
        <v>#DIV/0!</v>
      </c>
      <c r="F129" s="162" t="e">
        <f t="shared" si="1200"/>
        <v>#DIV/0!</v>
      </c>
      <c r="G129" s="162" t="e">
        <f t="shared" si="1200"/>
        <v>#DIV/0!</v>
      </c>
      <c r="H129" s="162" t="e">
        <f t="shared" si="1200"/>
        <v>#DIV/0!</v>
      </c>
      <c r="I129" s="162" t="e">
        <f t="shared" si="1200"/>
        <v>#DIV/0!</v>
      </c>
      <c r="J129" s="162" t="e">
        <f t="shared" si="1200"/>
        <v>#DIV/0!</v>
      </c>
      <c r="K129" s="162" t="e">
        <f t="shared" si="1200"/>
        <v>#DIV/0!</v>
      </c>
      <c r="L129" s="162" t="e">
        <f t="shared" si="1200"/>
        <v>#DIV/0!</v>
      </c>
      <c r="M129" s="162" t="e">
        <f t="shared" si="1200"/>
        <v>#DIV/0!</v>
      </c>
      <c r="N129" s="162" t="e">
        <f t="shared" si="1200"/>
        <v>#DIV/0!</v>
      </c>
      <c r="O129" s="162" t="e">
        <f t="shared" si="1200"/>
        <v>#DIV/0!</v>
      </c>
      <c r="P129" s="162" t="e">
        <f t="shared" si="1200"/>
        <v>#DIV/0!</v>
      </c>
      <c r="Q129" s="162" t="e">
        <f t="shared" si="1200"/>
        <v>#DIV/0!</v>
      </c>
      <c r="R129" s="162" t="e">
        <f t="shared" si="1200"/>
        <v>#DIV/0!</v>
      </c>
      <c r="S129" s="162" t="e">
        <f t="shared" si="1200"/>
        <v>#DIV/0!</v>
      </c>
      <c r="T129" s="162" t="e">
        <f t="shared" si="1200"/>
        <v>#DIV/0!</v>
      </c>
      <c r="U129" s="162" t="e">
        <f t="shared" si="1200"/>
        <v>#DIV/0!</v>
      </c>
      <c r="V129" s="162" t="e">
        <f t="shared" si="1200"/>
        <v>#DIV/0!</v>
      </c>
      <c r="W129" s="162" t="e">
        <f t="shared" si="1200"/>
        <v>#DIV/0!</v>
      </c>
      <c r="X129" s="162" t="e">
        <f t="shared" si="1200"/>
        <v>#DIV/0!</v>
      </c>
      <c r="Y129" s="162" t="e">
        <f t="shared" si="1200"/>
        <v>#DIV/0!</v>
      </c>
      <c r="Z129" s="162">
        <f t="shared" si="1200"/>
        <v>0</v>
      </c>
      <c r="AA129" s="162">
        <f t="shared" ref="AA129" si="1201">+AA112/AA$32</f>
        <v>3.1639351581766543E-4</v>
      </c>
      <c r="AB129" s="94">
        <f t="shared" si="1200"/>
        <v>-3.2197908624057568E-4</v>
      </c>
      <c r="AC129" s="94">
        <f t="shared" si="1200"/>
        <v>-3.0850712006789E-4</v>
      </c>
      <c r="AD129" s="94">
        <f t="shared" si="1200"/>
        <v>-3.0276568472794533E-4</v>
      </c>
      <c r="AE129" s="94">
        <f t="shared" si="1200"/>
        <v>-2.6058483314899983E-4</v>
      </c>
      <c r="AL129" s="162">
        <f t="shared" ref="AL129:BQ129" si="1202">+AL104/AL124</f>
        <v>0</v>
      </c>
      <c r="AM129" s="162">
        <f t="shared" si="1202"/>
        <v>0</v>
      </c>
      <c r="AN129" s="162">
        <f t="shared" si="1202"/>
        <v>0</v>
      </c>
      <c r="AO129" s="162">
        <f t="shared" si="1202"/>
        <v>0</v>
      </c>
      <c r="AP129" s="162">
        <f t="shared" si="1202"/>
        <v>0</v>
      </c>
      <c r="AQ129" s="162">
        <f t="shared" si="1202"/>
        <v>0</v>
      </c>
      <c r="AR129" s="162">
        <f t="shared" si="1202"/>
        <v>0</v>
      </c>
      <c r="AS129" s="162">
        <f t="shared" si="1202"/>
        <v>0</v>
      </c>
      <c r="AT129" s="162">
        <f t="shared" si="1202"/>
        <v>0</v>
      </c>
      <c r="AU129" s="162">
        <f t="shared" si="1202"/>
        <v>0</v>
      </c>
      <c r="AV129" s="162">
        <f t="shared" si="1202"/>
        <v>0</v>
      </c>
      <c r="AW129" s="162">
        <f t="shared" si="1202"/>
        <v>0</v>
      </c>
      <c r="AX129" s="162">
        <f t="shared" si="1202"/>
        <v>0</v>
      </c>
      <c r="AY129" s="162">
        <f t="shared" si="1202"/>
        <v>0</v>
      </c>
      <c r="AZ129" s="162">
        <f t="shared" si="1202"/>
        <v>0</v>
      </c>
      <c r="BA129" s="162">
        <f t="shared" si="1202"/>
        <v>0</v>
      </c>
      <c r="BB129" s="162">
        <f t="shared" si="1202"/>
        <v>0</v>
      </c>
      <c r="BC129" s="162">
        <f t="shared" si="1202"/>
        <v>0</v>
      </c>
      <c r="BD129" s="162">
        <f t="shared" si="1202"/>
        <v>0</v>
      </c>
      <c r="BE129" s="162">
        <f t="shared" si="1202"/>
        <v>0</v>
      </c>
      <c r="BF129" s="162">
        <f t="shared" si="1202"/>
        <v>0</v>
      </c>
      <c r="BG129" s="162">
        <f t="shared" si="1202"/>
        <v>0</v>
      </c>
      <c r="BH129" s="162">
        <f t="shared" si="1202"/>
        <v>0</v>
      </c>
      <c r="BI129" s="162">
        <f t="shared" si="1202"/>
        <v>0</v>
      </c>
      <c r="BJ129" s="162">
        <f t="shared" si="1202"/>
        <v>0</v>
      </c>
      <c r="BK129" s="162">
        <f t="shared" si="1202"/>
        <v>0</v>
      </c>
      <c r="BL129" s="162">
        <f t="shared" si="1202"/>
        <v>0</v>
      </c>
      <c r="BM129" s="162">
        <f t="shared" si="1202"/>
        <v>0</v>
      </c>
      <c r="BN129" s="162">
        <f t="shared" si="1202"/>
        <v>0</v>
      </c>
      <c r="BO129" s="162">
        <f t="shared" si="1202"/>
        <v>0</v>
      </c>
      <c r="BP129" s="162">
        <f t="shared" si="1202"/>
        <v>0</v>
      </c>
      <c r="BQ129" s="162">
        <f t="shared" si="1202"/>
        <v>0</v>
      </c>
      <c r="BR129" s="162">
        <f t="shared" ref="BR129:CJ129" si="1203">+BR104/BR124</f>
        <v>0</v>
      </c>
      <c r="BS129" s="162">
        <f t="shared" si="1203"/>
        <v>0</v>
      </c>
      <c r="BT129" s="162">
        <f t="shared" si="1203"/>
        <v>0</v>
      </c>
      <c r="BU129" s="162">
        <f t="shared" si="1203"/>
        <v>0</v>
      </c>
      <c r="BV129" s="162">
        <f t="shared" si="1203"/>
        <v>0</v>
      </c>
      <c r="BW129" s="162">
        <f t="shared" si="1203"/>
        <v>0</v>
      </c>
      <c r="BX129" s="162">
        <f t="shared" si="1203"/>
        <v>0</v>
      </c>
      <c r="BY129" s="162">
        <f t="shared" si="1203"/>
        <v>0</v>
      </c>
      <c r="BZ129" s="162">
        <f t="shared" si="1203"/>
        <v>0</v>
      </c>
      <c r="CA129" s="162">
        <f t="shared" si="1203"/>
        <v>0</v>
      </c>
      <c r="CB129" s="162">
        <f t="shared" si="1203"/>
        <v>0</v>
      </c>
      <c r="CC129" s="162">
        <f t="shared" si="1203"/>
        <v>0</v>
      </c>
      <c r="CD129" s="162">
        <f t="shared" si="1203"/>
        <v>0</v>
      </c>
      <c r="CE129" s="162">
        <f t="shared" si="1203"/>
        <v>0</v>
      </c>
      <c r="CF129" s="162">
        <f t="shared" si="1203"/>
        <v>0</v>
      </c>
      <c r="CG129" s="162">
        <f t="shared" si="1203"/>
        <v>0</v>
      </c>
      <c r="CH129" s="162">
        <f t="shared" si="1203"/>
        <v>0</v>
      </c>
      <c r="CI129" s="162">
        <f t="shared" si="1203"/>
        <v>0</v>
      </c>
      <c r="CJ129" s="162">
        <f t="shared" si="1203"/>
        <v>0</v>
      </c>
      <c r="CK129" s="162">
        <f t="shared" ref="CK129:CL129" si="1204">+CK104/CK124</f>
        <v>0</v>
      </c>
      <c r="CL129" s="162">
        <f t="shared" si="1204"/>
        <v>1.8497706688716908</v>
      </c>
      <c r="CM129" s="94">
        <f t="shared" ref="CM129:DB129" si="1205">+CL129</f>
        <v>1.8497706688716908</v>
      </c>
      <c r="CN129" s="94">
        <f t="shared" si="1205"/>
        <v>1.8497706688716908</v>
      </c>
      <c r="CO129" s="94">
        <f t="shared" si="1205"/>
        <v>1.8497706688716908</v>
      </c>
      <c r="CP129" s="94">
        <f t="shared" si="1205"/>
        <v>1.8497706688716908</v>
      </c>
      <c r="CQ129" s="94">
        <f t="shared" si="1205"/>
        <v>1.8497706688716908</v>
      </c>
      <c r="CR129" s="94">
        <f t="shared" si="1205"/>
        <v>1.8497706688716908</v>
      </c>
      <c r="CS129" s="94">
        <f t="shared" si="1205"/>
        <v>1.8497706688716908</v>
      </c>
      <c r="CT129" s="94">
        <f t="shared" si="1205"/>
        <v>1.8497706688716908</v>
      </c>
      <c r="CU129" s="94">
        <f t="shared" si="1205"/>
        <v>1.8497706688716908</v>
      </c>
      <c r="CV129" s="94">
        <f t="shared" si="1205"/>
        <v>1.8497706688716908</v>
      </c>
      <c r="CW129" s="94">
        <f t="shared" si="1205"/>
        <v>1.8497706688716908</v>
      </c>
      <c r="CX129" s="94">
        <f t="shared" si="1205"/>
        <v>1.8497706688716908</v>
      </c>
      <c r="CY129" s="94">
        <f t="shared" si="1205"/>
        <v>1.8497706688716908</v>
      </c>
      <c r="CZ129" s="94">
        <f t="shared" si="1205"/>
        <v>1.8497706688716908</v>
      </c>
      <c r="DA129" s="94">
        <f t="shared" si="1205"/>
        <v>1.8497706688716908</v>
      </c>
      <c r="DB129" s="94">
        <f t="shared" si="1205"/>
        <v>1.8497706688716908</v>
      </c>
      <c r="DE129" s="163"/>
      <c r="DF129" s="162">
        <v>0</v>
      </c>
    </row>
    <row r="130" spans="1:110" s="4" customFormat="1" x14ac:dyDescent="0.2">
      <c r="A130" s="3"/>
      <c r="AB130" s="17"/>
      <c r="AC130" s="17"/>
      <c r="AD130" s="17"/>
      <c r="AE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E130" s="119"/>
    </row>
    <row r="131" spans="1:110" s="161" customFormat="1" x14ac:dyDescent="0.2">
      <c r="A131" s="49" t="s">
        <v>345</v>
      </c>
      <c r="AB131" s="21">
        <f>+AB137/AB90</f>
        <v>505.40648555495301</v>
      </c>
      <c r="AC131" s="21">
        <f>+AC137/AC90</f>
        <v>531.80928240772926</v>
      </c>
      <c r="AD131" s="21">
        <f>+AD137/AD90</f>
        <v>625.48516430584175</v>
      </c>
      <c r="AE131" s="21">
        <f>+AE137/AE90</f>
        <v>689.22144800603803</v>
      </c>
      <c r="CM131" s="21">
        <f t="shared" ref="CM131:DB131" si="1206">+CM137/CM90</f>
        <v>494.71718783955941</v>
      </c>
      <c r="CN131" s="21">
        <f t="shared" si="1206"/>
        <v>505.40648555495301</v>
      </c>
      <c r="CO131" s="21">
        <f t="shared" si="1206"/>
        <v>487.50625800195257</v>
      </c>
      <c r="CP131" s="21">
        <f t="shared" si="1206"/>
        <v>476.07588548563132</v>
      </c>
      <c r="CQ131" s="21">
        <f t="shared" si="1206"/>
        <v>487.52607735697131</v>
      </c>
      <c r="CR131" s="21">
        <f t="shared" si="1206"/>
        <v>497.32199170018248</v>
      </c>
      <c r="CS131" s="21">
        <f t="shared" si="1206"/>
        <v>509.81719987330467</v>
      </c>
      <c r="CT131" s="21">
        <f t="shared" si="1206"/>
        <v>531.80928240772926</v>
      </c>
      <c r="CU131" s="21">
        <f t="shared" si="1206"/>
        <v>551.01272991879648</v>
      </c>
      <c r="CV131" s="21">
        <f t="shared" si="1206"/>
        <v>571.23039889583049</v>
      </c>
      <c r="CW131" s="21">
        <f t="shared" si="1206"/>
        <v>594.98024318171292</v>
      </c>
      <c r="CX131" s="21">
        <f t="shared" si="1206"/>
        <v>625.48516430584175</v>
      </c>
      <c r="CY131" s="21">
        <f t="shared" si="1206"/>
        <v>636.31271131127164</v>
      </c>
      <c r="CZ131" s="21">
        <f t="shared" si="1206"/>
        <v>649.26877056041792</v>
      </c>
      <c r="DA131" s="21">
        <f t="shared" si="1206"/>
        <v>667.8967715597538</v>
      </c>
      <c r="DB131" s="21">
        <f t="shared" si="1206"/>
        <v>689.22144800603803</v>
      </c>
      <c r="DE131" s="22"/>
      <c r="DF131" s="161">
        <v>468.74825006241372</v>
      </c>
    </row>
    <row r="132" spans="1:110" s="161" customFormat="1" x14ac:dyDescent="0.2">
      <c r="A132" s="49" t="s">
        <v>346</v>
      </c>
      <c r="AB132" s="21">
        <f>+AB138/AB90</f>
        <v>363.92047008190372</v>
      </c>
      <c r="AC132" s="21">
        <f>+AC138/AC90</f>
        <v>372.6731906783175</v>
      </c>
      <c r="AD132" s="21">
        <f>+AD138/AD90</f>
        <v>421.20346315926474</v>
      </c>
      <c r="AE132" s="21">
        <f>+AE138/AE90</f>
        <v>486.40821364701884</v>
      </c>
      <c r="CM132" s="21">
        <f t="shared" ref="CM132:DB132" si="1207">+CM138/CM90</f>
        <v>378.17019732582884</v>
      </c>
      <c r="CN132" s="21">
        <f t="shared" si="1207"/>
        <v>386.34127754230178</v>
      </c>
      <c r="CO132" s="21">
        <f t="shared" si="1207"/>
        <v>372.6580404276641</v>
      </c>
      <c r="CP132" s="21">
        <f t="shared" si="1207"/>
        <v>363.92047008190372</v>
      </c>
      <c r="CQ132" s="21">
        <f t="shared" si="1207"/>
        <v>372.6731906783175</v>
      </c>
      <c r="CR132" s="21">
        <f t="shared" si="1207"/>
        <v>380.16135351401118</v>
      </c>
      <c r="CS132" s="21">
        <f t="shared" si="1207"/>
        <v>389.71290227077162</v>
      </c>
      <c r="CT132" s="21">
        <f t="shared" si="1207"/>
        <v>406.52402263626499</v>
      </c>
      <c r="CU132" s="21">
        <f t="shared" si="1207"/>
        <v>421.20346315926474</v>
      </c>
      <c r="CV132" s="21">
        <f t="shared" si="1207"/>
        <v>436.6581917485467</v>
      </c>
      <c r="CW132" s="21">
        <f t="shared" si="1207"/>
        <v>454.81297496776784</v>
      </c>
      <c r="CX132" s="21">
        <f t="shared" si="1207"/>
        <v>478.13145333173742</v>
      </c>
      <c r="CY132" s="21">
        <f t="shared" si="1207"/>
        <v>486.40821364701884</v>
      </c>
      <c r="CZ132" s="21">
        <f t="shared" si="1207"/>
        <v>496.31204477164874</v>
      </c>
      <c r="DA132" s="21">
        <f t="shared" si="1207"/>
        <v>510.55160423484085</v>
      </c>
      <c r="DB132" s="21">
        <f t="shared" si="1207"/>
        <v>526.85254808281582</v>
      </c>
      <c r="DE132" s="22"/>
      <c r="DF132" s="161">
        <v>11.39337237928047</v>
      </c>
    </row>
    <row r="133" spans="1:110" s="161" customFormat="1" x14ac:dyDescent="0.2">
      <c r="A133" s="49"/>
      <c r="AB133" s="21"/>
      <c r="AC133" s="21"/>
      <c r="AD133" s="21"/>
      <c r="AE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22"/>
    </row>
    <row r="134" spans="1:110" s="161" customFormat="1" x14ac:dyDescent="0.2">
      <c r="A134" s="49" t="s">
        <v>347</v>
      </c>
      <c r="AB134" s="21">
        <f>+AB131/AB102-1</f>
        <v>0.35135423945174593</v>
      </c>
      <c r="AC134" s="21">
        <f>+AC131/AC102-1</f>
        <v>0.4219499529618429</v>
      </c>
      <c r="AD134" s="21">
        <f>+AD131/AD102-1</f>
        <v>0.67242022541668911</v>
      </c>
      <c r="AE134" s="21">
        <f>+AE131/AE102-1</f>
        <v>0.84283809627282902</v>
      </c>
      <c r="CM134" s="21">
        <f t="shared" ref="CM134:DB134" si="1208">+CM131/CM102-1</f>
        <v>0.32277322951753851</v>
      </c>
      <c r="CN134" s="21">
        <f t="shared" si="1208"/>
        <v>0.35135423945174593</v>
      </c>
      <c r="CO134" s="21">
        <f t="shared" si="1208"/>
        <v>0.30349266845441858</v>
      </c>
      <c r="CP134" s="21">
        <f t="shared" si="1208"/>
        <v>0.27293017509527084</v>
      </c>
      <c r="CQ134" s="21">
        <f t="shared" si="1208"/>
        <v>0.30354566138227623</v>
      </c>
      <c r="CR134" s="21">
        <f t="shared" si="1208"/>
        <v>0.329737945722413</v>
      </c>
      <c r="CS134" s="21">
        <f t="shared" si="1208"/>
        <v>0.36314759324413015</v>
      </c>
      <c r="CT134" s="21">
        <f t="shared" si="1208"/>
        <v>0.4219499529618429</v>
      </c>
      <c r="CU134" s="21">
        <f t="shared" si="1208"/>
        <v>0.47329606930159485</v>
      </c>
      <c r="CV134" s="21">
        <f t="shared" si="1208"/>
        <v>0.52735400774286223</v>
      </c>
      <c r="CW134" s="21">
        <f t="shared" si="1208"/>
        <v>0.59085626519174572</v>
      </c>
      <c r="CX134" s="21">
        <f t="shared" si="1208"/>
        <v>0.67242022541668911</v>
      </c>
      <c r="CY134" s="21">
        <f t="shared" si="1208"/>
        <v>0.70137088585901508</v>
      </c>
      <c r="CZ134" s="21">
        <f t="shared" si="1208"/>
        <v>0.73601275550913892</v>
      </c>
      <c r="DA134" s="21">
        <f t="shared" si="1208"/>
        <v>0.78582024481217605</v>
      </c>
      <c r="DB134" s="21">
        <f t="shared" si="1208"/>
        <v>0.84283809627282902</v>
      </c>
      <c r="DE134" s="22"/>
      <c r="DF134" s="161">
        <v>0.31320423045920642</v>
      </c>
    </row>
    <row r="135" spans="1:110" s="161" customFormat="1" x14ac:dyDescent="0.2">
      <c r="A135" s="49" t="s">
        <v>348</v>
      </c>
      <c r="AB135" s="21">
        <f>+AB132/AB102-1</f>
        <v>-2.6950614754268187E-2</v>
      </c>
      <c r="AC135" s="21">
        <f>+AC132/AC102-1</f>
        <v>-3.5476185071724453E-3</v>
      </c>
      <c r="AD135" s="21">
        <f>+AD132/AD102-1</f>
        <v>0.1262124683402801</v>
      </c>
      <c r="AE135" s="21">
        <f>+AE132/AE102-1</f>
        <v>0.30055672098133379</v>
      </c>
      <c r="CM135" s="21">
        <f t="shared" ref="CM135:DB135" si="1209">+CM132/CM102-1</f>
        <v>1.115026022948884E-2</v>
      </c>
      <c r="CN135" s="21">
        <f t="shared" si="1209"/>
        <v>3.2998068294924465E-2</v>
      </c>
      <c r="CO135" s="21">
        <f t="shared" si="1209"/>
        <v>-3.5881271987591168E-3</v>
      </c>
      <c r="CP135" s="21">
        <f t="shared" si="1209"/>
        <v>-2.6950614754268187E-2</v>
      </c>
      <c r="CQ135" s="21">
        <f t="shared" si="1209"/>
        <v>-3.5476185071724453E-3</v>
      </c>
      <c r="CR135" s="21">
        <f t="shared" si="1209"/>
        <v>1.6474207256714335E-2</v>
      </c>
      <c r="CS135" s="21">
        <f t="shared" si="1209"/>
        <v>4.2013107675859862E-2</v>
      </c>
      <c r="CT135" s="21">
        <f t="shared" si="1209"/>
        <v>8.6962627369692402E-2</v>
      </c>
      <c r="CU135" s="21">
        <f t="shared" si="1209"/>
        <v>0.1262124683402801</v>
      </c>
      <c r="CV135" s="21">
        <f t="shared" si="1209"/>
        <v>0.16753527205493768</v>
      </c>
      <c r="CW135" s="21">
        <f t="shared" si="1209"/>
        <v>0.21607747317584991</v>
      </c>
      <c r="CX135" s="21">
        <f t="shared" si="1209"/>
        <v>0.2784263458067846</v>
      </c>
      <c r="CY135" s="21">
        <f t="shared" si="1209"/>
        <v>0.30055672098133379</v>
      </c>
      <c r="CZ135" s="21">
        <f t="shared" si="1209"/>
        <v>0.32703755286537106</v>
      </c>
      <c r="DA135" s="21">
        <f t="shared" si="1209"/>
        <v>0.36511124126962802</v>
      </c>
      <c r="DB135" s="21">
        <f t="shared" si="1209"/>
        <v>0.40869665262784971</v>
      </c>
      <c r="DE135" s="22"/>
      <c r="DF135" s="161">
        <v>-0.96808132125149049</v>
      </c>
    </row>
    <row r="136" spans="1:110" s="161" customFormat="1" x14ac:dyDescent="0.2">
      <c r="A136" s="49"/>
      <c r="AB136" s="21"/>
      <c r="AC136" s="21"/>
      <c r="AD136" s="21"/>
      <c r="AE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E136" s="22"/>
    </row>
    <row r="137" spans="1:110" s="161" customFormat="1" x14ac:dyDescent="0.2">
      <c r="A137" s="49" t="s">
        <v>339</v>
      </c>
      <c r="B137" s="161" t="e">
        <f t="shared" ref="B137:AE137" si="1210">+B103*B90</f>
        <v>#DIV/0!</v>
      </c>
      <c r="C137" s="161" t="e">
        <f t="shared" si="1210"/>
        <v>#DIV/0!</v>
      </c>
      <c r="D137" s="161" t="e">
        <f t="shared" si="1210"/>
        <v>#DIV/0!</v>
      </c>
      <c r="E137" s="161" t="e">
        <f t="shared" si="1210"/>
        <v>#DIV/0!</v>
      </c>
      <c r="F137" s="161" t="e">
        <f t="shared" si="1210"/>
        <v>#DIV/0!</v>
      </c>
      <c r="G137" s="161" t="e">
        <f t="shared" si="1210"/>
        <v>#DIV/0!</v>
      </c>
      <c r="H137" s="161" t="e">
        <f t="shared" si="1210"/>
        <v>#DIV/0!</v>
      </c>
      <c r="I137" s="161" t="e">
        <f t="shared" si="1210"/>
        <v>#DIV/0!</v>
      </c>
      <c r="J137" s="161" t="e">
        <f t="shared" si="1210"/>
        <v>#DIV/0!</v>
      </c>
      <c r="K137" s="161" t="e">
        <f t="shared" si="1210"/>
        <v>#DIV/0!</v>
      </c>
      <c r="L137" s="161" t="e">
        <f t="shared" si="1210"/>
        <v>#DIV/0!</v>
      </c>
      <c r="M137" s="161" t="e">
        <f t="shared" si="1210"/>
        <v>#DIV/0!</v>
      </c>
      <c r="N137" s="161" t="e">
        <f t="shared" si="1210"/>
        <v>#DIV/0!</v>
      </c>
      <c r="O137" s="161" t="e">
        <f t="shared" si="1210"/>
        <v>#DIV/0!</v>
      </c>
      <c r="P137" s="161" t="e">
        <f t="shared" si="1210"/>
        <v>#DIV/0!</v>
      </c>
      <c r="Q137" s="161" t="e">
        <f t="shared" si="1210"/>
        <v>#DIV/0!</v>
      </c>
      <c r="R137" s="161" t="e">
        <f t="shared" si="1210"/>
        <v>#DIV/0!</v>
      </c>
      <c r="S137" s="161" t="e">
        <f t="shared" si="1210"/>
        <v>#DIV/0!</v>
      </c>
      <c r="T137" s="161" t="e">
        <f t="shared" si="1210"/>
        <v>#DIV/0!</v>
      </c>
      <c r="U137" s="161" t="e">
        <f t="shared" si="1210"/>
        <v>#DIV/0!</v>
      </c>
      <c r="V137" s="161" t="e">
        <f t="shared" si="1210"/>
        <v>#DIV/0!</v>
      </c>
      <c r="W137" s="161" t="e">
        <f t="shared" si="1210"/>
        <v>#DIV/0!</v>
      </c>
      <c r="X137" s="161" t="e">
        <f t="shared" si="1210"/>
        <v>#DIV/0!</v>
      </c>
      <c r="Y137" s="161" t="e">
        <f t="shared" si="1210"/>
        <v>#DIV/0!</v>
      </c>
      <c r="Z137" s="161">
        <f t="shared" si="1210"/>
        <v>0</v>
      </c>
      <c r="AA137" s="161">
        <f t="shared" ref="AA137" si="1211">+AA103*AA90</f>
        <v>187293.6</v>
      </c>
      <c r="AB137" s="21">
        <f t="shared" si="1210"/>
        <v>185989.58668422271</v>
      </c>
      <c r="AC137" s="21">
        <f t="shared" si="1210"/>
        <v>195705.81592604436</v>
      </c>
      <c r="AD137" s="21">
        <f t="shared" si="1210"/>
        <v>230178.54046454976</v>
      </c>
      <c r="AE137" s="21">
        <f t="shared" si="1210"/>
        <v>253633.49286622199</v>
      </c>
      <c r="AL137" s="161">
        <f t="shared" ref="AL137:BQ137" si="1212">+AL103*AL90</f>
        <v>0</v>
      </c>
      <c r="AM137" s="161">
        <f t="shared" si="1212"/>
        <v>0</v>
      </c>
      <c r="AN137" s="161">
        <f t="shared" si="1212"/>
        <v>0</v>
      </c>
      <c r="AO137" s="161">
        <f t="shared" si="1212"/>
        <v>0</v>
      </c>
      <c r="AP137" s="161">
        <f t="shared" si="1212"/>
        <v>0</v>
      </c>
      <c r="AQ137" s="161">
        <f t="shared" si="1212"/>
        <v>0</v>
      </c>
      <c r="AR137" s="161">
        <f t="shared" si="1212"/>
        <v>0</v>
      </c>
      <c r="AS137" s="161">
        <f t="shared" si="1212"/>
        <v>0</v>
      </c>
      <c r="AT137" s="161">
        <f t="shared" si="1212"/>
        <v>0</v>
      </c>
      <c r="AU137" s="161">
        <f t="shared" si="1212"/>
        <v>0</v>
      </c>
      <c r="AV137" s="161">
        <f t="shared" si="1212"/>
        <v>0</v>
      </c>
      <c r="AW137" s="161">
        <f t="shared" si="1212"/>
        <v>0</v>
      </c>
      <c r="AX137" s="161">
        <f t="shared" si="1212"/>
        <v>0</v>
      </c>
      <c r="AY137" s="161">
        <f t="shared" si="1212"/>
        <v>0</v>
      </c>
      <c r="AZ137" s="161">
        <f t="shared" si="1212"/>
        <v>0</v>
      </c>
      <c r="BA137" s="161">
        <f t="shared" si="1212"/>
        <v>0</v>
      </c>
      <c r="BB137" s="161">
        <f t="shared" si="1212"/>
        <v>0</v>
      </c>
      <c r="BC137" s="161">
        <f t="shared" si="1212"/>
        <v>0</v>
      </c>
      <c r="BD137" s="161">
        <f t="shared" si="1212"/>
        <v>0</v>
      </c>
      <c r="BE137" s="161">
        <f t="shared" si="1212"/>
        <v>0</v>
      </c>
      <c r="BF137" s="161">
        <f t="shared" si="1212"/>
        <v>0</v>
      </c>
      <c r="BG137" s="161">
        <f t="shared" si="1212"/>
        <v>0</v>
      </c>
      <c r="BH137" s="161">
        <f t="shared" si="1212"/>
        <v>0</v>
      </c>
      <c r="BI137" s="161">
        <f t="shared" si="1212"/>
        <v>0</v>
      </c>
      <c r="BJ137" s="161">
        <f t="shared" si="1212"/>
        <v>0</v>
      </c>
      <c r="BK137" s="161">
        <f t="shared" si="1212"/>
        <v>0</v>
      </c>
      <c r="BL137" s="161">
        <f t="shared" si="1212"/>
        <v>0</v>
      </c>
      <c r="BM137" s="161">
        <f t="shared" si="1212"/>
        <v>0</v>
      </c>
      <c r="BN137" s="161">
        <f t="shared" si="1212"/>
        <v>0</v>
      </c>
      <c r="BO137" s="161">
        <f t="shared" si="1212"/>
        <v>0</v>
      </c>
      <c r="BP137" s="161">
        <f t="shared" si="1212"/>
        <v>0</v>
      </c>
      <c r="BQ137" s="161">
        <f t="shared" si="1212"/>
        <v>0</v>
      </c>
      <c r="BR137" s="161">
        <f t="shared" ref="BR137:CJ137" si="1213">+BR103*BR90</f>
        <v>0</v>
      </c>
      <c r="BS137" s="161">
        <f t="shared" si="1213"/>
        <v>0</v>
      </c>
      <c r="BT137" s="161">
        <f t="shared" si="1213"/>
        <v>0</v>
      </c>
      <c r="BU137" s="161">
        <f t="shared" si="1213"/>
        <v>0</v>
      </c>
      <c r="BV137" s="161">
        <f t="shared" si="1213"/>
        <v>0</v>
      </c>
      <c r="BW137" s="161">
        <f t="shared" si="1213"/>
        <v>0</v>
      </c>
      <c r="BX137" s="161">
        <f t="shared" si="1213"/>
        <v>0</v>
      </c>
      <c r="BY137" s="161">
        <f t="shared" si="1213"/>
        <v>0</v>
      </c>
      <c r="BZ137" s="161">
        <f t="shared" si="1213"/>
        <v>0</v>
      </c>
      <c r="CA137" s="161">
        <f t="shared" si="1213"/>
        <v>0</v>
      </c>
      <c r="CB137" s="161">
        <f t="shared" si="1213"/>
        <v>0</v>
      </c>
      <c r="CC137" s="161">
        <f t="shared" si="1213"/>
        <v>0</v>
      </c>
      <c r="CD137" s="161">
        <f t="shared" si="1213"/>
        <v>0</v>
      </c>
      <c r="CE137" s="161">
        <f t="shared" si="1213"/>
        <v>0</v>
      </c>
      <c r="CF137" s="161">
        <f t="shared" si="1213"/>
        <v>0</v>
      </c>
      <c r="CG137" s="161">
        <f t="shared" si="1213"/>
        <v>0</v>
      </c>
      <c r="CH137" s="161">
        <f t="shared" si="1213"/>
        <v>0</v>
      </c>
      <c r="CI137" s="161">
        <f t="shared" si="1213"/>
        <v>0</v>
      </c>
      <c r="CJ137" s="161">
        <f t="shared" si="1213"/>
        <v>0</v>
      </c>
      <c r="CK137" s="161">
        <f t="shared" ref="CK137:CL137" si="1214">+CK103*CK90</f>
        <v>159583.19999999998</v>
      </c>
      <c r="CL137" s="161">
        <f t="shared" si="1214"/>
        <v>187293.6</v>
      </c>
      <c r="CM137" s="21">
        <f t="shared" ref="CM137:DB137" si="1215">+CM103*CM90</f>
        <v>182055.92512495787</v>
      </c>
      <c r="CN137" s="21">
        <f t="shared" si="1215"/>
        <v>185989.58668422271</v>
      </c>
      <c r="CO137" s="21">
        <f t="shared" si="1215"/>
        <v>179402.30294471854</v>
      </c>
      <c r="CP137" s="21">
        <f t="shared" si="1215"/>
        <v>175195.92585871232</v>
      </c>
      <c r="CQ137" s="21">
        <f t="shared" si="1215"/>
        <v>179409.59646736545</v>
      </c>
      <c r="CR137" s="21">
        <f t="shared" si="1215"/>
        <v>183014.49294566715</v>
      </c>
      <c r="CS137" s="21">
        <f t="shared" si="1215"/>
        <v>187612.72955337612</v>
      </c>
      <c r="CT137" s="21">
        <f t="shared" si="1215"/>
        <v>195705.81592604436</v>
      </c>
      <c r="CU137" s="21">
        <f t="shared" si="1215"/>
        <v>202772.68461011711</v>
      </c>
      <c r="CV137" s="21">
        <f t="shared" si="1215"/>
        <v>210212.78679366561</v>
      </c>
      <c r="CW137" s="21">
        <f t="shared" si="1215"/>
        <v>218952.72949087035</v>
      </c>
      <c r="CX137" s="21">
        <f t="shared" si="1215"/>
        <v>230178.54046454976</v>
      </c>
      <c r="CY137" s="21">
        <f t="shared" si="1215"/>
        <v>234163.07776254797</v>
      </c>
      <c r="CZ137" s="21">
        <f t="shared" si="1215"/>
        <v>238930.9075662338</v>
      </c>
      <c r="DA137" s="21">
        <f t="shared" si="1215"/>
        <v>245786.01193398939</v>
      </c>
      <c r="DB137" s="21">
        <f t="shared" si="1215"/>
        <v>253633.49286622199</v>
      </c>
      <c r="DE137" s="22"/>
      <c r="DF137" s="161">
        <v>172499.35602296825</v>
      </c>
    </row>
    <row r="138" spans="1:110" s="161" customFormat="1" x14ac:dyDescent="0.2">
      <c r="A138" s="49" t="s">
        <v>340</v>
      </c>
      <c r="B138" s="161" t="e">
        <f t="shared" ref="B138:AE138" si="1216">+B104*B90</f>
        <v>#DIV/0!</v>
      </c>
      <c r="C138" s="161" t="e">
        <f t="shared" si="1216"/>
        <v>#DIV/0!</v>
      </c>
      <c r="D138" s="161" t="e">
        <f t="shared" si="1216"/>
        <v>#DIV/0!</v>
      </c>
      <c r="E138" s="161" t="e">
        <f t="shared" si="1216"/>
        <v>#DIV/0!</v>
      </c>
      <c r="F138" s="161" t="e">
        <f t="shared" si="1216"/>
        <v>#DIV/0!</v>
      </c>
      <c r="G138" s="161" t="e">
        <f t="shared" si="1216"/>
        <v>#DIV/0!</v>
      </c>
      <c r="H138" s="161" t="e">
        <f t="shared" si="1216"/>
        <v>#DIV/0!</v>
      </c>
      <c r="I138" s="161" t="e">
        <f t="shared" si="1216"/>
        <v>#DIV/0!</v>
      </c>
      <c r="J138" s="161" t="e">
        <f t="shared" si="1216"/>
        <v>#DIV/0!</v>
      </c>
      <c r="K138" s="161" t="e">
        <f t="shared" si="1216"/>
        <v>#DIV/0!</v>
      </c>
      <c r="L138" s="161" t="e">
        <f t="shared" si="1216"/>
        <v>#DIV/0!</v>
      </c>
      <c r="M138" s="161" t="e">
        <f t="shared" si="1216"/>
        <v>#DIV/0!</v>
      </c>
      <c r="N138" s="161" t="e">
        <f t="shared" si="1216"/>
        <v>#DIV/0!</v>
      </c>
      <c r="O138" s="161" t="e">
        <f t="shared" si="1216"/>
        <v>#DIV/0!</v>
      </c>
      <c r="P138" s="161" t="e">
        <f t="shared" si="1216"/>
        <v>#DIV/0!</v>
      </c>
      <c r="Q138" s="161" t="e">
        <f t="shared" si="1216"/>
        <v>#DIV/0!</v>
      </c>
      <c r="R138" s="161" t="e">
        <f t="shared" si="1216"/>
        <v>#DIV/0!</v>
      </c>
      <c r="S138" s="161" t="e">
        <f t="shared" si="1216"/>
        <v>#DIV/0!</v>
      </c>
      <c r="T138" s="161" t="e">
        <f t="shared" si="1216"/>
        <v>#DIV/0!</v>
      </c>
      <c r="U138" s="161" t="e">
        <f t="shared" si="1216"/>
        <v>#DIV/0!</v>
      </c>
      <c r="V138" s="161" t="e">
        <f t="shared" si="1216"/>
        <v>#DIV/0!</v>
      </c>
      <c r="W138" s="161" t="e">
        <f t="shared" si="1216"/>
        <v>#DIV/0!</v>
      </c>
      <c r="X138" s="161" t="e">
        <f t="shared" si="1216"/>
        <v>#DIV/0!</v>
      </c>
      <c r="Y138" s="161" t="e">
        <f t="shared" si="1216"/>
        <v>#DIV/0!</v>
      </c>
      <c r="Z138" s="161">
        <f t="shared" si="1216"/>
        <v>0</v>
      </c>
      <c r="AA138" s="161">
        <f t="shared" ref="AA138" si="1217">+AA104*AA90</f>
        <v>112608</v>
      </c>
      <c r="AB138" s="21">
        <f t="shared" si="1216"/>
        <v>133922.73299014056</v>
      </c>
      <c r="AC138" s="21">
        <f t="shared" si="1216"/>
        <v>137143.73416962085</v>
      </c>
      <c r="AD138" s="21">
        <f t="shared" si="1216"/>
        <v>155002.87444260943</v>
      </c>
      <c r="AE138" s="21">
        <f t="shared" si="1216"/>
        <v>178998.22262210294</v>
      </c>
      <c r="AL138" s="161">
        <f t="shared" ref="AL138:BQ138" si="1218">+AL104*AL90</f>
        <v>0</v>
      </c>
      <c r="AM138" s="161">
        <f t="shared" si="1218"/>
        <v>0</v>
      </c>
      <c r="AN138" s="161">
        <f t="shared" si="1218"/>
        <v>0</v>
      </c>
      <c r="AO138" s="161">
        <f t="shared" si="1218"/>
        <v>0</v>
      </c>
      <c r="AP138" s="161">
        <f t="shared" si="1218"/>
        <v>0</v>
      </c>
      <c r="AQ138" s="161">
        <f t="shared" si="1218"/>
        <v>0</v>
      </c>
      <c r="AR138" s="161">
        <f t="shared" si="1218"/>
        <v>0</v>
      </c>
      <c r="AS138" s="161">
        <f t="shared" si="1218"/>
        <v>0</v>
      </c>
      <c r="AT138" s="161">
        <f t="shared" si="1218"/>
        <v>0</v>
      </c>
      <c r="AU138" s="161">
        <f t="shared" si="1218"/>
        <v>0</v>
      </c>
      <c r="AV138" s="161">
        <f t="shared" si="1218"/>
        <v>0</v>
      </c>
      <c r="AW138" s="161">
        <f t="shared" si="1218"/>
        <v>0</v>
      </c>
      <c r="AX138" s="161">
        <f t="shared" si="1218"/>
        <v>0</v>
      </c>
      <c r="AY138" s="161">
        <f t="shared" si="1218"/>
        <v>0</v>
      </c>
      <c r="AZ138" s="161">
        <f t="shared" si="1218"/>
        <v>0</v>
      </c>
      <c r="BA138" s="161">
        <f t="shared" si="1218"/>
        <v>0</v>
      </c>
      <c r="BB138" s="161">
        <f t="shared" si="1218"/>
        <v>0</v>
      </c>
      <c r="BC138" s="161">
        <f t="shared" si="1218"/>
        <v>0</v>
      </c>
      <c r="BD138" s="161">
        <f t="shared" si="1218"/>
        <v>0</v>
      </c>
      <c r="BE138" s="161">
        <f t="shared" si="1218"/>
        <v>0</v>
      </c>
      <c r="BF138" s="161">
        <f t="shared" si="1218"/>
        <v>0</v>
      </c>
      <c r="BG138" s="161">
        <f t="shared" si="1218"/>
        <v>0</v>
      </c>
      <c r="BH138" s="161">
        <f t="shared" si="1218"/>
        <v>0</v>
      </c>
      <c r="BI138" s="161">
        <f t="shared" si="1218"/>
        <v>0</v>
      </c>
      <c r="BJ138" s="161">
        <f t="shared" si="1218"/>
        <v>0</v>
      </c>
      <c r="BK138" s="161">
        <f t="shared" si="1218"/>
        <v>0</v>
      </c>
      <c r="BL138" s="161">
        <f t="shared" si="1218"/>
        <v>0</v>
      </c>
      <c r="BM138" s="161">
        <f t="shared" si="1218"/>
        <v>0</v>
      </c>
      <c r="BN138" s="161">
        <f t="shared" si="1218"/>
        <v>0</v>
      </c>
      <c r="BO138" s="161">
        <f t="shared" si="1218"/>
        <v>0</v>
      </c>
      <c r="BP138" s="161">
        <f t="shared" si="1218"/>
        <v>0</v>
      </c>
      <c r="BQ138" s="161">
        <f t="shared" si="1218"/>
        <v>0</v>
      </c>
      <c r="BR138" s="161">
        <f t="shared" ref="BR138:CJ138" si="1219">+BR104*BR90</f>
        <v>0</v>
      </c>
      <c r="BS138" s="161">
        <f t="shared" si="1219"/>
        <v>0</v>
      </c>
      <c r="BT138" s="161">
        <f t="shared" si="1219"/>
        <v>0</v>
      </c>
      <c r="BU138" s="161">
        <f t="shared" si="1219"/>
        <v>0</v>
      </c>
      <c r="BV138" s="161">
        <f t="shared" si="1219"/>
        <v>0</v>
      </c>
      <c r="BW138" s="161">
        <f t="shared" si="1219"/>
        <v>0</v>
      </c>
      <c r="BX138" s="161">
        <f t="shared" si="1219"/>
        <v>0</v>
      </c>
      <c r="BY138" s="161">
        <f t="shared" si="1219"/>
        <v>0</v>
      </c>
      <c r="BZ138" s="161">
        <f t="shared" si="1219"/>
        <v>0</v>
      </c>
      <c r="CA138" s="161">
        <f t="shared" si="1219"/>
        <v>0</v>
      </c>
      <c r="CB138" s="161">
        <f t="shared" si="1219"/>
        <v>0</v>
      </c>
      <c r="CC138" s="161">
        <f t="shared" si="1219"/>
        <v>0</v>
      </c>
      <c r="CD138" s="161">
        <f t="shared" si="1219"/>
        <v>0</v>
      </c>
      <c r="CE138" s="161">
        <f t="shared" si="1219"/>
        <v>0</v>
      </c>
      <c r="CF138" s="161">
        <f t="shared" si="1219"/>
        <v>0</v>
      </c>
      <c r="CG138" s="161">
        <f t="shared" si="1219"/>
        <v>0</v>
      </c>
      <c r="CH138" s="161">
        <f t="shared" si="1219"/>
        <v>0</v>
      </c>
      <c r="CI138" s="161">
        <f t="shared" si="1219"/>
        <v>0</v>
      </c>
      <c r="CJ138" s="161">
        <f t="shared" si="1219"/>
        <v>0</v>
      </c>
      <c r="CK138" s="161">
        <f t="shared" ref="CK138:CL138" si="1220">+CK104*CK90</f>
        <v>0</v>
      </c>
      <c r="CL138" s="161">
        <f t="shared" si="1220"/>
        <v>143170.4</v>
      </c>
      <c r="CM138" s="21">
        <f t="shared" ref="CM138:DB138" si="1221">+CM104*CM90</f>
        <v>139166.63261590502</v>
      </c>
      <c r="CN138" s="21">
        <f t="shared" si="1221"/>
        <v>142173.59013556706</v>
      </c>
      <c r="CO138" s="21">
        <f t="shared" si="1221"/>
        <v>137138.1588773804</v>
      </c>
      <c r="CP138" s="21">
        <f t="shared" si="1221"/>
        <v>133922.73299014056</v>
      </c>
      <c r="CQ138" s="21">
        <f t="shared" si="1221"/>
        <v>137143.73416962085</v>
      </c>
      <c r="CR138" s="21">
        <f t="shared" si="1221"/>
        <v>139899.37809315612</v>
      </c>
      <c r="CS138" s="21">
        <f t="shared" si="1221"/>
        <v>143414.34803564395</v>
      </c>
      <c r="CT138" s="21">
        <f t="shared" si="1221"/>
        <v>149600.84033014553</v>
      </c>
      <c r="CU138" s="21">
        <f t="shared" si="1221"/>
        <v>155002.87444260943</v>
      </c>
      <c r="CV138" s="21">
        <f t="shared" si="1221"/>
        <v>160690.21456346518</v>
      </c>
      <c r="CW138" s="21">
        <f t="shared" si="1221"/>
        <v>167371.17478813857</v>
      </c>
      <c r="CX138" s="21">
        <f t="shared" si="1221"/>
        <v>175952.37482607938</v>
      </c>
      <c r="CY138" s="21">
        <f t="shared" si="1221"/>
        <v>178998.22262210294</v>
      </c>
      <c r="CZ138" s="21">
        <f t="shared" si="1221"/>
        <v>182642.83247596674</v>
      </c>
      <c r="DA138" s="21">
        <f t="shared" si="1221"/>
        <v>187882.99035842143</v>
      </c>
      <c r="DB138" s="21">
        <f t="shared" si="1221"/>
        <v>193881.73769447621</v>
      </c>
      <c r="DE138" s="22"/>
      <c r="DF138" s="161">
        <v>4192.7610355752131</v>
      </c>
    </row>
    <row r="139" spans="1:110" s="161" customFormat="1" x14ac:dyDescent="0.2">
      <c r="A139" s="49" t="s">
        <v>80</v>
      </c>
      <c r="B139" s="161">
        <f>+B200</f>
        <v>0</v>
      </c>
      <c r="C139" s="161">
        <f t="shared" ref="C139:W139" si="1222">+C200</f>
        <v>0</v>
      </c>
      <c r="D139" s="161">
        <f t="shared" si="1222"/>
        <v>0</v>
      </c>
      <c r="E139" s="161">
        <f t="shared" si="1222"/>
        <v>-1129.9500000000003</v>
      </c>
      <c r="F139" s="161">
        <f t="shared" si="1222"/>
        <v>-579.07000000000016</v>
      </c>
      <c r="G139" s="161">
        <f t="shared" si="1222"/>
        <v>1591.7900000000004</v>
      </c>
      <c r="H139" s="161">
        <f t="shared" si="1222"/>
        <v>3052.6900000000005</v>
      </c>
      <c r="I139" s="161">
        <f t="shared" si="1222"/>
        <v>3029.7000000000007</v>
      </c>
      <c r="J139" s="161">
        <f t="shared" si="1222"/>
        <v>11747.880000000001</v>
      </c>
      <c r="K139" s="161">
        <f t="shared" si="1222"/>
        <v>14222.660000000003</v>
      </c>
      <c r="L139" s="161">
        <f t="shared" si="1222"/>
        <v>12123.269999999999</v>
      </c>
      <c r="M139" s="161">
        <f t="shared" si="1222"/>
        <v>11449.350000000002</v>
      </c>
      <c r="N139" s="161">
        <f t="shared" si="1222"/>
        <v>16000.46</v>
      </c>
      <c r="O139" s="161">
        <f t="shared" si="1222"/>
        <v>14188.529999999999</v>
      </c>
      <c r="P139" s="161">
        <f t="shared" si="1222"/>
        <v>20169.400000000001</v>
      </c>
      <c r="Q139" s="161">
        <f t="shared" si="1222"/>
        <v>11720.419999999998</v>
      </c>
      <c r="R139" s="161">
        <f t="shared" si="1222"/>
        <v>16529.429999999997</v>
      </c>
      <c r="S139" s="161">
        <f t="shared" si="1222"/>
        <v>14004.030000000004</v>
      </c>
      <c r="T139" s="161">
        <f t="shared" si="1222"/>
        <v>14670.79</v>
      </c>
      <c r="U139" s="161">
        <f t="shared" si="1222"/>
        <v>16056.750000000004</v>
      </c>
      <c r="V139" s="161">
        <f t="shared" si="1222"/>
        <v>12164.400000000001</v>
      </c>
      <c r="W139" s="161">
        <f t="shared" si="1222"/>
        <v>15780.56</v>
      </c>
      <c r="X139" s="161">
        <f t="shared" ref="X139:Y139" si="1223">+X200</f>
        <v>14721.080000000002</v>
      </c>
      <c r="Y139" s="161">
        <f t="shared" si="1223"/>
        <v>7045</v>
      </c>
      <c r="Z139" s="161">
        <f t="shared" ref="Z139:AA139" si="1224">+Z200</f>
        <v>4548</v>
      </c>
      <c r="AA139" s="161">
        <f t="shared" si="1224"/>
        <v>6581</v>
      </c>
      <c r="AB139" s="21">
        <f t="shared" ref="AA139:AD139" si="1225">+AB200</f>
        <v>-13242.16923712982</v>
      </c>
      <c r="AC139" s="21">
        <f t="shared" si="1225"/>
        <v>-21673.291987764344</v>
      </c>
      <c r="AD139" s="21">
        <f t="shared" si="1225"/>
        <v>-32363.836997647559</v>
      </c>
      <c r="AE139" s="21">
        <f t="shared" ref="AE139" si="1226">+AE200</f>
        <v>-44088.096970951119</v>
      </c>
      <c r="AL139" s="161">
        <f t="shared" ref="AL139:AM139" si="1227">+AL200</f>
        <v>0</v>
      </c>
      <c r="AM139" s="161">
        <f t="shared" si="1227"/>
        <v>-703.25999999999681</v>
      </c>
      <c r="AN139" s="161">
        <f t="shared" ref="AN139:AO139" si="1228">+AN200</f>
        <v>0</v>
      </c>
      <c r="AO139" s="161">
        <f t="shared" si="1228"/>
        <v>-1251.4000000000024</v>
      </c>
      <c r="AP139" s="161">
        <f t="shared" ref="AP139:CD139" si="1229">+AP200</f>
        <v>0</v>
      </c>
      <c r="AQ139" s="161">
        <f t="shared" si="1229"/>
        <v>-393.69999999999948</v>
      </c>
      <c r="AR139" s="161">
        <f t="shared" si="1229"/>
        <v>0</v>
      </c>
      <c r="AS139" s="161">
        <f t="shared" si="1229"/>
        <v>2122.7200000000007</v>
      </c>
      <c r="AT139" s="161">
        <f t="shared" si="1229"/>
        <v>0</v>
      </c>
      <c r="AU139" s="161">
        <f t="shared" si="1229"/>
        <v>-289.8399999999998</v>
      </c>
      <c r="AV139" s="161">
        <f t="shared" si="1229"/>
        <v>0</v>
      </c>
      <c r="AW139" s="161">
        <f t="shared" si="1229"/>
        <v>136.82000000000016</v>
      </c>
      <c r="AX139" s="161">
        <f t="shared" si="1229"/>
        <v>0</v>
      </c>
      <c r="AY139" s="161">
        <f t="shared" si="1229"/>
        <v>-25.749999999998749</v>
      </c>
      <c r="AZ139" s="161">
        <f t="shared" si="1229"/>
        <v>0</v>
      </c>
      <c r="BA139" s="161">
        <f t="shared" si="1229"/>
        <v>1045.9400000000007</v>
      </c>
      <c r="BB139" s="161">
        <f t="shared" si="1229"/>
        <v>0</v>
      </c>
      <c r="BC139" s="161">
        <f t="shared" si="1229"/>
        <v>463.14000000000163</v>
      </c>
      <c r="BD139" s="161">
        <f t="shared" si="1229"/>
        <v>0</v>
      </c>
      <c r="BE139" s="161">
        <f t="shared" si="1229"/>
        <v>-211.58999999999901</v>
      </c>
      <c r="BF139" s="161">
        <f t="shared" si="1229"/>
        <v>0</v>
      </c>
      <c r="BG139" s="161">
        <f t="shared" si="1229"/>
        <v>-1187.6499999999974</v>
      </c>
      <c r="BH139" s="161">
        <f t="shared" si="1229"/>
        <v>0</v>
      </c>
      <c r="BI139" s="161">
        <f t="shared" si="1229"/>
        <v>-617.62000000000205</v>
      </c>
      <c r="BJ139" s="161">
        <f t="shared" si="1229"/>
        <v>0</v>
      </c>
      <c r="BK139" s="161">
        <f t="shared" si="1229"/>
        <v>97.100000000000591</v>
      </c>
      <c r="BL139" s="161">
        <f t="shared" si="1229"/>
        <v>0</v>
      </c>
      <c r="BM139" s="161">
        <f t="shared" si="1229"/>
        <v>1039.5099999999984</v>
      </c>
      <c r="BN139" s="161">
        <f t="shared" si="1229"/>
        <v>0</v>
      </c>
      <c r="BO139" s="161">
        <f t="shared" si="1229"/>
        <v>2190.64</v>
      </c>
      <c r="BP139" s="161">
        <f t="shared" si="1229"/>
        <v>0</v>
      </c>
      <c r="BQ139" s="161">
        <f t="shared" si="1229"/>
        <v>638.04</v>
      </c>
      <c r="BR139" s="161">
        <f t="shared" si="1229"/>
        <v>0</v>
      </c>
      <c r="BS139" s="161">
        <f t="shared" si="1229"/>
        <v>1320.7300000000005</v>
      </c>
      <c r="BT139" s="161">
        <f t="shared" si="1229"/>
        <v>0</v>
      </c>
      <c r="BU139" s="161">
        <f t="shared" si="1229"/>
        <v>635.48999999999967</v>
      </c>
      <c r="BV139" s="161">
        <f t="shared" si="1229"/>
        <v>0</v>
      </c>
      <c r="BW139" s="161">
        <f t="shared" si="1229"/>
        <v>181.02999999999756</v>
      </c>
      <c r="BX139" s="161">
        <f t="shared" si="1229"/>
        <v>0</v>
      </c>
      <c r="BY139" s="161">
        <f t="shared" si="1229"/>
        <v>-484.71</v>
      </c>
      <c r="BZ139" s="161">
        <f t="shared" si="1229"/>
        <v>0</v>
      </c>
      <c r="CA139" s="161">
        <f t="shared" si="1229"/>
        <v>63.999999999997328</v>
      </c>
      <c r="CB139" s="161">
        <f t="shared" si="1229"/>
        <v>0</v>
      </c>
      <c r="CC139" s="161">
        <f t="shared" si="1229"/>
        <v>-4570.0499999999965</v>
      </c>
      <c r="CD139" s="161">
        <f t="shared" si="1229"/>
        <v>0</v>
      </c>
      <c r="CE139" s="161">
        <f t="shared" ref="CE139:CF139" si="1230">+CE200</f>
        <v>-2190</v>
      </c>
      <c r="CF139" s="161">
        <f t="shared" si="1230"/>
        <v>0</v>
      </c>
      <c r="CG139" s="161">
        <f t="shared" ref="CG139:CH139" si="1231">+CG200</f>
        <v>-429.89999999999964</v>
      </c>
      <c r="CH139" s="161">
        <f t="shared" si="1231"/>
        <v>4548</v>
      </c>
      <c r="CI139" s="161">
        <f t="shared" ref="CI139:CJ139" si="1232">+CI200</f>
        <v>4650.7030351517551</v>
      </c>
      <c r="CJ139" s="161">
        <f t="shared" si="1232"/>
        <v>4539</v>
      </c>
      <c r="CK139" s="161">
        <f t="shared" ref="CK139:CL139" si="1233">+CK200</f>
        <v>2100.7147262914405</v>
      </c>
      <c r="CL139" s="161">
        <f t="shared" si="1233"/>
        <v>-5123</v>
      </c>
      <c r="CM139" s="21">
        <f t="shared" ref="CM139:DB139" si="1234">+CM200</f>
        <v>-2275.0863709586556</v>
      </c>
      <c r="CN139" s="21">
        <f t="shared" si="1234"/>
        <v>-4844.5237624817255</v>
      </c>
      <c r="CO139" s="21">
        <f t="shared" si="1234"/>
        <v>-9070.1754391990562</v>
      </c>
      <c r="CP139" s="21">
        <f t="shared" si="1234"/>
        <v>-13242.16923712982</v>
      </c>
      <c r="CQ139" s="21">
        <f t="shared" si="1234"/>
        <v>-9962.5340286031078</v>
      </c>
      <c r="CR139" s="21">
        <f t="shared" si="1234"/>
        <v>-12743.371137851296</v>
      </c>
      <c r="CS139" s="21">
        <f t="shared" si="1234"/>
        <v>-17246.143487725043</v>
      </c>
      <c r="CT139" s="21">
        <f t="shared" si="1234"/>
        <v>-21673.291987764344</v>
      </c>
      <c r="CU139" s="21">
        <f t="shared" si="1234"/>
        <v>-18754.631548511548</v>
      </c>
      <c r="CV139" s="21">
        <f t="shared" si="1234"/>
        <v>-21998.095404373726</v>
      </c>
      <c r="CW139" s="21">
        <f t="shared" si="1234"/>
        <v>-27173.103066542375</v>
      </c>
      <c r="CX139" s="21">
        <f t="shared" si="1234"/>
        <v>-32363.836997647559</v>
      </c>
      <c r="CY139" s="21">
        <f t="shared" si="1234"/>
        <v>-28940.296122080883</v>
      </c>
      <c r="CZ139" s="21">
        <f t="shared" si="1234"/>
        <v>-32564.909938822129</v>
      </c>
      <c r="DA139" s="21">
        <f t="shared" si="1234"/>
        <v>-38347.730186785564</v>
      </c>
      <c r="DB139" s="21">
        <f t="shared" si="1234"/>
        <v>-44088.096970951119</v>
      </c>
      <c r="DE139" s="22"/>
      <c r="DF139" s="161">
        <v>-1977.2136432307443</v>
      </c>
    </row>
    <row r="140" spans="1:110" s="161" customFormat="1" x14ac:dyDescent="0.2">
      <c r="A140" s="49" t="s">
        <v>341</v>
      </c>
      <c r="B140" s="161" t="e">
        <f>+B137+B139</f>
        <v>#DIV/0!</v>
      </c>
      <c r="C140" s="161" t="e">
        <f t="shared" ref="C140:W140" si="1235">+C137+C139</f>
        <v>#DIV/0!</v>
      </c>
      <c r="D140" s="161" t="e">
        <f t="shared" si="1235"/>
        <v>#DIV/0!</v>
      </c>
      <c r="E140" s="161" t="e">
        <f t="shared" si="1235"/>
        <v>#DIV/0!</v>
      </c>
      <c r="F140" s="161" t="e">
        <f t="shared" si="1235"/>
        <v>#DIV/0!</v>
      </c>
      <c r="G140" s="161" t="e">
        <f t="shared" si="1235"/>
        <v>#DIV/0!</v>
      </c>
      <c r="H140" s="161" t="e">
        <f t="shared" si="1235"/>
        <v>#DIV/0!</v>
      </c>
      <c r="I140" s="161" t="e">
        <f t="shared" si="1235"/>
        <v>#DIV/0!</v>
      </c>
      <c r="J140" s="161" t="e">
        <f t="shared" si="1235"/>
        <v>#DIV/0!</v>
      </c>
      <c r="K140" s="161" t="e">
        <f t="shared" si="1235"/>
        <v>#DIV/0!</v>
      </c>
      <c r="L140" s="161" t="e">
        <f t="shared" si="1235"/>
        <v>#DIV/0!</v>
      </c>
      <c r="M140" s="161" t="e">
        <f t="shared" si="1235"/>
        <v>#DIV/0!</v>
      </c>
      <c r="N140" s="161" t="e">
        <f t="shared" si="1235"/>
        <v>#DIV/0!</v>
      </c>
      <c r="O140" s="161" t="e">
        <f t="shared" si="1235"/>
        <v>#DIV/0!</v>
      </c>
      <c r="P140" s="161" t="e">
        <f t="shared" si="1235"/>
        <v>#DIV/0!</v>
      </c>
      <c r="Q140" s="161" t="e">
        <f t="shared" si="1235"/>
        <v>#DIV/0!</v>
      </c>
      <c r="R140" s="161" t="e">
        <f t="shared" si="1235"/>
        <v>#DIV/0!</v>
      </c>
      <c r="S140" s="161" t="e">
        <f t="shared" si="1235"/>
        <v>#DIV/0!</v>
      </c>
      <c r="T140" s="161" t="e">
        <f t="shared" si="1235"/>
        <v>#DIV/0!</v>
      </c>
      <c r="U140" s="161" t="e">
        <f t="shared" si="1235"/>
        <v>#DIV/0!</v>
      </c>
      <c r="V140" s="161" t="e">
        <f t="shared" si="1235"/>
        <v>#DIV/0!</v>
      </c>
      <c r="W140" s="161" t="e">
        <f t="shared" si="1235"/>
        <v>#DIV/0!</v>
      </c>
      <c r="X140" s="161" t="e">
        <f t="shared" ref="X140:Y140" si="1236">+X137+X139</f>
        <v>#DIV/0!</v>
      </c>
      <c r="Y140" s="161" t="e">
        <f t="shared" si="1236"/>
        <v>#DIV/0!</v>
      </c>
      <c r="Z140" s="161">
        <f t="shared" ref="Z140:AA140" si="1237">+Z137+Z139</f>
        <v>4548</v>
      </c>
      <c r="AA140" s="161">
        <f t="shared" si="1237"/>
        <v>193874.6</v>
      </c>
      <c r="AB140" s="21">
        <f t="shared" ref="AA140:AD140" si="1238">+AB137+AB139</f>
        <v>172747.41744709288</v>
      </c>
      <c r="AC140" s="21">
        <f t="shared" si="1238"/>
        <v>174032.52393828001</v>
      </c>
      <c r="AD140" s="21">
        <f t="shared" si="1238"/>
        <v>197814.7034669022</v>
      </c>
      <c r="AE140" s="21">
        <f t="shared" ref="AE140" si="1239">+AE137+AE139</f>
        <v>209545.39589527086</v>
      </c>
      <c r="AL140" s="161">
        <f t="shared" ref="AL140" si="1240">+AL137+AL139</f>
        <v>0</v>
      </c>
      <c r="AM140" s="161">
        <f t="shared" ref="AM140:AO140" si="1241">+AM137+AM139</f>
        <v>-703.25999999999681</v>
      </c>
      <c r="AN140" s="161">
        <f t="shared" si="1241"/>
        <v>0</v>
      </c>
      <c r="AO140" s="161">
        <f t="shared" si="1241"/>
        <v>-1251.4000000000024</v>
      </c>
      <c r="AP140" s="161">
        <f t="shared" ref="AP140:CD140" si="1242">+AP137+AP139</f>
        <v>0</v>
      </c>
      <c r="AQ140" s="161">
        <f t="shared" si="1242"/>
        <v>-393.69999999999948</v>
      </c>
      <c r="AR140" s="161">
        <f t="shared" si="1242"/>
        <v>0</v>
      </c>
      <c r="AS140" s="161">
        <f t="shared" si="1242"/>
        <v>2122.7200000000007</v>
      </c>
      <c r="AT140" s="161">
        <f t="shared" si="1242"/>
        <v>0</v>
      </c>
      <c r="AU140" s="161">
        <f t="shared" si="1242"/>
        <v>-289.8399999999998</v>
      </c>
      <c r="AV140" s="161">
        <f t="shared" si="1242"/>
        <v>0</v>
      </c>
      <c r="AW140" s="161">
        <f t="shared" si="1242"/>
        <v>136.82000000000016</v>
      </c>
      <c r="AX140" s="161">
        <f t="shared" si="1242"/>
        <v>0</v>
      </c>
      <c r="AY140" s="161">
        <f t="shared" si="1242"/>
        <v>-25.749999999998749</v>
      </c>
      <c r="AZ140" s="161">
        <f t="shared" si="1242"/>
        <v>0</v>
      </c>
      <c r="BA140" s="161">
        <f t="shared" si="1242"/>
        <v>1045.9400000000007</v>
      </c>
      <c r="BB140" s="161">
        <f t="shared" si="1242"/>
        <v>0</v>
      </c>
      <c r="BC140" s="161">
        <f t="shared" si="1242"/>
        <v>463.14000000000163</v>
      </c>
      <c r="BD140" s="161">
        <f t="shared" si="1242"/>
        <v>0</v>
      </c>
      <c r="BE140" s="161">
        <f t="shared" si="1242"/>
        <v>-211.58999999999901</v>
      </c>
      <c r="BF140" s="161">
        <f t="shared" si="1242"/>
        <v>0</v>
      </c>
      <c r="BG140" s="161">
        <f t="shared" si="1242"/>
        <v>-1187.6499999999974</v>
      </c>
      <c r="BH140" s="161">
        <f t="shared" si="1242"/>
        <v>0</v>
      </c>
      <c r="BI140" s="161">
        <f t="shared" si="1242"/>
        <v>-617.62000000000205</v>
      </c>
      <c r="BJ140" s="161">
        <f t="shared" si="1242"/>
        <v>0</v>
      </c>
      <c r="BK140" s="161">
        <f t="shared" si="1242"/>
        <v>97.100000000000591</v>
      </c>
      <c r="BL140" s="161">
        <f t="shared" si="1242"/>
        <v>0</v>
      </c>
      <c r="BM140" s="161">
        <f t="shared" si="1242"/>
        <v>1039.5099999999984</v>
      </c>
      <c r="BN140" s="161">
        <f t="shared" si="1242"/>
        <v>0</v>
      </c>
      <c r="BO140" s="161">
        <f t="shared" si="1242"/>
        <v>2190.64</v>
      </c>
      <c r="BP140" s="161">
        <f t="shared" si="1242"/>
        <v>0</v>
      </c>
      <c r="BQ140" s="161">
        <f t="shared" si="1242"/>
        <v>638.04</v>
      </c>
      <c r="BR140" s="161">
        <f t="shared" si="1242"/>
        <v>0</v>
      </c>
      <c r="BS140" s="161">
        <f t="shared" si="1242"/>
        <v>1320.7300000000005</v>
      </c>
      <c r="BT140" s="161">
        <f t="shared" si="1242"/>
        <v>0</v>
      </c>
      <c r="BU140" s="161">
        <f t="shared" si="1242"/>
        <v>635.48999999999967</v>
      </c>
      <c r="BV140" s="161">
        <f t="shared" si="1242"/>
        <v>0</v>
      </c>
      <c r="BW140" s="161">
        <f t="shared" si="1242"/>
        <v>181.02999999999756</v>
      </c>
      <c r="BX140" s="161">
        <f t="shared" si="1242"/>
        <v>0</v>
      </c>
      <c r="BY140" s="161">
        <f t="shared" si="1242"/>
        <v>-484.71</v>
      </c>
      <c r="BZ140" s="161">
        <f t="shared" si="1242"/>
        <v>0</v>
      </c>
      <c r="CA140" s="161">
        <f t="shared" si="1242"/>
        <v>63.999999999997328</v>
      </c>
      <c r="CB140" s="161">
        <f t="shared" si="1242"/>
        <v>0</v>
      </c>
      <c r="CC140" s="161">
        <f t="shared" si="1242"/>
        <v>-4570.0499999999965</v>
      </c>
      <c r="CD140" s="161">
        <f t="shared" si="1242"/>
        <v>0</v>
      </c>
      <c r="CE140" s="161">
        <f t="shared" ref="CE140:CF140" si="1243">+CE137+CE139</f>
        <v>-2190</v>
      </c>
      <c r="CF140" s="161">
        <f t="shared" si="1243"/>
        <v>0</v>
      </c>
      <c r="CG140" s="161">
        <f t="shared" ref="CG140:CH140" si="1244">+CG137+CG139</f>
        <v>-429.89999999999964</v>
      </c>
      <c r="CH140" s="161">
        <f t="shared" si="1244"/>
        <v>4548</v>
      </c>
      <c r="CI140" s="161">
        <f t="shared" ref="CI140:CJ140" si="1245">+CI137+CI139</f>
        <v>4650.7030351517551</v>
      </c>
      <c r="CJ140" s="161">
        <f t="shared" si="1245"/>
        <v>4539</v>
      </c>
      <c r="CK140" s="161">
        <f t="shared" ref="CK140:CL140" si="1246">+CK137+CK139</f>
        <v>161683.91472629143</v>
      </c>
      <c r="CL140" s="161">
        <f t="shared" si="1246"/>
        <v>182170.6</v>
      </c>
      <c r="CM140" s="21">
        <f t="shared" ref="CM140:DB140" si="1247">+CM137+CM139</f>
        <v>179780.83875399921</v>
      </c>
      <c r="CN140" s="21">
        <f t="shared" si="1247"/>
        <v>181145.06292174099</v>
      </c>
      <c r="CO140" s="21">
        <f t="shared" si="1247"/>
        <v>170332.12750551949</v>
      </c>
      <c r="CP140" s="21">
        <f t="shared" si="1247"/>
        <v>161953.75662158249</v>
      </c>
      <c r="CQ140" s="21">
        <f t="shared" si="1247"/>
        <v>169447.06243876234</v>
      </c>
      <c r="CR140" s="21">
        <f t="shared" si="1247"/>
        <v>170271.12180781586</v>
      </c>
      <c r="CS140" s="21">
        <f t="shared" si="1247"/>
        <v>170366.58606565109</v>
      </c>
      <c r="CT140" s="21">
        <f t="shared" si="1247"/>
        <v>174032.52393828001</v>
      </c>
      <c r="CU140" s="21">
        <f t="shared" si="1247"/>
        <v>184018.05306160555</v>
      </c>
      <c r="CV140" s="21">
        <f t="shared" si="1247"/>
        <v>188214.6913892919</v>
      </c>
      <c r="CW140" s="21">
        <f t="shared" si="1247"/>
        <v>191779.62642432796</v>
      </c>
      <c r="CX140" s="21">
        <f t="shared" si="1247"/>
        <v>197814.7034669022</v>
      </c>
      <c r="CY140" s="21">
        <f t="shared" si="1247"/>
        <v>205222.78164046709</v>
      </c>
      <c r="CZ140" s="21">
        <f t="shared" si="1247"/>
        <v>206365.99762741168</v>
      </c>
      <c r="DA140" s="21">
        <f t="shared" si="1247"/>
        <v>207438.28174720382</v>
      </c>
      <c r="DB140" s="21">
        <f t="shared" si="1247"/>
        <v>209545.39589527086</v>
      </c>
      <c r="DE140" s="22"/>
      <c r="DF140" s="161">
        <v>170522.14237973752</v>
      </c>
    </row>
    <row r="141" spans="1:110" s="161" customFormat="1" x14ac:dyDescent="0.2">
      <c r="A141" s="49" t="s">
        <v>344</v>
      </c>
      <c r="B141" s="161" t="e">
        <f>+B138+B139</f>
        <v>#DIV/0!</v>
      </c>
      <c r="C141" s="161" t="e">
        <f t="shared" ref="C141:W141" si="1248">+C138+C139</f>
        <v>#DIV/0!</v>
      </c>
      <c r="D141" s="161" t="e">
        <f t="shared" si="1248"/>
        <v>#DIV/0!</v>
      </c>
      <c r="E141" s="161" t="e">
        <f t="shared" si="1248"/>
        <v>#DIV/0!</v>
      </c>
      <c r="F141" s="161" t="e">
        <f t="shared" si="1248"/>
        <v>#DIV/0!</v>
      </c>
      <c r="G141" s="161" t="e">
        <f t="shared" si="1248"/>
        <v>#DIV/0!</v>
      </c>
      <c r="H141" s="161" t="e">
        <f t="shared" si="1248"/>
        <v>#DIV/0!</v>
      </c>
      <c r="I141" s="161" t="e">
        <f t="shared" si="1248"/>
        <v>#DIV/0!</v>
      </c>
      <c r="J141" s="161" t="e">
        <f t="shared" si="1248"/>
        <v>#DIV/0!</v>
      </c>
      <c r="K141" s="161" t="e">
        <f t="shared" si="1248"/>
        <v>#DIV/0!</v>
      </c>
      <c r="L141" s="161" t="e">
        <f t="shared" si="1248"/>
        <v>#DIV/0!</v>
      </c>
      <c r="M141" s="161" t="e">
        <f t="shared" si="1248"/>
        <v>#DIV/0!</v>
      </c>
      <c r="N141" s="161" t="e">
        <f t="shared" si="1248"/>
        <v>#DIV/0!</v>
      </c>
      <c r="O141" s="161" t="e">
        <f t="shared" si="1248"/>
        <v>#DIV/0!</v>
      </c>
      <c r="P141" s="161" t="e">
        <f t="shared" si="1248"/>
        <v>#DIV/0!</v>
      </c>
      <c r="Q141" s="161" t="e">
        <f t="shared" si="1248"/>
        <v>#DIV/0!</v>
      </c>
      <c r="R141" s="161" t="e">
        <f t="shared" si="1248"/>
        <v>#DIV/0!</v>
      </c>
      <c r="S141" s="161" t="e">
        <f t="shared" si="1248"/>
        <v>#DIV/0!</v>
      </c>
      <c r="T141" s="161" t="e">
        <f t="shared" si="1248"/>
        <v>#DIV/0!</v>
      </c>
      <c r="U141" s="161" t="e">
        <f t="shared" si="1248"/>
        <v>#DIV/0!</v>
      </c>
      <c r="V141" s="161" t="e">
        <f t="shared" si="1248"/>
        <v>#DIV/0!</v>
      </c>
      <c r="W141" s="161" t="e">
        <f t="shared" si="1248"/>
        <v>#DIV/0!</v>
      </c>
      <c r="X141" s="161" t="e">
        <f t="shared" ref="X141:Y141" si="1249">+X138+X139</f>
        <v>#DIV/0!</v>
      </c>
      <c r="Y141" s="161" t="e">
        <f t="shared" si="1249"/>
        <v>#DIV/0!</v>
      </c>
      <c r="Z141" s="161">
        <f t="shared" ref="Z141:AA141" si="1250">+Z138+Z139</f>
        <v>4548</v>
      </c>
      <c r="AA141" s="161">
        <f t="shared" si="1250"/>
        <v>119189</v>
      </c>
      <c r="AB141" s="21">
        <f t="shared" ref="AA141:AD141" si="1251">+AB138+AB139</f>
        <v>120680.56375301073</v>
      </c>
      <c r="AC141" s="21">
        <f t="shared" si="1251"/>
        <v>115470.4421818565</v>
      </c>
      <c r="AD141" s="21">
        <f t="shared" si="1251"/>
        <v>122639.03744496187</v>
      </c>
      <c r="AE141" s="21">
        <f t="shared" ref="AE141" si="1252">+AE138+AE139</f>
        <v>134910.12565115181</v>
      </c>
      <c r="AL141" s="161">
        <f t="shared" ref="AL141:AM141" si="1253">+AL138+AL139</f>
        <v>0</v>
      </c>
      <c r="AM141" s="161">
        <f t="shared" si="1253"/>
        <v>-703.25999999999681</v>
      </c>
      <c r="AN141" s="161">
        <f t="shared" ref="AN141:AO141" si="1254">+AN138+AN139</f>
        <v>0</v>
      </c>
      <c r="AO141" s="161">
        <f t="shared" si="1254"/>
        <v>-1251.4000000000024</v>
      </c>
      <c r="AP141" s="161">
        <f t="shared" ref="AP141:CD141" si="1255">+AP138+AP139</f>
        <v>0</v>
      </c>
      <c r="AQ141" s="161">
        <f t="shared" si="1255"/>
        <v>-393.69999999999948</v>
      </c>
      <c r="AR141" s="161">
        <f t="shared" si="1255"/>
        <v>0</v>
      </c>
      <c r="AS141" s="161">
        <f t="shared" si="1255"/>
        <v>2122.7200000000007</v>
      </c>
      <c r="AT141" s="161">
        <f t="shared" si="1255"/>
        <v>0</v>
      </c>
      <c r="AU141" s="161">
        <f t="shared" si="1255"/>
        <v>-289.8399999999998</v>
      </c>
      <c r="AV141" s="161">
        <f t="shared" si="1255"/>
        <v>0</v>
      </c>
      <c r="AW141" s="161">
        <f t="shared" si="1255"/>
        <v>136.82000000000016</v>
      </c>
      <c r="AX141" s="161">
        <f t="shared" si="1255"/>
        <v>0</v>
      </c>
      <c r="AY141" s="161">
        <f t="shared" si="1255"/>
        <v>-25.749999999998749</v>
      </c>
      <c r="AZ141" s="161">
        <f t="shared" si="1255"/>
        <v>0</v>
      </c>
      <c r="BA141" s="161">
        <f t="shared" si="1255"/>
        <v>1045.9400000000007</v>
      </c>
      <c r="BB141" s="161">
        <f t="shared" si="1255"/>
        <v>0</v>
      </c>
      <c r="BC141" s="161">
        <f t="shared" si="1255"/>
        <v>463.14000000000163</v>
      </c>
      <c r="BD141" s="161">
        <f t="shared" si="1255"/>
        <v>0</v>
      </c>
      <c r="BE141" s="161">
        <f t="shared" si="1255"/>
        <v>-211.58999999999901</v>
      </c>
      <c r="BF141" s="161">
        <f t="shared" si="1255"/>
        <v>0</v>
      </c>
      <c r="BG141" s="161">
        <f t="shared" si="1255"/>
        <v>-1187.6499999999974</v>
      </c>
      <c r="BH141" s="161">
        <f t="shared" si="1255"/>
        <v>0</v>
      </c>
      <c r="BI141" s="161">
        <f t="shared" si="1255"/>
        <v>-617.62000000000205</v>
      </c>
      <c r="BJ141" s="161">
        <f t="shared" si="1255"/>
        <v>0</v>
      </c>
      <c r="BK141" s="161">
        <f t="shared" si="1255"/>
        <v>97.100000000000591</v>
      </c>
      <c r="BL141" s="161">
        <f t="shared" si="1255"/>
        <v>0</v>
      </c>
      <c r="BM141" s="161">
        <f t="shared" si="1255"/>
        <v>1039.5099999999984</v>
      </c>
      <c r="BN141" s="161">
        <f t="shared" si="1255"/>
        <v>0</v>
      </c>
      <c r="BO141" s="161">
        <f t="shared" si="1255"/>
        <v>2190.64</v>
      </c>
      <c r="BP141" s="161">
        <f t="shared" si="1255"/>
        <v>0</v>
      </c>
      <c r="BQ141" s="161">
        <f t="shared" si="1255"/>
        <v>638.04</v>
      </c>
      <c r="BR141" s="161">
        <f t="shared" si="1255"/>
        <v>0</v>
      </c>
      <c r="BS141" s="161">
        <f t="shared" si="1255"/>
        <v>1320.7300000000005</v>
      </c>
      <c r="BT141" s="161">
        <f t="shared" si="1255"/>
        <v>0</v>
      </c>
      <c r="BU141" s="161">
        <f t="shared" si="1255"/>
        <v>635.48999999999967</v>
      </c>
      <c r="BV141" s="161">
        <f t="shared" si="1255"/>
        <v>0</v>
      </c>
      <c r="BW141" s="161">
        <f t="shared" si="1255"/>
        <v>181.02999999999756</v>
      </c>
      <c r="BX141" s="161">
        <f t="shared" si="1255"/>
        <v>0</v>
      </c>
      <c r="BY141" s="161">
        <f t="shared" si="1255"/>
        <v>-484.71</v>
      </c>
      <c r="BZ141" s="161">
        <f t="shared" si="1255"/>
        <v>0</v>
      </c>
      <c r="CA141" s="161">
        <f t="shared" si="1255"/>
        <v>63.999999999997328</v>
      </c>
      <c r="CB141" s="161">
        <f t="shared" si="1255"/>
        <v>0</v>
      </c>
      <c r="CC141" s="161">
        <f t="shared" si="1255"/>
        <v>-4570.0499999999965</v>
      </c>
      <c r="CD141" s="161">
        <f t="shared" si="1255"/>
        <v>0</v>
      </c>
      <c r="CE141" s="161">
        <f t="shared" ref="CE141:CF141" si="1256">+CE138+CE139</f>
        <v>-2190</v>
      </c>
      <c r="CF141" s="161">
        <f t="shared" si="1256"/>
        <v>0</v>
      </c>
      <c r="CG141" s="161">
        <f t="shared" ref="CG141:CH141" si="1257">+CG138+CG139</f>
        <v>-429.89999999999964</v>
      </c>
      <c r="CH141" s="161">
        <f t="shared" si="1257"/>
        <v>4548</v>
      </c>
      <c r="CI141" s="161">
        <f t="shared" ref="CI141:CJ141" si="1258">+CI138+CI139</f>
        <v>4650.7030351517551</v>
      </c>
      <c r="CJ141" s="161">
        <f t="shared" si="1258"/>
        <v>4539</v>
      </c>
      <c r="CK141" s="161">
        <f t="shared" ref="CK141:CL141" si="1259">+CK138+CK139</f>
        <v>2100.7147262914405</v>
      </c>
      <c r="CL141" s="161">
        <f t="shared" si="1259"/>
        <v>138047.4</v>
      </c>
      <c r="CM141" s="21">
        <f t="shared" ref="CM141:DB141" si="1260">+CM138+CM139</f>
        <v>136891.54624494637</v>
      </c>
      <c r="CN141" s="21">
        <f t="shared" si="1260"/>
        <v>137329.06637308534</v>
      </c>
      <c r="CO141" s="21">
        <f t="shared" si="1260"/>
        <v>128067.98343818134</v>
      </c>
      <c r="CP141" s="21">
        <f t="shared" si="1260"/>
        <v>120680.56375301073</v>
      </c>
      <c r="CQ141" s="21">
        <f t="shared" si="1260"/>
        <v>127181.20014101773</v>
      </c>
      <c r="CR141" s="21">
        <f t="shared" si="1260"/>
        <v>127156.00695530482</v>
      </c>
      <c r="CS141" s="21">
        <f t="shared" si="1260"/>
        <v>126168.20454791891</v>
      </c>
      <c r="CT141" s="21">
        <f t="shared" si="1260"/>
        <v>127927.54834238118</v>
      </c>
      <c r="CU141" s="21">
        <f t="shared" si="1260"/>
        <v>136248.24289409787</v>
      </c>
      <c r="CV141" s="21">
        <f t="shared" si="1260"/>
        <v>138692.11915909147</v>
      </c>
      <c r="CW141" s="21">
        <f t="shared" si="1260"/>
        <v>140198.07172159618</v>
      </c>
      <c r="CX141" s="21">
        <f t="shared" si="1260"/>
        <v>143588.53782843181</v>
      </c>
      <c r="CY141" s="21">
        <f t="shared" si="1260"/>
        <v>150057.92650002206</v>
      </c>
      <c r="CZ141" s="21">
        <f t="shared" si="1260"/>
        <v>150077.92253714462</v>
      </c>
      <c r="DA141" s="21">
        <f t="shared" si="1260"/>
        <v>149535.26017163586</v>
      </c>
      <c r="DB141" s="21">
        <f t="shared" si="1260"/>
        <v>149793.64072352508</v>
      </c>
      <c r="DE141" s="22"/>
      <c r="DF141" s="161">
        <v>2215.5473923444683</v>
      </c>
    </row>
    <row r="142" spans="1:110" s="161" customFormat="1" x14ac:dyDescent="0.2">
      <c r="A142" s="49" t="s">
        <v>13</v>
      </c>
      <c r="B142" s="161" t="e">
        <f t="shared" ref="B142:AE142" si="1261">+B52</f>
        <v>#REF!</v>
      </c>
      <c r="C142" s="161" t="e">
        <f t="shared" si="1261"/>
        <v>#REF!</v>
      </c>
      <c r="D142" s="161" t="e">
        <f t="shared" si="1261"/>
        <v>#REF!</v>
      </c>
      <c r="E142" s="161">
        <f t="shared" si="1261"/>
        <v>3729.4099999999985</v>
      </c>
      <c r="F142" s="161">
        <f t="shared" si="1261"/>
        <v>4760.2800000000007</v>
      </c>
      <c r="G142" s="161">
        <f t="shared" si="1261"/>
        <v>4969.5399999999991</v>
      </c>
      <c r="H142" s="161">
        <f t="shared" si="1261"/>
        <v>6715.9700000000021</v>
      </c>
      <c r="I142" s="161">
        <f t="shared" si="1261"/>
        <v>6270.1499999999978</v>
      </c>
      <c r="J142" s="161">
        <f t="shared" si="1261"/>
        <v>3753.6200000000026</v>
      </c>
      <c r="K142" s="161">
        <f t="shared" si="1261"/>
        <v>5794.8199999999933</v>
      </c>
      <c r="L142" s="161">
        <f t="shared" si="1261"/>
        <v>7468.7700000000023</v>
      </c>
      <c r="M142" s="161">
        <f t="shared" si="1261"/>
        <v>7573.8316154584918</v>
      </c>
      <c r="N142" s="161">
        <f t="shared" si="1261"/>
        <v>4757.7218954585042</v>
      </c>
      <c r="O142" s="161">
        <f t="shared" si="1261"/>
        <v>1163.452615999995</v>
      </c>
      <c r="P142" s="161">
        <f t="shared" si="1261"/>
        <v>521.72867376000249</v>
      </c>
      <c r="Q142" s="161">
        <f t="shared" si="1261"/>
        <v>7906.519999999995</v>
      </c>
      <c r="R142" s="161">
        <f t="shared" si="1261"/>
        <v>6677.7300000000032</v>
      </c>
      <c r="S142" s="161">
        <f t="shared" si="1261"/>
        <v>3639.4800000000159</v>
      </c>
      <c r="T142" s="161">
        <f t="shared" si="1261"/>
        <v>5592.6499999999942</v>
      </c>
      <c r="U142" s="161">
        <f t="shared" si="1261"/>
        <v>30.230000000014115</v>
      </c>
      <c r="V142" s="161">
        <f t="shared" si="1261"/>
        <v>1966.3799999999937</v>
      </c>
      <c r="W142" s="161">
        <f t="shared" si="1261"/>
        <v>1635.7400000000125</v>
      </c>
      <c r="X142" s="161">
        <f t="shared" si="1261"/>
        <v>4810.8099999999868</v>
      </c>
      <c r="Y142" s="161">
        <f t="shared" si="1261"/>
        <v>7870</v>
      </c>
      <c r="Z142" s="161">
        <f t="shared" si="1261"/>
        <v>8082</v>
      </c>
      <c r="AA142" s="161">
        <f t="shared" ref="AA142" si="1262">+AA52</f>
        <v>8082</v>
      </c>
      <c r="AB142" s="21">
        <f t="shared" si="1261"/>
        <v>-215.54774533883392</v>
      </c>
      <c r="AC142" s="21">
        <f t="shared" si="1261"/>
        <v>306.10092279665696</v>
      </c>
      <c r="AD142" s="21">
        <f t="shared" si="1261"/>
        <v>474.4032805793322</v>
      </c>
      <c r="AE142" s="21">
        <f t="shared" si="1261"/>
        <v>255.72856527497061</v>
      </c>
      <c r="AL142" s="161">
        <f t="shared" ref="AL142:BQ142" si="1263">+SUM(AI52:AL52)</f>
        <v>1717.9500000000021</v>
      </c>
      <c r="AM142" s="161">
        <f t="shared" si="1263"/>
        <v>1123.3299999999986</v>
      </c>
      <c r="AN142" s="161">
        <f t="shared" si="1263"/>
        <v>551.16999999999825</v>
      </c>
      <c r="AO142" s="161">
        <f t="shared" si="1263"/>
        <v>-53.170000000000073</v>
      </c>
      <c r="AP142" s="161">
        <f t="shared" si="1263"/>
        <v>-910.59000000000151</v>
      </c>
      <c r="AQ142" s="161">
        <f t="shared" si="1263"/>
        <v>-1309.9899999999989</v>
      </c>
      <c r="AR142" s="161">
        <f t="shared" si="1263"/>
        <v>-1653.56</v>
      </c>
      <c r="AS142" s="161">
        <f t="shared" si="1263"/>
        <v>-1756.0900000000024</v>
      </c>
      <c r="AT142" s="161">
        <f t="shared" si="1263"/>
        <v>-959.04000000000133</v>
      </c>
      <c r="AU142" s="161">
        <f t="shared" si="1263"/>
        <v>-194.13000000000102</v>
      </c>
      <c r="AV142" s="161">
        <f t="shared" si="1263"/>
        <v>845.33000000000129</v>
      </c>
      <c r="AW142" s="161">
        <f t="shared" si="1263"/>
        <v>1904.3700000000017</v>
      </c>
      <c r="AX142" s="161">
        <f t="shared" si="1263"/>
        <v>2961.3400000000015</v>
      </c>
      <c r="AY142" s="161">
        <f t="shared" si="1263"/>
        <v>3044.1500000000005</v>
      </c>
      <c r="AZ142" s="161">
        <f t="shared" si="1263"/>
        <v>2532.849999999999</v>
      </c>
      <c r="BA142" s="161">
        <f t="shared" si="1263"/>
        <v>2097.4499999999985</v>
      </c>
      <c r="BB142" s="161">
        <f t="shared" si="1263"/>
        <v>1280.75</v>
      </c>
      <c r="BC142" s="161">
        <f t="shared" si="1263"/>
        <v>668.09999999999945</v>
      </c>
      <c r="BD142" s="161">
        <f t="shared" si="1263"/>
        <v>1209.7500000000032</v>
      </c>
      <c r="BE142" s="161">
        <f t="shared" si="1263"/>
        <v>2309.2600000000029</v>
      </c>
      <c r="BF142" s="161">
        <f t="shared" si="1263"/>
        <v>2513.2600000000043</v>
      </c>
      <c r="BG142" s="161">
        <f t="shared" si="1263"/>
        <v>3908.4100000000035</v>
      </c>
      <c r="BH142" s="161">
        <f t="shared" si="1263"/>
        <v>4498.9399999999969</v>
      </c>
      <c r="BI142" s="161">
        <f t="shared" si="1263"/>
        <v>4646.7000000000007</v>
      </c>
      <c r="BJ142" s="161">
        <f t="shared" si="1263"/>
        <v>5154.769999999995</v>
      </c>
      <c r="BK142" s="161">
        <f t="shared" si="1263"/>
        <v>4557.2099999999973</v>
      </c>
      <c r="BL142" s="161">
        <f t="shared" si="1263"/>
        <v>2645.43</v>
      </c>
      <c r="BM142" s="161">
        <f t="shared" si="1263"/>
        <v>1283.5199999999995</v>
      </c>
      <c r="BN142" s="161">
        <f t="shared" si="1263"/>
        <v>-550.54000000000133</v>
      </c>
      <c r="BO142" s="161">
        <f t="shared" si="1263"/>
        <v>-2131.0800000000008</v>
      </c>
      <c r="BP142" s="161">
        <f t="shared" si="1263"/>
        <v>-1515.6799999999994</v>
      </c>
      <c r="BQ142" s="161">
        <f t="shared" si="1263"/>
        <v>-613.38000000000102</v>
      </c>
      <c r="BR142" s="161">
        <f t="shared" ref="BR142:CW142" si="1264">+SUM(BO52:BR52)</f>
        <v>1494.2500000000018</v>
      </c>
      <c r="BS142" s="161">
        <f t="shared" si="1264"/>
        <v>2425.7900000000013</v>
      </c>
      <c r="BT142" s="161">
        <f t="shared" si="1264"/>
        <v>2565.4700000000021</v>
      </c>
      <c r="BU142" s="161">
        <f t="shared" si="1264"/>
        <v>2016.9800000000023</v>
      </c>
      <c r="BV142" s="161">
        <f t="shared" si="1264"/>
        <v>1748.670000000001</v>
      </c>
      <c r="BW142" s="161">
        <f t="shared" si="1264"/>
        <v>2351.0400000000041</v>
      </c>
      <c r="BX142" s="161">
        <f t="shared" si="1264"/>
        <v>2760.9400000000055</v>
      </c>
      <c r="BY142" s="161">
        <f t="shared" si="1264"/>
        <v>3825.7000000000053</v>
      </c>
      <c r="BZ142" s="161">
        <f t="shared" si="1264"/>
        <v>4789.3300000000036</v>
      </c>
      <c r="CA142" s="161">
        <f t="shared" si="1264"/>
        <v>5425.8400000000047</v>
      </c>
      <c r="CB142" s="161">
        <f t="shared" si="1264"/>
        <v>6754.5600000000031</v>
      </c>
      <c r="CC142" s="161">
        <f t="shared" si="1264"/>
        <v>7521.92</v>
      </c>
      <c r="CD142" s="161">
        <f t="shared" si="1264"/>
        <v>7870.09</v>
      </c>
      <c r="CE142" s="161">
        <f t="shared" si="1264"/>
        <v>8457.7599999999984</v>
      </c>
      <c r="CF142" s="161">
        <f t="shared" si="1264"/>
        <v>8130.7499999999964</v>
      </c>
      <c r="CG142" s="161">
        <f t="shared" si="1264"/>
        <v>7038.3299999999981</v>
      </c>
      <c r="CH142" s="161">
        <f t="shared" si="1264"/>
        <v>5997.4999999999982</v>
      </c>
      <c r="CI142" s="161">
        <f t="shared" si="1264"/>
        <v>5971.4999999999982</v>
      </c>
      <c r="CJ142" s="161">
        <f t="shared" si="1264"/>
        <v>6395.4999999999982</v>
      </c>
      <c r="CK142" s="161">
        <f t="shared" si="1264"/>
        <v>7960.5999999999985</v>
      </c>
      <c r="CL142" s="161">
        <f t="shared" si="1264"/>
        <v>9880</v>
      </c>
      <c r="CM142" s="21">
        <f t="shared" si="1264"/>
        <v>10180.071055736431</v>
      </c>
      <c r="CN142" s="21">
        <f t="shared" si="1264"/>
        <v>10551.678688144817</v>
      </c>
      <c r="CO142" s="21">
        <f t="shared" si="1264"/>
        <v>10946.14835319054</v>
      </c>
      <c r="CP142" s="21">
        <f t="shared" si="1264"/>
        <v>11127.065907240532</v>
      </c>
      <c r="CQ142" s="21">
        <f t="shared" si="1264"/>
        <v>11405.633617050898</v>
      </c>
      <c r="CR142" s="21">
        <f t="shared" si="1264"/>
        <v>11702.605656322412</v>
      </c>
      <c r="CS142" s="21">
        <f t="shared" si="1264"/>
        <v>12024.097496127331</v>
      </c>
      <c r="CT142" s="21">
        <f t="shared" si="1264"/>
        <v>12351.724916190269</v>
      </c>
      <c r="CU142" s="21">
        <f t="shared" si="1264"/>
        <v>12682.448198020254</v>
      </c>
      <c r="CV142" s="21">
        <f t="shared" si="1264"/>
        <v>13060.11516728021</v>
      </c>
      <c r="CW142" s="21">
        <f t="shared" si="1264"/>
        <v>13477.791225009929</v>
      </c>
      <c r="CX142" s="21">
        <f t="shared" ref="CX142:DB142" si="1265">+SUM(CU52:CX52)</f>
        <v>13966.252278154665</v>
      </c>
      <c r="CY142" s="21">
        <f t="shared" si="1265"/>
        <v>14288.764860984817</v>
      </c>
      <c r="CZ142" s="21">
        <f t="shared" si="1265"/>
        <v>14640.283372559727</v>
      </c>
      <c r="DA142" s="21">
        <f t="shared" si="1265"/>
        <v>15094.417328146439</v>
      </c>
      <c r="DB142" s="21">
        <f t="shared" si="1265"/>
        <v>15601.83359957151</v>
      </c>
      <c r="DE142" s="22"/>
      <c r="DF142" s="161">
        <v>9566.8536733856854</v>
      </c>
    </row>
    <row r="143" spans="1:110" s="161" customFormat="1" x14ac:dyDescent="0.2">
      <c r="A143" s="49" t="s">
        <v>342</v>
      </c>
      <c r="B143" s="161" t="e">
        <f>+B140/B142</f>
        <v>#DIV/0!</v>
      </c>
      <c r="C143" s="161" t="e">
        <f t="shared" ref="C143:W143" si="1266">+C140/C142</f>
        <v>#DIV/0!</v>
      </c>
      <c r="D143" s="161" t="e">
        <f t="shared" si="1266"/>
        <v>#DIV/0!</v>
      </c>
      <c r="E143" s="161" t="e">
        <f t="shared" si="1266"/>
        <v>#DIV/0!</v>
      </c>
      <c r="F143" s="161" t="e">
        <f t="shared" si="1266"/>
        <v>#DIV/0!</v>
      </c>
      <c r="G143" s="161" t="e">
        <f t="shared" si="1266"/>
        <v>#DIV/0!</v>
      </c>
      <c r="H143" s="161" t="e">
        <f t="shared" si="1266"/>
        <v>#DIV/0!</v>
      </c>
      <c r="I143" s="161" t="e">
        <f t="shared" si="1266"/>
        <v>#DIV/0!</v>
      </c>
      <c r="J143" s="161" t="e">
        <f t="shared" si="1266"/>
        <v>#DIV/0!</v>
      </c>
      <c r="K143" s="161" t="e">
        <f t="shared" si="1266"/>
        <v>#DIV/0!</v>
      </c>
      <c r="L143" s="161" t="e">
        <f t="shared" si="1266"/>
        <v>#DIV/0!</v>
      </c>
      <c r="M143" s="161" t="e">
        <f t="shared" si="1266"/>
        <v>#DIV/0!</v>
      </c>
      <c r="N143" s="161" t="e">
        <f t="shared" si="1266"/>
        <v>#DIV/0!</v>
      </c>
      <c r="O143" s="161" t="e">
        <f t="shared" si="1266"/>
        <v>#DIV/0!</v>
      </c>
      <c r="P143" s="161" t="e">
        <f t="shared" si="1266"/>
        <v>#DIV/0!</v>
      </c>
      <c r="Q143" s="161" t="e">
        <f t="shared" si="1266"/>
        <v>#DIV/0!</v>
      </c>
      <c r="R143" s="161" t="e">
        <f t="shared" si="1266"/>
        <v>#DIV/0!</v>
      </c>
      <c r="S143" s="161" t="e">
        <f t="shared" si="1266"/>
        <v>#DIV/0!</v>
      </c>
      <c r="T143" s="161" t="e">
        <f t="shared" si="1266"/>
        <v>#DIV/0!</v>
      </c>
      <c r="U143" s="161" t="e">
        <f t="shared" si="1266"/>
        <v>#DIV/0!</v>
      </c>
      <c r="V143" s="161" t="e">
        <f t="shared" si="1266"/>
        <v>#DIV/0!</v>
      </c>
      <c r="W143" s="161" t="e">
        <f t="shared" si="1266"/>
        <v>#DIV/0!</v>
      </c>
      <c r="X143" s="161" t="e">
        <f t="shared" ref="X143:Y143" si="1267">+X140/X142</f>
        <v>#DIV/0!</v>
      </c>
      <c r="Y143" s="161" t="e">
        <f t="shared" si="1267"/>
        <v>#DIV/0!</v>
      </c>
      <c r="Z143" s="161">
        <f t="shared" ref="Z143:AA143" si="1268">+Z140/Z142</f>
        <v>0.56273199703043797</v>
      </c>
      <c r="AA143" s="161">
        <f t="shared" si="1268"/>
        <v>23.988443454590449</v>
      </c>
      <c r="AB143" s="21">
        <f t="shared" ref="AA143:AD143" si="1269">+AB140/AB142</f>
        <v>-801.43458320818741</v>
      </c>
      <c r="AC143" s="21">
        <f t="shared" si="1269"/>
        <v>568.54622438982301</v>
      </c>
      <c r="AD143" s="21">
        <f t="shared" si="1269"/>
        <v>416.97583377866755</v>
      </c>
      <c r="AE143" s="21">
        <f t="shared" ref="AE143" si="1270">+AE140/AE142</f>
        <v>819.40551173842641</v>
      </c>
      <c r="AL143" s="161">
        <f t="shared" ref="AL143" si="1271">+AL140/AL142</f>
        <v>0</v>
      </c>
      <c r="AM143" s="161">
        <f t="shared" ref="AM143:AO143" si="1272">+AM140/AM142</f>
        <v>-0.6260493354579667</v>
      </c>
      <c r="AN143" s="161">
        <f t="shared" si="1272"/>
        <v>0</v>
      </c>
      <c r="AO143" s="161">
        <f t="shared" si="1272"/>
        <v>23.535828474703791</v>
      </c>
      <c r="AP143" s="161">
        <f t="shared" ref="AP143:CD143" si="1273">+AP140/AP142</f>
        <v>0</v>
      </c>
      <c r="AQ143" s="161">
        <f t="shared" si="1273"/>
        <v>0.30053664531790303</v>
      </c>
      <c r="AR143" s="161">
        <f t="shared" si="1273"/>
        <v>0</v>
      </c>
      <c r="AS143" s="161">
        <f t="shared" si="1273"/>
        <v>-1.2087763155646907</v>
      </c>
      <c r="AT143" s="161">
        <f t="shared" si="1273"/>
        <v>0</v>
      </c>
      <c r="AU143" s="161">
        <f t="shared" si="1273"/>
        <v>1.4930201411425246</v>
      </c>
      <c r="AV143" s="161">
        <f t="shared" si="1273"/>
        <v>0</v>
      </c>
      <c r="AW143" s="161">
        <f t="shared" si="1273"/>
        <v>7.1845282166805843E-2</v>
      </c>
      <c r="AX143" s="161">
        <f t="shared" si="1273"/>
        <v>0</v>
      </c>
      <c r="AY143" s="161">
        <f t="shared" si="1273"/>
        <v>-8.4588472972746895E-3</v>
      </c>
      <c r="AZ143" s="161">
        <f t="shared" si="1273"/>
        <v>0</v>
      </c>
      <c r="BA143" s="161">
        <f t="shared" si="1273"/>
        <v>0.49867219719182887</v>
      </c>
      <c r="BB143" s="161">
        <f t="shared" si="1273"/>
        <v>0</v>
      </c>
      <c r="BC143" s="161">
        <f t="shared" si="1273"/>
        <v>0.69321957790750188</v>
      </c>
      <c r="BD143" s="161">
        <f t="shared" si="1273"/>
        <v>0</v>
      </c>
      <c r="BE143" s="161">
        <f t="shared" si="1273"/>
        <v>-9.162675489117672E-2</v>
      </c>
      <c r="BF143" s="161">
        <f t="shared" si="1273"/>
        <v>0</v>
      </c>
      <c r="BG143" s="161">
        <f t="shared" si="1273"/>
        <v>-0.30387037183918686</v>
      </c>
      <c r="BH143" s="161">
        <f t="shared" si="1273"/>
        <v>0</v>
      </c>
      <c r="BI143" s="161">
        <f t="shared" si="1273"/>
        <v>-0.13291583274151592</v>
      </c>
      <c r="BJ143" s="161">
        <f t="shared" si="1273"/>
        <v>0</v>
      </c>
      <c r="BK143" s="161">
        <f t="shared" si="1273"/>
        <v>2.1306896105292635E-2</v>
      </c>
      <c r="BL143" s="161">
        <f t="shared" si="1273"/>
        <v>0</v>
      </c>
      <c r="BM143" s="161">
        <f t="shared" si="1273"/>
        <v>0.80988999002742368</v>
      </c>
      <c r="BN143" s="161">
        <f t="shared" si="1273"/>
        <v>0</v>
      </c>
      <c r="BO143" s="161">
        <f t="shared" si="1273"/>
        <v>-1.0279482703605678</v>
      </c>
      <c r="BP143" s="161">
        <f t="shared" si="1273"/>
        <v>0</v>
      </c>
      <c r="BQ143" s="161">
        <f t="shared" si="1273"/>
        <v>-1.0402034627800041</v>
      </c>
      <c r="BR143" s="161">
        <f t="shared" si="1273"/>
        <v>0</v>
      </c>
      <c r="BS143" s="161">
        <f t="shared" si="1273"/>
        <v>0.54445355945898022</v>
      </c>
      <c r="BT143" s="161">
        <f t="shared" si="1273"/>
        <v>0</v>
      </c>
      <c r="BU143" s="161">
        <f t="shared" si="1273"/>
        <v>0.31507005523108755</v>
      </c>
      <c r="BV143" s="161">
        <f t="shared" si="1273"/>
        <v>0</v>
      </c>
      <c r="BW143" s="161">
        <f t="shared" si="1273"/>
        <v>7.6999965972504608E-2</v>
      </c>
      <c r="BX143" s="161">
        <f t="shared" si="1273"/>
        <v>0</v>
      </c>
      <c r="BY143" s="161">
        <f t="shared" si="1273"/>
        <v>-0.12669838199545164</v>
      </c>
      <c r="BZ143" s="161">
        <f t="shared" si="1273"/>
        <v>0</v>
      </c>
      <c r="CA143" s="161">
        <f t="shared" si="1273"/>
        <v>1.1795408637187471E-2</v>
      </c>
      <c r="CB143" s="161">
        <f t="shared" si="1273"/>
        <v>0</v>
      </c>
      <c r="CC143" s="161">
        <f t="shared" si="1273"/>
        <v>-0.60756429209563467</v>
      </c>
      <c r="CD143" s="161">
        <f t="shared" si="1273"/>
        <v>0</v>
      </c>
      <c r="CE143" s="161">
        <f t="shared" ref="CE143:CF143" si="1274">+CE140/CE142</f>
        <v>-0.25893380753296386</v>
      </c>
      <c r="CF143" s="161">
        <f t="shared" si="1274"/>
        <v>0</v>
      </c>
      <c r="CG143" s="161">
        <f t="shared" ref="CG143:CH143" si="1275">+CG140/CG142</f>
        <v>-6.1079830016495355E-2</v>
      </c>
      <c r="CH143" s="161">
        <f t="shared" si="1275"/>
        <v>0.75831596498541087</v>
      </c>
      <c r="CI143" s="161">
        <f t="shared" ref="CI143:CJ143" si="1276">+CI140/CI142</f>
        <v>0.77881655114322301</v>
      </c>
      <c r="CJ143" s="161">
        <f t="shared" si="1276"/>
        <v>0.70971777030724748</v>
      </c>
      <c r="CK143" s="161">
        <f t="shared" ref="CK143:CL143" si="1277">+CK140/CK142</f>
        <v>20.310518645113618</v>
      </c>
      <c r="CL143" s="161">
        <f t="shared" si="1277"/>
        <v>18.438319838056682</v>
      </c>
      <c r="CM143" s="21">
        <f t="shared" ref="CM143:DB143" si="1278">+CM140/CM142</f>
        <v>17.660077004344032</v>
      </c>
      <c r="CN143" s="21">
        <f t="shared" si="1278"/>
        <v>17.167416510252899</v>
      </c>
      <c r="CO143" s="21">
        <f t="shared" si="1278"/>
        <v>15.560918965242395</v>
      </c>
      <c r="CP143" s="21">
        <f t="shared" si="1278"/>
        <v>14.554938199493991</v>
      </c>
      <c r="CQ143" s="21">
        <f t="shared" si="1278"/>
        <v>14.856435699060748</v>
      </c>
      <c r="CR143" s="21">
        <f t="shared" si="1278"/>
        <v>14.549847000597318</v>
      </c>
      <c r="CS143" s="21">
        <f t="shared" si="1278"/>
        <v>14.168762863119001</v>
      </c>
      <c r="CT143" s="21">
        <f t="shared" si="1278"/>
        <v>14.089734439451725</v>
      </c>
      <c r="CU143" s="21">
        <f t="shared" si="1278"/>
        <v>14.509663291219356</v>
      </c>
      <c r="CV143" s="21">
        <f t="shared" si="1278"/>
        <v>14.411411306757099</v>
      </c>
      <c r="CW143" s="21">
        <f t="shared" si="1278"/>
        <v>14.229306807220311</v>
      </c>
      <c r="CX143" s="21">
        <f t="shared" si="1278"/>
        <v>14.163764160004067</v>
      </c>
      <c r="CY143" s="21">
        <f t="shared" si="1278"/>
        <v>14.362527736797164</v>
      </c>
      <c r="CZ143" s="21">
        <f t="shared" si="1278"/>
        <v>14.095765250978907</v>
      </c>
      <c r="DA143" s="21">
        <f t="shared" si="1278"/>
        <v>13.742715418394807</v>
      </c>
      <c r="DB143" s="21">
        <f t="shared" si="1278"/>
        <v>13.430818535394829</v>
      </c>
      <c r="DE143" s="22"/>
      <c r="DF143" s="161">
        <v>17.824265761910642</v>
      </c>
    </row>
    <row r="144" spans="1:110" s="161" customFormat="1" x14ac:dyDescent="0.2">
      <c r="A144" s="49" t="s">
        <v>343</v>
      </c>
      <c r="B144" s="161" t="e">
        <f>+B141/B142</f>
        <v>#DIV/0!</v>
      </c>
      <c r="C144" s="161" t="e">
        <f t="shared" ref="C144:W144" si="1279">+C141/C142</f>
        <v>#DIV/0!</v>
      </c>
      <c r="D144" s="161" t="e">
        <f t="shared" si="1279"/>
        <v>#DIV/0!</v>
      </c>
      <c r="E144" s="161" t="e">
        <f t="shared" si="1279"/>
        <v>#DIV/0!</v>
      </c>
      <c r="F144" s="161" t="e">
        <f t="shared" si="1279"/>
        <v>#DIV/0!</v>
      </c>
      <c r="G144" s="161" t="e">
        <f t="shared" si="1279"/>
        <v>#DIV/0!</v>
      </c>
      <c r="H144" s="161" t="e">
        <f t="shared" si="1279"/>
        <v>#DIV/0!</v>
      </c>
      <c r="I144" s="161" t="e">
        <f t="shared" si="1279"/>
        <v>#DIV/0!</v>
      </c>
      <c r="J144" s="161" t="e">
        <f t="shared" si="1279"/>
        <v>#DIV/0!</v>
      </c>
      <c r="K144" s="161" t="e">
        <f t="shared" si="1279"/>
        <v>#DIV/0!</v>
      </c>
      <c r="L144" s="161" t="e">
        <f t="shared" si="1279"/>
        <v>#DIV/0!</v>
      </c>
      <c r="M144" s="161" t="e">
        <f t="shared" si="1279"/>
        <v>#DIV/0!</v>
      </c>
      <c r="N144" s="161" t="e">
        <f t="shared" si="1279"/>
        <v>#DIV/0!</v>
      </c>
      <c r="O144" s="161" t="e">
        <f t="shared" si="1279"/>
        <v>#DIV/0!</v>
      </c>
      <c r="P144" s="161" t="e">
        <f t="shared" si="1279"/>
        <v>#DIV/0!</v>
      </c>
      <c r="Q144" s="161" t="e">
        <f t="shared" si="1279"/>
        <v>#DIV/0!</v>
      </c>
      <c r="R144" s="161" t="e">
        <f t="shared" si="1279"/>
        <v>#DIV/0!</v>
      </c>
      <c r="S144" s="161" t="e">
        <f t="shared" si="1279"/>
        <v>#DIV/0!</v>
      </c>
      <c r="T144" s="161" t="e">
        <f t="shared" si="1279"/>
        <v>#DIV/0!</v>
      </c>
      <c r="U144" s="161" t="e">
        <f t="shared" si="1279"/>
        <v>#DIV/0!</v>
      </c>
      <c r="V144" s="161" t="e">
        <f t="shared" si="1279"/>
        <v>#DIV/0!</v>
      </c>
      <c r="W144" s="161" t="e">
        <f t="shared" si="1279"/>
        <v>#DIV/0!</v>
      </c>
      <c r="X144" s="161" t="e">
        <f t="shared" ref="X144:Y144" si="1280">+X141/X142</f>
        <v>#DIV/0!</v>
      </c>
      <c r="Y144" s="161" t="e">
        <f t="shared" si="1280"/>
        <v>#DIV/0!</v>
      </c>
      <c r="Z144" s="161">
        <f t="shared" ref="Z144:AA144" si="1281">+Z141/Z142</f>
        <v>0.56273199703043797</v>
      </c>
      <c r="AA144" s="161">
        <f t="shared" si="1281"/>
        <v>14.747463499133877</v>
      </c>
      <c r="AB144" s="21">
        <f t="shared" ref="AA144:AD144" si="1282">+AB141/AB142</f>
        <v>-559.87857151233425</v>
      </c>
      <c r="AC144" s="21">
        <f t="shared" si="1282"/>
        <v>377.22997084384355</v>
      </c>
      <c r="AD144" s="21">
        <f t="shared" si="1282"/>
        <v>258.51220357329197</v>
      </c>
      <c r="AE144" s="21">
        <f t="shared" ref="AE144" si="1283">+AE141/AE142</f>
        <v>527.55203747414964</v>
      </c>
      <c r="AL144" s="161">
        <f t="shared" ref="AL144:AM144" si="1284">+AL141/AL142</f>
        <v>0</v>
      </c>
      <c r="AM144" s="161">
        <f t="shared" si="1284"/>
        <v>-0.6260493354579667</v>
      </c>
      <c r="AN144" s="161">
        <f t="shared" ref="AN144:AO144" si="1285">+AN141/AN142</f>
        <v>0</v>
      </c>
      <c r="AO144" s="161">
        <f t="shared" si="1285"/>
        <v>23.535828474703791</v>
      </c>
      <c r="AP144" s="161">
        <f t="shared" ref="AP144:CD144" si="1286">+AP141/AP142</f>
        <v>0</v>
      </c>
      <c r="AQ144" s="161">
        <f t="shared" si="1286"/>
        <v>0.30053664531790303</v>
      </c>
      <c r="AR144" s="161">
        <f t="shared" si="1286"/>
        <v>0</v>
      </c>
      <c r="AS144" s="161">
        <f t="shared" si="1286"/>
        <v>-1.2087763155646907</v>
      </c>
      <c r="AT144" s="161">
        <f t="shared" si="1286"/>
        <v>0</v>
      </c>
      <c r="AU144" s="161">
        <f t="shared" si="1286"/>
        <v>1.4930201411425246</v>
      </c>
      <c r="AV144" s="161">
        <f t="shared" si="1286"/>
        <v>0</v>
      </c>
      <c r="AW144" s="161">
        <f t="shared" si="1286"/>
        <v>7.1845282166805843E-2</v>
      </c>
      <c r="AX144" s="161">
        <f t="shared" si="1286"/>
        <v>0</v>
      </c>
      <c r="AY144" s="161">
        <f t="shared" si="1286"/>
        <v>-8.4588472972746895E-3</v>
      </c>
      <c r="AZ144" s="161">
        <f t="shared" si="1286"/>
        <v>0</v>
      </c>
      <c r="BA144" s="161">
        <f t="shared" si="1286"/>
        <v>0.49867219719182887</v>
      </c>
      <c r="BB144" s="161">
        <f t="shared" si="1286"/>
        <v>0</v>
      </c>
      <c r="BC144" s="161">
        <f t="shared" si="1286"/>
        <v>0.69321957790750188</v>
      </c>
      <c r="BD144" s="161">
        <f t="shared" si="1286"/>
        <v>0</v>
      </c>
      <c r="BE144" s="161">
        <f t="shared" si="1286"/>
        <v>-9.162675489117672E-2</v>
      </c>
      <c r="BF144" s="161">
        <f t="shared" si="1286"/>
        <v>0</v>
      </c>
      <c r="BG144" s="161">
        <f t="shared" si="1286"/>
        <v>-0.30387037183918686</v>
      </c>
      <c r="BH144" s="161">
        <f t="shared" si="1286"/>
        <v>0</v>
      </c>
      <c r="BI144" s="161">
        <f t="shared" si="1286"/>
        <v>-0.13291583274151592</v>
      </c>
      <c r="BJ144" s="161">
        <f t="shared" si="1286"/>
        <v>0</v>
      </c>
      <c r="BK144" s="161">
        <f t="shared" si="1286"/>
        <v>2.1306896105292635E-2</v>
      </c>
      <c r="BL144" s="161">
        <f t="shared" si="1286"/>
        <v>0</v>
      </c>
      <c r="BM144" s="161">
        <f t="shared" si="1286"/>
        <v>0.80988999002742368</v>
      </c>
      <c r="BN144" s="161">
        <f t="shared" si="1286"/>
        <v>0</v>
      </c>
      <c r="BO144" s="161">
        <f t="shared" si="1286"/>
        <v>-1.0279482703605678</v>
      </c>
      <c r="BP144" s="161">
        <f t="shared" si="1286"/>
        <v>0</v>
      </c>
      <c r="BQ144" s="161">
        <f t="shared" si="1286"/>
        <v>-1.0402034627800041</v>
      </c>
      <c r="BR144" s="161">
        <f t="shared" si="1286"/>
        <v>0</v>
      </c>
      <c r="BS144" s="161">
        <f t="shared" si="1286"/>
        <v>0.54445355945898022</v>
      </c>
      <c r="BT144" s="161">
        <f t="shared" si="1286"/>
        <v>0</v>
      </c>
      <c r="BU144" s="161">
        <f t="shared" si="1286"/>
        <v>0.31507005523108755</v>
      </c>
      <c r="BV144" s="161">
        <f t="shared" si="1286"/>
        <v>0</v>
      </c>
      <c r="BW144" s="161">
        <f t="shared" si="1286"/>
        <v>7.6999965972504608E-2</v>
      </c>
      <c r="BX144" s="161">
        <f t="shared" si="1286"/>
        <v>0</v>
      </c>
      <c r="BY144" s="161">
        <f t="shared" si="1286"/>
        <v>-0.12669838199545164</v>
      </c>
      <c r="BZ144" s="161">
        <f t="shared" si="1286"/>
        <v>0</v>
      </c>
      <c r="CA144" s="161">
        <f t="shared" si="1286"/>
        <v>1.1795408637187471E-2</v>
      </c>
      <c r="CB144" s="161">
        <f t="shared" si="1286"/>
        <v>0</v>
      </c>
      <c r="CC144" s="161">
        <f t="shared" si="1286"/>
        <v>-0.60756429209563467</v>
      </c>
      <c r="CD144" s="161">
        <f t="shared" si="1286"/>
        <v>0</v>
      </c>
      <c r="CE144" s="161">
        <f t="shared" ref="CE144:CF144" si="1287">+CE141/CE142</f>
        <v>-0.25893380753296386</v>
      </c>
      <c r="CF144" s="161">
        <f t="shared" si="1287"/>
        <v>0</v>
      </c>
      <c r="CG144" s="161">
        <f t="shared" ref="CG144:CH144" si="1288">+CG141/CG142</f>
        <v>-6.1079830016495355E-2</v>
      </c>
      <c r="CH144" s="161">
        <f t="shared" si="1288"/>
        <v>0.75831596498541087</v>
      </c>
      <c r="CI144" s="161">
        <f t="shared" ref="CI144:CJ144" si="1289">+CI141/CI142</f>
        <v>0.77881655114322301</v>
      </c>
      <c r="CJ144" s="161">
        <f t="shared" si="1289"/>
        <v>0.70971777030724748</v>
      </c>
      <c r="CK144" s="161">
        <f t="shared" ref="CK144:CL144" si="1290">+CK141/CK142</f>
        <v>0.26388899408228533</v>
      </c>
      <c r="CL144" s="161">
        <f t="shared" si="1290"/>
        <v>13.97240890688259</v>
      </c>
      <c r="CM144" s="21">
        <f t="shared" ref="CM144:DB144" si="1291">+CM141/CM142</f>
        <v>13.447012844552642</v>
      </c>
      <c r="CN144" s="21">
        <f t="shared" si="1291"/>
        <v>13.014902219054433</v>
      </c>
      <c r="CO144" s="21">
        <f t="shared" si="1291"/>
        <v>11.699821645561071</v>
      </c>
      <c r="CP144" s="21">
        <f t="shared" si="1291"/>
        <v>10.845677086758537</v>
      </c>
      <c r="CQ144" s="21">
        <f t="shared" si="1291"/>
        <v>11.150735190273663</v>
      </c>
      <c r="CR144" s="21">
        <f t="shared" si="1291"/>
        <v>10.865614948463032</v>
      </c>
      <c r="CS144" s="21">
        <f t="shared" si="1291"/>
        <v>10.49294590205665</v>
      </c>
      <c r="CT144" s="21">
        <f t="shared" si="1291"/>
        <v>10.357059375140196</v>
      </c>
      <c r="CU144" s="21">
        <f t="shared" si="1291"/>
        <v>10.743055344422096</v>
      </c>
      <c r="CV144" s="21">
        <f t="shared" si="1291"/>
        <v>10.619517315326579</v>
      </c>
      <c r="CW144" s="21">
        <f t="shared" si="1291"/>
        <v>10.402154876938516</v>
      </c>
      <c r="CX144" s="21">
        <f t="shared" si="1291"/>
        <v>10.281107269773871</v>
      </c>
      <c r="CY144" s="21">
        <f t="shared" si="1291"/>
        <v>10.501812295179704</v>
      </c>
      <c r="CZ144" s="21">
        <f t="shared" si="1291"/>
        <v>10.251025797658778</v>
      </c>
      <c r="DA144" s="21">
        <f t="shared" si="1291"/>
        <v>9.906659986987286</v>
      </c>
      <c r="DB144" s="21">
        <f t="shared" si="1291"/>
        <v>9.6010279668435263</v>
      </c>
      <c r="DE144" s="22"/>
      <c r="DF144" s="161">
        <v>0.23158579277824279</v>
      </c>
    </row>
    <row r="145" spans="1:110" s="10" customFormat="1" x14ac:dyDescent="0.2">
      <c r="A145" s="149" t="s">
        <v>493</v>
      </c>
      <c r="AB145" s="20"/>
      <c r="AC145" s="20"/>
      <c r="AD145" s="20"/>
      <c r="AE145" s="20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E145" s="127"/>
    </row>
    <row r="146" spans="1:110" x14ac:dyDescent="0.2">
      <c r="A146" s="152" t="s">
        <v>494</v>
      </c>
      <c r="AA146" s="2"/>
      <c r="CL146" s="2"/>
    </row>
    <row r="147" spans="1:110" s="23" customFormat="1" outlineLevel="1" x14ac:dyDescent="0.2">
      <c r="A147" s="23" t="s">
        <v>41</v>
      </c>
      <c r="B147" s="23">
        <f>'Annual Raw'!C41</f>
        <v>0</v>
      </c>
      <c r="C147" s="23">
        <f>'Annual Raw'!D41</f>
        <v>0</v>
      </c>
      <c r="D147" s="23">
        <f>'Annual Raw'!E41</f>
        <v>0</v>
      </c>
      <c r="E147" s="23">
        <v>356.83000000000004</v>
      </c>
      <c r="F147" s="23">
        <v>361.79</v>
      </c>
      <c r="G147" s="23">
        <v>382.87</v>
      </c>
      <c r="H147" s="23">
        <v>385.40999999999997</v>
      </c>
      <c r="I147" s="23">
        <v>385.54</v>
      </c>
      <c r="J147" s="23">
        <v>514.04999999999995</v>
      </c>
      <c r="K147" s="23">
        <v>570.6</v>
      </c>
      <c r="L147" s="23">
        <v>637.70999999999992</v>
      </c>
      <c r="M147" s="23">
        <v>634.75</v>
      </c>
      <c r="N147" s="23">
        <v>638.06999999999994</v>
      </c>
      <c r="O147" s="23">
        <v>643.78</v>
      </c>
      <c r="P147" s="23">
        <v>643.78</v>
      </c>
      <c r="Q147" s="23">
        <v>679.31999999999994</v>
      </c>
      <c r="R147" s="23">
        <v>679.22</v>
      </c>
      <c r="S147" s="23">
        <v>679.22</v>
      </c>
      <c r="T147" s="23">
        <v>679.31999999999994</v>
      </c>
      <c r="U147" s="23">
        <v>719.54</v>
      </c>
      <c r="V147" s="23">
        <v>765.81000000000006</v>
      </c>
      <c r="W147" s="23">
        <v>765.88</v>
      </c>
      <c r="X147" s="23">
        <v>766.02</v>
      </c>
      <c r="Y147" s="23">
        <v>767</v>
      </c>
      <c r="Z147" s="23">
        <v>736</v>
      </c>
      <c r="AA147" s="23">
        <v>736</v>
      </c>
      <c r="AB147" s="24">
        <f>+CP147</f>
        <v>736</v>
      </c>
      <c r="AC147" s="24">
        <f>+CT147</f>
        <v>736</v>
      </c>
      <c r="AD147" s="24">
        <f>+CX147</f>
        <v>736</v>
      </c>
      <c r="AE147" s="24">
        <f>+DB147</f>
        <v>736</v>
      </c>
      <c r="AJ147" s="23">
        <f>+'QTR Raw'!D56</f>
        <v>0</v>
      </c>
      <c r="AK147" s="23">
        <f t="shared" ref="AK147:CE147" si="1292">+AJ147</f>
        <v>0</v>
      </c>
      <c r="AL147" s="23">
        <f>+'QTR Raw'!F56</f>
        <v>0</v>
      </c>
      <c r="AM147" s="23">
        <f t="shared" si="1292"/>
        <v>0</v>
      </c>
      <c r="AN147" s="23">
        <f>+'QTR Raw'!H56</f>
        <v>0</v>
      </c>
      <c r="AO147" s="23">
        <f t="shared" si="1292"/>
        <v>0</v>
      </c>
      <c r="AP147" s="23">
        <f>+'QTR Raw'!J56</f>
        <v>0</v>
      </c>
      <c r="AQ147" s="23">
        <f t="shared" si="1292"/>
        <v>0</v>
      </c>
      <c r="AR147" s="23">
        <f>+'QTR Raw'!L56</f>
        <v>0</v>
      </c>
      <c r="AS147" s="23">
        <f t="shared" si="1292"/>
        <v>0</v>
      </c>
      <c r="AT147" s="23">
        <f>+'QTR Raw'!N56</f>
        <v>0</v>
      </c>
      <c r="AU147" s="23">
        <f t="shared" si="1292"/>
        <v>0</v>
      </c>
      <c r="AV147" s="23">
        <f>+'QTR Raw'!P56</f>
        <v>0</v>
      </c>
      <c r="AW147" s="23">
        <f t="shared" si="1292"/>
        <v>0</v>
      </c>
      <c r="AX147" s="23">
        <f>+'QTR Raw'!R56</f>
        <v>0</v>
      </c>
      <c r="AY147" s="23">
        <f t="shared" si="1292"/>
        <v>0</v>
      </c>
      <c r="AZ147" s="23">
        <f>+'QTR Raw'!T56</f>
        <v>0</v>
      </c>
      <c r="BA147" s="23">
        <f t="shared" si="1292"/>
        <v>0</v>
      </c>
      <c r="BB147" s="23">
        <f>+'QTR Raw'!V56</f>
        <v>0</v>
      </c>
      <c r="BC147" s="23">
        <f t="shared" si="1292"/>
        <v>0</v>
      </c>
      <c r="BD147" s="23">
        <f>+'QTR Raw'!X56</f>
        <v>0</v>
      </c>
      <c r="BE147" s="23">
        <f t="shared" si="1292"/>
        <v>0</v>
      </c>
      <c r="BF147" s="23">
        <f>+'QTR Raw'!Z56</f>
        <v>0</v>
      </c>
      <c r="BG147" s="23">
        <f t="shared" si="1292"/>
        <v>0</v>
      </c>
      <c r="BH147" s="23">
        <f>+'QTR Raw'!AB56</f>
        <v>0</v>
      </c>
      <c r="BI147" s="23">
        <f t="shared" si="1292"/>
        <v>0</v>
      </c>
      <c r="BJ147" s="23">
        <f>+'QTR Raw'!AD56</f>
        <v>0</v>
      </c>
      <c r="BK147" s="23">
        <f t="shared" si="1292"/>
        <v>0</v>
      </c>
      <c r="BL147" s="23">
        <f>+'QTR Raw'!AF56</f>
        <v>0</v>
      </c>
      <c r="BM147" s="23">
        <f t="shared" si="1292"/>
        <v>0</v>
      </c>
      <c r="BN147" s="23">
        <f>+'QTR Raw'!AH56</f>
        <v>0</v>
      </c>
      <c r="BO147" s="23">
        <f t="shared" si="1292"/>
        <v>0</v>
      </c>
      <c r="BP147" s="23">
        <f>+'QTR Raw'!AJ56</f>
        <v>0</v>
      </c>
      <c r="BQ147" s="23">
        <f t="shared" si="1292"/>
        <v>0</v>
      </c>
      <c r="BR147" s="23">
        <f>+'QTR Raw'!AL56</f>
        <v>0</v>
      </c>
      <c r="BS147" s="23">
        <f t="shared" si="1292"/>
        <v>0</v>
      </c>
      <c r="BT147" s="23">
        <f>+'QTR Raw'!AN56</f>
        <v>0</v>
      </c>
      <c r="BU147" s="23">
        <f t="shared" si="1292"/>
        <v>0</v>
      </c>
      <c r="BV147" s="23">
        <f>+'QTR Raw'!AP56</f>
        <v>0</v>
      </c>
      <c r="BW147" s="23">
        <f t="shared" si="1292"/>
        <v>0</v>
      </c>
      <c r="BX147" s="23">
        <f>+'QTR Raw'!AR56</f>
        <v>0</v>
      </c>
      <c r="BY147" s="23">
        <f t="shared" si="1292"/>
        <v>0</v>
      </c>
      <c r="BZ147" s="23">
        <f>+'QTR Raw'!AT56</f>
        <v>0</v>
      </c>
      <c r="CA147" s="23">
        <f t="shared" si="1292"/>
        <v>0</v>
      </c>
      <c r="CB147" s="23">
        <f>+'QTR Raw'!AV56</f>
        <v>0</v>
      </c>
      <c r="CC147" s="23">
        <f t="shared" si="1292"/>
        <v>0</v>
      </c>
      <c r="CD147" s="23">
        <f>+'QTR Raw'!AX56</f>
        <v>0</v>
      </c>
      <c r="CE147" s="23">
        <f t="shared" si="1292"/>
        <v>0</v>
      </c>
      <c r="CF147" s="23">
        <f>+'QTR Raw'!AZ56</f>
        <v>0</v>
      </c>
      <c r="CG147" s="23">
        <f t="shared" ref="CG147:CG148" si="1293">+CF147</f>
        <v>0</v>
      </c>
      <c r="CH147" s="23">
        <f>Z147</f>
        <v>736</v>
      </c>
      <c r="CI147" s="23">
        <f>CH147</f>
        <v>736</v>
      </c>
      <c r="CJ147" s="23">
        <f>+'QTR Raw'!BD56</f>
        <v>736</v>
      </c>
      <c r="CK147" s="23">
        <f t="shared" ref="CK147:DB147" si="1294">CJ147</f>
        <v>736</v>
      </c>
      <c r="CL147" s="23">
        <f>+'QTR Raw'!BF56</f>
        <v>736</v>
      </c>
      <c r="CM147" s="24">
        <f t="shared" si="1294"/>
        <v>736</v>
      </c>
      <c r="CN147" s="24">
        <f t="shared" si="1294"/>
        <v>736</v>
      </c>
      <c r="CO147" s="24">
        <f t="shared" si="1294"/>
        <v>736</v>
      </c>
      <c r="CP147" s="24">
        <f t="shared" si="1294"/>
        <v>736</v>
      </c>
      <c r="CQ147" s="24">
        <f t="shared" si="1294"/>
        <v>736</v>
      </c>
      <c r="CR147" s="24">
        <f t="shared" si="1294"/>
        <v>736</v>
      </c>
      <c r="CS147" s="24">
        <f t="shared" si="1294"/>
        <v>736</v>
      </c>
      <c r="CT147" s="24">
        <f t="shared" si="1294"/>
        <v>736</v>
      </c>
      <c r="CU147" s="24">
        <f t="shared" si="1294"/>
        <v>736</v>
      </c>
      <c r="CV147" s="24">
        <f t="shared" si="1294"/>
        <v>736</v>
      </c>
      <c r="CW147" s="24">
        <f t="shared" si="1294"/>
        <v>736</v>
      </c>
      <c r="CX147" s="24">
        <f t="shared" si="1294"/>
        <v>736</v>
      </c>
      <c r="CY147" s="24">
        <f t="shared" si="1294"/>
        <v>736</v>
      </c>
      <c r="CZ147" s="24">
        <f t="shared" si="1294"/>
        <v>736</v>
      </c>
      <c r="DA147" s="24">
        <f t="shared" si="1294"/>
        <v>736</v>
      </c>
      <c r="DB147" s="24">
        <f t="shared" si="1294"/>
        <v>736</v>
      </c>
      <c r="DE147" s="123"/>
      <c r="DF147" s="23">
        <v>736</v>
      </c>
    </row>
    <row r="148" spans="1:110" s="23" customFormat="1" outlineLevel="1" x14ac:dyDescent="0.2">
      <c r="A148" s="23" t="s">
        <v>42</v>
      </c>
      <c r="B148" s="23">
        <f>'Annual Raw'!C42</f>
        <v>0</v>
      </c>
      <c r="C148" s="23">
        <f>'Annual Raw'!D42</f>
        <v>0</v>
      </c>
      <c r="D148" s="23">
        <f>'Annual Raw'!E42</f>
        <v>0</v>
      </c>
      <c r="E148" s="23">
        <f>'Annual Raw'!F42</f>
        <v>0</v>
      </c>
      <c r="F148" s="23">
        <f>'Annual Raw'!G42</f>
        <v>0</v>
      </c>
      <c r="G148" s="23">
        <f>'Annual Raw'!H42</f>
        <v>0</v>
      </c>
      <c r="H148" s="23">
        <f>'Annual Raw'!I42</f>
        <v>0</v>
      </c>
      <c r="I148" s="23">
        <f>'Annual Raw'!J42</f>
        <v>0</v>
      </c>
      <c r="J148" s="23">
        <f>'Annual Raw'!K42</f>
        <v>0</v>
      </c>
      <c r="K148" s="23">
        <f>'Annual Raw'!L42</f>
        <v>0</v>
      </c>
      <c r="L148" s="23">
        <f>'Annual Raw'!M42</f>
        <v>0</v>
      </c>
      <c r="M148" s="23">
        <f>'Annual Raw'!N42</f>
        <v>0</v>
      </c>
      <c r="N148" s="23">
        <f>'Annual Raw'!O42</f>
        <v>0</v>
      </c>
      <c r="O148" s="23">
        <f>'Annual Raw'!P42</f>
        <v>0</v>
      </c>
      <c r="P148" s="23">
        <f>'Annual Raw'!Q42</f>
        <v>0</v>
      </c>
      <c r="Q148" s="23">
        <f>'Annual Raw'!R42</f>
        <v>0</v>
      </c>
      <c r="R148" s="23">
        <f>'Annual Raw'!S42</f>
        <v>0</v>
      </c>
      <c r="S148" s="23">
        <f>'Annual Raw'!T42</f>
        <v>0</v>
      </c>
      <c r="T148" s="23">
        <f>'Annual Raw'!U42</f>
        <v>0</v>
      </c>
      <c r="U148" s="23">
        <f>'Annual Raw'!V42</f>
        <v>0</v>
      </c>
      <c r="V148" s="23">
        <f>'Annual Raw'!W42</f>
        <v>0</v>
      </c>
      <c r="W148" s="23">
        <f>'Annual Raw'!X42</f>
        <v>0</v>
      </c>
      <c r="X148" s="23">
        <f>'Annual Raw'!Y42</f>
        <v>0</v>
      </c>
      <c r="Y148" s="23">
        <f>'Annual Raw'!Z42</f>
        <v>0</v>
      </c>
      <c r="Z148" s="23">
        <f>'Annual Raw'!AA42</f>
        <v>0</v>
      </c>
      <c r="AA148" s="23">
        <f>'Annual Raw'!AB42</f>
        <v>32</v>
      </c>
      <c r="AB148" s="24">
        <f t="shared" ref="AB148:AB149" si="1295">+CP148</f>
        <v>0</v>
      </c>
      <c r="AC148" s="24">
        <f t="shared" ref="AC148:AC149" si="1296">+CT148</f>
        <v>0</v>
      </c>
      <c r="AD148" s="24">
        <f t="shared" ref="AD148:AD149" si="1297">+CX148</f>
        <v>0</v>
      </c>
      <c r="AE148" s="24">
        <f t="shared" ref="AE148:AE149" si="1298">+DB148</f>
        <v>0</v>
      </c>
      <c r="AJ148" s="23">
        <f>+'QTR Raw'!D57</f>
        <v>0</v>
      </c>
      <c r="AK148" s="23">
        <f t="shared" ref="AK148:CE148" si="1299">+AJ148</f>
        <v>0</v>
      </c>
      <c r="AL148" s="23">
        <f>+'QTR Raw'!F57</f>
        <v>0</v>
      </c>
      <c r="AM148" s="23">
        <f t="shared" si="1299"/>
        <v>0</v>
      </c>
      <c r="AN148" s="23">
        <f>+'QTR Raw'!H57</f>
        <v>0</v>
      </c>
      <c r="AO148" s="23">
        <f t="shared" si="1299"/>
        <v>0</v>
      </c>
      <c r="AP148" s="23">
        <f>+'QTR Raw'!J57</f>
        <v>0</v>
      </c>
      <c r="AQ148" s="23">
        <f t="shared" si="1299"/>
        <v>0</v>
      </c>
      <c r="AR148" s="23">
        <f>+'QTR Raw'!L57</f>
        <v>0</v>
      </c>
      <c r="AS148" s="23">
        <f t="shared" si="1299"/>
        <v>0</v>
      </c>
      <c r="AT148" s="23">
        <f>+'QTR Raw'!N57</f>
        <v>0</v>
      </c>
      <c r="AU148" s="23">
        <f t="shared" si="1299"/>
        <v>0</v>
      </c>
      <c r="AV148" s="23">
        <f>+'QTR Raw'!P57</f>
        <v>0</v>
      </c>
      <c r="AW148" s="23">
        <f t="shared" si="1299"/>
        <v>0</v>
      </c>
      <c r="AX148" s="23">
        <f>+'QTR Raw'!R57</f>
        <v>0</v>
      </c>
      <c r="AY148" s="23">
        <f t="shared" si="1299"/>
        <v>0</v>
      </c>
      <c r="AZ148" s="23">
        <f>+'QTR Raw'!T57</f>
        <v>0</v>
      </c>
      <c r="BA148" s="23">
        <f t="shared" si="1299"/>
        <v>0</v>
      </c>
      <c r="BB148" s="23">
        <f>+'QTR Raw'!V57</f>
        <v>0</v>
      </c>
      <c r="BC148" s="23">
        <f t="shared" si="1299"/>
        <v>0</v>
      </c>
      <c r="BD148" s="23">
        <f>+'QTR Raw'!X57</f>
        <v>0</v>
      </c>
      <c r="BE148" s="23">
        <f t="shared" si="1299"/>
        <v>0</v>
      </c>
      <c r="BF148" s="23">
        <f>+'QTR Raw'!Z57</f>
        <v>0</v>
      </c>
      <c r="BG148" s="23">
        <f t="shared" si="1299"/>
        <v>0</v>
      </c>
      <c r="BH148" s="23">
        <f>+'QTR Raw'!AB57</f>
        <v>0</v>
      </c>
      <c r="BI148" s="23">
        <f t="shared" si="1299"/>
        <v>0</v>
      </c>
      <c r="BJ148" s="23">
        <f>+'QTR Raw'!AD57</f>
        <v>0</v>
      </c>
      <c r="BK148" s="23">
        <f t="shared" si="1299"/>
        <v>0</v>
      </c>
      <c r="BL148" s="23">
        <f>+'QTR Raw'!AF57</f>
        <v>0</v>
      </c>
      <c r="BM148" s="23">
        <f t="shared" si="1299"/>
        <v>0</v>
      </c>
      <c r="BN148" s="23">
        <f>+'QTR Raw'!AH57</f>
        <v>0</v>
      </c>
      <c r="BO148" s="23">
        <f t="shared" si="1299"/>
        <v>0</v>
      </c>
      <c r="BP148" s="23">
        <f>+'QTR Raw'!AJ57</f>
        <v>0</v>
      </c>
      <c r="BQ148" s="23">
        <f t="shared" si="1299"/>
        <v>0</v>
      </c>
      <c r="BR148" s="23">
        <f>+'QTR Raw'!AL57</f>
        <v>0</v>
      </c>
      <c r="BS148" s="23">
        <f t="shared" si="1299"/>
        <v>0</v>
      </c>
      <c r="BT148" s="23">
        <f>+'QTR Raw'!AN57</f>
        <v>0</v>
      </c>
      <c r="BU148" s="23">
        <f t="shared" si="1299"/>
        <v>0</v>
      </c>
      <c r="BV148" s="23">
        <f>+'QTR Raw'!AP57</f>
        <v>0</v>
      </c>
      <c r="BW148" s="23">
        <f t="shared" si="1299"/>
        <v>0</v>
      </c>
      <c r="BX148" s="23">
        <f>+'QTR Raw'!AR57</f>
        <v>0</v>
      </c>
      <c r="BY148" s="23">
        <f t="shared" si="1299"/>
        <v>0</v>
      </c>
      <c r="BZ148" s="23">
        <f>+'QTR Raw'!AT57</f>
        <v>0</v>
      </c>
      <c r="CA148" s="23">
        <f t="shared" si="1299"/>
        <v>0</v>
      </c>
      <c r="CB148" s="23">
        <f>+'QTR Raw'!AV57</f>
        <v>0</v>
      </c>
      <c r="CC148" s="23">
        <f t="shared" si="1299"/>
        <v>0</v>
      </c>
      <c r="CD148" s="23">
        <f>+'QTR Raw'!AX57</f>
        <v>0</v>
      </c>
      <c r="CE148" s="23">
        <f t="shared" si="1299"/>
        <v>0</v>
      </c>
      <c r="CF148" s="23">
        <f>+'QTR Raw'!AZ57</f>
        <v>0</v>
      </c>
      <c r="CG148" s="23">
        <f t="shared" si="1293"/>
        <v>0</v>
      </c>
      <c r="CH148" s="23">
        <f t="shared" ref="CH148:CH149" si="1300">Z148</f>
        <v>0</v>
      </c>
      <c r="CI148" s="23">
        <f>CH148</f>
        <v>0</v>
      </c>
      <c r="CJ148" s="23">
        <f>+'QTR Raw'!BD57</f>
        <v>0</v>
      </c>
      <c r="CK148" s="23">
        <f t="shared" ref="CK148:DB148" si="1301">CJ148</f>
        <v>0</v>
      </c>
      <c r="CL148" s="23">
        <f>+'QTR Raw'!BF57</f>
        <v>0</v>
      </c>
      <c r="CM148" s="24">
        <f t="shared" si="1301"/>
        <v>0</v>
      </c>
      <c r="CN148" s="24">
        <f t="shared" si="1301"/>
        <v>0</v>
      </c>
      <c r="CO148" s="24">
        <f t="shared" si="1301"/>
        <v>0</v>
      </c>
      <c r="CP148" s="24">
        <f t="shared" si="1301"/>
        <v>0</v>
      </c>
      <c r="CQ148" s="24">
        <f t="shared" si="1301"/>
        <v>0</v>
      </c>
      <c r="CR148" s="24">
        <f t="shared" si="1301"/>
        <v>0</v>
      </c>
      <c r="CS148" s="24">
        <f t="shared" si="1301"/>
        <v>0</v>
      </c>
      <c r="CT148" s="24">
        <f t="shared" si="1301"/>
        <v>0</v>
      </c>
      <c r="CU148" s="24">
        <f t="shared" si="1301"/>
        <v>0</v>
      </c>
      <c r="CV148" s="24">
        <f t="shared" si="1301"/>
        <v>0</v>
      </c>
      <c r="CW148" s="24">
        <f t="shared" si="1301"/>
        <v>0</v>
      </c>
      <c r="CX148" s="24">
        <f t="shared" si="1301"/>
        <v>0</v>
      </c>
      <c r="CY148" s="24">
        <f t="shared" si="1301"/>
        <v>0</v>
      </c>
      <c r="CZ148" s="24">
        <f t="shared" si="1301"/>
        <v>0</v>
      </c>
      <c r="DA148" s="24">
        <f t="shared" si="1301"/>
        <v>0</v>
      </c>
      <c r="DB148" s="24">
        <f t="shared" si="1301"/>
        <v>0</v>
      </c>
      <c r="DE148" s="123"/>
      <c r="DF148" s="23">
        <v>0</v>
      </c>
    </row>
    <row r="149" spans="1:110" s="23" customFormat="1" outlineLevel="1" x14ac:dyDescent="0.2">
      <c r="A149" s="23" t="s">
        <v>43</v>
      </c>
      <c r="B149" s="23">
        <f>'Annual Raw'!C43</f>
        <v>0</v>
      </c>
      <c r="C149" s="23">
        <f>'Annual Raw'!D43</f>
        <v>0</v>
      </c>
      <c r="D149" s="23">
        <f>'Annual Raw'!E43</f>
        <v>0</v>
      </c>
      <c r="E149" s="23">
        <v>3236.77</v>
      </c>
      <c r="F149" s="23">
        <v>3749.6</v>
      </c>
      <c r="G149" s="23">
        <v>5154.2</v>
      </c>
      <c r="H149" s="23">
        <v>6484.34</v>
      </c>
      <c r="I149" s="23">
        <v>7453.9600000000009</v>
      </c>
      <c r="J149" s="23">
        <v>11716.1</v>
      </c>
      <c r="K149" s="23">
        <v>14394.87</v>
      </c>
      <c r="L149" s="23">
        <v>19375.59</v>
      </c>
      <c r="M149" s="23">
        <v>18732.91</v>
      </c>
      <c r="N149" s="23">
        <v>18496.77</v>
      </c>
      <c r="O149" s="23">
        <v>18532.870000000003</v>
      </c>
      <c r="P149" s="23">
        <v>14218.810000000001</v>
      </c>
      <c r="Q149" s="23">
        <v>22582.93</v>
      </c>
      <c r="R149" s="23">
        <v>20483.39</v>
      </c>
      <c r="S149" s="23">
        <v>19491.760000000002</v>
      </c>
      <c r="T149" s="23">
        <v>21483.3</v>
      </c>
      <c r="U149" s="23">
        <v>17668.11</v>
      </c>
      <c r="V149" s="23">
        <v>18290.16</v>
      </c>
      <c r="W149" s="23">
        <v>19178.27</v>
      </c>
      <c r="X149" s="23">
        <v>21703.829999999998</v>
      </c>
      <c r="Y149" s="23">
        <v>29376</v>
      </c>
      <c r="Z149" s="23">
        <v>32706</v>
      </c>
      <c r="AA149" s="23">
        <v>32706</v>
      </c>
      <c r="AB149" s="24">
        <f t="shared" si="1295"/>
        <v>19244.775976381756</v>
      </c>
      <c r="AC149" s="24">
        <f t="shared" si="1296"/>
        <v>26597.069309612674</v>
      </c>
      <c r="AD149" s="24">
        <f t="shared" si="1297"/>
        <v>35244.436995148673</v>
      </c>
      <c r="AE149" s="24">
        <f t="shared" si="1298"/>
        <v>44772.962398752847</v>
      </c>
      <c r="AJ149" s="23">
        <f>+'QTR Raw'!D58</f>
        <v>0</v>
      </c>
      <c r="AK149" s="23">
        <f>+AJ149+AK73</f>
        <v>-458.48999999999978</v>
      </c>
      <c r="AL149" s="23">
        <f>+'QTR Raw'!F58</f>
        <v>0</v>
      </c>
      <c r="AM149" s="23">
        <f>+AL149+AM73</f>
        <v>703.25999999999681</v>
      </c>
      <c r="AN149" s="23">
        <f>+'QTR Raw'!H58</f>
        <v>0</v>
      </c>
      <c r="AO149" s="23">
        <f>+AN149+AO73</f>
        <v>1251.4000000000021</v>
      </c>
      <c r="AP149" s="23">
        <f>+'QTR Raw'!J58</f>
        <v>0</v>
      </c>
      <c r="AQ149" s="23">
        <f>+AP149+AQ73</f>
        <v>393.69999999999948</v>
      </c>
      <c r="AR149" s="23">
        <f>+'QTR Raw'!L58</f>
        <v>0</v>
      </c>
      <c r="AS149" s="23">
        <f>+AR149+AS73</f>
        <v>-2122.7200000000007</v>
      </c>
      <c r="AT149" s="23">
        <f>+'QTR Raw'!N58</f>
        <v>0</v>
      </c>
      <c r="AU149" s="23">
        <f>+AT149+AU73</f>
        <v>289.8399999999998</v>
      </c>
      <c r="AV149" s="23">
        <f>+'QTR Raw'!P58</f>
        <v>0</v>
      </c>
      <c r="AW149" s="23">
        <f>+AV149+AW73</f>
        <v>-136.82000000000016</v>
      </c>
      <c r="AX149" s="23">
        <f>+'QTR Raw'!R58</f>
        <v>0</v>
      </c>
      <c r="AY149" s="23">
        <f>+AX149+AY73</f>
        <v>25.749999999998792</v>
      </c>
      <c r="AZ149" s="23">
        <f>+'QTR Raw'!T58</f>
        <v>0</v>
      </c>
      <c r="BA149" s="23">
        <f>+AZ149+BA73</f>
        <v>-1045.9400000000007</v>
      </c>
      <c r="BB149" s="23">
        <f>+'QTR Raw'!V58</f>
        <v>0</v>
      </c>
      <c r="BC149" s="23">
        <f>+BB149+BC73</f>
        <v>-463.14000000000163</v>
      </c>
      <c r="BD149" s="23">
        <f>+'QTR Raw'!X58</f>
        <v>0</v>
      </c>
      <c r="BE149" s="23">
        <f>+BD149+BE73</f>
        <v>211.58999999999901</v>
      </c>
      <c r="BF149" s="23">
        <f>+'QTR Raw'!Z58</f>
        <v>0</v>
      </c>
      <c r="BG149" s="23">
        <f>+BF149+BG73</f>
        <v>1187.6499999999976</v>
      </c>
      <c r="BH149" s="23">
        <f>+'QTR Raw'!AB58</f>
        <v>0</v>
      </c>
      <c r="BI149" s="23">
        <f>+BH149+BI73</f>
        <v>617.62000000000194</v>
      </c>
      <c r="BJ149" s="23">
        <f>+'QTR Raw'!AD58</f>
        <v>0</v>
      </c>
      <c r="BK149" s="23">
        <f>+BJ149+BK73</f>
        <v>-97.100000000000563</v>
      </c>
      <c r="BL149" s="23">
        <f>+'QTR Raw'!AF58</f>
        <v>0</v>
      </c>
      <c r="BM149" s="23">
        <f>+BL149+BM73</f>
        <v>-1039.5099999999984</v>
      </c>
      <c r="BN149" s="23">
        <f>+'QTR Raw'!AH58</f>
        <v>0</v>
      </c>
      <c r="BO149" s="23">
        <f>+BN149+BO73</f>
        <v>-2190.64</v>
      </c>
      <c r="BP149" s="23">
        <f>+'QTR Raw'!AJ58</f>
        <v>0</v>
      </c>
      <c r="BQ149" s="23">
        <f>+BP149+BQ73</f>
        <v>-638.04</v>
      </c>
      <c r="BR149" s="23">
        <f>+'QTR Raw'!AL58</f>
        <v>0</v>
      </c>
      <c r="BS149" s="23">
        <f>+BR149+BS73</f>
        <v>-1320.7300000000005</v>
      </c>
      <c r="BT149" s="23">
        <f>+'QTR Raw'!AN58</f>
        <v>0</v>
      </c>
      <c r="BU149" s="23">
        <f>+BT149+BU73</f>
        <v>-635.48999999999967</v>
      </c>
      <c r="BV149" s="23">
        <f>+'QTR Raw'!AP58</f>
        <v>0</v>
      </c>
      <c r="BW149" s="23">
        <f>+BV149+BW73</f>
        <v>-181.02999999999756</v>
      </c>
      <c r="BX149" s="23">
        <f>+'QTR Raw'!AR58</f>
        <v>0</v>
      </c>
      <c r="BY149" s="23">
        <f>+BX149+BY73</f>
        <v>484.71</v>
      </c>
      <c r="BZ149" s="23">
        <f>+'QTR Raw'!AT58</f>
        <v>0</v>
      </c>
      <c r="CA149" s="23">
        <f>+BZ149+CA73</f>
        <v>-63.99999999999735</v>
      </c>
      <c r="CB149" s="23">
        <f>+'QTR Raw'!AV58</f>
        <v>0</v>
      </c>
      <c r="CC149" s="23">
        <f>+CB149+CC73</f>
        <v>4570.0499999999965</v>
      </c>
      <c r="CD149" s="23">
        <f>+'QTR Raw'!AX58</f>
        <v>0</v>
      </c>
      <c r="CE149" s="23">
        <f>+CD149+CE73</f>
        <v>2190</v>
      </c>
      <c r="CF149" s="23">
        <f>+'QTR Raw'!AZ58</f>
        <v>0</v>
      </c>
      <c r="CG149" s="23">
        <f>+CF149+CG73</f>
        <v>429.89999999999964</v>
      </c>
      <c r="CH149" s="23">
        <f t="shared" si="1300"/>
        <v>32706</v>
      </c>
      <c r="CI149" s="23">
        <f>CH149+CI73</f>
        <v>34117</v>
      </c>
      <c r="CJ149" s="23">
        <f>+'QTR Raw'!BD58</f>
        <v>9708</v>
      </c>
      <c r="CK149" s="23">
        <f t="shared" ref="CK149:DB149" si="1302">CJ149+CK73</f>
        <v>10269</v>
      </c>
      <c r="CL149" s="23">
        <f>+'QTR Raw'!BF58</f>
        <v>12663</v>
      </c>
      <c r="CM149" s="24">
        <f t="shared" si="1302"/>
        <v>13866.344083970534</v>
      </c>
      <c r="CN149" s="24">
        <f t="shared" si="1302"/>
        <v>15358.27317713201</v>
      </c>
      <c r="CO149" s="24">
        <f t="shared" si="1302"/>
        <v>17216.801521305701</v>
      </c>
      <c r="CP149" s="24">
        <f t="shared" si="1302"/>
        <v>19244.775976381756</v>
      </c>
      <c r="CQ149" s="24">
        <f t="shared" si="1302"/>
        <v>20606.419608977554</v>
      </c>
      <c r="CR149" s="24">
        <f t="shared" si="1302"/>
        <v>22233.777770605859</v>
      </c>
      <c r="CS149" s="24">
        <f t="shared" si="1302"/>
        <v>24265.053072735325</v>
      </c>
      <c r="CT149" s="24">
        <f t="shared" si="1302"/>
        <v>26597.069309612674</v>
      </c>
      <c r="CU149" s="24">
        <f t="shared" si="1302"/>
        <v>28224.201687480923</v>
      </c>
      <c r="CV149" s="24">
        <f t="shared" si="1302"/>
        <v>30131.070263369642</v>
      </c>
      <c r="CW149" s="24">
        <f t="shared" si="1302"/>
        <v>32490.688502684796</v>
      </c>
      <c r="CX149" s="24">
        <f t="shared" si="1302"/>
        <v>35244.436995148673</v>
      </c>
      <c r="CY149" s="24">
        <f t="shared" si="1302"/>
        <v>37021.260821242213</v>
      </c>
      <c r="CZ149" s="24">
        <f t="shared" si="1302"/>
        <v>39107.24764721332</v>
      </c>
      <c r="DA149" s="24">
        <f t="shared" si="1302"/>
        <v>41724.399051310342</v>
      </c>
      <c r="DB149" s="24">
        <f t="shared" si="1302"/>
        <v>44772.962398752847</v>
      </c>
      <c r="DE149" s="123"/>
      <c r="DF149" s="23">
        <v>12523.423110623324</v>
      </c>
    </row>
    <row r="150" spans="1:110" s="22" customFormat="1" x14ac:dyDescent="0.2">
      <c r="A150" s="22" t="s">
        <v>44</v>
      </c>
      <c r="B150" s="22">
        <f>B147+B148+B149</f>
        <v>0</v>
      </c>
      <c r="C150" s="22">
        <f t="shared" ref="C150:V150" si="1303">C147+C148+C149</f>
        <v>0</v>
      </c>
      <c r="D150" s="22">
        <f t="shared" si="1303"/>
        <v>0</v>
      </c>
      <c r="E150" s="22">
        <f t="shared" si="1303"/>
        <v>3593.6</v>
      </c>
      <c r="F150" s="22">
        <f t="shared" si="1303"/>
        <v>4111.3900000000003</v>
      </c>
      <c r="G150" s="22">
        <f t="shared" si="1303"/>
        <v>5537.07</v>
      </c>
      <c r="H150" s="22">
        <f t="shared" si="1303"/>
        <v>6869.75</v>
      </c>
      <c r="I150" s="22">
        <f t="shared" si="1303"/>
        <v>7839.5000000000009</v>
      </c>
      <c r="J150" s="22">
        <f t="shared" si="1303"/>
        <v>12230.15</v>
      </c>
      <c r="K150" s="22">
        <f t="shared" si="1303"/>
        <v>14965.470000000001</v>
      </c>
      <c r="L150" s="22">
        <f t="shared" si="1303"/>
        <v>20013.3</v>
      </c>
      <c r="M150" s="22">
        <f>M147+M148+M149</f>
        <v>19367.66</v>
      </c>
      <c r="N150" s="22">
        <f t="shared" si="1303"/>
        <v>19134.84</v>
      </c>
      <c r="O150" s="22">
        <f t="shared" si="1303"/>
        <v>19176.650000000001</v>
      </c>
      <c r="P150" s="22">
        <f t="shared" si="1303"/>
        <v>14862.590000000002</v>
      </c>
      <c r="Q150" s="22">
        <f t="shared" si="1303"/>
        <v>23262.25</v>
      </c>
      <c r="R150" s="22">
        <f t="shared" si="1303"/>
        <v>21162.61</v>
      </c>
      <c r="S150" s="22">
        <f t="shared" si="1303"/>
        <v>20170.980000000003</v>
      </c>
      <c r="T150" s="22">
        <f t="shared" si="1303"/>
        <v>22162.62</v>
      </c>
      <c r="U150" s="22">
        <f t="shared" si="1303"/>
        <v>18387.650000000001</v>
      </c>
      <c r="V150" s="22">
        <f t="shared" si="1303"/>
        <v>19055.97</v>
      </c>
      <c r="W150" s="22">
        <f t="shared" ref="W150" si="1304">W147+W148+W149</f>
        <v>19944.150000000001</v>
      </c>
      <c r="X150" s="22">
        <f t="shared" ref="X150:Y150" si="1305">X147+X148+X149</f>
        <v>22469.85</v>
      </c>
      <c r="Y150" s="22">
        <f t="shared" si="1305"/>
        <v>30143</v>
      </c>
      <c r="Z150" s="22">
        <f t="shared" ref="Z150:AA150" si="1306">Z147+Z148+Z149</f>
        <v>33442</v>
      </c>
      <c r="AA150" s="22">
        <f t="shared" si="1306"/>
        <v>33474</v>
      </c>
      <c r="AB150" s="21">
        <f t="shared" ref="AA150:AD150" si="1307">AB147+AB148+AB149</f>
        <v>19980.775976381756</v>
      </c>
      <c r="AC150" s="21">
        <f t="shared" si="1307"/>
        <v>27333.069309612674</v>
      </c>
      <c r="AD150" s="21">
        <f t="shared" si="1307"/>
        <v>35980.436995148673</v>
      </c>
      <c r="AE150" s="21">
        <f t="shared" ref="AE150" si="1308">AE147+AE148+AE149</f>
        <v>45508.962398752847</v>
      </c>
      <c r="AJ150" s="22">
        <f>AJ147+AJ148+AJ149</f>
        <v>0</v>
      </c>
      <c r="AK150" s="22">
        <f t="shared" ref="AK150" si="1309">AK147+AK148+AK149</f>
        <v>-458.48999999999978</v>
      </c>
      <c r="AL150" s="22">
        <f t="shared" ref="AL150:AM150" si="1310">AL147+AL148+AL149</f>
        <v>0</v>
      </c>
      <c r="AM150" s="22">
        <f t="shared" si="1310"/>
        <v>703.25999999999681</v>
      </c>
      <c r="AN150" s="22">
        <f t="shared" ref="AN150:AO150" si="1311">AN147+AN148+AN149</f>
        <v>0</v>
      </c>
      <c r="AO150" s="22">
        <f t="shared" si="1311"/>
        <v>1251.4000000000021</v>
      </c>
      <c r="AP150" s="22">
        <f t="shared" ref="AP150:CE150" si="1312">AP147+AP148+AP149</f>
        <v>0</v>
      </c>
      <c r="AQ150" s="22">
        <f t="shared" si="1312"/>
        <v>393.69999999999948</v>
      </c>
      <c r="AR150" s="22">
        <f t="shared" si="1312"/>
        <v>0</v>
      </c>
      <c r="AS150" s="22">
        <f t="shared" si="1312"/>
        <v>-2122.7200000000007</v>
      </c>
      <c r="AT150" s="22">
        <f t="shared" si="1312"/>
        <v>0</v>
      </c>
      <c r="AU150" s="22">
        <f t="shared" si="1312"/>
        <v>289.8399999999998</v>
      </c>
      <c r="AV150" s="22">
        <f t="shared" si="1312"/>
        <v>0</v>
      </c>
      <c r="AW150" s="22">
        <f t="shared" si="1312"/>
        <v>-136.82000000000016</v>
      </c>
      <c r="AX150" s="22">
        <f t="shared" si="1312"/>
        <v>0</v>
      </c>
      <c r="AY150" s="22">
        <f t="shared" si="1312"/>
        <v>25.749999999998792</v>
      </c>
      <c r="AZ150" s="22">
        <f t="shared" si="1312"/>
        <v>0</v>
      </c>
      <c r="BA150" s="22">
        <f t="shared" si="1312"/>
        <v>-1045.9400000000007</v>
      </c>
      <c r="BB150" s="22">
        <f t="shared" si="1312"/>
        <v>0</v>
      </c>
      <c r="BC150" s="22">
        <f t="shared" si="1312"/>
        <v>-463.14000000000163</v>
      </c>
      <c r="BD150" s="22">
        <f t="shared" si="1312"/>
        <v>0</v>
      </c>
      <c r="BE150" s="22">
        <f t="shared" si="1312"/>
        <v>211.58999999999901</v>
      </c>
      <c r="BF150" s="22">
        <f t="shared" si="1312"/>
        <v>0</v>
      </c>
      <c r="BG150" s="22">
        <f t="shared" si="1312"/>
        <v>1187.6499999999976</v>
      </c>
      <c r="BH150" s="22">
        <f t="shared" si="1312"/>
        <v>0</v>
      </c>
      <c r="BI150" s="22">
        <f t="shared" si="1312"/>
        <v>617.62000000000194</v>
      </c>
      <c r="BJ150" s="22">
        <f t="shared" si="1312"/>
        <v>0</v>
      </c>
      <c r="BK150" s="22">
        <f t="shared" si="1312"/>
        <v>-97.100000000000563</v>
      </c>
      <c r="BL150" s="22">
        <f t="shared" si="1312"/>
        <v>0</v>
      </c>
      <c r="BM150" s="22">
        <f t="shared" si="1312"/>
        <v>-1039.5099999999984</v>
      </c>
      <c r="BN150" s="22">
        <f t="shared" si="1312"/>
        <v>0</v>
      </c>
      <c r="BO150" s="22">
        <f t="shared" si="1312"/>
        <v>-2190.64</v>
      </c>
      <c r="BP150" s="22">
        <f t="shared" si="1312"/>
        <v>0</v>
      </c>
      <c r="BQ150" s="22">
        <f t="shared" si="1312"/>
        <v>-638.04</v>
      </c>
      <c r="BR150" s="22">
        <f t="shared" si="1312"/>
        <v>0</v>
      </c>
      <c r="BS150" s="22">
        <f t="shared" si="1312"/>
        <v>-1320.7300000000005</v>
      </c>
      <c r="BT150" s="22">
        <f t="shared" si="1312"/>
        <v>0</v>
      </c>
      <c r="BU150" s="22">
        <f t="shared" si="1312"/>
        <v>-635.48999999999967</v>
      </c>
      <c r="BV150" s="22">
        <f t="shared" si="1312"/>
        <v>0</v>
      </c>
      <c r="BW150" s="22">
        <f t="shared" si="1312"/>
        <v>-181.02999999999756</v>
      </c>
      <c r="BX150" s="22">
        <f t="shared" si="1312"/>
        <v>0</v>
      </c>
      <c r="BY150" s="22">
        <f t="shared" si="1312"/>
        <v>484.71</v>
      </c>
      <c r="BZ150" s="22">
        <f t="shared" si="1312"/>
        <v>0</v>
      </c>
      <c r="CA150" s="22">
        <f t="shared" si="1312"/>
        <v>-63.99999999999735</v>
      </c>
      <c r="CB150" s="22">
        <f t="shared" si="1312"/>
        <v>0</v>
      </c>
      <c r="CC150" s="22">
        <f t="shared" si="1312"/>
        <v>4570.0499999999965</v>
      </c>
      <c r="CD150" s="22">
        <f t="shared" si="1312"/>
        <v>0</v>
      </c>
      <c r="CE150" s="22">
        <f t="shared" si="1312"/>
        <v>2190</v>
      </c>
      <c r="CF150" s="22">
        <f t="shared" ref="CF150:CG150" si="1313">CF147+CF148+CF149</f>
        <v>0</v>
      </c>
      <c r="CG150" s="22">
        <f t="shared" si="1313"/>
        <v>429.89999999999964</v>
      </c>
      <c r="CH150" s="22">
        <f t="shared" ref="CH150:CI150" si="1314">CH147+CH148+CH149</f>
        <v>33442</v>
      </c>
      <c r="CI150" s="22">
        <f t="shared" si="1314"/>
        <v>34853</v>
      </c>
      <c r="CJ150" s="22">
        <f t="shared" ref="CJ150:DB150" si="1315">CJ147+CJ148+CJ149</f>
        <v>10444</v>
      </c>
      <c r="CK150" s="22">
        <f t="shared" si="1315"/>
        <v>11005</v>
      </c>
      <c r="CL150" s="22">
        <f t="shared" ref="CL150" si="1316">CL147+CL148+CL149</f>
        <v>13399</v>
      </c>
      <c r="CM150" s="21">
        <f t="shared" si="1315"/>
        <v>14602.344083970534</v>
      </c>
      <c r="CN150" s="21">
        <f t="shared" si="1315"/>
        <v>16094.27317713201</v>
      </c>
      <c r="CO150" s="21">
        <f t="shared" si="1315"/>
        <v>17952.801521305701</v>
      </c>
      <c r="CP150" s="21">
        <f t="shared" si="1315"/>
        <v>19980.775976381756</v>
      </c>
      <c r="CQ150" s="21">
        <f t="shared" si="1315"/>
        <v>21342.419608977554</v>
      </c>
      <c r="CR150" s="21">
        <f t="shared" si="1315"/>
        <v>22969.777770605859</v>
      </c>
      <c r="CS150" s="21">
        <f t="shared" si="1315"/>
        <v>25001.053072735325</v>
      </c>
      <c r="CT150" s="21">
        <f t="shared" si="1315"/>
        <v>27333.069309612674</v>
      </c>
      <c r="CU150" s="21">
        <f t="shared" si="1315"/>
        <v>28960.201687480923</v>
      </c>
      <c r="CV150" s="21">
        <f t="shared" si="1315"/>
        <v>30867.070263369642</v>
      </c>
      <c r="CW150" s="21">
        <f t="shared" si="1315"/>
        <v>33226.688502684796</v>
      </c>
      <c r="CX150" s="21">
        <f t="shared" si="1315"/>
        <v>35980.436995148673</v>
      </c>
      <c r="CY150" s="21">
        <f t="shared" si="1315"/>
        <v>37757.260821242213</v>
      </c>
      <c r="CZ150" s="21">
        <f t="shared" si="1315"/>
        <v>39843.24764721332</v>
      </c>
      <c r="DA150" s="21">
        <f t="shared" si="1315"/>
        <v>42460.399051310342</v>
      </c>
      <c r="DB150" s="21">
        <f t="shared" si="1315"/>
        <v>45508.962398752847</v>
      </c>
      <c r="DE150" s="127"/>
      <c r="DF150" s="22">
        <v>13259.423110623324</v>
      </c>
    </row>
    <row r="151" spans="1:110" s="22" customFormat="1" x14ac:dyDescent="0.2">
      <c r="AB151" s="21"/>
      <c r="AC151" s="21"/>
      <c r="AD151" s="21"/>
      <c r="AE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E151" s="127"/>
    </row>
    <row r="152" spans="1:110" s="23" customFormat="1" x14ac:dyDescent="0.2">
      <c r="A152" s="23" t="s">
        <v>23</v>
      </c>
      <c r="B152" s="23">
        <f>'Annual Raw'!C45</f>
        <v>0</v>
      </c>
      <c r="C152" s="23">
        <f>'Annual Raw'!D45</f>
        <v>0</v>
      </c>
      <c r="D152" s="23">
        <f>'Annual Raw'!E45</f>
        <v>0</v>
      </c>
      <c r="E152" s="23">
        <f>'Annual Raw'!F45</f>
        <v>0</v>
      </c>
      <c r="F152" s="23">
        <f>'Annual Raw'!G45</f>
        <v>0</v>
      </c>
      <c r="G152" s="23">
        <f>'Annual Raw'!H45</f>
        <v>0</v>
      </c>
      <c r="H152" s="23">
        <f>'Annual Raw'!I45</f>
        <v>0</v>
      </c>
      <c r="I152" s="23">
        <f>'Annual Raw'!J45</f>
        <v>0</v>
      </c>
      <c r="J152" s="23">
        <f>'Annual Raw'!K45</f>
        <v>0</v>
      </c>
      <c r="K152" s="23">
        <f>'Annual Raw'!L45</f>
        <v>0</v>
      </c>
      <c r="L152" s="23">
        <f>'Annual Raw'!M45</f>
        <v>0</v>
      </c>
      <c r="M152" s="23">
        <f>'Annual Raw'!N45</f>
        <v>0</v>
      </c>
      <c r="N152" s="23">
        <f>'Annual Raw'!O45</f>
        <v>0</v>
      </c>
      <c r="O152" s="23">
        <f>'Annual Raw'!P45</f>
        <v>0</v>
      </c>
      <c r="P152" s="23">
        <f>'Annual Raw'!Q45</f>
        <v>0</v>
      </c>
      <c r="Q152" s="23">
        <f>'Annual Raw'!R45</f>
        <v>0</v>
      </c>
      <c r="R152" s="23">
        <f>'Annual Raw'!S45</f>
        <v>0</v>
      </c>
      <c r="S152" s="23">
        <f>'Annual Raw'!T45</f>
        <v>0</v>
      </c>
      <c r="T152" s="23">
        <f>'Annual Raw'!U45</f>
        <v>0</v>
      </c>
      <c r="U152" s="23">
        <f>'Annual Raw'!V45</f>
        <v>0</v>
      </c>
      <c r="V152" s="23">
        <f>'Annual Raw'!W45</f>
        <v>0</v>
      </c>
      <c r="W152" s="23">
        <f>'Annual Raw'!X45</f>
        <v>0</v>
      </c>
      <c r="X152" s="23">
        <f>'Annual Raw'!Y45</f>
        <v>0</v>
      </c>
      <c r="Y152" s="23">
        <f>'Annual Raw'!Z45</f>
        <v>0</v>
      </c>
      <c r="Z152" s="23">
        <f>'Annual Raw'!AA45</f>
        <v>0</v>
      </c>
      <c r="AA152" s="23">
        <f>'Annual Raw'!AB45</f>
        <v>0</v>
      </c>
      <c r="AB152" s="24">
        <f>+CP152</f>
        <v>0</v>
      </c>
      <c r="AC152" s="24">
        <f>+CT152</f>
        <v>0</v>
      </c>
      <c r="AD152" s="24">
        <f>+CX152</f>
        <v>0</v>
      </c>
      <c r="AE152" s="24">
        <f>+DB152</f>
        <v>0</v>
      </c>
      <c r="AJ152" s="23">
        <f>+'QTR Raw'!D60</f>
        <v>0</v>
      </c>
      <c r="AK152" s="23">
        <f t="shared" ref="AK152:CE152" si="1317">+AJ152</f>
        <v>0</v>
      </c>
      <c r="AL152" s="23">
        <f>+'QTR Raw'!F60</f>
        <v>0</v>
      </c>
      <c r="AM152" s="23">
        <f t="shared" si="1317"/>
        <v>0</v>
      </c>
      <c r="AN152" s="23">
        <f>+'QTR Raw'!H60</f>
        <v>0</v>
      </c>
      <c r="AO152" s="23">
        <f t="shared" si="1317"/>
        <v>0</v>
      </c>
      <c r="AP152" s="23">
        <f>+'QTR Raw'!J60</f>
        <v>0</v>
      </c>
      <c r="AQ152" s="23">
        <f t="shared" si="1317"/>
        <v>0</v>
      </c>
      <c r="AR152" s="23">
        <f>+'QTR Raw'!L60</f>
        <v>0</v>
      </c>
      <c r="AS152" s="23">
        <f t="shared" si="1317"/>
        <v>0</v>
      </c>
      <c r="AT152" s="23">
        <f>+'QTR Raw'!N60</f>
        <v>0</v>
      </c>
      <c r="AU152" s="23">
        <f t="shared" si="1317"/>
        <v>0</v>
      </c>
      <c r="AV152" s="23">
        <f>+'QTR Raw'!P60</f>
        <v>0</v>
      </c>
      <c r="AW152" s="23">
        <f t="shared" si="1317"/>
        <v>0</v>
      </c>
      <c r="AX152" s="23">
        <f>+'QTR Raw'!R60</f>
        <v>0</v>
      </c>
      <c r="AY152" s="23">
        <f t="shared" si="1317"/>
        <v>0</v>
      </c>
      <c r="AZ152" s="23">
        <f>+'QTR Raw'!T60</f>
        <v>0</v>
      </c>
      <c r="BA152" s="23">
        <f t="shared" si="1317"/>
        <v>0</v>
      </c>
      <c r="BB152" s="23">
        <f>+'QTR Raw'!V60</f>
        <v>0</v>
      </c>
      <c r="BC152" s="23">
        <f t="shared" si="1317"/>
        <v>0</v>
      </c>
      <c r="BD152" s="23">
        <f>+'QTR Raw'!X60</f>
        <v>0</v>
      </c>
      <c r="BE152" s="23">
        <f t="shared" si="1317"/>
        <v>0</v>
      </c>
      <c r="BF152" s="23">
        <f>+'QTR Raw'!Z60</f>
        <v>0</v>
      </c>
      <c r="BG152" s="23">
        <f t="shared" si="1317"/>
        <v>0</v>
      </c>
      <c r="BH152" s="23">
        <f>+'QTR Raw'!AB60</f>
        <v>0</v>
      </c>
      <c r="BI152" s="23">
        <f t="shared" si="1317"/>
        <v>0</v>
      </c>
      <c r="BJ152" s="23">
        <f>+'QTR Raw'!AD60</f>
        <v>0</v>
      </c>
      <c r="BK152" s="23">
        <f t="shared" si="1317"/>
        <v>0</v>
      </c>
      <c r="BL152" s="23">
        <f>+'QTR Raw'!AF60</f>
        <v>0</v>
      </c>
      <c r="BM152" s="23">
        <f t="shared" si="1317"/>
        <v>0</v>
      </c>
      <c r="BN152" s="23">
        <f>+'QTR Raw'!AH60</f>
        <v>0</v>
      </c>
      <c r="BO152" s="23">
        <f t="shared" si="1317"/>
        <v>0</v>
      </c>
      <c r="BP152" s="23">
        <f>+'QTR Raw'!AJ60</f>
        <v>0</v>
      </c>
      <c r="BQ152" s="23">
        <f t="shared" si="1317"/>
        <v>0</v>
      </c>
      <c r="BR152" s="23">
        <f>+'QTR Raw'!AL60</f>
        <v>0</v>
      </c>
      <c r="BS152" s="23">
        <f t="shared" si="1317"/>
        <v>0</v>
      </c>
      <c r="BT152" s="23">
        <f>+'QTR Raw'!AN60</f>
        <v>0</v>
      </c>
      <c r="BU152" s="23">
        <f t="shared" si="1317"/>
        <v>0</v>
      </c>
      <c r="BV152" s="23">
        <f>+'QTR Raw'!AP60</f>
        <v>0</v>
      </c>
      <c r="BW152" s="23">
        <f t="shared" si="1317"/>
        <v>0</v>
      </c>
      <c r="BX152" s="23">
        <f>+'QTR Raw'!AR60</f>
        <v>0</v>
      </c>
      <c r="BY152" s="23">
        <f t="shared" si="1317"/>
        <v>0</v>
      </c>
      <c r="BZ152" s="23">
        <f>+'QTR Raw'!AT60</f>
        <v>0</v>
      </c>
      <c r="CA152" s="23">
        <f t="shared" si="1317"/>
        <v>0</v>
      </c>
      <c r="CB152" s="23">
        <f>+'QTR Raw'!AV60</f>
        <v>0</v>
      </c>
      <c r="CC152" s="23">
        <f t="shared" si="1317"/>
        <v>0</v>
      </c>
      <c r="CD152" s="23">
        <f>+'QTR Raw'!AX60</f>
        <v>0</v>
      </c>
      <c r="CE152" s="23">
        <f t="shared" si="1317"/>
        <v>0</v>
      </c>
      <c r="CF152" s="23">
        <f>+'QTR Raw'!AZ60</f>
        <v>0</v>
      </c>
      <c r="CG152" s="23">
        <f t="shared" ref="CG152:CI152" si="1318">+CF152</f>
        <v>0</v>
      </c>
      <c r="CH152" s="23">
        <f t="shared" ref="CH152:CH158" si="1319">Z152</f>
        <v>0</v>
      </c>
      <c r="CI152" s="23">
        <f t="shared" si="1318"/>
        <v>0</v>
      </c>
      <c r="CJ152" s="23">
        <f>+'QTR Raw'!BD60</f>
        <v>0</v>
      </c>
      <c r="CK152" s="23">
        <f t="shared" ref="CK152" si="1320">+CJ152</f>
        <v>0</v>
      </c>
      <c r="CL152" s="23">
        <f>+'QTR Raw'!BF60</f>
        <v>0</v>
      </c>
      <c r="CM152" s="24">
        <f t="shared" ref="CM152" si="1321">+CL152</f>
        <v>0</v>
      </c>
      <c r="CN152" s="24">
        <f t="shared" ref="CN152" si="1322">+CM152</f>
        <v>0</v>
      </c>
      <c r="CO152" s="24">
        <f t="shared" ref="CO152" si="1323">+CN152</f>
        <v>0</v>
      </c>
      <c r="CP152" s="24">
        <f t="shared" ref="CP152" si="1324">+CO152</f>
        <v>0</v>
      </c>
      <c r="CQ152" s="24">
        <f t="shared" ref="CQ152" si="1325">+CP152</f>
        <v>0</v>
      </c>
      <c r="CR152" s="24">
        <f t="shared" ref="CR152" si="1326">+CQ152</f>
        <v>0</v>
      </c>
      <c r="CS152" s="24">
        <f t="shared" ref="CS152" si="1327">+CR152</f>
        <v>0</v>
      </c>
      <c r="CT152" s="24">
        <f t="shared" ref="CT152" si="1328">+CS152</f>
        <v>0</v>
      </c>
      <c r="CU152" s="24">
        <f t="shared" ref="CU152" si="1329">+CT152</f>
        <v>0</v>
      </c>
      <c r="CV152" s="24">
        <f t="shared" ref="CV152" si="1330">+CU152</f>
        <v>0</v>
      </c>
      <c r="CW152" s="24">
        <f t="shared" ref="CW152" si="1331">+CV152</f>
        <v>0</v>
      </c>
      <c r="CX152" s="24">
        <f t="shared" ref="CX152" si="1332">+CW152</f>
        <v>0</v>
      </c>
      <c r="CY152" s="24">
        <f t="shared" ref="CY152" si="1333">+CX152</f>
        <v>0</v>
      </c>
      <c r="CZ152" s="24">
        <f t="shared" ref="CZ152" si="1334">+CY152</f>
        <v>0</v>
      </c>
      <c r="DA152" s="24">
        <f t="shared" ref="DA152" si="1335">+CZ152</f>
        <v>0</v>
      </c>
      <c r="DB152" s="24">
        <f t="shared" ref="DB152" si="1336">+DA152</f>
        <v>0</v>
      </c>
      <c r="DE152" s="123"/>
      <c r="DF152" s="23">
        <v>0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outlineLevel="1" x14ac:dyDescent="0.2">
      <c r="A154" s="23" t="s">
        <v>45</v>
      </c>
      <c r="B154" s="23">
        <f>'Annual Raw'!C47</f>
        <v>0</v>
      </c>
      <c r="C154" s="23">
        <f>'Annual Raw'!D47</f>
        <v>0</v>
      </c>
      <c r="D154" s="23">
        <f>'Annual Raw'!E47</f>
        <v>0</v>
      </c>
      <c r="E154" s="23">
        <v>942.65</v>
      </c>
      <c r="F154" s="23">
        <v>489.81000000000006</v>
      </c>
      <c r="G154" s="23">
        <v>822.76</v>
      </c>
      <c r="H154" s="23">
        <v>2022.0400000000002</v>
      </c>
      <c r="I154" s="23">
        <v>2461.9900000000002</v>
      </c>
      <c r="J154" s="23">
        <v>5251.65</v>
      </c>
      <c r="K154" s="23">
        <v>7742.6</v>
      </c>
      <c r="L154" s="23">
        <v>7766.05</v>
      </c>
      <c r="M154" s="23">
        <v>12634.99</v>
      </c>
      <c r="N154" s="23">
        <v>17088.287999999997</v>
      </c>
      <c r="O154" s="23">
        <v>14515.529999999999</v>
      </c>
      <c r="P154" s="23">
        <v>21134.370000000003</v>
      </c>
      <c r="Q154" s="23">
        <v>14254.679999999998</v>
      </c>
      <c r="R154" s="23">
        <v>18844.609999999997</v>
      </c>
      <c r="S154" s="23">
        <v>16255.780000000002</v>
      </c>
      <c r="T154" s="23">
        <v>17537.53</v>
      </c>
      <c r="U154" s="23">
        <v>20897.870000000003</v>
      </c>
      <c r="V154" s="23">
        <v>18869.27</v>
      </c>
      <c r="W154" s="23">
        <v>14340.579999999998</v>
      </c>
      <c r="X154" s="23">
        <v>10750.960000000001</v>
      </c>
      <c r="Y154" s="23">
        <v>5532</v>
      </c>
      <c r="Z154" s="23">
        <v>3896</v>
      </c>
      <c r="AA154" s="23">
        <v>3896</v>
      </c>
      <c r="AB154" s="24">
        <f t="shared" ref="AB154:AB158" si="1337">+CP154</f>
        <v>0</v>
      </c>
      <c r="AC154" s="24">
        <f t="shared" ref="AC154:AC158" si="1338">+CT154</f>
        <v>0</v>
      </c>
      <c r="AD154" s="24">
        <f t="shared" ref="AD154:AD158" si="1339">+CX154</f>
        <v>0</v>
      </c>
      <c r="AE154" s="24">
        <f t="shared" ref="AE154:AE158" si="1340">+DB154</f>
        <v>0</v>
      </c>
      <c r="AJ154" s="23">
        <f>+'QTR Raw'!D62</f>
        <v>0</v>
      </c>
      <c r="AK154" s="23">
        <f t="shared" ref="AK154:CC158" si="1341">+AJ154</f>
        <v>0</v>
      </c>
      <c r="AL154" s="23">
        <f>+'QTR Raw'!F62</f>
        <v>0</v>
      </c>
      <c r="AM154" s="23">
        <f t="shared" si="1341"/>
        <v>0</v>
      </c>
      <c r="AN154" s="23">
        <f>+'QTR Raw'!H62</f>
        <v>0</v>
      </c>
      <c r="AO154" s="23">
        <f t="shared" si="1341"/>
        <v>0</v>
      </c>
      <c r="AP154" s="23">
        <f>+'QTR Raw'!J62</f>
        <v>0</v>
      </c>
      <c r="AQ154" s="23">
        <f t="shared" si="1341"/>
        <v>0</v>
      </c>
      <c r="AR154" s="23">
        <f>+'QTR Raw'!L62</f>
        <v>0</v>
      </c>
      <c r="AS154" s="23">
        <f t="shared" si="1341"/>
        <v>0</v>
      </c>
      <c r="AT154" s="23">
        <f>+'QTR Raw'!N62</f>
        <v>0</v>
      </c>
      <c r="AU154" s="23">
        <f t="shared" si="1341"/>
        <v>0</v>
      </c>
      <c r="AV154" s="23">
        <f>+'QTR Raw'!P62</f>
        <v>0</v>
      </c>
      <c r="AW154" s="23">
        <f t="shared" si="1341"/>
        <v>0</v>
      </c>
      <c r="AX154" s="23">
        <f>+'QTR Raw'!R62</f>
        <v>0</v>
      </c>
      <c r="AY154" s="23">
        <f t="shared" si="1341"/>
        <v>0</v>
      </c>
      <c r="AZ154" s="23">
        <f>+'QTR Raw'!T62</f>
        <v>0</v>
      </c>
      <c r="BA154" s="23">
        <f t="shared" si="1341"/>
        <v>0</v>
      </c>
      <c r="BB154" s="23">
        <f>+'QTR Raw'!V62</f>
        <v>0</v>
      </c>
      <c r="BC154" s="23">
        <f t="shared" si="1341"/>
        <v>0</v>
      </c>
      <c r="BD154" s="23">
        <f>+'QTR Raw'!X62</f>
        <v>0</v>
      </c>
      <c r="BE154" s="23">
        <f t="shared" si="1341"/>
        <v>0</v>
      </c>
      <c r="BF154" s="23">
        <f>+'QTR Raw'!Z62</f>
        <v>0</v>
      </c>
      <c r="BG154" s="23">
        <f t="shared" si="1341"/>
        <v>0</v>
      </c>
      <c r="BH154" s="23">
        <f>+'QTR Raw'!AB62</f>
        <v>0</v>
      </c>
      <c r="BI154" s="23">
        <f t="shared" si="1341"/>
        <v>0</v>
      </c>
      <c r="BJ154" s="23">
        <f>+'QTR Raw'!AD62</f>
        <v>0</v>
      </c>
      <c r="BK154" s="23">
        <f t="shared" si="1341"/>
        <v>0</v>
      </c>
      <c r="BL154" s="23">
        <f>+'QTR Raw'!AF62</f>
        <v>0</v>
      </c>
      <c r="BM154" s="23">
        <f t="shared" si="1341"/>
        <v>0</v>
      </c>
      <c r="BN154" s="23">
        <f>+'QTR Raw'!AH62</f>
        <v>0</v>
      </c>
      <c r="BO154" s="23">
        <f t="shared" si="1341"/>
        <v>0</v>
      </c>
      <c r="BP154" s="23">
        <f>+'QTR Raw'!AJ62</f>
        <v>0</v>
      </c>
      <c r="BQ154" s="23">
        <f t="shared" si="1341"/>
        <v>0</v>
      </c>
      <c r="BR154" s="23">
        <f>+'QTR Raw'!AL62</f>
        <v>0</v>
      </c>
      <c r="BS154" s="23">
        <f t="shared" si="1341"/>
        <v>0</v>
      </c>
      <c r="BT154" s="23">
        <f>+'QTR Raw'!AN62</f>
        <v>0</v>
      </c>
      <c r="BU154" s="23">
        <f t="shared" si="1341"/>
        <v>0</v>
      </c>
      <c r="BV154" s="23">
        <f>+'QTR Raw'!AP62</f>
        <v>0</v>
      </c>
      <c r="BW154" s="23">
        <f t="shared" si="1341"/>
        <v>0</v>
      </c>
      <c r="BX154" s="23">
        <f>+'QTR Raw'!AR62</f>
        <v>0</v>
      </c>
      <c r="BY154" s="23">
        <f t="shared" si="1341"/>
        <v>0</v>
      </c>
      <c r="BZ154" s="23">
        <f>+'QTR Raw'!AT62</f>
        <v>0</v>
      </c>
      <c r="CA154" s="23">
        <f t="shared" si="1341"/>
        <v>0</v>
      </c>
      <c r="CB154" s="23">
        <f>+'QTR Raw'!AV62</f>
        <v>0</v>
      </c>
      <c r="CC154" s="23">
        <f t="shared" si="1341"/>
        <v>0</v>
      </c>
      <c r="CD154" s="23">
        <f>+'QTR Raw'!AX62</f>
        <v>0</v>
      </c>
      <c r="CE154" s="23">
        <f t="shared" ref="CE154:CE158" si="1342">+CD154</f>
        <v>0</v>
      </c>
      <c r="CF154" s="23">
        <f>+'QTR Raw'!AZ62</f>
        <v>0</v>
      </c>
      <c r="CG154" s="23">
        <f t="shared" ref="CG154:CI158" si="1343">+CF154</f>
        <v>0</v>
      </c>
      <c r="CH154" s="23">
        <f t="shared" si="1319"/>
        <v>3896</v>
      </c>
      <c r="CI154" s="23">
        <f t="shared" si="1343"/>
        <v>3896</v>
      </c>
      <c r="CJ154" s="23">
        <f>+'QTR Raw'!BD62</f>
        <v>0</v>
      </c>
      <c r="CK154" s="23">
        <f t="shared" ref="CK154:CK158" si="1344">+CJ154</f>
        <v>0</v>
      </c>
      <c r="CL154" s="23">
        <f>+'QTR Raw'!BF62</f>
        <v>0</v>
      </c>
      <c r="CM154" s="24">
        <f t="shared" ref="CM154:CM158" si="1345">+CL154</f>
        <v>0</v>
      </c>
      <c r="CN154" s="24">
        <f t="shared" ref="CN154:CN158" si="1346">+CM154</f>
        <v>0</v>
      </c>
      <c r="CO154" s="24">
        <f t="shared" ref="CO154:CO158" si="1347">+CN154</f>
        <v>0</v>
      </c>
      <c r="CP154" s="24">
        <f t="shared" ref="CP154:CP158" si="1348">+CO154</f>
        <v>0</v>
      </c>
      <c r="CQ154" s="24">
        <f t="shared" ref="CQ154:CQ158" si="1349">+CP154</f>
        <v>0</v>
      </c>
      <c r="CR154" s="24">
        <f t="shared" ref="CR154:CR158" si="1350">+CQ154</f>
        <v>0</v>
      </c>
      <c r="CS154" s="24">
        <f t="shared" ref="CS154:CS158" si="1351">+CR154</f>
        <v>0</v>
      </c>
      <c r="CT154" s="24">
        <f t="shared" ref="CT154:CT158" si="1352">+CS154</f>
        <v>0</v>
      </c>
      <c r="CU154" s="24">
        <f t="shared" ref="CU154:CU158" si="1353">+CT154</f>
        <v>0</v>
      </c>
      <c r="CV154" s="24">
        <f t="shared" ref="CV154:CV158" si="1354">+CU154</f>
        <v>0</v>
      </c>
      <c r="CW154" s="24">
        <f t="shared" ref="CW154:CW158" si="1355">+CV154</f>
        <v>0</v>
      </c>
      <c r="CX154" s="24">
        <f t="shared" ref="CX154:CX158" si="1356">+CW154</f>
        <v>0</v>
      </c>
      <c r="CY154" s="24">
        <f t="shared" ref="CY154:CY158" si="1357">+CX154</f>
        <v>0</v>
      </c>
      <c r="CZ154" s="24">
        <f t="shared" ref="CZ154:CZ158" si="1358">+CY154</f>
        <v>0</v>
      </c>
      <c r="DA154" s="24">
        <f t="shared" ref="DA154:DA158" si="1359">+CZ154</f>
        <v>0</v>
      </c>
      <c r="DB154" s="24">
        <f t="shared" ref="DB154:DB158" si="1360">+DA154</f>
        <v>0</v>
      </c>
      <c r="DE154" s="123"/>
      <c r="DF154" s="23">
        <v>0</v>
      </c>
    </row>
    <row r="155" spans="1:110" s="23" customFormat="1" outlineLevel="1" x14ac:dyDescent="0.2">
      <c r="A155" s="23" t="s">
        <v>46</v>
      </c>
      <c r="B155" s="23">
        <f>'Annual Raw'!C48</f>
        <v>0</v>
      </c>
      <c r="C155" s="23">
        <f>'Annual Raw'!D48</f>
        <v>0</v>
      </c>
      <c r="D155" s="23">
        <f>'Annual Raw'!E48</f>
        <v>0</v>
      </c>
      <c r="E155" s="23">
        <v>317.12</v>
      </c>
      <c r="F155" s="23">
        <v>2005.61</v>
      </c>
      <c r="G155" s="23">
        <v>2114.08</v>
      </c>
      <c r="H155" s="23">
        <v>1987.1</v>
      </c>
      <c r="I155" s="23">
        <v>3818.53</v>
      </c>
      <c r="J155" s="23">
        <v>7913.9100000000008</v>
      </c>
      <c r="K155" s="23">
        <v>8851.9399999999987</v>
      </c>
      <c r="L155" s="23">
        <v>6872.1399999999994</v>
      </c>
      <c r="M155" s="23">
        <v>3245.5800000000017</v>
      </c>
      <c r="N155" s="23">
        <v>1137.7120000000018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9188.4900000000016</v>
      </c>
      <c r="X155" s="23">
        <v>8527.73</v>
      </c>
      <c r="Y155" s="23">
        <v>8658</v>
      </c>
      <c r="Z155" s="23">
        <v>5110</v>
      </c>
      <c r="AA155" s="23">
        <v>5110</v>
      </c>
      <c r="AB155" s="24">
        <f t="shared" si="1337"/>
        <v>896</v>
      </c>
      <c r="AC155" s="24">
        <f t="shared" si="1338"/>
        <v>896</v>
      </c>
      <c r="AD155" s="24">
        <f t="shared" si="1339"/>
        <v>896</v>
      </c>
      <c r="AE155" s="24">
        <f t="shared" si="1340"/>
        <v>896</v>
      </c>
      <c r="AJ155" s="23">
        <f>+'QTR Raw'!D63</f>
        <v>0</v>
      </c>
      <c r="AK155" s="23">
        <f t="shared" si="1341"/>
        <v>0</v>
      </c>
      <c r="AL155" s="23">
        <f>+'QTR Raw'!F63</f>
        <v>0</v>
      </c>
      <c r="AM155" s="23">
        <f t="shared" si="1341"/>
        <v>0</v>
      </c>
      <c r="AN155" s="23">
        <f>+'QTR Raw'!H63</f>
        <v>0</v>
      </c>
      <c r="AO155" s="23">
        <f t="shared" si="1341"/>
        <v>0</v>
      </c>
      <c r="AP155" s="23">
        <f>+'QTR Raw'!J63</f>
        <v>0</v>
      </c>
      <c r="AQ155" s="23">
        <f t="shared" si="1341"/>
        <v>0</v>
      </c>
      <c r="AR155" s="23">
        <f>+'QTR Raw'!L63</f>
        <v>0</v>
      </c>
      <c r="AS155" s="23">
        <f t="shared" si="1341"/>
        <v>0</v>
      </c>
      <c r="AT155" s="23">
        <f>+'QTR Raw'!N63</f>
        <v>0</v>
      </c>
      <c r="AU155" s="23">
        <f t="shared" si="1341"/>
        <v>0</v>
      </c>
      <c r="AV155" s="23">
        <f>+'QTR Raw'!P63</f>
        <v>0</v>
      </c>
      <c r="AW155" s="23">
        <f t="shared" si="1341"/>
        <v>0</v>
      </c>
      <c r="AX155" s="23">
        <f>+'QTR Raw'!R63</f>
        <v>0</v>
      </c>
      <c r="AY155" s="23">
        <f t="shared" si="1341"/>
        <v>0</v>
      </c>
      <c r="AZ155" s="23">
        <f>+'QTR Raw'!T63</f>
        <v>0</v>
      </c>
      <c r="BA155" s="23">
        <f t="shared" si="1341"/>
        <v>0</v>
      </c>
      <c r="BB155" s="23">
        <f>+'QTR Raw'!V63</f>
        <v>0</v>
      </c>
      <c r="BC155" s="23">
        <f t="shared" si="1341"/>
        <v>0</v>
      </c>
      <c r="BD155" s="23">
        <f>+'QTR Raw'!X63</f>
        <v>0</v>
      </c>
      <c r="BE155" s="23">
        <f t="shared" si="1341"/>
        <v>0</v>
      </c>
      <c r="BF155" s="23">
        <f>+'QTR Raw'!Z63</f>
        <v>0</v>
      </c>
      <c r="BG155" s="23">
        <f t="shared" si="1341"/>
        <v>0</v>
      </c>
      <c r="BH155" s="23">
        <f>+'QTR Raw'!AB63</f>
        <v>0</v>
      </c>
      <c r="BI155" s="23">
        <f t="shared" si="1341"/>
        <v>0</v>
      </c>
      <c r="BJ155" s="23">
        <f>+'QTR Raw'!AD63</f>
        <v>0</v>
      </c>
      <c r="BK155" s="23">
        <f t="shared" si="1341"/>
        <v>0</v>
      </c>
      <c r="BL155" s="23">
        <f>+'QTR Raw'!AF63</f>
        <v>0</v>
      </c>
      <c r="BM155" s="23">
        <f t="shared" si="1341"/>
        <v>0</v>
      </c>
      <c r="BN155" s="23">
        <f>+'QTR Raw'!AH63</f>
        <v>0</v>
      </c>
      <c r="BO155" s="23">
        <f t="shared" si="1341"/>
        <v>0</v>
      </c>
      <c r="BP155" s="23">
        <f>+'QTR Raw'!AJ63</f>
        <v>0</v>
      </c>
      <c r="BQ155" s="23">
        <f t="shared" si="1341"/>
        <v>0</v>
      </c>
      <c r="BR155" s="23">
        <f>+'QTR Raw'!AL63</f>
        <v>0</v>
      </c>
      <c r="BS155" s="23">
        <f t="shared" si="1341"/>
        <v>0</v>
      </c>
      <c r="BT155" s="23">
        <f>+'QTR Raw'!AN63</f>
        <v>0</v>
      </c>
      <c r="BU155" s="23">
        <f t="shared" si="1341"/>
        <v>0</v>
      </c>
      <c r="BV155" s="23">
        <f>+'QTR Raw'!AP63</f>
        <v>0</v>
      </c>
      <c r="BW155" s="23">
        <f t="shared" si="1341"/>
        <v>0</v>
      </c>
      <c r="BX155" s="23">
        <f>+'QTR Raw'!AR63</f>
        <v>0</v>
      </c>
      <c r="BY155" s="23">
        <f t="shared" si="1341"/>
        <v>0</v>
      </c>
      <c r="BZ155" s="23">
        <f>+'QTR Raw'!AT63</f>
        <v>0</v>
      </c>
      <c r="CA155" s="23">
        <f t="shared" si="1341"/>
        <v>0</v>
      </c>
      <c r="CB155" s="23">
        <f>+'QTR Raw'!AV63</f>
        <v>0</v>
      </c>
      <c r="CC155" s="23">
        <f t="shared" si="1341"/>
        <v>0</v>
      </c>
      <c r="CD155" s="23">
        <f>+'QTR Raw'!AX63</f>
        <v>0</v>
      </c>
      <c r="CE155" s="23">
        <f t="shared" si="1342"/>
        <v>0</v>
      </c>
      <c r="CF155" s="23">
        <f>+'QTR Raw'!AZ63</f>
        <v>0</v>
      </c>
      <c r="CG155" s="23">
        <f t="shared" si="1343"/>
        <v>0</v>
      </c>
      <c r="CH155" s="23">
        <f t="shared" si="1319"/>
        <v>5110</v>
      </c>
      <c r="CI155" s="23">
        <f t="shared" si="1343"/>
        <v>5110</v>
      </c>
      <c r="CJ155" s="23">
        <f>+'QTR Raw'!BD63</f>
        <v>1881</v>
      </c>
      <c r="CK155" s="23">
        <f t="shared" si="1344"/>
        <v>1881</v>
      </c>
      <c r="CL155" s="23">
        <f>+'QTR Raw'!BF63</f>
        <v>896</v>
      </c>
      <c r="CM155" s="24">
        <f t="shared" si="1345"/>
        <v>896</v>
      </c>
      <c r="CN155" s="24">
        <f t="shared" si="1346"/>
        <v>896</v>
      </c>
      <c r="CO155" s="24">
        <f t="shared" si="1347"/>
        <v>896</v>
      </c>
      <c r="CP155" s="24">
        <f t="shared" si="1348"/>
        <v>896</v>
      </c>
      <c r="CQ155" s="24">
        <f t="shared" si="1349"/>
        <v>896</v>
      </c>
      <c r="CR155" s="24">
        <f t="shared" si="1350"/>
        <v>896</v>
      </c>
      <c r="CS155" s="24">
        <f t="shared" si="1351"/>
        <v>896</v>
      </c>
      <c r="CT155" s="24">
        <f t="shared" si="1352"/>
        <v>896</v>
      </c>
      <c r="CU155" s="24">
        <f t="shared" si="1353"/>
        <v>896</v>
      </c>
      <c r="CV155" s="24">
        <f t="shared" si="1354"/>
        <v>896</v>
      </c>
      <c r="CW155" s="24">
        <f t="shared" si="1355"/>
        <v>896</v>
      </c>
      <c r="CX155" s="24">
        <f t="shared" si="1356"/>
        <v>896</v>
      </c>
      <c r="CY155" s="24">
        <f t="shared" si="1357"/>
        <v>896</v>
      </c>
      <c r="CZ155" s="24">
        <f t="shared" si="1358"/>
        <v>896</v>
      </c>
      <c r="DA155" s="24">
        <f t="shared" si="1359"/>
        <v>896</v>
      </c>
      <c r="DB155" s="24">
        <f t="shared" si="1360"/>
        <v>896</v>
      </c>
      <c r="DE155" s="123"/>
      <c r="DF155" s="23">
        <v>1881</v>
      </c>
    </row>
    <row r="156" spans="1:110" s="23" customFormat="1" outlineLevel="1" x14ac:dyDescent="0.2">
      <c r="A156" s="23" t="s">
        <v>47</v>
      </c>
      <c r="B156" s="23">
        <f>'Annual Raw'!C87+'Annual Raw'!C88+'Annual Raw'!C89+'Annual Raw'!C90</f>
        <v>0</v>
      </c>
      <c r="C156" s="23">
        <f>'Annual Raw'!D87+'Annual Raw'!D88+'Annual Raw'!D89+'Annual Raw'!D90</f>
        <v>0</v>
      </c>
      <c r="D156" s="23">
        <f>'Annual Raw'!E87+'Annual Raw'!E88+'Annual Raw'!E89+'Annual Raw'!E90</f>
        <v>0</v>
      </c>
      <c r="E156" s="23">
        <f>'Annual Raw'!F87+'Annual Raw'!F88+'Annual Raw'!F89+'Annual Raw'!F90</f>
        <v>0</v>
      </c>
      <c r="F156" s="23">
        <f>'Annual Raw'!G87+'Annual Raw'!G88+'Annual Raw'!G89+'Annual Raw'!G90</f>
        <v>0</v>
      </c>
      <c r="G156" s="23">
        <f>'Annual Raw'!H87+'Annual Raw'!H88+'Annual Raw'!H89+'Annual Raw'!H90</f>
        <v>0</v>
      </c>
      <c r="H156" s="23">
        <f>'Annual Raw'!I87+'Annual Raw'!I88+'Annual Raw'!I89+'Annual Raw'!I90</f>
        <v>0</v>
      </c>
      <c r="I156" s="23">
        <f>'Annual Raw'!J87+'Annual Raw'!J88+'Annual Raw'!J89+'Annual Raw'!J90</f>
        <v>0</v>
      </c>
      <c r="J156" s="23">
        <f>'Annual Raw'!K87+'Annual Raw'!K88+'Annual Raw'!K89+'Annual Raw'!K90</f>
        <v>0</v>
      </c>
      <c r="K156" s="23">
        <f>'Annual Raw'!L87+'Annual Raw'!L88+'Annual Raw'!L89+'Annual Raw'!L90</f>
        <v>0</v>
      </c>
      <c r="L156" s="23">
        <f>'Annual Raw'!M87+'Annual Raw'!M88+'Annual Raw'!M89+'Annual Raw'!M90</f>
        <v>0</v>
      </c>
      <c r="M156" s="23">
        <f>'Annual Raw'!N87+'Annual Raw'!N88+'Annual Raw'!N89+'Annual Raw'!N90</f>
        <v>0</v>
      </c>
      <c r="N156" s="23">
        <f>'Annual Raw'!O87+'Annual Raw'!O88+'Annual Raw'!O89+'Annual Raw'!O90</f>
        <v>0</v>
      </c>
      <c r="O156" s="23">
        <f>'Annual Raw'!P87+'Annual Raw'!P88+'Annual Raw'!P89+'Annual Raw'!P90</f>
        <v>0</v>
      </c>
      <c r="P156" s="23">
        <f>'Annual Raw'!Q87+'Annual Raw'!Q88+'Annual Raw'!Q89+'Annual Raw'!Q90</f>
        <v>0</v>
      </c>
      <c r="Q156" s="23">
        <f>'Annual Raw'!R87+'Annual Raw'!R88+'Annual Raw'!R89+'Annual Raw'!R90</f>
        <v>0</v>
      </c>
      <c r="R156" s="23">
        <f>'Annual Raw'!S87+'Annual Raw'!S88+'Annual Raw'!S89+'Annual Raw'!S90</f>
        <v>0</v>
      </c>
      <c r="S156" s="23">
        <f>'Annual Raw'!T87+'Annual Raw'!T88+'Annual Raw'!T89+'Annual Raw'!T90</f>
        <v>0</v>
      </c>
      <c r="T156" s="23">
        <f>'Annual Raw'!U87+'Annual Raw'!U88+'Annual Raw'!U89+'Annual Raw'!U90</f>
        <v>0</v>
      </c>
      <c r="U156" s="23">
        <f>'Annual Raw'!V87+'Annual Raw'!V88+'Annual Raw'!V89+'Annual Raw'!V90</f>
        <v>0</v>
      </c>
      <c r="V156" s="23">
        <f>'Annual Raw'!W87+'Annual Raw'!W88+'Annual Raw'!W89+'Annual Raw'!W90</f>
        <v>0</v>
      </c>
      <c r="W156" s="23">
        <f>'Annual Raw'!X87+'Annual Raw'!X88+'Annual Raw'!X89+'Annual Raw'!X90</f>
        <v>0</v>
      </c>
      <c r="X156" s="23">
        <f>'Annual Raw'!Y87+'Annual Raw'!Y88+'Annual Raw'!Y89+'Annual Raw'!Y90</f>
        <v>0</v>
      </c>
      <c r="Y156" s="23">
        <f>'Annual Raw'!Z87+'Annual Raw'!Z88+'Annual Raw'!Z89+'Annual Raw'!Z90</f>
        <v>0</v>
      </c>
      <c r="Z156" s="23">
        <f>'Annual Raw'!AA87+'Annual Raw'!AA88+'Annual Raw'!AA89+'Annual Raw'!AA90</f>
        <v>0</v>
      </c>
      <c r="AA156" s="23">
        <f>'Annual Raw'!AB87+'Annual Raw'!AB88+'Annual Raw'!AB89+'Annual Raw'!AB90</f>
        <v>1640</v>
      </c>
      <c r="AB156" s="24">
        <f t="shared" si="1337"/>
        <v>0</v>
      </c>
      <c r="AC156" s="24">
        <f t="shared" si="1338"/>
        <v>0</v>
      </c>
      <c r="AD156" s="24">
        <f t="shared" si="1339"/>
        <v>0</v>
      </c>
      <c r="AE156" s="24">
        <f t="shared" si="1340"/>
        <v>0</v>
      </c>
      <c r="AK156" s="23">
        <f t="shared" si="1341"/>
        <v>0</v>
      </c>
      <c r="AM156" s="23">
        <f t="shared" si="1341"/>
        <v>0</v>
      </c>
      <c r="AO156" s="23">
        <f t="shared" si="1341"/>
        <v>0</v>
      </c>
      <c r="AQ156" s="23">
        <f t="shared" si="1341"/>
        <v>0</v>
      </c>
      <c r="AS156" s="23">
        <f t="shared" si="1341"/>
        <v>0</v>
      </c>
      <c r="AU156" s="23">
        <f t="shared" si="1341"/>
        <v>0</v>
      </c>
      <c r="AW156" s="23">
        <f t="shared" si="1341"/>
        <v>0</v>
      </c>
      <c r="AY156" s="23">
        <f t="shared" si="1341"/>
        <v>0</v>
      </c>
      <c r="BA156" s="23">
        <f t="shared" si="1341"/>
        <v>0</v>
      </c>
      <c r="BC156" s="23">
        <f t="shared" si="1341"/>
        <v>0</v>
      </c>
      <c r="BE156" s="23">
        <f t="shared" si="1341"/>
        <v>0</v>
      </c>
      <c r="BG156" s="23">
        <f t="shared" si="1341"/>
        <v>0</v>
      </c>
      <c r="BI156" s="23">
        <f t="shared" si="1341"/>
        <v>0</v>
      </c>
      <c r="BK156" s="23">
        <f t="shared" si="1341"/>
        <v>0</v>
      </c>
      <c r="BM156" s="23">
        <f t="shared" si="1341"/>
        <v>0</v>
      </c>
      <c r="BO156" s="23">
        <f t="shared" si="1341"/>
        <v>0</v>
      </c>
      <c r="BQ156" s="23">
        <f t="shared" si="1341"/>
        <v>0</v>
      </c>
      <c r="BS156" s="23">
        <f t="shared" si="1341"/>
        <v>0</v>
      </c>
      <c r="BU156" s="23">
        <f t="shared" si="1341"/>
        <v>0</v>
      </c>
      <c r="BW156" s="23">
        <f t="shared" si="1341"/>
        <v>0</v>
      </c>
      <c r="BY156" s="23">
        <f t="shared" si="1341"/>
        <v>0</v>
      </c>
      <c r="CA156" s="23">
        <f t="shared" si="1341"/>
        <v>0</v>
      </c>
      <c r="CC156" s="23">
        <f t="shared" si="1341"/>
        <v>0</v>
      </c>
      <c r="CE156" s="23">
        <f t="shared" si="1342"/>
        <v>0</v>
      </c>
      <c r="CG156" s="23">
        <f t="shared" si="1343"/>
        <v>0</v>
      </c>
      <c r="CH156" s="23">
        <f t="shared" si="1319"/>
        <v>0</v>
      </c>
      <c r="CI156" s="23">
        <f t="shared" si="1343"/>
        <v>0</v>
      </c>
      <c r="CK156" s="23">
        <f t="shared" si="1344"/>
        <v>0</v>
      </c>
      <c r="CM156" s="24">
        <f t="shared" si="1345"/>
        <v>0</v>
      </c>
      <c r="CN156" s="24">
        <f t="shared" si="1346"/>
        <v>0</v>
      </c>
      <c r="CO156" s="24">
        <f t="shared" si="1347"/>
        <v>0</v>
      </c>
      <c r="CP156" s="24">
        <f t="shared" si="1348"/>
        <v>0</v>
      </c>
      <c r="CQ156" s="24">
        <f t="shared" si="1349"/>
        <v>0</v>
      </c>
      <c r="CR156" s="24">
        <f t="shared" si="1350"/>
        <v>0</v>
      </c>
      <c r="CS156" s="24">
        <f t="shared" si="1351"/>
        <v>0</v>
      </c>
      <c r="CT156" s="24">
        <f t="shared" si="1352"/>
        <v>0</v>
      </c>
      <c r="CU156" s="24">
        <f t="shared" si="1353"/>
        <v>0</v>
      </c>
      <c r="CV156" s="24">
        <f t="shared" si="1354"/>
        <v>0</v>
      </c>
      <c r="CW156" s="24">
        <f t="shared" si="1355"/>
        <v>0</v>
      </c>
      <c r="CX156" s="24">
        <f t="shared" si="1356"/>
        <v>0</v>
      </c>
      <c r="CY156" s="24">
        <f t="shared" si="1357"/>
        <v>0</v>
      </c>
      <c r="CZ156" s="24">
        <f t="shared" si="1358"/>
        <v>0</v>
      </c>
      <c r="DA156" s="24">
        <f t="shared" si="1359"/>
        <v>0</v>
      </c>
      <c r="DB156" s="24">
        <f t="shared" si="1360"/>
        <v>0</v>
      </c>
      <c r="DE156" s="123"/>
      <c r="DF156" s="23">
        <v>0</v>
      </c>
    </row>
    <row r="157" spans="1:110" s="23" customFormat="1" outlineLevel="1" x14ac:dyDescent="0.2">
      <c r="A157" s="23" t="s">
        <v>529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164.12</v>
      </c>
      <c r="K157" s="23">
        <v>-161.69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4"/>
      <c r="AC157" s="24"/>
      <c r="AD157" s="24"/>
      <c r="AE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outlineLevel="1" x14ac:dyDescent="0.2">
      <c r="A158" s="23" t="s">
        <v>48</v>
      </c>
      <c r="B158" s="23">
        <f>'Annual Raw'!C56</f>
        <v>0</v>
      </c>
      <c r="C158" s="23">
        <f>'Annual Raw'!D56</f>
        <v>0</v>
      </c>
      <c r="D158" s="23">
        <f>'Annual Raw'!E56</f>
        <v>0</v>
      </c>
      <c r="E158" s="23">
        <f>'Annual Raw'!F56</f>
        <v>0</v>
      </c>
      <c r="F158" s="23">
        <f>'Annual Raw'!G56</f>
        <v>0</v>
      </c>
      <c r="G158" s="23">
        <f>'Annual Raw'!H56</f>
        <v>0</v>
      </c>
      <c r="H158" s="23">
        <f>'Annual Raw'!I56</f>
        <v>0</v>
      </c>
      <c r="I158" s="23">
        <f>'Annual Raw'!J56</f>
        <v>0</v>
      </c>
      <c r="J158" s="23">
        <f>'Annual Raw'!K56</f>
        <v>0</v>
      </c>
      <c r="K158" s="23">
        <f>'Annual Raw'!L56</f>
        <v>0</v>
      </c>
      <c r="L158" s="23">
        <f>'Annual Raw'!M56</f>
        <v>0</v>
      </c>
      <c r="M158" s="23">
        <f>'Annual Raw'!N56</f>
        <v>0</v>
      </c>
      <c r="N158" s="23">
        <f>'Annual Raw'!O56</f>
        <v>0</v>
      </c>
      <c r="O158" s="23">
        <f>'Annual Raw'!P56</f>
        <v>0</v>
      </c>
      <c r="P158" s="23">
        <f>'Annual Raw'!Q56</f>
        <v>0</v>
      </c>
      <c r="Q158" s="23">
        <f>'Annual Raw'!R56</f>
        <v>0</v>
      </c>
      <c r="R158" s="23">
        <f>'Annual Raw'!S56</f>
        <v>0</v>
      </c>
      <c r="S158" s="23">
        <f>'Annual Raw'!T56</f>
        <v>0</v>
      </c>
      <c r="T158" s="23">
        <f>'Annual Raw'!U56</f>
        <v>0</v>
      </c>
      <c r="U158" s="23">
        <f>'Annual Raw'!V56</f>
        <v>0</v>
      </c>
      <c r="V158" s="23">
        <f>'Annual Raw'!W56</f>
        <v>0</v>
      </c>
      <c r="W158" s="23">
        <f>'Annual Raw'!X56</f>
        <v>0</v>
      </c>
      <c r="X158" s="23">
        <f>'Annual Raw'!Y56</f>
        <v>0</v>
      </c>
      <c r="Y158" s="23">
        <f>'Annual Raw'!Z56</f>
        <v>0</v>
      </c>
      <c r="Z158" s="23">
        <f>'Annual Raw'!AA56</f>
        <v>0</v>
      </c>
      <c r="AA158" s="23">
        <f>'Annual Raw'!AB56</f>
        <v>393</v>
      </c>
      <c r="AB158" s="24">
        <f t="shared" si="1337"/>
        <v>2033</v>
      </c>
      <c r="AC158" s="24">
        <f t="shared" si="1338"/>
        <v>2033</v>
      </c>
      <c r="AD158" s="24">
        <f t="shared" si="1339"/>
        <v>2033</v>
      </c>
      <c r="AE158" s="24">
        <f t="shared" si="1340"/>
        <v>2033</v>
      </c>
      <c r="AJ158" s="23">
        <f>+'QTR Raw'!D88</f>
        <v>0</v>
      </c>
      <c r="AK158" s="23">
        <f t="shared" si="1341"/>
        <v>0</v>
      </c>
      <c r="AL158" s="23">
        <f>+'QTR Raw'!F88</f>
        <v>0</v>
      </c>
      <c r="AM158" s="23">
        <f t="shared" si="1341"/>
        <v>0</v>
      </c>
      <c r="AN158" s="23">
        <f>+'QTR Raw'!H88</f>
        <v>0</v>
      </c>
      <c r="AO158" s="23">
        <f t="shared" si="1341"/>
        <v>0</v>
      </c>
      <c r="AP158" s="23">
        <f>+'QTR Raw'!J88</f>
        <v>0</v>
      </c>
      <c r="AQ158" s="23">
        <f t="shared" si="1341"/>
        <v>0</v>
      </c>
      <c r="AR158" s="23">
        <f>+'QTR Raw'!L88</f>
        <v>0</v>
      </c>
      <c r="AS158" s="23">
        <f t="shared" si="1341"/>
        <v>0</v>
      </c>
      <c r="AT158" s="23">
        <f>+'QTR Raw'!N88</f>
        <v>0</v>
      </c>
      <c r="AU158" s="23">
        <f t="shared" si="1341"/>
        <v>0</v>
      </c>
      <c r="AV158" s="23">
        <f>+'QTR Raw'!P88</f>
        <v>0</v>
      </c>
      <c r="AW158" s="23">
        <f t="shared" si="1341"/>
        <v>0</v>
      </c>
      <c r="AX158" s="23">
        <f>+'QTR Raw'!R88</f>
        <v>0</v>
      </c>
      <c r="AY158" s="23">
        <f t="shared" si="1341"/>
        <v>0</v>
      </c>
      <c r="AZ158" s="23">
        <f>+'QTR Raw'!T88</f>
        <v>0</v>
      </c>
      <c r="BA158" s="23">
        <f t="shared" si="1341"/>
        <v>0</v>
      </c>
      <c r="BB158" s="23">
        <f>+'QTR Raw'!V88</f>
        <v>0</v>
      </c>
      <c r="BC158" s="23">
        <f t="shared" si="1341"/>
        <v>0</v>
      </c>
      <c r="BD158" s="23">
        <f>+'QTR Raw'!X88</f>
        <v>0</v>
      </c>
      <c r="BE158" s="23">
        <f t="shared" si="1341"/>
        <v>0</v>
      </c>
      <c r="BF158" s="23">
        <f>+'QTR Raw'!Z88</f>
        <v>0</v>
      </c>
      <c r="BG158" s="23">
        <f t="shared" si="1341"/>
        <v>0</v>
      </c>
      <c r="BH158" s="23">
        <f>+'QTR Raw'!AB88</f>
        <v>0</v>
      </c>
      <c r="BI158" s="23">
        <f t="shared" si="1341"/>
        <v>0</v>
      </c>
      <c r="BJ158" s="23">
        <f>+'QTR Raw'!AD88</f>
        <v>0</v>
      </c>
      <c r="BK158" s="23">
        <f t="shared" si="1341"/>
        <v>0</v>
      </c>
      <c r="BL158" s="23">
        <f>+'QTR Raw'!AF88</f>
        <v>0</v>
      </c>
      <c r="BM158" s="23">
        <f t="shared" si="1341"/>
        <v>0</v>
      </c>
      <c r="BN158" s="23">
        <f>+'QTR Raw'!AH88</f>
        <v>0</v>
      </c>
      <c r="BO158" s="23">
        <f t="shared" si="1341"/>
        <v>0</v>
      </c>
      <c r="BP158" s="23">
        <f>+'QTR Raw'!AJ88</f>
        <v>0</v>
      </c>
      <c r="BQ158" s="23">
        <f t="shared" si="1341"/>
        <v>0</v>
      </c>
      <c r="BR158" s="23">
        <f>+'QTR Raw'!AL88</f>
        <v>0</v>
      </c>
      <c r="BS158" s="23">
        <f t="shared" si="1341"/>
        <v>0</v>
      </c>
      <c r="BT158" s="23">
        <f>+'QTR Raw'!AN88</f>
        <v>0</v>
      </c>
      <c r="BU158" s="23">
        <f t="shared" si="1341"/>
        <v>0</v>
      </c>
      <c r="BV158" s="23">
        <f>+'QTR Raw'!AP88</f>
        <v>0</v>
      </c>
      <c r="BW158" s="23">
        <f t="shared" si="1341"/>
        <v>0</v>
      </c>
      <c r="BX158" s="23">
        <f>+'QTR Raw'!AR88</f>
        <v>0</v>
      </c>
      <c r="BY158" s="23">
        <f t="shared" si="1341"/>
        <v>0</v>
      </c>
      <c r="BZ158" s="23">
        <f>+'QTR Raw'!AT88</f>
        <v>0</v>
      </c>
      <c r="CA158" s="23">
        <f t="shared" si="1341"/>
        <v>0</v>
      </c>
      <c r="CB158" s="23">
        <f>+'QTR Raw'!AV88</f>
        <v>0</v>
      </c>
      <c r="CC158" s="23">
        <f t="shared" si="1341"/>
        <v>0</v>
      </c>
      <c r="CD158" s="23">
        <f>+'QTR Raw'!AX88</f>
        <v>0</v>
      </c>
      <c r="CE158" s="23">
        <f t="shared" si="1342"/>
        <v>0</v>
      </c>
      <c r="CF158" s="23">
        <f>+'QTR Raw'!AZ88</f>
        <v>0</v>
      </c>
      <c r="CG158" s="23">
        <f t="shared" si="1343"/>
        <v>0</v>
      </c>
      <c r="CH158" s="23">
        <f t="shared" si="1319"/>
        <v>0</v>
      </c>
      <c r="CI158" s="23">
        <f t="shared" si="1343"/>
        <v>0</v>
      </c>
      <c r="CJ158" s="23">
        <f>+'QTR Raw'!BD88</f>
        <v>3741</v>
      </c>
      <c r="CK158" s="23">
        <f t="shared" si="1344"/>
        <v>3741</v>
      </c>
      <c r="CL158" s="23">
        <f>+'QTR Raw'!BF88</f>
        <v>2033</v>
      </c>
      <c r="CM158" s="24">
        <f t="shared" si="1345"/>
        <v>2033</v>
      </c>
      <c r="CN158" s="24">
        <f t="shared" si="1346"/>
        <v>2033</v>
      </c>
      <c r="CO158" s="24">
        <f t="shared" si="1347"/>
        <v>2033</v>
      </c>
      <c r="CP158" s="24">
        <f t="shared" si="1348"/>
        <v>2033</v>
      </c>
      <c r="CQ158" s="24">
        <f t="shared" si="1349"/>
        <v>2033</v>
      </c>
      <c r="CR158" s="24">
        <f t="shared" si="1350"/>
        <v>2033</v>
      </c>
      <c r="CS158" s="24">
        <f t="shared" si="1351"/>
        <v>2033</v>
      </c>
      <c r="CT158" s="24">
        <f t="shared" si="1352"/>
        <v>2033</v>
      </c>
      <c r="CU158" s="24">
        <f t="shared" si="1353"/>
        <v>2033</v>
      </c>
      <c r="CV158" s="24">
        <f t="shared" si="1354"/>
        <v>2033</v>
      </c>
      <c r="CW158" s="24">
        <f t="shared" si="1355"/>
        <v>2033</v>
      </c>
      <c r="CX158" s="24">
        <f t="shared" si="1356"/>
        <v>2033</v>
      </c>
      <c r="CY158" s="24">
        <f t="shared" si="1357"/>
        <v>2033</v>
      </c>
      <c r="CZ158" s="24">
        <f t="shared" si="1358"/>
        <v>2033</v>
      </c>
      <c r="DA158" s="24">
        <f t="shared" si="1359"/>
        <v>2033</v>
      </c>
      <c r="DB158" s="24">
        <f t="shared" si="1360"/>
        <v>2033</v>
      </c>
      <c r="DE158" s="123"/>
      <c r="DF158" s="23">
        <v>3741</v>
      </c>
    </row>
    <row r="159" spans="1:110" s="22" customFormat="1" x14ac:dyDescent="0.2">
      <c r="A159" s="22" t="s">
        <v>49</v>
      </c>
      <c r="B159" s="22">
        <f t="shared" ref="B159:AE159" si="1361">SUM(B154:B158)</f>
        <v>0</v>
      </c>
      <c r="C159" s="22">
        <f t="shared" si="1361"/>
        <v>0</v>
      </c>
      <c r="D159" s="22">
        <f t="shared" si="1361"/>
        <v>0</v>
      </c>
      <c r="E159" s="22">
        <f t="shared" si="1361"/>
        <v>1259.77</v>
      </c>
      <c r="F159" s="22">
        <f t="shared" si="1361"/>
        <v>2495.42</v>
      </c>
      <c r="G159" s="22">
        <f t="shared" si="1361"/>
        <v>2936.84</v>
      </c>
      <c r="H159" s="22">
        <f t="shared" si="1361"/>
        <v>4009.1400000000003</v>
      </c>
      <c r="I159" s="22">
        <f t="shared" si="1361"/>
        <v>6280.52</v>
      </c>
      <c r="J159" s="22">
        <f t="shared" si="1361"/>
        <v>13329.680000000002</v>
      </c>
      <c r="K159" s="22">
        <f t="shared" si="1361"/>
        <v>16432.850000000002</v>
      </c>
      <c r="L159" s="22">
        <f t="shared" si="1361"/>
        <v>14638.189999999999</v>
      </c>
      <c r="M159" s="22">
        <f t="shared" si="1361"/>
        <v>15880.570000000002</v>
      </c>
      <c r="N159" s="22">
        <f t="shared" si="1361"/>
        <v>18226</v>
      </c>
      <c r="O159" s="22">
        <f t="shared" si="1361"/>
        <v>14515.529999999999</v>
      </c>
      <c r="P159" s="22">
        <f t="shared" si="1361"/>
        <v>21134.370000000003</v>
      </c>
      <c r="Q159" s="22">
        <f t="shared" si="1361"/>
        <v>14254.679999999998</v>
      </c>
      <c r="R159" s="22">
        <f t="shared" si="1361"/>
        <v>18844.609999999997</v>
      </c>
      <c r="S159" s="22">
        <f t="shared" si="1361"/>
        <v>16255.780000000002</v>
      </c>
      <c r="T159" s="22">
        <f t="shared" si="1361"/>
        <v>17537.53</v>
      </c>
      <c r="U159" s="22">
        <f t="shared" si="1361"/>
        <v>20897.870000000003</v>
      </c>
      <c r="V159" s="22">
        <f t="shared" si="1361"/>
        <v>18869.27</v>
      </c>
      <c r="W159" s="22">
        <f t="shared" si="1361"/>
        <v>23529.07</v>
      </c>
      <c r="X159" s="22">
        <f t="shared" si="1361"/>
        <v>19278.690000000002</v>
      </c>
      <c r="Y159" s="22">
        <f t="shared" si="1361"/>
        <v>14190</v>
      </c>
      <c r="Z159" s="22">
        <f t="shared" si="1361"/>
        <v>9006</v>
      </c>
      <c r="AA159" s="22">
        <f t="shared" ref="AA159" si="1362">SUM(AA154:AA158)</f>
        <v>11039</v>
      </c>
      <c r="AB159" s="21">
        <f t="shared" si="1361"/>
        <v>2929</v>
      </c>
      <c r="AC159" s="21">
        <f t="shared" si="1361"/>
        <v>2929</v>
      </c>
      <c r="AD159" s="21">
        <f t="shared" si="1361"/>
        <v>2929</v>
      </c>
      <c r="AE159" s="21">
        <f t="shared" si="1361"/>
        <v>2929</v>
      </c>
      <c r="AJ159" s="22">
        <f t="shared" ref="AJ159:BO159" si="1363">SUM(AJ154:AJ158)</f>
        <v>0</v>
      </c>
      <c r="AK159" s="22">
        <f t="shared" si="1363"/>
        <v>0</v>
      </c>
      <c r="AL159" s="22">
        <f t="shared" si="1363"/>
        <v>0</v>
      </c>
      <c r="AM159" s="22">
        <f t="shared" si="1363"/>
        <v>0</v>
      </c>
      <c r="AN159" s="22">
        <f t="shared" si="1363"/>
        <v>0</v>
      </c>
      <c r="AO159" s="22">
        <f t="shared" si="1363"/>
        <v>0</v>
      </c>
      <c r="AP159" s="22">
        <f t="shared" si="1363"/>
        <v>0</v>
      </c>
      <c r="AQ159" s="22">
        <f t="shared" si="1363"/>
        <v>0</v>
      </c>
      <c r="AR159" s="22">
        <f t="shared" si="1363"/>
        <v>0</v>
      </c>
      <c r="AS159" s="22">
        <f t="shared" si="1363"/>
        <v>0</v>
      </c>
      <c r="AT159" s="22">
        <f t="shared" si="1363"/>
        <v>0</v>
      </c>
      <c r="AU159" s="22">
        <f t="shared" si="1363"/>
        <v>0</v>
      </c>
      <c r="AV159" s="22">
        <f t="shared" si="1363"/>
        <v>0</v>
      </c>
      <c r="AW159" s="22">
        <f t="shared" si="1363"/>
        <v>0</v>
      </c>
      <c r="AX159" s="22">
        <f t="shared" si="1363"/>
        <v>0</v>
      </c>
      <c r="AY159" s="22">
        <f t="shared" si="1363"/>
        <v>0</v>
      </c>
      <c r="AZ159" s="22">
        <f t="shared" si="1363"/>
        <v>0</v>
      </c>
      <c r="BA159" s="22">
        <f t="shared" si="1363"/>
        <v>0</v>
      </c>
      <c r="BB159" s="22">
        <f t="shared" si="1363"/>
        <v>0</v>
      </c>
      <c r="BC159" s="22">
        <f t="shared" si="1363"/>
        <v>0</v>
      </c>
      <c r="BD159" s="22">
        <f t="shared" si="1363"/>
        <v>0</v>
      </c>
      <c r="BE159" s="22">
        <f t="shared" si="1363"/>
        <v>0</v>
      </c>
      <c r="BF159" s="22">
        <f t="shared" si="1363"/>
        <v>0</v>
      </c>
      <c r="BG159" s="22">
        <f t="shared" si="1363"/>
        <v>0</v>
      </c>
      <c r="BH159" s="22">
        <f t="shared" si="1363"/>
        <v>0</v>
      </c>
      <c r="BI159" s="22">
        <f t="shared" si="1363"/>
        <v>0</v>
      </c>
      <c r="BJ159" s="22">
        <f t="shared" si="1363"/>
        <v>0</v>
      </c>
      <c r="BK159" s="22">
        <f t="shared" si="1363"/>
        <v>0</v>
      </c>
      <c r="BL159" s="22">
        <f t="shared" si="1363"/>
        <v>0</v>
      </c>
      <c r="BM159" s="22">
        <f t="shared" si="1363"/>
        <v>0</v>
      </c>
      <c r="BN159" s="22">
        <f t="shared" si="1363"/>
        <v>0</v>
      </c>
      <c r="BO159" s="22">
        <f t="shared" si="1363"/>
        <v>0</v>
      </c>
      <c r="BP159" s="22">
        <f t="shared" ref="BP159:CU159" si="1364">SUM(BP154:BP158)</f>
        <v>0</v>
      </c>
      <c r="BQ159" s="22">
        <f t="shared" si="1364"/>
        <v>0</v>
      </c>
      <c r="BR159" s="22">
        <f t="shared" si="1364"/>
        <v>0</v>
      </c>
      <c r="BS159" s="22">
        <f t="shared" si="1364"/>
        <v>0</v>
      </c>
      <c r="BT159" s="22">
        <f t="shared" si="1364"/>
        <v>0</v>
      </c>
      <c r="BU159" s="22">
        <f t="shared" si="1364"/>
        <v>0</v>
      </c>
      <c r="BV159" s="22">
        <f t="shared" si="1364"/>
        <v>0</v>
      </c>
      <c r="BW159" s="22">
        <f t="shared" si="1364"/>
        <v>0</v>
      </c>
      <c r="BX159" s="22">
        <f t="shared" si="1364"/>
        <v>0</v>
      </c>
      <c r="BY159" s="22">
        <f t="shared" si="1364"/>
        <v>0</v>
      </c>
      <c r="BZ159" s="22">
        <f t="shared" si="1364"/>
        <v>0</v>
      </c>
      <c r="CA159" s="22">
        <f t="shared" si="1364"/>
        <v>0</v>
      </c>
      <c r="CB159" s="22">
        <f t="shared" si="1364"/>
        <v>0</v>
      </c>
      <c r="CC159" s="22">
        <f t="shared" si="1364"/>
        <v>0</v>
      </c>
      <c r="CD159" s="22">
        <f t="shared" si="1364"/>
        <v>0</v>
      </c>
      <c r="CE159" s="22">
        <f t="shared" si="1364"/>
        <v>0</v>
      </c>
      <c r="CF159" s="22">
        <f t="shared" si="1364"/>
        <v>0</v>
      </c>
      <c r="CG159" s="22">
        <f t="shared" si="1364"/>
        <v>0</v>
      </c>
      <c r="CH159" s="22">
        <f t="shared" si="1364"/>
        <v>9006</v>
      </c>
      <c r="CI159" s="22">
        <f t="shared" si="1364"/>
        <v>9006</v>
      </c>
      <c r="CJ159" s="22">
        <f t="shared" si="1364"/>
        <v>5622</v>
      </c>
      <c r="CK159" s="22">
        <f t="shared" si="1364"/>
        <v>5622</v>
      </c>
      <c r="CL159" s="22">
        <f t="shared" ref="CL159" si="1365">SUM(CL154:CL158)</f>
        <v>2929</v>
      </c>
      <c r="CM159" s="21">
        <f t="shared" si="1364"/>
        <v>2929</v>
      </c>
      <c r="CN159" s="21">
        <f t="shared" si="1364"/>
        <v>2929</v>
      </c>
      <c r="CO159" s="21">
        <f t="shared" si="1364"/>
        <v>2929</v>
      </c>
      <c r="CP159" s="21">
        <f t="shared" si="1364"/>
        <v>2929</v>
      </c>
      <c r="CQ159" s="21">
        <f t="shared" si="1364"/>
        <v>2929</v>
      </c>
      <c r="CR159" s="21">
        <f t="shared" si="1364"/>
        <v>2929</v>
      </c>
      <c r="CS159" s="21">
        <f t="shared" si="1364"/>
        <v>2929</v>
      </c>
      <c r="CT159" s="21">
        <f t="shared" si="1364"/>
        <v>2929</v>
      </c>
      <c r="CU159" s="21">
        <f t="shared" si="1364"/>
        <v>2929</v>
      </c>
      <c r="CV159" s="21">
        <f t="shared" ref="CV159:DB159" si="1366">SUM(CV154:CV158)</f>
        <v>2929</v>
      </c>
      <c r="CW159" s="21">
        <f t="shared" si="1366"/>
        <v>2929</v>
      </c>
      <c r="CX159" s="21">
        <f t="shared" si="1366"/>
        <v>2929</v>
      </c>
      <c r="CY159" s="21">
        <f t="shared" si="1366"/>
        <v>2929</v>
      </c>
      <c r="CZ159" s="21">
        <f t="shared" si="1366"/>
        <v>2929</v>
      </c>
      <c r="DA159" s="21">
        <f t="shared" si="1366"/>
        <v>2929</v>
      </c>
      <c r="DB159" s="21">
        <f t="shared" si="1366"/>
        <v>2929</v>
      </c>
      <c r="DE159" s="127"/>
      <c r="DF159" s="22">
        <v>5622</v>
      </c>
    </row>
    <row r="160" spans="1:110" s="26" customFormat="1" x14ac:dyDescent="0.2">
      <c r="A160" s="26" t="s">
        <v>439</v>
      </c>
      <c r="B160" s="26">
        <f t="shared" ref="B160:AE160" si="1367">B159+B150+B152</f>
        <v>0</v>
      </c>
      <c r="C160" s="26">
        <f t="shared" si="1367"/>
        <v>0</v>
      </c>
      <c r="D160" s="26">
        <f t="shared" si="1367"/>
        <v>0</v>
      </c>
      <c r="E160" s="26">
        <f t="shared" si="1367"/>
        <v>4853.37</v>
      </c>
      <c r="F160" s="26">
        <f t="shared" si="1367"/>
        <v>6606.81</v>
      </c>
      <c r="G160" s="26">
        <f t="shared" si="1367"/>
        <v>8473.91</v>
      </c>
      <c r="H160" s="26">
        <f t="shared" si="1367"/>
        <v>10878.89</v>
      </c>
      <c r="I160" s="26">
        <f t="shared" si="1367"/>
        <v>14120.02</v>
      </c>
      <c r="J160" s="26">
        <f t="shared" si="1367"/>
        <v>25559.83</v>
      </c>
      <c r="K160" s="26">
        <f t="shared" si="1367"/>
        <v>31398.320000000003</v>
      </c>
      <c r="L160" s="26">
        <f t="shared" si="1367"/>
        <v>34651.49</v>
      </c>
      <c r="M160" s="26">
        <f t="shared" si="1367"/>
        <v>35248.230000000003</v>
      </c>
      <c r="N160" s="26">
        <f t="shared" si="1367"/>
        <v>37360.839999999997</v>
      </c>
      <c r="O160" s="26">
        <f t="shared" si="1367"/>
        <v>33692.18</v>
      </c>
      <c r="P160" s="26">
        <f t="shared" si="1367"/>
        <v>35996.960000000006</v>
      </c>
      <c r="Q160" s="26">
        <f t="shared" si="1367"/>
        <v>37516.93</v>
      </c>
      <c r="R160" s="26">
        <f t="shared" si="1367"/>
        <v>40007.22</v>
      </c>
      <c r="S160" s="26">
        <f t="shared" si="1367"/>
        <v>36426.760000000009</v>
      </c>
      <c r="T160" s="26">
        <f t="shared" si="1367"/>
        <v>39700.149999999994</v>
      </c>
      <c r="U160" s="26">
        <f t="shared" si="1367"/>
        <v>39285.520000000004</v>
      </c>
      <c r="V160" s="26">
        <f t="shared" si="1367"/>
        <v>37925.240000000005</v>
      </c>
      <c r="W160" s="26">
        <f t="shared" si="1367"/>
        <v>43473.22</v>
      </c>
      <c r="X160" s="26">
        <f t="shared" si="1367"/>
        <v>41748.54</v>
      </c>
      <c r="Y160" s="26">
        <f t="shared" si="1367"/>
        <v>44333</v>
      </c>
      <c r="Z160" s="26">
        <f t="shared" si="1367"/>
        <v>42448</v>
      </c>
      <c r="AA160" s="26">
        <f t="shared" ref="AA160" si="1368">AA159+AA150+AA152</f>
        <v>44513</v>
      </c>
      <c r="AB160" s="27">
        <f t="shared" si="1367"/>
        <v>22909.775976381756</v>
      </c>
      <c r="AC160" s="27">
        <f t="shared" si="1367"/>
        <v>30262.069309612674</v>
      </c>
      <c r="AD160" s="27">
        <f t="shared" si="1367"/>
        <v>38909.436995148673</v>
      </c>
      <c r="AE160" s="27">
        <f t="shared" si="1367"/>
        <v>48437.962398752847</v>
      </c>
      <c r="AJ160" s="26">
        <f t="shared" ref="AJ160:BO160" si="1369">AJ159+AJ150+AJ152</f>
        <v>0</v>
      </c>
      <c r="AK160" s="26">
        <f t="shared" si="1369"/>
        <v>-458.48999999999978</v>
      </c>
      <c r="AL160" s="26">
        <f t="shared" si="1369"/>
        <v>0</v>
      </c>
      <c r="AM160" s="26">
        <f t="shared" si="1369"/>
        <v>703.25999999999681</v>
      </c>
      <c r="AN160" s="26">
        <f t="shared" si="1369"/>
        <v>0</v>
      </c>
      <c r="AO160" s="26">
        <f t="shared" si="1369"/>
        <v>1251.4000000000021</v>
      </c>
      <c r="AP160" s="26">
        <f t="shared" si="1369"/>
        <v>0</v>
      </c>
      <c r="AQ160" s="26">
        <f t="shared" si="1369"/>
        <v>393.69999999999948</v>
      </c>
      <c r="AR160" s="26">
        <f t="shared" si="1369"/>
        <v>0</v>
      </c>
      <c r="AS160" s="26">
        <f t="shared" si="1369"/>
        <v>-2122.7200000000007</v>
      </c>
      <c r="AT160" s="26">
        <f t="shared" si="1369"/>
        <v>0</v>
      </c>
      <c r="AU160" s="26">
        <f t="shared" si="1369"/>
        <v>289.8399999999998</v>
      </c>
      <c r="AV160" s="26">
        <f t="shared" si="1369"/>
        <v>0</v>
      </c>
      <c r="AW160" s="26">
        <f t="shared" si="1369"/>
        <v>-136.82000000000016</v>
      </c>
      <c r="AX160" s="26">
        <f t="shared" si="1369"/>
        <v>0</v>
      </c>
      <c r="AY160" s="26">
        <f t="shared" si="1369"/>
        <v>25.749999999998792</v>
      </c>
      <c r="AZ160" s="26">
        <f t="shared" si="1369"/>
        <v>0</v>
      </c>
      <c r="BA160" s="26">
        <f t="shared" si="1369"/>
        <v>-1045.9400000000007</v>
      </c>
      <c r="BB160" s="26">
        <f t="shared" si="1369"/>
        <v>0</v>
      </c>
      <c r="BC160" s="26">
        <f t="shared" si="1369"/>
        <v>-463.14000000000163</v>
      </c>
      <c r="BD160" s="26">
        <f t="shared" si="1369"/>
        <v>0</v>
      </c>
      <c r="BE160" s="26">
        <f t="shared" si="1369"/>
        <v>211.58999999999901</v>
      </c>
      <c r="BF160" s="26">
        <f t="shared" si="1369"/>
        <v>0</v>
      </c>
      <c r="BG160" s="26">
        <f t="shared" si="1369"/>
        <v>1187.6499999999976</v>
      </c>
      <c r="BH160" s="26">
        <f t="shared" si="1369"/>
        <v>0</v>
      </c>
      <c r="BI160" s="26">
        <f t="shared" si="1369"/>
        <v>617.62000000000194</v>
      </c>
      <c r="BJ160" s="26">
        <f t="shared" si="1369"/>
        <v>0</v>
      </c>
      <c r="BK160" s="26">
        <f t="shared" si="1369"/>
        <v>-97.100000000000563</v>
      </c>
      <c r="BL160" s="26">
        <f t="shared" si="1369"/>
        <v>0</v>
      </c>
      <c r="BM160" s="26">
        <f t="shared" si="1369"/>
        <v>-1039.5099999999984</v>
      </c>
      <c r="BN160" s="26">
        <f t="shared" si="1369"/>
        <v>0</v>
      </c>
      <c r="BO160" s="26">
        <f t="shared" si="1369"/>
        <v>-2190.64</v>
      </c>
      <c r="BP160" s="26">
        <f t="shared" ref="BP160:CU160" si="1370">BP159+BP150+BP152</f>
        <v>0</v>
      </c>
      <c r="BQ160" s="26">
        <f t="shared" si="1370"/>
        <v>-638.04</v>
      </c>
      <c r="BR160" s="26">
        <f t="shared" si="1370"/>
        <v>0</v>
      </c>
      <c r="BS160" s="26">
        <f t="shared" si="1370"/>
        <v>-1320.7300000000005</v>
      </c>
      <c r="BT160" s="26">
        <f t="shared" si="1370"/>
        <v>0</v>
      </c>
      <c r="BU160" s="26">
        <f t="shared" si="1370"/>
        <v>-635.48999999999967</v>
      </c>
      <c r="BV160" s="26">
        <f t="shared" si="1370"/>
        <v>0</v>
      </c>
      <c r="BW160" s="26">
        <f t="shared" si="1370"/>
        <v>-181.02999999999756</v>
      </c>
      <c r="BX160" s="26">
        <f t="shared" si="1370"/>
        <v>0</v>
      </c>
      <c r="BY160" s="26">
        <f t="shared" si="1370"/>
        <v>484.71</v>
      </c>
      <c r="BZ160" s="26">
        <f t="shared" si="1370"/>
        <v>0</v>
      </c>
      <c r="CA160" s="26">
        <f t="shared" si="1370"/>
        <v>-63.99999999999735</v>
      </c>
      <c r="CB160" s="26">
        <f t="shared" si="1370"/>
        <v>0</v>
      </c>
      <c r="CC160" s="26">
        <f t="shared" si="1370"/>
        <v>4570.0499999999965</v>
      </c>
      <c r="CD160" s="26">
        <f t="shared" si="1370"/>
        <v>0</v>
      </c>
      <c r="CE160" s="26">
        <f t="shared" si="1370"/>
        <v>2190</v>
      </c>
      <c r="CF160" s="26">
        <f t="shared" si="1370"/>
        <v>0</v>
      </c>
      <c r="CG160" s="26">
        <f t="shared" si="1370"/>
        <v>429.89999999999964</v>
      </c>
      <c r="CH160" s="26">
        <f t="shared" si="1370"/>
        <v>42448</v>
      </c>
      <c r="CI160" s="26">
        <f t="shared" si="1370"/>
        <v>43859</v>
      </c>
      <c r="CJ160" s="26">
        <f t="shared" si="1370"/>
        <v>16066</v>
      </c>
      <c r="CK160" s="26">
        <f t="shared" si="1370"/>
        <v>16627</v>
      </c>
      <c r="CL160" s="26">
        <f t="shared" ref="CL160" si="1371">CL159+CL150+CL152</f>
        <v>16328</v>
      </c>
      <c r="CM160" s="27">
        <f t="shared" si="1370"/>
        <v>17531.344083970536</v>
      </c>
      <c r="CN160" s="27">
        <f t="shared" si="1370"/>
        <v>19023.27317713201</v>
      </c>
      <c r="CO160" s="27">
        <f t="shared" si="1370"/>
        <v>20881.801521305701</v>
      </c>
      <c r="CP160" s="27">
        <f t="shared" si="1370"/>
        <v>22909.775976381756</v>
      </c>
      <c r="CQ160" s="27">
        <f t="shared" si="1370"/>
        <v>24271.419608977554</v>
      </c>
      <c r="CR160" s="27">
        <f t="shared" si="1370"/>
        <v>25898.777770605859</v>
      </c>
      <c r="CS160" s="27">
        <f t="shared" si="1370"/>
        <v>27930.053072735325</v>
      </c>
      <c r="CT160" s="27">
        <f t="shared" si="1370"/>
        <v>30262.069309612674</v>
      </c>
      <c r="CU160" s="27">
        <f t="shared" si="1370"/>
        <v>31889.201687480923</v>
      </c>
      <c r="CV160" s="27">
        <f t="shared" ref="CV160:DB160" si="1372">CV159+CV150+CV152</f>
        <v>33796.070263369642</v>
      </c>
      <c r="CW160" s="27">
        <f t="shared" si="1372"/>
        <v>36155.688502684796</v>
      </c>
      <c r="CX160" s="27">
        <f t="shared" si="1372"/>
        <v>38909.436995148673</v>
      </c>
      <c r="CY160" s="27">
        <f t="shared" si="1372"/>
        <v>40686.260821242213</v>
      </c>
      <c r="CZ160" s="27">
        <f t="shared" si="1372"/>
        <v>42772.24764721332</v>
      </c>
      <c r="DA160" s="27">
        <f t="shared" si="1372"/>
        <v>45389.399051310342</v>
      </c>
      <c r="DB160" s="27">
        <f t="shared" si="1372"/>
        <v>48437.962398752847</v>
      </c>
      <c r="DE160" s="121"/>
      <c r="DF160" s="26">
        <v>18881.423110623324</v>
      </c>
    </row>
    <row r="161" spans="1:110" s="23" customFormat="1" x14ac:dyDescent="0.2">
      <c r="AB161" s="24"/>
      <c r="AC161" s="24"/>
      <c r="AD161" s="24"/>
      <c r="AE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</row>
    <row r="162" spans="1:110" s="23" customFormat="1" outlineLevel="1" x14ac:dyDescent="0.2">
      <c r="A162" s="23" t="s">
        <v>50</v>
      </c>
      <c r="B162" s="23">
        <f>'Annual Raw'!C62</f>
        <v>0</v>
      </c>
      <c r="C162" s="23">
        <f>'Annual Raw'!D62</f>
        <v>0</v>
      </c>
      <c r="D162" s="23">
        <f>'Annual Raw'!E62</f>
        <v>0</v>
      </c>
      <c r="E162" s="23">
        <v>5985.4</v>
      </c>
      <c r="F162" s="23">
        <v>6611.95</v>
      </c>
      <c r="G162" s="23">
        <v>7971.55</v>
      </c>
      <c r="H162" s="23">
        <v>8775.7999999999993</v>
      </c>
      <c r="I162" s="23">
        <v>10830.83</v>
      </c>
      <c r="J162" s="23">
        <v>13905.170000000002</v>
      </c>
      <c r="K162" s="23">
        <v>18416.810000000001</v>
      </c>
      <c r="L162" s="23">
        <v>21658.629999999997</v>
      </c>
      <c r="M162" s="23">
        <v>23676.46</v>
      </c>
      <c r="N162" s="23">
        <v>25190.73</v>
      </c>
      <c r="O162" s="23">
        <v>28791.45</v>
      </c>
      <c r="P162" s="23">
        <v>31814.21</v>
      </c>
      <c r="Q162" s="23">
        <v>39436.050000000003</v>
      </c>
      <c r="R162" s="23">
        <v>39786.870000000003</v>
      </c>
      <c r="S162" s="23">
        <v>43289.919999999998</v>
      </c>
      <c r="T162" s="23">
        <v>45297.81</v>
      </c>
      <c r="U162" s="23">
        <v>51650.810000000005</v>
      </c>
      <c r="V162" s="23">
        <v>55136.180000000008</v>
      </c>
      <c r="W162" s="23">
        <v>30438.99</v>
      </c>
      <c r="X162" s="23">
        <v>29658.3</v>
      </c>
      <c r="Y162" s="23">
        <v>31332</v>
      </c>
      <c r="Z162" s="23">
        <v>32485</v>
      </c>
      <c r="AA162" s="23">
        <v>32485</v>
      </c>
      <c r="AB162" s="24">
        <f t="shared" ref="AB162:AB168" si="1373">+CP162</f>
        <v>34922</v>
      </c>
      <c r="AC162" s="24">
        <f t="shared" ref="AC162:AC168" si="1374">+CT162</f>
        <v>36842</v>
      </c>
      <c r="AD162" s="24">
        <f t="shared" ref="AD162:AD168" si="1375">+CX162</f>
        <v>38762</v>
      </c>
      <c r="AE162" s="24">
        <f t="shared" ref="AE162:AE168" si="1376">+DB162</f>
        <v>40682</v>
      </c>
      <c r="AJ162" s="23">
        <f>+'QTR Raw'!D68</f>
        <v>0</v>
      </c>
      <c r="AL162" s="23">
        <f>+'QTR Raw'!F68</f>
        <v>0</v>
      </c>
      <c r="AN162" s="23">
        <f>+'QTR Raw'!H68</f>
        <v>0</v>
      </c>
      <c r="AP162" s="23">
        <f>+'QTR Raw'!J68</f>
        <v>0</v>
      </c>
      <c r="AR162" s="23">
        <f>+'QTR Raw'!L68</f>
        <v>0</v>
      </c>
      <c r="AT162" s="23">
        <f>+'QTR Raw'!N68</f>
        <v>0</v>
      </c>
      <c r="AV162" s="23">
        <f>+'QTR Raw'!P68</f>
        <v>0</v>
      </c>
      <c r="AX162" s="23">
        <f>+'QTR Raw'!R68</f>
        <v>0</v>
      </c>
      <c r="AZ162" s="23">
        <f>+'QTR Raw'!T68</f>
        <v>0</v>
      </c>
      <c r="BB162" s="23">
        <f>+'QTR Raw'!V68</f>
        <v>0</v>
      </c>
      <c r="BD162" s="23">
        <f>+'QTR Raw'!X68</f>
        <v>0</v>
      </c>
      <c r="BF162" s="23">
        <f>+'QTR Raw'!Z68</f>
        <v>0</v>
      </c>
      <c r="BH162" s="23">
        <f>+'QTR Raw'!AB68</f>
        <v>0</v>
      </c>
      <c r="BJ162" s="23">
        <f>+'QTR Raw'!AD68</f>
        <v>0</v>
      </c>
      <c r="BL162" s="23">
        <f>+'QTR Raw'!AF68</f>
        <v>0</v>
      </c>
      <c r="BN162" s="23">
        <f>+'QTR Raw'!AH68</f>
        <v>0</v>
      </c>
      <c r="BP162" s="23">
        <f>+'QTR Raw'!AJ68</f>
        <v>0</v>
      </c>
      <c r="BR162" s="23">
        <f>+'QTR Raw'!AL68</f>
        <v>0</v>
      </c>
      <c r="BT162" s="23">
        <f>+'QTR Raw'!AN68</f>
        <v>0</v>
      </c>
      <c r="BV162" s="23">
        <f>+'QTR Raw'!AP68</f>
        <v>0</v>
      </c>
      <c r="BX162" s="23">
        <f>+'QTR Raw'!AR68</f>
        <v>0</v>
      </c>
      <c r="BZ162" s="23">
        <f>+'QTR Raw'!AT68</f>
        <v>0</v>
      </c>
      <c r="CB162" s="23">
        <f>+'QTR Raw'!AV68</f>
        <v>0</v>
      </c>
      <c r="CD162" s="23">
        <f>+'QTR Raw'!AX68</f>
        <v>0</v>
      </c>
      <c r="CF162" s="23">
        <f>+'QTR Raw'!AZ68</f>
        <v>0</v>
      </c>
      <c r="CH162" s="23">
        <f t="shared" ref="CH162:CH168" si="1377">Z162</f>
        <v>32485</v>
      </c>
      <c r="CI162" s="23">
        <f>CH162</f>
        <v>32485</v>
      </c>
      <c r="CJ162" s="23">
        <f>+CJ163+CJ165</f>
        <v>31858</v>
      </c>
      <c r="CK162" s="23">
        <f>+CJ162</f>
        <v>31858</v>
      </c>
      <c r="CL162" s="23">
        <f>+CL163+CL165</f>
        <v>33002</v>
      </c>
      <c r="CM162" s="24">
        <f>+CL162+480</f>
        <v>33482</v>
      </c>
      <c r="CN162" s="24">
        <f t="shared" ref="CN162:DB162" si="1378">+CM162+480</f>
        <v>33962</v>
      </c>
      <c r="CO162" s="24">
        <f t="shared" si="1378"/>
        <v>34442</v>
      </c>
      <c r="CP162" s="24">
        <f t="shared" si="1378"/>
        <v>34922</v>
      </c>
      <c r="CQ162" s="24">
        <f t="shared" si="1378"/>
        <v>35402</v>
      </c>
      <c r="CR162" s="24">
        <f t="shared" si="1378"/>
        <v>35882</v>
      </c>
      <c r="CS162" s="24">
        <f t="shared" si="1378"/>
        <v>36362</v>
      </c>
      <c r="CT162" s="24">
        <f t="shared" si="1378"/>
        <v>36842</v>
      </c>
      <c r="CU162" s="24">
        <f t="shared" si="1378"/>
        <v>37322</v>
      </c>
      <c r="CV162" s="24">
        <f t="shared" si="1378"/>
        <v>37802</v>
      </c>
      <c r="CW162" s="24">
        <f t="shared" si="1378"/>
        <v>38282</v>
      </c>
      <c r="CX162" s="24">
        <f t="shared" si="1378"/>
        <v>38762</v>
      </c>
      <c r="CY162" s="24">
        <f t="shared" si="1378"/>
        <v>39242</v>
      </c>
      <c r="CZ162" s="24">
        <f t="shared" si="1378"/>
        <v>39722</v>
      </c>
      <c r="DA162" s="24">
        <f t="shared" si="1378"/>
        <v>40202</v>
      </c>
      <c r="DB162" s="24">
        <f t="shared" si="1378"/>
        <v>40682</v>
      </c>
      <c r="DE162" s="123"/>
      <c r="DF162" s="23">
        <v>31858</v>
      </c>
    </row>
    <row r="163" spans="1:110" s="23" customFormat="1" outlineLevel="1" x14ac:dyDescent="0.2">
      <c r="A163" s="23" t="s">
        <v>51</v>
      </c>
      <c r="B163" s="23">
        <f>'Annual Raw'!C63</f>
        <v>0</v>
      </c>
      <c r="C163" s="23">
        <f>'Annual Raw'!D63</f>
        <v>0</v>
      </c>
      <c r="D163" s="23">
        <f>'Annual Raw'!E63</f>
        <v>0</v>
      </c>
      <c r="E163" s="23">
        <v>3023.69</v>
      </c>
      <c r="F163" s="23">
        <v>3454.28</v>
      </c>
      <c r="G163" s="23">
        <v>4401.51</v>
      </c>
      <c r="H163" s="23">
        <v>4894.54</v>
      </c>
      <c r="I163" s="23">
        <v>5443.5199999999995</v>
      </c>
      <c r="J163" s="23">
        <v>6259.9</v>
      </c>
      <c r="K163" s="23">
        <v>7212.92</v>
      </c>
      <c r="L163" s="23">
        <v>8466.25</v>
      </c>
      <c r="M163" s="23">
        <v>8656.9399999999987</v>
      </c>
      <c r="N163" s="23">
        <v>9734.99</v>
      </c>
      <c r="O163" s="23">
        <v>13550.88</v>
      </c>
      <c r="P163" s="23">
        <v>16030.98</v>
      </c>
      <c r="Q163" s="23">
        <v>18360.2</v>
      </c>
      <c r="R163" s="23">
        <v>19113.04</v>
      </c>
      <c r="S163" s="23">
        <v>21561.96</v>
      </c>
      <c r="T163" s="23">
        <v>23110.07</v>
      </c>
      <c r="U163" s="23">
        <v>26541.920000000002</v>
      </c>
      <c r="V163" s="23">
        <v>28812.170000000002</v>
      </c>
      <c r="W163" s="23">
        <v>16363.220000000001</v>
      </c>
      <c r="X163" s="23">
        <v>15115.980000000001</v>
      </c>
      <c r="Y163" s="23">
        <v>16987</v>
      </c>
      <c r="Z163" s="23">
        <v>18370</v>
      </c>
      <c r="AA163" s="23">
        <v>18370</v>
      </c>
      <c r="AB163" s="24">
        <f t="shared" si="1373"/>
        <v>21970.193029030077</v>
      </c>
      <c r="AC163" s="24">
        <f t="shared" si="1374"/>
        <v>23872.276077363815</v>
      </c>
      <c r="AD163" s="24">
        <f t="shared" si="1375"/>
        <v>25776.847730898811</v>
      </c>
      <c r="AE163" s="24">
        <f t="shared" si="1376"/>
        <v>27683.562330621022</v>
      </c>
      <c r="AJ163" s="23">
        <f>+'QTR Raw'!D69</f>
        <v>0</v>
      </c>
      <c r="AL163" s="23">
        <f>+'QTR Raw'!F69</f>
        <v>0</v>
      </c>
      <c r="AN163" s="23">
        <f>+'QTR Raw'!H69</f>
        <v>0</v>
      </c>
      <c r="AP163" s="23">
        <f>+'QTR Raw'!J69</f>
        <v>0</v>
      </c>
      <c r="AR163" s="23">
        <f>+'QTR Raw'!L69</f>
        <v>0</v>
      </c>
      <c r="AT163" s="23">
        <f>+'QTR Raw'!N69</f>
        <v>0</v>
      </c>
      <c r="AV163" s="23">
        <f>+'QTR Raw'!P69</f>
        <v>0</v>
      </c>
      <c r="AX163" s="23">
        <f>+'QTR Raw'!R69</f>
        <v>0</v>
      </c>
      <c r="AZ163" s="23">
        <f>+'QTR Raw'!T69</f>
        <v>0</v>
      </c>
      <c r="BB163" s="23">
        <f>+'QTR Raw'!V69</f>
        <v>0</v>
      </c>
      <c r="BD163" s="23">
        <f>+'QTR Raw'!X69</f>
        <v>0</v>
      </c>
      <c r="BF163" s="23">
        <f>+'QTR Raw'!Z69</f>
        <v>0</v>
      </c>
      <c r="BH163" s="23">
        <f>+'QTR Raw'!AB69</f>
        <v>0</v>
      </c>
      <c r="BJ163" s="23">
        <f>+'QTR Raw'!AD69</f>
        <v>0</v>
      </c>
      <c r="BL163" s="23">
        <f>+'QTR Raw'!AF69</f>
        <v>0</v>
      </c>
      <c r="BN163" s="23">
        <f>+'QTR Raw'!AH69</f>
        <v>0</v>
      </c>
      <c r="BP163" s="23">
        <f>+'QTR Raw'!AJ69</f>
        <v>0</v>
      </c>
      <c r="BR163" s="23">
        <f>+'QTR Raw'!AL69</f>
        <v>0</v>
      </c>
      <c r="BT163" s="23">
        <f>+'QTR Raw'!AN69</f>
        <v>0</v>
      </c>
      <c r="BV163" s="23">
        <f>+'QTR Raw'!AP69</f>
        <v>0</v>
      </c>
      <c r="BX163" s="23">
        <f>+'QTR Raw'!AR69</f>
        <v>0</v>
      </c>
      <c r="BZ163" s="23">
        <f>+'QTR Raw'!AT69</f>
        <v>0</v>
      </c>
      <c r="CB163" s="23">
        <f>+'QTR Raw'!AV69</f>
        <v>0</v>
      </c>
      <c r="CD163" s="23">
        <f>+'QTR Raw'!AX69</f>
        <v>0</v>
      </c>
      <c r="CF163" s="23">
        <f>+'QTR Raw'!AZ69</f>
        <v>0</v>
      </c>
      <c r="CH163" s="23">
        <f t="shared" si="1377"/>
        <v>18370</v>
      </c>
      <c r="CI163" s="23">
        <f t="shared" ref="CI163:DB163" si="1379">CH163+CI56</f>
        <v>18793</v>
      </c>
      <c r="CJ163" s="23">
        <f t="shared" si="1379"/>
        <v>19205</v>
      </c>
      <c r="CK163" s="23">
        <f t="shared" si="1379"/>
        <v>19622</v>
      </c>
      <c r="CL163" s="23">
        <f t="shared" si="1379"/>
        <v>20071</v>
      </c>
      <c r="CM163" s="24">
        <f t="shared" si="1379"/>
        <v>20545.503023864007</v>
      </c>
      <c r="CN163" s="24">
        <f t="shared" si="1379"/>
        <v>21020.207759258341</v>
      </c>
      <c r="CO163" s="24">
        <f t="shared" si="1379"/>
        <v>21495.106804378724</v>
      </c>
      <c r="CP163" s="24">
        <f t="shared" si="1379"/>
        <v>21970.193029030077</v>
      </c>
      <c r="CQ163" s="24">
        <f t="shared" si="1379"/>
        <v>22445.459564659817</v>
      </c>
      <c r="CR163" s="24">
        <f t="shared" si="1379"/>
        <v>22920.899794756886</v>
      </c>
      <c r="CS163" s="24">
        <f t="shared" si="1379"/>
        <v>23396.507345603091</v>
      </c>
      <c r="CT163" s="24">
        <f t="shared" si="1379"/>
        <v>23872.276077363815</v>
      </c>
      <c r="CU163" s="24">
        <f t="shared" si="1379"/>
        <v>24348.200075505662</v>
      </c>
      <c r="CV163" s="24">
        <f t="shared" si="1379"/>
        <v>24824.273642529031</v>
      </c>
      <c r="CW163" s="24">
        <f t="shared" si="1379"/>
        <v>25300.491290004062</v>
      </c>
      <c r="CX163" s="24">
        <f t="shared" si="1379"/>
        <v>25776.847730898811</v>
      </c>
      <c r="CY163" s="24">
        <f t="shared" si="1379"/>
        <v>26253.337872188975</v>
      </c>
      <c r="CZ163" s="24">
        <f t="shared" si="1379"/>
        <v>26729.956807738759</v>
      </c>
      <c r="DA163" s="24">
        <f t="shared" si="1379"/>
        <v>27206.699811443017</v>
      </c>
      <c r="DB163" s="24">
        <f t="shared" si="1379"/>
        <v>27683.562330621022</v>
      </c>
      <c r="DE163" s="123"/>
      <c r="DF163" s="23">
        <v>20025.257093179483</v>
      </c>
    </row>
    <row r="164" spans="1:110" s="23" customFormat="1" outlineLevel="1" x14ac:dyDescent="0.2">
      <c r="A164" s="23" t="s">
        <v>52</v>
      </c>
      <c r="B164" s="23">
        <f>'Annual Raw'!C64</f>
        <v>0</v>
      </c>
      <c r="C164" s="23">
        <f>'Annual Raw'!D64</f>
        <v>0</v>
      </c>
      <c r="D164" s="23">
        <f>'Annual Raw'!E64</f>
        <v>0</v>
      </c>
      <c r="E164" s="23">
        <f>'Annual Raw'!F64</f>
        <v>0</v>
      </c>
      <c r="F164" s="23">
        <f>'Annual Raw'!G64</f>
        <v>0</v>
      </c>
      <c r="G164" s="23">
        <f>'Annual Raw'!H64</f>
        <v>0</v>
      </c>
      <c r="H164" s="23">
        <f>'Annual Raw'!I64</f>
        <v>0</v>
      </c>
      <c r="I164" s="23">
        <f>'Annual Raw'!J64</f>
        <v>0</v>
      </c>
      <c r="J164" s="23">
        <f>'Annual Raw'!K64</f>
        <v>0</v>
      </c>
      <c r="K164" s="23">
        <f>'Annual Raw'!L64</f>
        <v>0</v>
      </c>
      <c r="L164" s="23">
        <f>'Annual Raw'!M64</f>
        <v>0</v>
      </c>
      <c r="M164" s="23">
        <f>'Annual Raw'!N64</f>
        <v>0</v>
      </c>
      <c r="N164" s="23">
        <f>'Annual Raw'!O64</f>
        <v>0</v>
      </c>
      <c r="O164" s="23">
        <f>'Annual Raw'!P64</f>
        <v>0</v>
      </c>
      <c r="P164" s="23">
        <f>'Annual Raw'!Q64</f>
        <v>0</v>
      </c>
      <c r="Q164" s="23">
        <f>'Annual Raw'!R64</f>
        <v>0</v>
      </c>
      <c r="R164" s="23">
        <f>'Annual Raw'!S64</f>
        <v>0</v>
      </c>
      <c r="S164" s="23">
        <f>'Annual Raw'!T64</f>
        <v>0</v>
      </c>
      <c r="T164" s="23">
        <f>'Annual Raw'!U64</f>
        <v>0</v>
      </c>
      <c r="U164" s="23">
        <f>'Annual Raw'!V64</f>
        <v>0</v>
      </c>
      <c r="V164" s="23">
        <f>'Annual Raw'!W64</f>
        <v>0</v>
      </c>
      <c r="W164" s="23">
        <f>'Annual Raw'!X64</f>
        <v>0</v>
      </c>
      <c r="X164" s="23">
        <f>'Annual Raw'!Y64</f>
        <v>0</v>
      </c>
      <c r="Y164" s="23">
        <f>'Annual Raw'!Z64</f>
        <v>0</v>
      </c>
      <c r="Z164" s="23">
        <f>'Annual Raw'!AA64</f>
        <v>0</v>
      </c>
      <c r="AA164" s="23">
        <f>'Annual Raw'!AB64</f>
        <v>0</v>
      </c>
      <c r="AB164" s="24">
        <f t="shared" si="1373"/>
        <v>0</v>
      </c>
      <c r="AC164" s="24">
        <f t="shared" si="1374"/>
        <v>0</v>
      </c>
      <c r="AD164" s="24">
        <f t="shared" si="1375"/>
        <v>0</v>
      </c>
      <c r="AE164" s="24">
        <f t="shared" si="1376"/>
        <v>0</v>
      </c>
      <c r="AJ164" s="23">
        <f>+'QTR Raw'!D70</f>
        <v>0</v>
      </c>
      <c r="AL164" s="23">
        <f>+'QTR Raw'!F70</f>
        <v>0</v>
      </c>
      <c r="AN164" s="23">
        <f>+'QTR Raw'!H70</f>
        <v>0</v>
      </c>
      <c r="AP164" s="23">
        <f>+'QTR Raw'!J70</f>
        <v>0</v>
      </c>
      <c r="AR164" s="23">
        <f>+'QTR Raw'!L70</f>
        <v>0</v>
      </c>
      <c r="AT164" s="23">
        <f>+'QTR Raw'!N70</f>
        <v>0</v>
      </c>
      <c r="AV164" s="23">
        <f>+'QTR Raw'!P70</f>
        <v>0</v>
      </c>
      <c r="AX164" s="23">
        <f>+'QTR Raw'!R70</f>
        <v>0</v>
      </c>
      <c r="AZ164" s="23">
        <f>+'QTR Raw'!T70</f>
        <v>0</v>
      </c>
      <c r="BB164" s="23">
        <f>+'QTR Raw'!V70</f>
        <v>0</v>
      </c>
      <c r="BD164" s="23">
        <f>+'QTR Raw'!X70</f>
        <v>0</v>
      </c>
      <c r="BF164" s="23">
        <f>+'QTR Raw'!Z70</f>
        <v>0</v>
      </c>
      <c r="BH164" s="23">
        <f>+'QTR Raw'!AB70</f>
        <v>0</v>
      </c>
      <c r="BJ164" s="23">
        <f>+'QTR Raw'!AD70</f>
        <v>0</v>
      </c>
      <c r="BL164" s="23">
        <f>+'QTR Raw'!AF70</f>
        <v>0</v>
      </c>
      <c r="BN164" s="23">
        <f>+'QTR Raw'!AH70</f>
        <v>0</v>
      </c>
      <c r="BP164" s="23">
        <f>+'QTR Raw'!AJ70</f>
        <v>0</v>
      </c>
      <c r="BR164" s="23">
        <f>+'QTR Raw'!AL70</f>
        <v>0</v>
      </c>
      <c r="BT164" s="23">
        <f>+'QTR Raw'!AN70</f>
        <v>0</v>
      </c>
      <c r="BV164" s="23">
        <f>+'QTR Raw'!AP70</f>
        <v>0</v>
      </c>
      <c r="BX164" s="23">
        <f>+'QTR Raw'!AR70</f>
        <v>0</v>
      </c>
      <c r="BZ164" s="23">
        <f>+'QTR Raw'!AT70</f>
        <v>0</v>
      </c>
      <c r="CB164" s="23">
        <f>+'QTR Raw'!AV70</f>
        <v>0</v>
      </c>
      <c r="CD164" s="23">
        <f>+'QTR Raw'!AX70</f>
        <v>0</v>
      </c>
      <c r="CF164" s="23">
        <f>+'QTR Raw'!AZ70</f>
        <v>0</v>
      </c>
      <c r="CH164" s="23">
        <f t="shared" si="1377"/>
        <v>0</v>
      </c>
      <c r="CI164" s="23">
        <f>CH164</f>
        <v>0</v>
      </c>
      <c r="CJ164" s="23">
        <f>+'QTR Raw'!BD70</f>
        <v>0</v>
      </c>
      <c r="CK164" s="23">
        <f t="shared" ref="CK164:DB164" si="1380">CJ164</f>
        <v>0</v>
      </c>
      <c r="CL164" s="23">
        <f>+'QTR Raw'!BF70</f>
        <v>0</v>
      </c>
      <c r="CM164" s="24">
        <f t="shared" si="1380"/>
        <v>0</v>
      </c>
      <c r="CN164" s="24">
        <f t="shared" si="1380"/>
        <v>0</v>
      </c>
      <c r="CO164" s="24">
        <f t="shared" si="1380"/>
        <v>0</v>
      </c>
      <c r="CP164" s="24">
        <f t="shared" si="1380"/>
        <v>0</v>
      </c>
      <c r="CQ164" s="24">
        <f t="shared" si="1380"/>
        <v>0</v>
      </c>
      <c r="CR164" s="24">
        <f t="shared" si="1380"/>
        <v>0</v>
      </c>
      <c r="CS164" s="24">
        <f t="shared" si="1380"/>
        <v>0</v>
      </c>
      <c r="CT164" s="24">
        <f t="shared" si="1380"/>
        <v>0</v>
      </c>
      <c r="CU164" s="24">
        <f t="shared" si="1380"/>
        <v>0</v>
      </c>
      <c r="CV164" s="24">
        <f t="shared" si="1380"/>
        <v>0</v>
      </c>
      <c r="CW164" s="24">
        <f t="shared" si="1380"/>
        <v>0</v>
      </c>
      <c r="CX164" s="24">
        <f t="shared" si="1380"/>
        <v>0</v>
      </c>
      <c r="CY164" s="24">
        <f t="shared" si="1380"/>
        <v>0</v>
      </c>
      <c r="CZ164" s="24">
        <f t="shared" si="1380"/>
        <v>0</v>
      </c>
      <c r="DA164" s="24">
        <f t="shared" si="1380"/>
        <v>0</v>
      </c>
      <c r="DB164" s="24">
        <f t="shared" si="1380"/>
        <v>0</v>
      </c>
      <c r="DE164" s="123"/>
      <c r="DF164" s="23">
        <v>0</v>
      </c>
    </row>
    <row r="165" spans="1:110" s="22" customFormat="1" outlineLevel="1" x14ac:dyDescent="0.2">
      <c r="A165" s="22" t="s">
        <v>53</v>
      </c>
      <c r="B165" s="22">
        <f>+B162-B163-B164</f>
        <v>0</v>
      </c>
      <c r="C165" s="22">
        <f t="shared" ref="C165:W165" si="1381">+C162-C163-C164</f>
        <v>0</v>
      </c>
      <c r="D165" s="22">
        <f t="shared" si="1381"/>
        <v>0</v>
      </c>
      <c r="E165" s="22">
        <f t="shared" si="1381"/>
        <v>2961.7099999999996</v>
      </c>
      <c r="F165" s="22">
        <f t="shared" si="1381"/>
        <v>3157.6699999999996</v>
      </c>
      <c r="G165" s="22">
        <f t="shared" si="1381"/>
        <v>3570.04</v>
      </c>
      <c r="H165" s="22">
        <f t="shared" si="1381"/>
        <v>3881.2599999999993</v>
      </c>
      <c r="I165" s="22">
        <f t="shared" si="1381"/>
        <v>5387.31</v>
      </c>
      <c r="J165" s="22">
        <f t="shared" si="1381"/>
        <v>7645.2700000000023</v>
      </c>
      <c r="K165" s="22">
        <f t="shared" si="1381"/>
        <v>11203.890000000001</v>
      </c>
      <c r="L165" s="22">
        <f t="shared" si="1381"/>
        <v>13192.379999999997</v>
      </c>
      <c r="M165" s="22">
        <f t="shared" si="1381"/>
        <v>15019.52</v>
      </c>
      <c r="N165" s="22">
        <f t="shared" si="1381"/>
        <v>15455.74</v>
      </c>
      <c r="O165" s="22">
        <f t="shared" si="1381"/>
        <v>15240.570000000002</v>
      </c>
      <c r="P165" s="22">
        <f t="shared" si="1381"/>
        <v>15783.23</v>
      </c>
      <c r="Q165" s="22">
        <f t="shared" si="1381"/>
        <v>21075.850000000002</v>
      </c>
      <c r="R165" s="22">
        <f t="shared" si="1381"/>
        <v>20673.830000000002</v>
      </c>
      <c r="S165" s="22">
        <f t="shared" si="1381"/>
        <v>21727.96</v>
      </c>
      <c r="T165" s="22">
        <f t="shared" si="1381"/>
        <v>22187.739999999998</v>
      </c>
      <c r="U165" s="22">
        <f t="shared" si="1381"/>
        <v>25108.890000000003</v>
      </c>
      <c r="V165" s="22">
        <f t="shared" si="1381"/>
        <v>26324.010000000006</v>
      </c>
      <c r="W165" s="22">
        <f t="shared" si="1381"/>
        <v>14075.77</v>
      </c>
      <c r="X165" s="22">
        <f t="shared" ref="X165:Y165" si="1382">+X162-X163-X164</f>
        <v>14542.319999999998</v>
      </c>
      <c r="Y165" s="22">
        <f t="shared" si="1382"/>
        <v>14345</v>
      </c>
      <c r="Z165" s="22">
        <f t="shared" ref="Z165:AE165" si="1383">+Z162-Z163-Z164</f>
        <v>14115</v>
      </c>
      <c r="AA165" s="22">
        <f t="shared" ref="AA165" si="1384">+AA162-AA163-AA164</f>
        <v>14115</v>
      </c>
      <c r="AB165" s="21">
        <f t="shared" si="1383"/>
        <v>12951.806970969923</v>
      </c>
      <c r="AC165" s="21">
        <f t="shared" si="1383"/>
        <v>12969.723922636185</v>
      </c>
      <c r="AD165" s="21">
        <f t="shared" si="1383"/>
        <v>12985.152269101189</v>
      </c>
      <c r="AE165" s="21">
        <f t="shared" si="1383"/>
        <v>12998.437669378978</v>
      </c>
      <c r="AJ165" s="22">
        <f>+AJ162-AJ163-AJ164</f>
        <v>0</v>
      </c>
      <c r="AK165" s="22">
        <f t="shared" ref="AK165:CE165" si="1385">+AJ165</f>
        <v>0</v>
      </c>
      <c r="AL165" s="22">
        <f t="shared" ref="AL165" si="1386">+AL162-AL163-AL164</f>
        <v>0</v>
      </c>
      <c r="AM165" s="22">
        <f t="shared" si="1385"/>
        <v>0</v>
      </c>
      <c r="AN165" s="22">
        <f t="shared" ref="AN165" si="1387">+AN162-AN163-AN164</f>
        <v>0</v>
      </c>
      <c r="AO165" s="22">
        <f t="shared" si="1385"/>
        <v>0</v>
      </c>
      <c r="AP165" s="22">
        <f t="shared" ref="AP165:CD165" si="1388">+AP162-AP163-AP164</f>
        <v>0</v>
      </c>
      <c r="AQ165" s="22">
        <f t="shared" si="1385"/>
        <v>0</v>
      </c>
      <c r="AR165" s="22">
        <f t="shared" si="1388"/>
        <v>0</v>
      </c>
      <c r="AS165" s="22">
        <f t="shared" si="1385"/>
        <v>0</v>
      </c>
      <c r="AT165" s="22">
        <f t="shared" si="1388"/>
        <v>0</v>
      </c>
      <c r="AU165" s="22">
        <f t="shared" si="1385"/>
        <v>0</v>
      </c>
      <c r="AV165" s="22">
        <f t="shared" si="1388"/>
        <v>0</v>
      </c>
      <c r="AW165" s="22">
        <f t="shared" si="1385"/>
        <v>0</v>
      </c>
      <c r="AX165" s="22">
        <f t="shared" si="1388"/>
        <v>0</v>
      </c>
      <c r="AY165" s="22">
        <f t="shared" si="1385"/>
        <v>0</v>
      </c>
      <c r="AZ165" s="22">
        <f t="shared" si="1388"/>
        <v>0</v>
      </c>
      <c r="BA165" s="22">
        <f t="shared" si="1385"/>
        <v>0</v>
      </c>
      <c r="BB165" s="22">
        <f t="shared" si="1388"/>
        <v>0</v>
      </c>
      <c r="BC165" s="22">
        <f t="shared" si="1385"/>
        <v>0</v>
      </c>
      <c r="BD165" s="22">
        <f t="shared" si="1388"/>
        <v>0</v>
      </c>
      <c r="BE165" s="22">
        <f t="shared" si="1385"/>
        <v>0</v>
      </c>
      <c r="BF165" s="22">
        <f t="shared" si="1388"/>
        <v>0</v>
      </c>
      <c r="BG165" s="22">
        <f t="shared" si="1385"/>
        <v>0</v>
      </c>
      <c r="BH165" s="22">
        <f t="shared" si="1388"/>
        <v>0</v>
      </c>
      <c r="BI165" s="22">
        <f t="shared" si="1385"/>
        <v>0</v>
      </c>
      <c r="BJ165" s="22">
        <f t="shared" si="1388"/>
        <v>0</v>
      </c>
      <c r="BK165" s="22">
        <f t="shared" si="1385"/>
        <v>0</v>
      </c>
      <c r="BL165" s="22">
        <f t="shared" si="1388"/>
        <v>0</v>
      </c>
      <c r="BM165" s="22">
        <f t="shared" si="1385"/>
        <v>0</v>
      </c>
      <c r="BN165" s="22">
        <f t="shared" si="1388"/>
        <v>0</v>
      </c>
      <c r="BO165" s="22">
        <f t="shared" si="1385"/>
        <v>0</v>
      </c>
      <c r="BP165" s="22">
        <f t="shared" si="1388"/>
        <v>0</v>
      </c>
      <c r="BQ165" s="22">
        <f t="shared" si="1385"/>
        <v>0</v>
      </c>
      <c r="BR165" s="22">
        <f t="shared" si="1388"/>
        <v>0</v>
      </c>
      <c r="BS165" s="22">
        <f t="shared" si="1385"/>
        <v>0</v>
      </c>
      <c r="BT165" s="22">
        <f t="shared" si="1388"/>
        <v>0</v>
      </c>
      <c r="BU165" s="22">
        <f t="shared" si="1385"/>
        <v>0</v>
      </c>
      <c r="BV165" s="22">
        <f t="shared" si="1388"/>
        <v>0</v>
      </c>
      <c r="BW165" s="22">
        <f t="shared" si="1385"/>
        <v>0</v>
      </c>
      <c r="BX165" s="22">
        <f t="shared" si="1388"/>
        <v>0</v>
      </c>
      <c r="BY165" s="22">
        <f t="shared" si="1385"/>
        <v>0</v>
      </c>
      <c r="BZ165" s="22">
        <f t="shared" si="1388"/>
        <v>0</v>
      </c>
      <c r="CA165" s="22">
        <f t="shared" si="1385"/>
        <v>0</v>
      </c>
      <c r="CB165" s="22">
        <f t="shared" si="1388"/>
        <v>0</v>
      </c>
      <c r="CC165" s="22">
        <f t="shared" si="1385"/>
        <v>0</v>
      </c>
      <c r="CD165" s="22">
        <f t="shared" si="1388"/>
        <v>0</v>
      </c>
      <c r="CE165" s="22">
        <f t="shared" si="1385"/>
        <v>0</v>
      </c>
      <c r="CF165" s="22">
        <f t="shared" ref="CF165:CI165" si="1389">+CF162-CF163-CF164</f>
        <v>0</v>
      </c>
      <c r="CG165" s="22">
        <f t="shared" ref="CG165:CI168" si="1390">+CF165</f>
        <v>0</v>
      </c>
      <c r="CH165" s="22">
        <f t="shared" si="1389"/>
        <v>14115</v>
      </c>
      <c r="CI165" s="22">
        <f t="shared" si="1389"/>
        <v>13692</v>
      </c>
      <c r="CJ165" s="22">
        <f>+'QTR Raw'!BD68</f>
        <v>12653</v>
      </c>
      <c r="CK165" s="22">
        <f t="shared" ref="CK165:DB165" si="1391">+CK162-CK163-CK164</f>
        <v>12236</v>
      </c>
      <c r="CL165" s="22">
        <f>+'QTR Raw'!BF68</f>
        <v>12931</v>
      </c>
      <c r="CM165" s="21">
        <f t="shared" si="1391"/>
        <v>12936.496976135993</v>
      </c>
      <c r="CN165" s="21">
        <f t="shared" si="1391"/>
        <v>12941.792240741659</v>
      </c>
      <c r="CO165" s="21">
        <f t="shared" si="1391"/>
        <v>12946.893195621276</v>
      </c>
      <c r="CP165" s="21">
        <f t="shared" si="1391"/>
        <v>12951.806970969923</v>
      </c>
      <c r="CQ165" s="21">
        <f t="shared" si="1391"/>
        <v>12956.540435340183</v>
      </c>
      <c r="CR165" s="21">
        <f t="shared" si="1391"/>
        <v>12961.100205243114</v>
      </c>
      <c r="CS165" s="21">
        <f t="shared" si="1391"/>
        <v>12965.492654396909</v>
      </c>
      <c r="CT165" s="21">
        <f t="shared" si="1391"/>
        <v>12969.723922636185</v>
      </c>
      <c r="CU165" s="21">
        <f t="shared" si="1391"/>
        <v>12973.799924494338</v>
      </c>
      <c r="CV165" s="21">
        <f t="shared" si="1391"/>
        <v>12977.726357470969</v>
      </c>
      <c r="CW165" s="21">
        <f t="shared" si="1391"/>
        <v>12981.508709995938</v>
      </c>
      <c r="CX165" s="21">
        <f t="shared" si="1391"/>
        <v>12985.152269101189</v>
      </c>
      <c r="CY165" s="21">
        <f t="shared" si="1391"/>
        <v>12988.662127811025</v>
      </c>
      <c r="CZ165" s="21">
        <f t="shared" si="1391"/>
        <v>12992.043192261241</v>
      </c>
      <c r="DA165" s="21">
        <f t="shared" si="1391"/>
        <v>12995.300188556983</v>
      </c>
      <c r="DB165" s="21">
        <f t="shared" si="1391"/>
        <v>12998.437669378978</v>
      </c>
      <c r="DE165" s="127"/>
      <c r="DF165" s="22">
        <v>11832.742906820517</v>
      </c>
    </row>
    <row r="166" spans="1:110" s="23" customFormat="1" outlineLevel="1" x14ac:dyDescent="0.2">
      <c r="A166" s="23" t="s">
        <v>54</v>
      </c>
      <c r="B166" s="23">
        <f>'Annual Raw'!C86</f>
        <v>0</v>
      </c>
      <c r="C166" s="23">
        <f>'Annual Raw'!D86</f>
        <v>0</v>
      </c>
      <c r="D166" s="23">
        <f>'Annual Raw'!E86</f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99.09</v>
      </c>
      <c r="S166" s="23">
        <v>99.09</v>
      </c>
      <c r="T166" s="23">
        <v>99.09</v>
      </c>
      <c r="U166" s="23">
        <v>99.09</v>
      </c>
      <c r="V166" s="23">
        <v>99.09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4">
        <f t="shared" si="1373"/>
        <v>0</v>
      </c>
      <c r="AC166" s="24">
        <f t="shared" si="1374"/>
        <v>0</v>
      </c>
      <c r="AD166" s="24">
        <f t="shared" si="1375"/>
        <v>0</v>
      </c>
      <c r="AE166" s="24">
        <f t="shared" si="1376"/>
        <v>0</v>
      </c>
      <c r="AJ166" s="23">
        <f>+'QTR Raw'!D72</f>
        <v>0</v>
      </c>
      <c r="AK166" s="23">
        <f t="shared" ref="AK166:CE168" si="1392">+AJ166</f>
        <v>0</v>
      </c>
      <c r="AL166" s="23">
        <f>+'QTR Raw'!F72</f>
        <v>0</v>
      </c>
      <c r="AM166" s="23">
        <f t="shared" si="1392"/>
        <v>0</v>
      </c>
      <c r="AN166" s="23">
        <f>+'QTR Raw'!H72</f>
        <v>0</v>
      </c>
      <c r="AO166" s="23">
        <f t="shared" si="1392"/>
        <v>0</v>
      </c>
      <c r="AP166" s="23">
        <f>+'QTR Raw'!J72</f>
        <v>0</v>
      </c>
      <c r="AQ166" s="23">
        <f t="shared" si="1392"/>
        <v>0</v>
      </c>
      <c r="AR166" s="23">
        <f>+'QTR Raw'!L72</f>
        <v>0</v>
      </c>
      <c r="AS166" s="23">
        <f t="shared" si="1392"/>
        <v>0</v>
      </c>
      <c r="AT166" s="23">
        <f>+'QTR Raw'!N72</f>
        <v>0</v>
      </c>
      <c r="AU166" s="23">
        <f t="shared" si="1392"/>
        <v>0</v>
      </c>
      <c r="AV166" s="23">
        <f>+'QTR Raw'!P72</f>
        <v>0</v>
      </c>
      <c r="AW166" s="23">
        <f t="shared" si="1392"/>
        <v>0</v>
      </c>
      <c r="AX166" s="23">
        <f>+'QTR Raw'!R72</f>
        <v>0</v>
      </c>
      <c r="AY166" s="23">
        <f t="shared" si="1392"/>
        <v>0</v>
      </c>
      <c r="AZ166" s="23">
        <f>+'QTR Raw'!T72</f>
        <v>0</v>
      </c>
      <c r="BA166" s="23">
        <f t="shared" si="1392"/>
        <v>0</v>
      </c>
      <c r="BB166" s="23">
        <f>+'QTR Raw'!V72</f>
        <v>0</v>
      </c>
      <c r="BC166" s="23">
        <f t="shared" si="1392"/>
        <v>0</v>
      </c>
      <c r="BD166" s="23">
        <f>+'QTR Raw'!X72</f>
        <v>0</v>
      </c>
      <c r="BE166" s="23">
        <f t="shared" si="1392"/>
        <v>0</v>
      </c>
      <c r="BF166" s="23">
        <f>+'QTR Raw'!Z72</f>
        <v>0</v>
      </c>
      <c r="BG166" s="23">
        <f t="shared" si="1392"/>
        <v>0</v>
      </c>
      <c r="BH166" s="23">
        <f>+'QTR Raw'!AB72</f>
        <v>0</v>
      </c>
      <c r="BI166" s="23">
        <f t="shared" si="1392"/>
        <v>0</v>
      </c>
      <c r="BJ166" s="23">
        <f>+'QTR Raw'!AD72</f>
        <v>0</v>
      </c>
      <c r="BK166" s="23">
        <f t="shared" si="1392"/>
        <v>0</v>
      </c>
      <c r="BL166" s="23">
        <f>+'QTR Raw'!AF72</f>
        <v>0</v>
      </c>
      <c r="BM166" s="23">
        <f t="shared" si="1392"/>
        <v>0</v>
      </c>
      <c r="BN166" s="23">
        <f>+'QTR Raw'!AH72</f>
        <v>0</v>
      </c>
      <c r="BO166" s="23">
        <f t="shared" si="1392"/>
        <v>0</v>
      </c>
      <c r="BP166" s="23">
        <f>+'QTR Raw'!AJ72</f>
        <v>0</v>
      </c>
      <c r="BQ166" s="23">
        <f t="shared" si="1392"/>
        <v>0</v>
      </c>
      <c r="BR166" s="23">
        <f>+'QTR Raw'!AL72</f>
        <v>0</v>
      </c>
      <c r="BS166" s="23">
        <f t="shared" si="1392"/>
        <v>0</v>
      </c>
      <c r="BT166" s="23">
        <f>+'QTR Raw'!AN72</f>
        <v>0</v>
      </c>
      <c r="BU166" s="23">
        <f t="shared" si="1392"/>
        <v>0</v>
      </c>
      <c r="BV166" s="23">
        <f>+'QTR Raw'!AP72</f>
        <v>0</v>
      </c>
      <c r="BW166" s="23">
        <f t="shared" si="1392"/>
        <v>0</v>
      </c>
      <c r="BX166" s="23">
        <f>+'QTR Raw'!AR72</f>
        <v>0</v>
      </c>
      <c r="BY166" s="23">
        <f t="shared" si="1392"/>
        <v>0</v>
      </c>
      <c r="BZ166" s="23">
        <f>+'QTR Raw'!AT72</f>
        <v>0</v>
      </c>
      <c r="CA166" s="23">
        <f t="shared" si="1392"/>
        <v>0</v>
      </c>
      <c r="CB166" s="23">
        <f>+'QTR Raw'!AV72</f>
        <v>0</v>
      </c>
      <c r="CC166" s="23">
        <f t="shared" si="1392"/>
        <v>0</v>
      </c>
      <c r="CD166" s="23">
        <f>+'QTR Raw'!AX72</f>
        <v>0</v>
      </c>
      <c r="CE166" s="23">
        <f t="shared" si="1392"/>
        <v>0</v>
      </c>
      <c r="CF166" s="23">
        <f>+'QTR Raw'!AZ72</f>
        <v>0</v>
      </c>
      <c r="CG166" s="23">
        <f t="shared" si="1390"/>
        <v>0</v>
      </c>
      <c r="CH166" s="23">
        <f t="shared" si="1377"/>
        <v>0</v>
      </c>
      <c r="CI166" s="23">
        <f t="shared" si="1390"/>
        <v>0</v>
      </c>
      <c r="CJ166" s="23">
        <f>+'QTR Raw'!BD72</f>
        <v>0</v>
      </c>
      <c r="CK166" s="23">
        <f t="shared" ref="CK166:CK168" si="1393">+CJ166</f>
        <v>0</v>
      </c>
      <c r="CL166" s="23">
        <f>+'QTR Raw'!BF72</f>
        <v>0</v>
      </c>
      <c r="CM166" s="24">
        <f t="shared" ref="CM166:CM168" si="1394">+CL166</f>
        <v>0</v>
      </c>
      <c r="CN166" s="24">
        <f t="shared" ref="CN166:CN168" si="1395">+CM166</f>
        <v>0</v>
      </c>
      <c r="CO166" s="24">
        <f t="shared" ref="CO166:CO168" si="1396">+CN166</f>
        <v>0</v>
      </c>
      <c r="CP166" s="24">
        <f t="shared" ref="CP166:CP168" si="1397">+CO166</f>
        <v>0</v>
      </c>
      <c r="CQ166" s="24">
        <f t="shared" ref="CQ166:CQ168" si="1398">+CP166</f>
        <v>0</v>
      </c>
      <c r="CR166" s="24">
        <f t="shared" ref="CR166:CR168" si="1399">+CQ166</f>
        <v>0</v>
      </c>
      <c r="CS166" s="24">
        <f t="shared" ref="CS166:CS168" si="1400">+CR166</f>
        <v>0</v>
      </c>
      <c r="CT166" s="24">
        <f t="shared" ref="CT166:CT168" si="1401">+CS166</f>
        <v>0</v>
      </c>
      <c r="CU166" s="24">
        <f t="shared" ref="CU166:CU168" si="1402">+CT166</f>
        <v>0</v>
      </c>
      <c r="CV166" s="24">
        <f t="shared" ref="CV166:CV168" si="1403">+CU166</f>
        <v>0</v>
      </c>
      <c r="CW166" s="24">
        <f t="shared" ref="CW166:CW168" si="1404">+CV166</f>
        <v>0</v>
      </c>
      <c r="CX166" s="24">
        <f t="shared" ref="CX166:CX168" si="1405">+CW166</f>
        <v>0</v>
      </c>
      <c r="CY166" s="24">
        <f t="shared" ref="CY166:CY168" si="1406">+CX166</f>
        <v>0</v>
      </c>
      <c r="CZ166" s="24">
        <f t="shared" ref="CZ166:CZ168" si="1407">+CY166</f>
        <v>0</v>
      </c>
      <c r="DA166" s="24">
        <f t="shared" ref="DA166:DA168" si="1408">+CZ166</f>
        <v>0</v>
      </c>
      <c r="DB166" s="24">
        <f t="shared" ref="DB166:DB168" si="1409">+DA166</f>
        <v>0</v>
      </c>
      <c r="DE166" s="123"/>
      <c r="DF166" s="23">
        <v>0</v>
      </c>
    </row>
    <row r="167" spans="1:110" s="23" customFormat="1" outlineLevel="1" x14ac:dyDescent="0.2">
      <c r="A167" s="23" t="s">
        <v>55</v>
      </c>
      <c r="B167" s="23">
        <f>'Annual Raw'!C68</f>
        <v>0</v>
      </c>
      <c r="C167" s="23">
        <f>'Annual Raw'!D68</f>
        <v>0</v>
      </c>
      <c r="D167" s="23">
        <f>'Annual Raw'!E68</f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>
        <v>0</v>
      </c>
      <c r="AB167" s="24">
        <f t="shared" si="1373"/>
        <v>0</v>
      </c>
      <c r="AC167" s="24">
        <f t="shared" si="1374"/>
        <v>0</v>
      </c>
      <c r="AD167" s="24">
        <f t="shared" si="1375"/>
        <v>0</v>
      </c>
      <c r="AE167" s="24">
        <f t="shared" si="1376"/>
        <v>0</v>
      </c>
      <c r="AK167" s="23">
        <f t="shared" si="1392"/>
        <v>0</v>
      </c>
      <c r="AM167" s="23">
        <f t="shared" si="1392"/>
        <v>0</v>
      </c>
      <c r="AO167" s="23">
        <f t="shared" si="1392"/>
        <v>0</v>
      </c>
      <c r="AQ167" s="23">
        <f t="shared" si="1392"/>
        <v>0</v>
      </c>
      <c r="AS167" s="23">
        <f t="shared" si="1392"/>
        <v>0</v>
      </c>
      <c r="AU167" s="23">
        <f t="shared" si="1392"/>
        <v>0</v>
      </c>
      <c r="AW167" s="23">
        <f t="shared" si="1392"/>
        <v>0</v>
      </c>
      <c r="AY167" s="23">
        <f t="shared" si="1392"/>
        <v>0</v>
      </c>
      <c r="BA167" s="23">
        <f t="shared" si="1392"/>
        <v>0</v>
      </c>
      <c r="BC167" s="23">
        <f t="shared" si="1392"/>
        <v>0</v>
      </c>
      <c r="BE167" s="23">
        <f t="shared" si="1392"/>
        <v>0</v>
      </c>
      <c r="BG167" s="23">
        <f t="shared" si="1392"/>
        <v>0</v>
      </c>
      <c r="BI167" s="23">
        <f t="shared" si="1392"/>
        <v>0</v>
      </c>
      <c r="BK167" s="23">
        <f t="shared" si="1392"/>
        <v>0</v>
      </c>
      <c r="BM167" s="23">
        <f t="shared" si="1392"/>
        <v>0</v>
      </c>
      <c r="BO167" s="23">
        <f t="shared" si="1392"/>
        <v>0</v>
      </c>
      <c r="BQ167" s="23">
        <f t="shared" si="1392"/>
        <v>0</v>
      </c>
      <c r="BS167" s="23">
        <f t="shared" si="1392"/>
        <v>0</v>
      </c>
      <c r="BU167" s="23">
        <f t="shared" si="1392"/>
        <v>0</v>
      </c>
      <c r="BW167" s="23">
        <f t="shared" si="1392"/>
        <v>0</v>
      </c>
      <c r="BY167" s="23">
        <f t="shared" si="1392"/>
        <v>0</v>
      </c>
      <c r="CA167" s="23">
        <f t="shared" si="1392"/>
        <v>0</v>
      </c>
      <c r="CC167" s="23">
        <f t="shared" si="1392"/>
        <v>0</v>
      </c>
      <c r="CE167" s="23">
        <f t="shared" si="1392"/>
        <v>0</v>
      </c>
      <c r="CG167" s="23">
        <f t="shared" si="1390"/>
        <v>0</v>
      </c>
      <c r="CH167" s="23">
        <f t="shared" si="1377"/>
        <v>0</v>
      </c>
      <c r="CI167" s="23">
        <f t="shared" si="1390"/>
        <v>0</v>
      </c>
      <c r="CK167" s="23">
        <f t="shared" si="1393"/>
        <v>0</v>
      </c>
      <c r="CM167" s="24">
        <f t="shared" si="1394"/>
        <v>0</v>
      </c>
      <c r="CN167" s="24">
        <f t="shared" si="1395"/>
        <v>0</v>
      </c>
      <c r="CO167" s="24">
        <f t="shared" si="1396"/>
        <v>0</v>
      </c>
      <c r="CP167" s="24">
        <f t="shared" si="1397"/>
        <v>0</v>
      </c>
      <c r="CQ167" s="24">
        <f t="shared" si="1398"/>
        <v>0</v>
      </c>
      <c r="CR167" s="24">
        <f t="shared" si="1399"/>
        <v>0</v>
      </c>
      <c r="CS167" s="24">
        <f t="shared" si="1400"/>
        <v>0</v>
      </c>
      <c r="CT167" s="24">
        <f t="shared" si="1401"/>
        <v>0</v>
      </c>
      <c r="CU167" s="24">
        <f t="shared" si="1402"/>
        <v>0</v>
      </c>
      <c r="CV167" s="24">
        <f t="shared" si="1403"/>
        <v>0</v>
      </c>
      <c r="CW167" s="24">
        <f t="shared" si="1404"/>
        <v>0</v>
      </c>
      <c r="CX167" s="24">
        <f t="shared" si="1405"/>
        <v>0</v>
      </c>
      <c r="CY167" s="24">
        <f t="shared" si="1406"/>
        <v>0</v>
      </c>
      <c r="CZ167" s="24">
        <f t="shared" si="1407"/>
        <v>0</v>
      </c>
      <c r="DA167" s="24">
        <f t="shared" si="1408"/>
        <v>0</v>
      </c>
      <c r="DB167" s="24">
        <f t="shared" si="1409"/>
        <v>0</v>
      </c>
      <c r="DE167" s="123"/>
      <c r="DF167" s="23">
        <v>0</v>
      </c>
    </row>
    <row r="168" spans="1:110" s="23" customFormat="1" outlineLevel="1" x14ac:dyDescent="0.2">
      <c r="A168" s="23" t="s">
        <v>56</v>
      </c>
      <c r="B168" s="23">
        <f>'Annual Raw'!C67+'Annual Raw'!C66+'Annual Raw'!C69+'Annual Raw'!C70</f>
        <v>0</v>
      </c>
      <c r="C168" s="23">
        <f>'Annual Raw'!D67+'Annual Raw'!D66+'Annual Raw'!D69+'Annual Raw'!D70</f>
        <v>0</v>
      </c>
      <c r="D168" s="23">
        <f>'Annual Raw'!E67+'Annual Raw'!E66+'Annual Raw'!E69+'Annual Raw'!E70</f>
        <v>0</v>
      </c>
      <c r="E168" s="23">
        <v>286.09000000000003</v>
      </c>
      <c r="F168" s="23">
        <v>538.83999999999992</v>
      </c>
      <c r="G168" s="23">
        <v>951.18999999999994</v>
      </c>
      <c r="H168" s="23">
        <v>2513.3200000000002</v>
      </c>
      <c r="I168" s="23">
        <v>5064.96</v>
      </c>
      <c r="J168" s="23">
        <v>6946.8899999999994</v>
      </c>
      <c r="K168" s="23">
        <v>5232.1499999999996</v>
      </c>
      <c r="L168" s="23">
        <v>4058.56</v>
      </c>
      <c r="M168" s="23">
        <v>4036.6699999999996</v>
      </c>
      <c r="N168" s="23">
        <v>4752.8</v>
      </c>
      <c r="O168" s="23">
        <v>6355.07</v>
      </c>
      <c r="P168" s="23">
        <v>6040.79</v>
      </c>
      <c r="Q168" s="23">
        <v>5686.5300000000007</v>
      </c>
      <c r="R168" s="23">
        <v>7270.99</v>
      </c>
      <c r="S168" s="23">
        <v>5196.6000000000004</v>
      </c>
      <c r="T168" s="23">
        <v>6286.59</v>
      </c>
      <c r="U168" s="23">
        <v>4494.8</v>
      </c>
      <c r="V168" s="23">
        <v>3006.46</v>
      </c>
      <c r="W168" s="23">
        <v>1467.24</v>
      </c>
      <c r="X168" s="23">
        <v>1084.95</v>
      </c>
      <c r="Y168" s="23">
        <v>1234</v>
      </c>
      <c r="Z168" s="23">
        <v>1824</v>
      </c>
      <c r="AA168" s="23">
        <v>1824</v>
      </c>
      <c r="AB168" s="24">
        <f t="shared" si="1373"/>
        <v>673</v>
      </c>
      <c r="AC168" s="24">
        <f t="shared" si="1374"/>
        <v>673</v>
      </c>
      <c r="AD168" s="24">
        <f t="shared" si="1375"/>
        <v>673</v>
      </c>
      <c r="AE168" s="24">
        <f t="shared" si="1376"/>
        <v>673</v>
      </c>
      <c r="AJ168" s="23">
        <f>+'QTR Raw'!D74</f>
        <v>0</v>
      </c>
      <c r="AK168" s="23">
        <f t="shared" si="1392"/>
        <v>0</v>
      </c>
      <c r="AL168" s="23">
        <f>+'QTR Raw'!F74</f>
        <v>0</v>
      </c>
      <c r="AM168" s="23">
        <f t="shared" si="1392"/>
        <v>0</v>
      </c>
      <c r="AN168" s="23">
        <f>+'QTR Raw'!H74</f>
        <v>0</v>
      </c>
      <c r="AO168" s="23">
        <f t="shared" si="1392"/>
        <v>0</v>
      </c>
      <c r="AP168" s="23">
        <f>+'QTR Raw'!J74</f>
        <v>0</v>
      </c>
      <c r="AQ168" s="23">
        <f t="shared" si="1392"/>
        <v>0</v>
      </c>
      <c r="AR168" s="23">
        <f>+'QTR Raw'!L74</f>
        <v>0</v>
      </c>
      <c r="AS168" s="23">
        <f t="shared" si="1392"/>
        <v>0</v>
      </c>
      <c r="AT168" s="23">
        <f>+'QTR Raw'!N74</f>
        <v>0</v>
      </c>
      <c r="AU168" s="23">
        <f t="shared" si="1392"/>
        <v>0</v>
      </c>
      <c r="AV168" s="23">
        <f>+'QTR Raw'!P74</f>
        <v>0</v>
      </c>
      <c r="AW168" s="23">
        <f t="shared" si="1392"/>
        <v>0</v>
      </c>
      <c r="AX168" s="23">
        <f>+'QTR Raw'!R74</f>
        <v>0</v>
      </c>
      <c r="AY168" s="23">
        <f t="shared" si="1392"/>
        <v>0</v>
      </c>
      <c r="AZ168" s="23">
        <f>+'QTR Raw'!T74</f>
        <v>0</v>
      </c>
      <c r="BA168" s="23">
        <f t="shared" si="1392"/>
        <v>0</v>
      </c>
      <c r="BB168" s="23">
        <f>+'QTR Raw'!V74</f>
        <v>0</v>
      </c>
      <c r="BC168" s="23">
        <f t="shared" si="1392"/>
        <v>0</v>
      </c>
      <c r="BD168" s="23">
        <f>+'QTR Raw'!X74</f>
        <v>0</v>
      </c>
      <c r="BE168" s="23">
        <f t="shared" si="1392"/>
        <v>0</v>
      </c>
      <c r="BF168" s="23">
        <f>+'QTR Raw'!Z74</f>
        <v>0</v>
      </c>
      <c r="BG168" s="23">
        <f t="shared" si="1392"/>
        <v>0</v>
      </c>
      <c r="BH168" s="23">
        <f>+'QTR Raw'!AB74</f>
        <v>0</v>
      </c>
      <c r="BI168" s="23">
        <f t="shared" si="1392"/>
        <v>0</v>
      </c>
      <c r="BJ168" s="23">
        <f>+'QTR Raw'!AD74</f>
        <v>0</v>
      </c>
      <c r="BK168" s="23">
        <f t="shared" si="1392"/>
        <v>0</v>
      </c>
      <c r="BL168" s="23">
        <f>+'QTR Raw'!AF74</f>
        <v>0</v>
      </c>
      <c r="BM168" s="23">
        <f t="shared" si="1392"/>
        <v>0</v>
      </c>
      <c r="BN168" s="23">
        <f>+'QTR Raw'!AH74</f>
        <v>0</v>
      </c>
      <c r="BO168" s="23">
        <f t="shared" si="1392"/>
        <v>0</v>
      </c>
      <c r="BP168" s="23">
        <f>+'QTR Raw'!AJ74</f>
        <v>0</v>
      </c>
      <c r="BQ168" s="23">
        <f t="shared" si="1392"/>
        <v>0</v>
      </c>
      <c r="BR168" s="23">
        <f>+'QTR Raw'!AL74</f>
        <v>0</v>
      </c>
      <c r="BS168" s="23">
        <f t="shared" si="1392"/>
        <v>0</v>
      </c>
      <c r="BT168" s="23">
        <f>+'QTR Raw'!AN74</f>
        <v>0</v>
      </c>
      <c r="BU168" s="23">
        <f t="shared" si="1392"/>
        <v>0</v>
      </c>
      <c r="BV168" s="23">
        <f>+'QTR Raw'!AP74</f>
        <v>0</v>
      </c>
      <c r="BW168" s="23">
        <f t="shared" si="1392"/>
        <v>0</v>
      </c>
      <c r="BX168" s="23">
        <f>+'QTR Raw'!AR74</f>
        <v>0</v>
      </c>
      <c r="BY168" s="23">
        <f t="shared" si="1392"/>
        <v>0</v>
      </c>
      <c r="BZ168" s="23">
        <f>+'QTR Raw'!AT74</f>
        <v>0</v>
      </c>
      <c r="CA168" s="23">
        <f t="shared" si="1392"/>
        <v>0</v>
      </c>
      <c r="CB168" s="23">
        <f>+'QTR Raw'!AV74</f>
        <v>0</v>
      </c>
      <c r="CC168" s="23">
        <f t="shared" si="1392"/>
        <v>0</v>
      </c>
      <c r="CD168" s="23">
        <f>+'QTR Raw'!AX74</f>
        <v>0</v>
      </c>
      <c r="CE168" s="23">
        <f t="shared" si="1392"/>
        <v>0</v>
      </c>
      <c r="CF168" s="23">
        <f>+'QTR Raw'!AZ74</f>
        <v>0</v>
      </c>
      <c r="CG168" s="23">
        <f t="shared" si="1390"/>
        <v>0</v>
      </c>
      <c r="CH168" s="23">
        <f t="shared" si="1377"/>
        <v>1824</v>
      </c>
      <c r="CI168" s="23">
        <f t="shared" si="1390"/>
        <v>1824</v>
      </c>
      <c r="CJ168" s="23">
        <f>+'QTR Raw'!BD74</f>
        <v>626</v>
      </c>
      <c r="CK168" s="23">
        <f t="shared" si="1393"/>
        <v>626</v>
      </c>
      <c r="CL168" s="23">
        <f>+'QTR Raw'!BF74</f>
        <v>673</v>
      </c>
      <c r="CM168" s="24">
        <f t="shared" si="1394"/>
        <v>673</v>
      </c>
      <c r="CN168" s="24">
        <f t="shared" si="1395"/>
        <v>673</v>
      </c>
      <c r="CO168" s="24">
        <f t="shared" si="1396"/>
        <v>673</v>
      </c>
      <c r="CP168" s="24">
        <f t="shared" si="1397"/>
        <v>673</v>
      </c>
      <c r="CQ168" s="24">
        <f t="shared" si="1398"/>
        <v>673</v>
      </c>
      <c r="CR168" s="24">
        <f t="shared" si="1399"/>
        <v>673</v>
      </c>
      <c r="CS168" s="24">
        <f t="shared" si="1400"/>
        <v>673</v>
      </c>
      <c r="CT168" s="24">
        <f t="shared" si="1401"/>
        <v>673</v>
      </c>
      <c r="CU168" s="24">
        <f t="shared" si="1402"/>
        <v>673</v>
      </c>
      <c r="CV168" s="24">
        <f t="shared" si="1403"/>
        <v>673</v>
      </c>
      <c r="CW168" s="24">
        <f t="shared" si="1404"/>
        <v>673</v>
      </c>
      <c r="CX168" s="24">
        <f t="shared" si="1405"/>
        <v>673</v>
      </c>
      <c r="CY168" s="24">
        <f t="shared" si="1406"/>
        <v>673</v>
      </c>
      <c r="CZ168" s="24">
        <f t="shared" si="1407"/>
        <v>673</v>
      </c>
      <c r="DA168" s="24">
        <f t="shared" si="1408"/>
        <v>673</v>
      </c>
      <c r="DB168" s="24">
        <f t="shared" si="1409"/>
        <v>673</v>
      </c>
      <c r="DE168" s="123"/>
      <c r="DF168" s="23">
        <v>626</v>
      </c>
    </row>
    <row r="169" spans="1:110" s="22" customFormat="1" x14ac:dyDescent="0.2">
      <c r="A169" s="22" t="s">
        <v>57</v>
      </c>
      <c r="B169" s="22">
        <f>B165+B168+B167</f>
        <v>0</v>
      </c>
      <c r="C169" s="22">
        <f t="shared" ref="C169:D169" si="1410">C165+C168+C167</f>
        <v>0</v>
      </c>
      <c r="D169" s="22">
        <f t="shared" si="1410"/>
        <v>0</v>
      </c>
      <c r="E169" s="22">
        <f>E165+E168+E167+E166</f>
        <v>3247.7999999999997</v>
      </c>
      <c r="F169" s="22">
        <f t="shared" ref="F169:AE169" si="1411">F165+F168+F167+F166</f>
        <v>3696.5099999999993</v>
      </c>
      <c r="G169" s="22">
        <f t="shared" si="1411"/>
        <v>4521.2299999999996</v>
      </c>
      <c r="H169" s="22">
        <f t="shared" si="1411"/>
        <v>6394.58</v>
      </c>
      <c r="I169" s="22">
        <f t="shared" si="1411"/>
        <v>10452.27</v>
      </c>
      <c r="J169" s="22">
        <f t="shared" si="1411"/>
        <v>14592.160000000002</v>
      </c>
      <c r="K169" s="22">
        <f t="shared" si="1411"/>
        <v>16436.04</v>
      </c>
      <c r="L169" s="22">
        <f t="shared" si="1411"/>
        <v>17250.939999999999</v>
      </c>
      <c r="M169" s="22">
        <f t="shared" si="1411"/>
        <v>19056.189999999999</v>
      </c>
      <c r="N169" s="22">
        <f t="shared" si="1411"/>
        <v>20208.54</v>
      </c>
      <c r="O169" s="22">
        <f t="shared" si="1411"/>
        <v>21595.64</v>
      </c>
      <c r="P169" s="22">
        <f t="shared" si="1411"/>
        <v>21824.02</v>
      </c>
      <c r="Q169" s="22">
        <f t="shared" si="1411"/>
        <v>26762.380000000005</v>
      </c>
      <c r="R169" s="22">
        <f t="shared" si="1411"/>
        <v>28043.91</v>
      </c>
      <c r="S169" s="22">
        <f t="shared" si="1411"/>
        <v>27023.649999999998</v>
      </c>
      <c r="T169" s="22">
        <f t="shared" si="1411"/>
        <v>28573.42</v>
      </c>
      <c r="U169" s="22">
        <f t="shared" si="1411"/>
        <v>29702.780000000002</v>
      </c>
      <c r="V169" s="22">
        <f t="shared" si="1411"/>
        <v>29429.560000000005</v>
      </c>
      <c r="W169" s="22">
        <f t="shared" si="1411"/>
        <v>15543.01</v>
      </c>
      <c r="X169" s="22">
        <f t="shared" si="1411"/>
        <v>15627.269999999999</v>
      </c>
      <c r="Y169" s="22">
        <f t="shared" si="1411"/>
        <v>15579</v>
      </c>
      <c r="Z169" s="22">
        <f t="shared" si="1411"/>
        <v>15939</v>
      </c>
      <c r="AA169" s="22">
        <f t="shared" ref="AA169" si="1412">AA165+AA168+AA167+AA166</f>
        <v>15939</v>
      </c>
      <c r="AB169" s="160">
        <f t="shared" si="1411"/>
        <v>13624.806970969923</v>
      </c>
      <c r="AC169" s="160">
        <f t="shared" si="1411"/>
        <v>13642.723922636185</v>
      </c>
      <c r="AD169" s="160">
        <f t="shared" si="1411"/>
        <v>13658.152269101189</v>
      </c>
      <c r="AE169" s="160">
        <f t="shared" si="1411"/>
        <v>13671.437669378978</v>
      </c>
      <c r="AJ169" s="22">
        <f>AJ165+AJ168+AJ166+AJ167</f>
        <v>0</v>
      </c>
      <c r="AK169" s="22">
        <f t="shared" ref="AK169" si="1413">AK165+AK168+AK166+AK167</f>
        <v>0</v>
      </c>
      <c r="AL169" s="22">
        <f t="shared" ref="AL169:AM169" si="1414">AL165+AL168+AL166+AL167</f>
        <v>0</v>
      </c>
      <c r="AM169" s="22">
        <f t="shared" si="1414"/>
        <v>0</v>
      </c>
      <c r="AN169" s="22">
        <f t="shared" ref="AN169:AO169" si="1415">AN165+AN168+AN166+AN167</f>
        <v>0</v>
      </c>
      <c r="AO169" s="22">
        <f t="shared" si="1415"/>
        <v>0</v>
      </c>
      <c r="AP169" s="22">
        <f t="shared" ref="AP169:CE169" si="1416">AP165+AP168+AP166+AP167</f>
        <v>0</v>
      </c>
      <c r="AQ169" s="22">
        <f t="shared" si="1416"/>
        <v>0</v>
      </c>
      <c r="AR169" s="22">
        <f t="shared" si="1416"/>
        <v>0</v>
      </c>
      <c r="AS169" s="22">
        <f t="shared" si="1416"/>
        <v>0</v>
      </c>
      <c r="AT169" s="22">
        <f t="shared" si="1416"/>
        <v>0</v>
      </c>
      <c r="AU169" s="22">
        <f t="shared" si="1416"/>
        <v>0</v>
      </c>
      <c r="AV169" s="22">
        <f t="shared" si="1416"/>
        <v>0</v>
      </c>
      <c r="AW169" s="22">
        <f t="shared" si="1416"/>
        <v>0</v>
      </c>
      <c r="AX169" s="22">
        <f t="shared" si="1416"/>
        <v>0</v>
      </c>
      <c r="AY169" s="22">
        <f t="shared" si="1416"/>
        <v>0</v>
      </c>
      <c r="AZ169" s="22">
        <f t="shared" si="1416"/>
        <v>0</v>
      </c>
      <c r="BA169" s="22">
        <f t="shared" si="1416"/>
        <v>0</v>
      </c>
      <c r="BB169" s="22">
        <f t="shared" si="1416"/>
        <v>0</v>
      </c>
      <c r="BC169" s="22">
        <f t="shared" si="1416"/>
        <v>0</v>
      </c>
      <c r="BD169" s="22">
        <f t="shared" si="1416"/>
        <v>0</v>
      </c>
      <c r="BE169" s="22">
        <f t="shared" si="1416"/>
        <v>0</v>
      </c>
      <c r="BF169" s="22">
        <f t="shared" si="1416"/>
        <v>0</v>
      </c>
      <c r="BG169" s="22">
        <f t="shared" si="1416"/>
        <v>0</v>
      </c>
      <c r="BH169" s="22">
        <f t="shared" si="1416"/>
        <v>0</v>
      </c>
      <c r="BI169" s="22">
        <f t="shared" si="1416"/>
        <v>0</v>
      </c>
      <c r="BJ169" s="22">
        <f t="shared" si="1416"/>
        <v>0</v>
      </c>
      <c r="BK169" s="22">
        <f t="shared" si="1416"/>
        <v>0</v>
      </c>
      <c r="BL169" s="22">
        <f t="shared" si="1416"/>
        <v>0</v>
      </c>
      <c r="BM169" s="22">
        <f t="shared" si="1416"/>
        <v>0</v>
      </c>
      <c r="BN169" s="22">
        <f t="shared" si="1416"/>
        <v>0</v>
      </c>
      <c r="BO169" s="22">
        <f t="shared" si="1416"/>
        <v>0</v>
      </c>
      <c r="BP169" s="22">
        <f t="shared" si="1416"/>
        <v>0</v>
      </c>
      <c r="BQ169" s="22">
        <f t="shared" si="1416"/>
        <v>0</v>
      </c>
      <c r="BR169" s="22">
        <f t="shared" si="1416"/>
        <v>0</v>
      </c>
      <c r="BS169" s="22">
        <f t="shared" si="1416"/>
        <v>0</v>
      </c>
      <c r="BT169" s="22">
        <f t="shared" si="1416"/>
        <v>0</v>
      </c>
      <c r="BU169" s="22">
        <f t="shared" si="1416"/>
        <v>0</v>
      </c>
      <c r="BV169" s="22">
        <f t="shared" si="1416"/>
        <v>0</v>
      </c>
      <c r="BW169" s="22">
        <f t="shared" si="1416"/>
        <v>0</v>
      </c>
      <c r="BX169" s="22">
        <f t="shared" si="1416"/>
        <v>0</v>
      </c>
      <c r="BY169" s="22">
        <f t="shared" si="1416"/>
        <v>0</v>
      </c>
      <c r="BZ169" s="22">
        <f t="shared" si="1416"/>
        <v>0</v>
      </c>
      <c r="CA169" s="22">
        <f t="shared" si="1416"/>
        <v>0</v>
      </c>
      <c r="CB169" s="22">
        <f t="shared" si="1416"/>
        <v>0</v>
      </c>
      <c r="CC169" s="22">
        <f t="shared" si="1416"/>
        <v>0</v>
      </c>
      <c r="CD169" s="22">
        <f t="shared" si="1416"/>
        <v>0</v>
      </c>
      <c r="CE169" s="22">
        <f t="shared" si="1416"/>
        <v>0</v>
      </c>
      <c r="CF169" s="22">
        <f t="shared" ref="CF169:CG169" si="1417">CF165+CF168+CF166+CF167</f>
        <v>0</v>
      </c>
      <c r="CG169" s="22">
        <f t="shared" si="1417"/>
        <v>0</v>
      </c>
      <c r="CH169" s="22">
        <f t="shared" ref="CH169:CJ169" si="1418">CH165+CH168+CH166+CH167</f>
        <v>15939</v>
      </c>
      <c r="CI169" s="22">
        <f t="shared" si="1418"/>
        <v>15516</v>
      </c>
      <c r="CJ169" s="22">
        <f t="shared" si="1418"/>
        <v>13279</v>
      </c>
      <c r="CK169" s="22">
        <f t="shared" ref="CK169:DB169" si="1419">CK165+CK168+CK166+CK167</f>
        <v>12862</v>
      </c>
      <c r="CL169" s="22">
        <f t="shared" si="1419"/>
        <v>13604</v>
      </c>
      <c r="CM169" s="21">
        <f t="shared" si="1419"/>
        <v>13609.496976135993</v>
      </c>
      <c r="CN169" s="21">
        <f t="shared" si="1419"/>
        <v>13614.792240741659</v>
      </c>
      <c r="CO169" s="21">
        <f t="shared" si="1419"/>
        <v>13619.893195621276</v>
      </c>
      <c r="CP169" s="21">
        <f t="shared" si="1419"/>
        <v>13624.806970969923</v>
      </c>
      <c r="CQ169" s="21">
        <f t="shared" si="1419"/>
        <v>13629.540435340183</v>
      </c>
      <c r="CR169" s="21">
        <f t="shared" si="1419"/>
        <v>13634.100205243114</v>
      </c>
      <c r="CS169" s="21">
        <f t="shared" si="1419"/>
        <v>13638.492654396909</v>
      </c>
      <c r="CT169" s="21">
        <f t="shared" si="1419"/>
        <v>13642.723922636185</v>
      </c>
      <c r="CU169" s="21">
        <f t="shared" si="1419"/>
        <v>13646.799924494338</v>
      </c>
      <c r="CV169" s="21">
        <f t="shared" si="1419"/>
        <v>13650.726357470969</v>
      </c>
      <c r="CW169" s="21">
        <f t="shared" si="1419"/>
        <v>13654.508709995938</v>
      </c>
      <c r="CX169" s="21">
        <f t="shared" si="1419"/>
        <v>13658.152269101189</v>
      </c>
      <c r="CY169" s="21">
        <f t="shared" si="1419"/>
        <v>13661.662127811025</v>
      </c>
      <c r="CZ169" s="21">
        <f t="shared" si="1419"/>
        <v>13665.043192261241</v>
      </c>
      <c r="DA169" s="21">
        <f t="shared" si="1419"/>
        <v>13668.300188556983</v>
      </c>
      <c r="DB169" s="21">
        <f t="shared" si="1419"/>
        <v>13671.437669378978</v>
      </c>
      <c r="DE169" s="127"/>
      <c r="DF169" s="22">
        <v>12458.742906820517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x14ac:dyDescent="0.2">
      <c r="A171" s="23" t="s">
        <v>58</v>
      </c>
      <c r="B171" s="23">
        <f>'Annual Raw'!C71</f>
        <v>0</v>
      </c>
      <c r="C171" s="23">
        <f>'Annual Raw'!D71</f>
        <v>0</v>
      </c>
      <c r="D171" s="23">
        <f>'Annual Raw'!E71</f>
        <v>0</v>
      </c>
      <c r="E171" s="23">
        <v>1437.54</v>
      </c>
      <c r="F171" s="23">
        <v>1842.61</v>
      </c>
      <c r="G171" s="23">
        <v>1789.53</v>
      </c>
      <c r="H171" s="23">
        <v>2347.31</v>
      </c>
      <c r="I171" s="23">
        <v>4056.7599999999998</v>
      </c>
      <c r="J171" s="23">
        <v>12528.15</v>
      </c>
      <c r="K171" s="23">
        <v>21879.97</v>
      </c>
      <c r="L171" s="23">
        <v>22538.21</v>
      </c>
      <c r="M171" s="23">
        <v>17903.29</v>
      </c>
      <c r="N171" s="23">
        <v>18171.71</v>
      </c>
      <c r="O171" s="23">
        <v>18357.57</v>
      </c>
      <c r="P171" s="23">
        <v>16966.95</v>
      </c>
      <c r="Q171" s="23">
        <v>15217.480000000001</v>
      </c>
      <c r="R171" s="23">
        <v>15307.240000000002</v>
      </c>
      <c r="S171" s="23">
        <v>15307.240000000002</v>
      </c>
      <c r="T171" s="23">
        <v>15307.240000000002</v>
      </c>
      <c r="U171" s="23">
        <v>15307.240000000002</v>
      </c>
      <c r="V171" s="23">
        <v>15307.240000000002</v>
      </c>
      <c r="W171" s="23">
        <v>29256.390000000003</v>
      </c>
      <c r="X171" s="23">
        <v>29181.620000000003</v>
      </c>
      <c r="Y171" s="23">
        <v>30315</v>
      </c>
      <c r="Z171" s="23">
        <v>31427</v>
      </c>
      <c r="AA171" s="23">
        <v>31427</v>
      </c>
      <c r="AB171" s="24">
        <f>+CP171</f>
        <v>10036</v>
      </c>
      <c r="AC171" s="24">
        <f>+CT171</f>
        <v>10036</v>
      </c>
      <c r="AD171" s="24">
        <f>+CX171</f>
        <v>10036</v>
      </c>
      <c r="AE171" s="24">
        <f>+DB171</f>
        <v>10036</v>
      </c>
      <c r="AJ171" s="23">
        <f>+'QTR Raw'!D77</f>
        <v>0</v>
      </c>
      <c r="AK171" s="23">
        <f t="shared" ref="AK171:CE171" si="1420">+AJ171</f>
        <v>0</v>
      </c>
      <c r="AL171" s="23">
        <f>+'QTR Raw'!F77</f>
        <v>0</v>
      </c>
      <c r="AM171" s="23">
        <f t="shared" si="1420"/>
        <v>0</v>
      </c>
      <c r="AN171" s="23">
        <f>+'QTR Raw'!H77</f>
        <v>0</v>
      </c>
      <c r="AO171" s="23">
        <f t="shared" si="1420"/>
        <v>0</v>
      </c>
      <c r="AP171" s="23">
        <f>+'QTR Raw'!J77</f>
        <v>0</v>
      </c>
      <c r="AQ171" s="23">
        <f t="shared" si="1420"/>
        <v>0</v>
      </c>
      <c r="AR171" s="23">
        <f>+'QTR Raw'!L77</f>
        <v>0</v>
      </c>
      <c r="AS171" s="23">
        <f t="shared" si="1420"/>
        <v>0</v>
      </c>
      <c r="AT171" s="23">
        <f>+'QTR Raw'!N77</f>
        <v>0</v>
      </c>
      <c r="AU171" s="23">
        <f t="shared" si="1420"/>
        <v>0</v>
      </c>
      <c r="AV171" s="23">
        <f>+'QTR Raw'!P77</f>
        <v>0</v>
      </c>
      <c r="AW171" s="23">
        <f t="shared" si="1420"/>
        <v>0</v>
      </c>
      <c r="AX171" s="23">
        <f>+'QTR Raw'!R77</f>
        <v>0</v>
      </c>
      <c r="AY171" s="23">
        <f t="shared" si="1420"/>
        <v>0</v>
      </c>
      <c r="AZ171" s="23">
        <f>+'QTR Raw'!T77</f>
        <v>0</v>
      </c>
      <c r="BA171" s="23">
        <f t="shared" si="1420"/>
        <v>0</v>
      </c>
      <c r="BB171" s="23">
        <f>+'QTR Raw'!V77</f>
        <v>0</v>
      </c>
      <c r="BC171" s="23">
        <f t="shared" si="1420"/>
        <v>0</v>
      </c>
      <c r="BD171" s="23">
        <f>+'QTR Raw'!X77</f>
        <v>0</v>
      </c>
      <c r="BE171" s="23">
        <f t="shared" si="1420"/>
        <v>0</v>
      </c>
      <c r="BF171" s="23">
        <f>+'QTR Raw'!Z77</f>
        <v>0</v>
      </c>
      <c r="BG171" s="23">
        <f t="shared" si="1420"/>
        <v>0</v>
      </c>
      <c r="BH171" s="23">
        <f>+'QTR Raw'!AB77</f>
        <v>0</v>
      </c>
      <c r="BI171" s="23">
        <f t="shared" si="1420"/>
        <v>0</v>
      </c>
      <c r="BJ171" s="23">
        <f>+'QTR Raw'!AD77</f>
        <v>0</v>
      </c>
      <c r="BK171" s="23">
        <f t="shared" si="1420"/>
        <v>0</v>
      </c>
      <c r="BL171" s="23">
        <f>+'QTR Raw'!AF77</f>
        <v>0</v>
      </c>
      <c r="BM171" s="23">
        <f t="shared" si="1420"/>
        <v>0</v>
      </c>
      <c r="BN171" s="23">
        <f>+'QTR Raw'!AH77</f>
        <v>0</v>
      </c>
      <c r="BO171" s="23">
        <f t="shared" si="1420"/>
        <v>0</v>
      </c>
      <c r="BP171" s="23">
        <f>+'QTR Raw'!AJ77</f>
        <v>0</v>
      </c>
      <c r="BQ171" s="23">
        <f t="shared" si="1420"/>
        <v>0</v>
      </c>
      <c r="BR171" s="23">
        <f>+'QTR Raw'!AL77</f>
        <v>0</v>
      </c>
      <c r="BS171" s="23">
        <f t="shared" si="1420"/>
        <v>0</v>
      </c>
      <c r="BT171" s="23">
        <f>+'QTR Raw'!AN77</f>
        <v>0</v>
      </c>
      <c r="BU171" s="23">
        <f t="shared" si="1420"/>
        <v>0</v>
      </c>
      <c r="BV171" s="23">
        <f>+'QTR Raw'!AP77</f>
        <v>0</v>
      </c>
      <c r="BW171" s="23">
        <f t="shared" si="1420"/>
        <v>0</v>
      </c>
      <c r="BX171" s="23">
        <f>+'QTR Raw'!AR77</f>
        <v>0</v>
      </c>
      <c r="BY171" s="23">
        <f t="shared" si="1420"/>
        <v>0</v>
      </c>
      <c r="BZ171" s="23">
        <f>+'QTR Raw'!AT77</f>
        <v>0</v>
      </c>
      <c r="CA171" s="23">
        <f t="shared" si="1420"/>
        <v>0</v>
      </c>
      <c r="CB171" s="23">
        <f>+'QTR Raw'!AV77</f>
        <v>0</v>
      </c>
      <c r="CC171" s="23">
        <f t="shared" si="1420"/>
        <v>0</v>
      </c>
      <c r="CD171" s="23">
        <f>+'QTR Raw'!AX77</f>
        <v>0</v>
      </c>
      <c r="CE171" s="23">
        <f t="shared" si="1420"/>
        <v>0</v>
      </c>
      <c r="CF171" s="23">
        <f>+'QTR Raw'!AZ77</f>
        <v>0</v>
      </c>
      <c r="CG171" s="23">
        <f t="shared" ref="CG171:CI174" si="1421">+CF171</f>
        <v>0</v>
      </c>
      <c r="CH171" s="23">
        <f t="shared" ref="CH171:CH187" si="1422">Z171</f>
        <v>31427</v>
      </c>
      <c r="CI171" s="23">
        <f t="shared" si="1421"/>
        <v>31427</v>
      </c>
      <c r="CJ171" s="23">
        <f>+'QTR Raw'!BD77</f>
        <v>9167</v>
      </c>
      <c r="CK171" s="23">
        <f t="shared" ref="CK171" si="1423">+CJ171</f>
        <v>9167</v>
      </c>
      <c r="CL171" s="23">
        <f>+'QTR Raw'!BF77</f>
        <v>10036</v>
      </c>
      <c r="CM171" s="24">
        <f t="shared" ref="CM171" si="1424">+CL171</f>
        <v>10036</v>
      </c>
      <c r="CN171" s="24">
        <f t="shared" ref="CN171" si="1425">+CM171</f>
        <v>10036</v>
      </c>
      <c r="CO171" s="24">
        <f t="shared" ref="CO171" si="1426">+CN171</f>
        <v>10036</v>
      </c>
      <c r="CP171" s="24">
        <f t="shared" ref="CP171" si="1427">+CO171</f>
        <v>10036</v>
      </c>
      <c r="CQ171" s="24">
        <f t="shared" ref="CQ171" si="1428">+CP171</f>
        <v>10036</v>
      </c>
      <c r="CR171" s="24">
        <f t="shared" ref="CR171" si="1429">+CQ171</f>
        <v>10036</v>
      </c>
      <c r="CS171" s="24">
        <f t="shared" ref="CS171" si="1430">+CR171</f>
        <v>10036</v>
      </c>
      <c r="CT171" s="24">
        <f t="shared" ref="CT171" si="1431">+CS171</f>
        <v>10036</v>
      </c>
      <c r="CU171" s="24">
        <f t="shared" ref="CU171" si="1432">+CT171</f>
        <v>10036</v>
      </c>
      <c r="CV171" s="24">
        <f t="shared" ref="CV171" si="1433">+CU171</f>
        <v>10036</v>
      </c>
      <c r="CW171" s="24">
        <f t="shared" ref="CW171" si="1434">+CV171</f>
        <v>10036</v>
      </c>
      <c r="CX171" s="24">
        <f t="shared" ref="CX171" si="1435">+CW171</f>
        <v>10036</v>
      </c>
      <c r="CY171" s="24">
        <f t="shared" ref="CY171" si="1436">+CX171</f>
        <v>10036</v>
      </c>
      <c r="CZ171" s="24">
        <f t="shared" ref="CZ171" si="1437">+CY171</f>
        <v>10036</v>
      </c>
      <c r="DA171" s="24">
        <f t="shared" ref="DA171" si="1438">+CZ171</f>
        <v>10036</v>
      </c>
      <c r="DB171" s="24">
        <f t="shared" ref="DB171" si="1439">+DA171</f>
        <v>10036</v>
      </c>
      <c r="DE171" s="123"/>
      <c r="DF171" s="23">
        <v>9167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59</v>
      </c>
      <c r="B173" s="23">
        <f>'Annual Raw'!C72</f>
        <v>0</v>
      </c>
      <c r="C173" s="23">
        <f>'Annual Raw'!D72</f>
        <v>0</v>
      </c>
      <c r="D173" s="23">
        <f>'Annual Raw'!E72</f>
        <v>0</v>
      </c>
      <c r="E173" s="23">
        <v>1162.75</v>
      </c>
      <c r="F173" s="23">
        <v>2722.35</v>
      </c>
      <c r="G173" s="23">
        <v>5633.38</v>
      </c>
      <c r="H173" s="23">
        <v>6025.99</v>
      </c>
      <c r="I173" s="23">
        <v>4409.5199999999995</v>
      </c>
      <c r="J173" s="23">
        <v>4962.99</v>
      </c>
      <c r="K173" s="23">
        <v>4425.7300000000005</v>
      </c>
      <c r="L173" s="23">
        <v>5280.26</v>
      </c>
      <c r="M173" s="23">
        <v>5359.85</v>
      </c>
      <c r="N173" s="23">
        <v>5107.33</v>
      </c>
      <c r="O173" s="23">
        <v>4142.07</v>
      </c>
      <c r="P173" s="23">
        <v>3977.97</v>
      </c>
      <c r="Q173" s="23">
        <v>4770.3</v>
      </c>
      <c r="R173" s="23">
        <v>607.41999999999996</v>
      </c>
      <c r="S173" s="23">
        <v>284.23</v>
      </c>
      <c r="T173" s="23">
        <v>343.21</v>
      </c>
      <c r="U173" s="23">
        <v>370.6</v>
      </c>
      <c r="V173" s="23">
        <v>311.46999999999997</v>
      </c>
      <c r="W173" s="23">
        <v>187.8</v>
      </c>
      <c r="X173" s="23">
        <v>154.84</v>
      </c>
      <c r="Y173" s="23">
        <v>234</v>
      </c>
      <c r="Z173" s="23">
        <v>3315</v>
      </c>
      <c r="AA173" s="23">
        <v>3315</v>
      </c>
      <c r="AB173" s="24">
        <f t="shared" ref="AB173:AB179" si="1440">+CP173</f>
        <v>0</v>
      </c>
      <c r="AC173" s="24">
        <f t="shared" ref="AC173:AC179" si="1441">+CT173</f>
        <v>0</v>
      </c>
      <c r="AD173" s="24">
        <f t="shared" ref="AD173:AD179" si="1442">+CX173</f>
        <v>0</v>
      </c>
      <c r="AE173" s="24">
        <f t="shared" ref="AE173:AE179" si="1443">+DB173</f>
        <v>0</v>
      </c>
      <c r="AJ173" s="23">
        <f>+'QTR Raw'!D78</f>
        <v>0</v>
      </c>
      <c r="AK173" s="23">
        <f t="shared" ref="AK173:CE179" si="1444">+AJ173</f>
        <v>0</v>
      </c>
      <c r="AL173" s="23">
        <f>+'QTR Raw'!F78</f>
        <v>0</v>
      </c>
      <c r="AM173" s="23">
        <f t="shared" si="1444"/>
        <v>0</v>
      </c>
      <c r="AN173" s="23">
        <f>+'QTR Raw'!H78</f>
        <v>0</v>
      </c>
      <c r="AO173" s="23">
        <f t="shared" si="1444"/>
        <v>0</v>
      </c>
      <c r="AP173" s="23">
        <f>+'QTR Raw'!J78</f>
        <v>0</v>
      </c>
      <c r="AQ173" s="23">
        <f t="shared" si="1444"/>
        <v>0</v>
      </c>
      <c r="AR173" s="23">
        <f>+'QTR Raw'!L78</f>
        <v>0</v>
      </c>
      <c r="AS173" s="23">
        <f t="shared" si="1444"/>
        <v>0</v>
      </c>
      <c r="AT173" s="23">
        <f>+'QTR Raw'!N78</f>
        <v>0</v>
      </c>
      <c r="AU173" s="23">
        <f t="shared" si="1444"/>
        <v>0</v>
      </c>
      <c r="AV173" s="23">
        <f>+'QTR Raw'!P78</f>
        <v>0</v>
      </c>
      <c r="AW173" s="23">
        <f t="shared" si="1444"/>
        <v>0</v>
      </c>
      <c r="AX173" s="23">
        <f>+'QTR Raw'!R78</f>
        <v>0</v>
      </c>
      <c r="AY173" s="23">
        <f t="shared" si="1444"/>
        <v>0</v>
      </c>
      <c r="AZ173" s="23">
        <f>+'QTR Raw'!T78</f>
        <v>0</v>
      </c>
      <c r="BA173" s="23">
        <f t="shared" si="1444"/>
        <v>0</v>
      </c>
      <c r="BB173" s="23">
        <f>+'QTR Raw'!V78</f>
        <v>0</v>
      </c>
      <c r="BC173" s="23">
        <f t="shared" si="1444"/>
        <v>0</v>
      </c>
      <c r="BD173" s="23">
        <f>+'QTR Raw'!X78</f>
        <v>0</v>
      </c>
      <c r="BE173" s="23">
        <f t="shared" si="1444"/>
        <v>0</v>
      </c>
      <c r="BF173" s="23">
        <f>+'QTR Raw'!Z78</f>
        <v>0</v>
      </c>
      <c r="BG173" s="23">
        <f t="shared" si="1444"/>
        <v>0</v>
      </c>
      <c r="BH173" s="23">
        <f>+'QTR Raw'!AB78</f>
        <v>0</v>
      </c>
      <c r="BI173" s="23">
        <f t="shared" si="1444"/>
        <v>0</v>
      </c>
      <c r="BJ173" s="23">
        <f>+'QTR Raw'!AD78</f>
        <v>0</v>
      </c>
      <c r="BK173" s="23">
        <f t="shared" si="1444"/>
        <v>0</v>
      </c>
      <c r="BL173" s="23">
        <f>+'QTR Raw'!AF78</f>
        <v>0</v>
      </c>
      <c r="BM173" s="23">
        <f t="shared" si="1444"/>
        <v>0</v>
      </c>
      <c r="BN173" s="23">
        <f>+'QTR Raw'!AH78</f>
        <v>0</v>
      </c>
      <c r="BO173" s="23">
        <f t="shared" si="1444"/>
        <v>0</v>
      </c>
      <c r="BP173" s="23">
        <f>+'QTR Raw'!AJ78</f>
        <v>0</v>
      </c>
      <c r="BQ173" s="23">
        <f t="shared" si="1444"/>
        <v>0</v>
      </c>
      <c r="BR173" s="23">
        <f>+'QTR Raw'!AL78</f>
        <v>0</v>
      </c>
      <c r="BS173" s="23">
        <f t="shared" si="1444"/>
        <v>0</v>
      </c>
      <c r="BT173" s="23">
        <f>+'QTR Raw'!AN78</f>
        <v>0</v>
      </c>
      <c r="BU173" s="23">
        <f t="shared" si="1444"/>
        <v>0</v>
      </c>
      <c r="BV173" s="23">
        <f>+'QTR Raw'!AP78</f>
        <v>0</v>
      </c>
      <c r="BW173" s="23">
        <f t="shared" si="1444"/>
        <v>0</v>
      </c>
      <c r="BX173" s="23">
        <f>+'QTR Raw'!AR78</f>
        <v>0</v>
      </c>
      <c r="BY173" s="23">
        <f t="shared" si="1444"/>
        <v>0</v>
      </c>
      <c r="BZ173" s="23">
        <f>+'QTR Raw'!AT78</f>
        <v>0</v>
      </c>
      <c r="CA173" s="23">
        <f t="shared" si="1444"/>
        <v>0</v>
      </c>
      <c r="CB173" s="23">
        <f>+'QTR Raw'!AV78</f>
        <v>0</v>
      </c>
      <c r="CC173" s="23">
        <f t="shared" si="1444"/>
        <v>0</v>
      </c>
      <c r="CD173" s="23">
        <f>+'QTR Raw'!AX78</f>
        <v>0</v>
      </c>
      <c r="CE173" s="23">
        <f t="shared" si="1444"/>
        <v>0</v>
      </c>
      <c r="CF173" s="23">
        <f>+'QTR Raw'!AZ78</f>
        <v>0</v>
      </c>
      <c r="CG173" s="23">
        <f t="shared" si="1421"/>
        <v>0</v>
      </c>
      <c r="CH173" s="23">
        <f t="shared" si="1422"/>
        <v>3315</v>
      </c>
      <c r="CJ173" s="23">
        <f>+'QTR Raw'!BD78</f>
        <v>236</v>
      </c>
      <c r="CL173" s="23">
        <f>+'QTR Raw'!BF78</f>
        <v>217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217</v>
      </c>
    </row>
    <row r="174" spans="1:110" s="23" customFormat="1" outlineLevel="1" x14ac:dyDescent="0.2">
      <c r="A174" s="23" t="s">
        <v>60</v>
      </c>
      <c r="B174" s="23">
        <f>'Annual Raw'!C73+'Annual Raw'!C81</f>
        <v>0</v>
      </c>
      <c r="C174" s="23">
        <f>'Annual Raw'!D73+'Annual Raw'!D81</f>
        <v>0</v>
      </c>
      <c r="D174" s="23">
        <f>'Annual Raw'!E73+'Annual Raw'!E81</f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0</v>
      </c>
      <c r="Y174" s="23">
        <v>0</v>
      </c>
      <c r="Z174" s="23">
        <v>0</v>
      </c>
      <c r="AA174" s="23">
        <v>0</v>
      </c>
      <c r="AB174" s="24">
        <f t="shared" si="1440"/>
        <v>0</v>
      </c>
      <c r="AC174" s="24">
        <f t="shared" si="1441"/>
        <v>0</v>
      </c>
      <c r="AD174" s="24">
        <f t="shared" si="1442"/>
        <v>0</v>
      </c>
      <c r="AE174" s="24">
        <f t="shared" si="1443"/>
        <v>0</v>
      </c>
      <c r="AJ174" s="23">
        <f>+'QTR Raw'!D79</f>
        <v>0</v>
      </c>
      <c r="AK174" s="23">
        <f t="shared" si="1444"/>
        <v>0</v>
      </c>
      <c r="AL174" s="23">
        <f>+'QTR Raw'!F79</f>
        <v>0</v>
      </c>
      <c r="AM174" s="23">
        <f t="shared" si="1444"/>
        <v>0</v>
      </c>
      <c r="AN174" s="23">
        <f>+'QTR Raw'!H79</f>
        <v>0</v>
      </c>
      <c r="AO174" s="23">
        <f t="shared" si="1444"/>
        <v>0</v>
      </c>
      <c r="AP174" s="23">
        <f>+'QTR Raw'!J79</f>
        <v>0</v>
      </c>
      <c r="AQ174" s="23">
        <f t="shared" si="1444"/>
        <v>0</v>
      </c>
      <c r="AR174" s="23">
        <f>+'QTR Raw'!L79</f>
        <v>0</v>
      </c>
      <c r="AS174" s="23">
        <f t="shared" si="1444"/>
        <v>0</v>
      </c>
      <c r="AT174" s="23">
        <f>+'QTR Raw'!N79</f>
        <v>0</v>
      </c>
      <c r="AU174" s="23">
        <f t="shared" si="1444"/>
        <v>0</v>
      </c>
      <c r="AV174" s="23">
        <f>+'QTR Raw'!P79</f>
        <v>0</v>
      </c>
      <c r="AW174" s="23">
        <f t="shared" si="1444"/>
        <v>0</v>
      </c>
      <c r="AX174" s="23">
        <f>+'QTR Raw'!R79</f>
        <v>0</v>
      </c>
      <c r="AY174" s="23">
        <f t="shared" si="1444"/>
        <v>0</v>
      </c>
      <c r="AZ174" s="23">
        <f>+'QTR Raw'!T79</f>
        <v>0</v>
      </c>
      <c r="BA174" s="23">
        <f t="shared" si="1444"/>
        <v>0</v>
      </c>
      <c r="BB174" s="23">
        <f>+'QTR Raw'!V79</f>
        <v>0</v>
      </c>
      <c r="BC174" s="23">
        <f t="shared" si="1444"/>
        <v>0</v>
      </c>
      <c r="BD174" s="23">
        <f>+'QTR Raw'!X79</f>
        <v>0</v>
      </c>
      <c r="BE174" s="23">
        <f t="shared" si="1444"/>
        <v>0</v>
      </c>
      <c r="BF174" s="23">
        <f>+'QTR Raw'!Z79</f>
        <v>0</v>
      </c>
      <c r="BG174" s="23">
        <f t="shared" si="1444"/>
        <v>0</v>
      </c>
      <c r="BH174" s="23">
        <f>+'QTR Raw'!AB79</f>
        <v>0</v>
      </c>
      <c r="BI174" s="23">
        <f t="shared" si="1444"/>
        <v>0</v>
      </c>
      <c r="BJ174" s="23">
        <f>+'QTR Raw'!AD79</f>
        <v>0</v>
      </c>
      <c r="BK174" s="23">
        <f t="shared" si="1444"/>
        <v>0</v>
      </c>
      <c r="BL174" s="23">
        <f>+'QTR Raw'!AF79</f>
        <v>0</v>
      </c>
      <c r="BM174" s="23">
        <f t="shared" si="1444"/>
        <v>0</v>
      </c>
      <c r="BN174" s="23">
        <f>+'QTR Raw'!AH79</f>
        <v>0</v>
      </c>
      <c r="BO174" s="23">
        <f t="shared" si="1444"/>
        <v>0</v>
      </c>
      <c r="BP174" s="23">
        <f>+'QTR Raw'!AJ79</f>
        <v>0</v>
      </c>
      <c r="BQ174" s="23">
        <f t="shared" si="1444"/>
        <v>0</v>
      </c>
      <c r="BR174" s="23">
        <f>+'QTR Raw'!AL79</f>
        <v>0</v>
      </c>
      <c r="BS174" s="23">
        <f t="shared" si="1444"/>
        <v>0</v>
      </c>
      <c r="BT174" s="23">
        <f>+'QTR Raw'!AN79</f>
        <v>0</v>
      </c>
      <c r="BU174" s="23">
        <f t="shared" si="1444"/>
        <v>0</v>
      </c>
      <c r="BV174" s="23">
        <f>+'QTR Raw'!AP79</f>
        <v>0</v>
      </c>
      <c r="BW174" s="23">
        <f t="shared" si="1444"/>
        <v>0</v>
      </c>
      <c r="BX174" s="23">
        <f>+'QTR Raw'!AR79</f>
        <v>0</v>
      </c>
      <c r="BY174" s="23">
        <f t="shared" si="1444"/>
        <v>0</v>
      </c>
      <c r="BZ174" s="23">
        <f>+'QTR Raw'!AT79</f>
        <v>0</v>
      </c>
      <c r="CA174" s="23">
        <f t="shared" si="1444"/>
        <v>0</v>
      </c>
      <c r="CB174" s="23">
        <f>+'QTR Raw'!AV79</f>
        <v>0</v>
      </c>
      <c r="CC174" s="23">
        <f t="shared" si="1444"/>
        <v>0</v>
      </c>
      <c r="CD174" s="23">
        <f>+'QTR Raw'!AX79</f>
        <v>0</v>
      </c>
      <c r="CE174" s="23">
        <f t="shared" si="1444"/>
        <v>0</v>
      </c>
      <c r="CF174" s="23">
        <f>+'QTR Raw'!AZ79</f>
        <v>0</v>
      </c>
      <c r="CG174" s="23">
        <f t="shared" si="1421"/>
        <v>0</v>
      </c>
      <c r="CH174" s="23">
        <f t="shared" si="1422"/>
        <v>0</v>
      </c>
      <c r="CJ174" s="23">
        <f>+'QTR Raw'!BD79</f>
        <v>2125</v>
      </c>
      <c r="CL174" s="23">
        <f>+'QTR Raw'!BF79</f>
        <v>2002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2002</v>
      </c>
    </row>
    <row r="175" spans="1:110" s="23" customFormat="1" outlineLevel="1" x14ac:dyDescent="0.2">
      <c r="A175" s="23" t="s">
        <v>61</v>
      </c>
      <c r="B175" s="23">
        <f>'Annual Raw'!C76</f>
        <v>0</v>
      </c>
      <c r="C175" s="23">
        <f>'Annual Raw'!D76</f>
        <v>0</v>
      </c>
      <c r="D175" s="23">
        <f>'Annual Raw'!E76</f>
        <v>0</v>
      </c>
      <c r="E175" s="23">
        <v>1147.44</v>
      </c>
      <c r="F175" s="23">
        <v>1601.3600000000001</v>
      </c>
      <c r="G175" s="23">
        <v>2012.2400000000002</v>
      </c>
      <c r="H175" s="23">
        <v>2500.9499999999998</v>
      </c>
      <c r="I175" s="23">
        <v>2421.83</v>
      </c>
      <c r="J175" s="23">
        <v>2229.81</v>
      </c>
      <c r="K175" s="23">
        <v>2935.59</v>
      </c>
      <c r="L175" s="23">
        <v>3891.3900000000003</v>
      </c>
      <c r="M175" s="23">
        <v>4588.2300000000005</v>
      </c>
      <c r="N175" s="23">
        <v>4455.0300000000007</v>
      </c>
      <c r="O175" s="23">
        <v>3862.53</v>
      </c>
      <c r="P175" s="23">
        <v>4802.08</v>
      </c>
      <c r="Q175" s="23">
        <v>5117.92</v>
      </c>
      <c r="R175" s="23">
        <v>5553.01</v>
      </c>
      <c r="S175" s="23">
        <v>5670.13</v>
      </c>
      <c r="T175" s="23">
        <v>4662</v>
      </c>
      <c r="U175" s="23">
        <v>3831.9199999999996</v>
      </c>
      <c r="V175" s="23">
        <v>4551.71</v>
      </c>
      <c r="W175" s="23">
        <v>3718.4900000000002</v>
      </c>
      <c r="X175" s="23">
        <v>3027.9</v>
      </c>
      <c r="Y175" s="23">
        <v>3470</v>
      </c>
      <c r="Z175" s="23">
        <v>3154</v>
      </c>
      <c r="AA175" s="23">
        <v>3154</v>
      </c>
      <c r="AB175" s="24">
        <f t="shared" si="1440"/>
        <v>4220.7656238772743</v>
      </c>
      <c r="AC175" s="24">
        <f t="shared" si="1441"/>
        <v>4515.5157260334645</v>
      </c>
      <c r="AD175" s="24">
        <f t="shared" si="1442"/>
        <v>5068.7650905933042</v>
      </c>
      <c r="AE175" s="24">
        <f t="shared" si="1443"/>
        <v>5662.4382316022275</v>
      </c>
      <c r="AJ175" s="23">
        <f>+'QTR Raw'!D81</f>
        <v>0</v>
      </c>
      <c r="AK175" s="23">
        <f>+AK211*AK32/90</f>
        <v>0</v>
      </c>
      <c r="AL175" s="23">
        <f>+'QTR Raw'!F81</f>
        <v>0</v>
      </c>
      <c r="AM175" s="23">
        <f>+AM211*AM32/90</f>
        <v>0</v>
      </c>
      <c r="AN175" s="23">
        <f>+'QTR Raw'!H81</f>
        <v>0</v>
      </c>
      <c r="AO175" s="23">
        <f>+AO211*AO32/90</f>
        <v>0</v>
      </c>
      <c r="AP175" s="23">
        <f>+'QTR Raw'!J81</f>
        <v>0</v>
      </c>
      <c r="AQ175" s="23">
        <f>+AQ211*AQ32/90</f>
        <v>0</v>
      </c>
      <c r="AR175" s="23">
        <f>+'QTR Raw'!L81</f>
        <v>0</v>
      </c>
      <c r="AS175" s="23">
        <f>+AS211*AS32/90</f>
        <v>0</v>
      </c>
      <c r="AT175" s="23">
        <f>+'QTR Raw'!N81</f>
        <v>0</v>
      </c>
      <c r="AU175" s="23">
        <f>+AU211*AU32/90</f>
        <v>0</v>
      </c>
      <c r="AV175" s="23">
        <f>+'QTR Raw'!P81</f>
        <v>0</v>
      </c>
      <c r="AW175" s="23">
        <f>+AW211*AW32/90</f>
        <v>0</v>
      </c>
      <c r="AX175" s="23">
        <f>+'QTR Raw'!R81</f>
        <v>0</v>
      </c>
      <c r="AY175" s="23">
        <f>+AY211*AY32/90</f>
        <v>0</v>
      </c>
      <c r="AZ175" s="23">
        <f>+'QTR Raw'!T81</f>
        <v>0</v>
      </c>
      <c r="BA175" s="23">
        <f>+BA211*BA32/90</f>
        <v>0</v>
      </c>
      <c r="BB175" s="23">
        <f>+'QTR Raw'!V81</f>
        <v>0</v>
      </c>
      <c r="BC175" s="23">
        <f>+BC211*BC32/90</f>
        <v>0</v>
      </c>
      <c r="BD175" s="23">
        <f>+'QTR Raw'!X81</f>
        <v>0</v>
      </c>
      <c r="BE175" s="23">
        <f>+BE211*BE32/90</f>
        <v>0</v>
      </c>
      <c r="BF175" s="23">
        <f>+'QTR Raw'!Z81</f>
        <v>0</v>
      </c>
      <c r="BG175" s="23">
        <f>+BG211*BG32/90</f>
        <v>0</v>
      </c>
      <c r="BH175" s="23">
        <f>+'QTR Raw'!AB81</f>
        <v>0</v>
      </c>
      <c r="BI175" s="23">
        <f>+BI211*BI32/90</f>
        <v>0</v>
      </c>
      <c r="BJ175" s="23">
        <f>+'QTR Raw'!AD81</f>
        <v>0</v>
      </c>
      <c r="BK175" s="23">
        <f>+BK211*BK32/90</f>
        <v>0</v>
      </c>
      <c r="BL175" s="23">
        <f>+'QTR Raw'!AF81</f>
        <v>0</v>
      </c>
      <c r="BM175" s="23">
        <f>+BM211*BM32/90</f>
        <v>0</v>
      </c>
      <c r="BN175" s="23">
        <f>+'QTR Raw'!AH81</f>
        <v>0</v>
      </c>
      <c r="BO175" s="23">
        <f>+BO211*BO32/90</f>
        <v>0</v>
      </c>
      <c r="BP175" s="23">
        <f>+'QTR Raw'!AJ81</f>
        <v>0</v>
      </c>
      <c r="BQ175" s="23">
        <f>+BQ211*BQ32/90</f>
        <v>0</v>
      </c>
      <c r="BR175" s="23">
        <f>+'QTR Raw'!AL81</f>
        <v>0</v>
      </c>
      <c r="BS175" s="23">
        <f>+BS211*BS32/90</f>
        <v>0</v>
      </c>
      <c r="BT175" s="23">
        <f>+'QTR Raw'!AN81</f>
        <v>0</v>
      </c>
      <c r="BU175" s="23">
        <f>+BU211*BU32/90</f>
        <v>0</v>
      </c>
      <c r="BV175" s="23">
        <f>+'QTR Raw'!AP81</f>
        <v>0</v>
      </c>
      <c r="BW175" s="23">
        <f>+BW211*BW32/90</f>
        <v>0</v>
      </c>
      <c r="BX175" s="23">
        <f>+'QTR Raw'!AR81</f>
        <v>0</v>
      </c>
      <c r="BY175" s="23">
        <f>+BY211*BY32/90</f>
        <v>0</v>
      </c>
      <c r="BZ175" s="23">
        <f>+'QTR Raw'!AT81</f>
        <v>0</v>
      </c>
      <c r="CA175" s="23">
        <f>+CA211*CA32/90</f>
        <v>0</v>
      </c>
      <c r="CB175" s="23">
        <f>+'QTR Raw'!AV81</f>
        <v>0</v>
      </c>
      <c r="CC175" s="23">
        <f>+CC211*CC32/90</f>
        <v>0</v>
      </c>
      <c r="CD175" s="23">
        <f>+'QTR Raw'!AX81</f>
        <v>0</v>
      </c>
      <c r="CE175" s="23">
        <f>+CE211*CE32/90</f>
        <v>0</v>
      </c>
      <c r="CF175" s="23">
        <f>+'QTR Raw'!AZ81</f>
        <v>0</v>
      </c>
      <c r="CG175" s="23">
        <f>+CG211*CG32/90</f>
        <v>0</v>
      </c>
      <c r="CH175" s="23">
        <f t="shared" si="1422"/>
        <v>3154</v>
      </c>
      <c r="CI175" s="23">
        <f>+CI211*CI32/90</f>
        <v>2473.1750587529382</v>
      </c>
      <c r="CJ175" s="23">
        <f>+'QTR Raw'!BD81</f>
        <v>4199</v>
      </c>
      <c r="CK175" s="23">
        <f t="shared" ref="CK175:DB175" si="1445">+CK211*CK32/90</f>
        <v>5137.8666152659989</v>
      </c>
      <c r="CL175" s="23">
        <f>+'QTR Raw'!BF81</f>
        <v>3802</v>
      </c>
      <c r="CM175" s="24">
        <f t="shared" si="1445"/>
        <v>2714.7035893403468</v>
      </c>
      <c r="CN175" s="24">
        <f t="shared" si="1445"/>
        <v>3005.7065685162497</v>
      </c>
      <c r="CO175" s="24">
        <f t="shared" si="1445"/>
        <v>3643.240797736808</v>
      </c>
      <c r="CP175" s="24">
        <f t="shared" si="1445"/>
        <v>4220.7656238772743</v>
      </c>
      <c r="CQ175" s="24">
        <f t="shared" si="1445"/>
        <v>2974.696102253462</v>
      </c>
      <c r="CR175" s="24">
        <f t="shared" si="1445"/>
        <v>3285.9184959780496</v>
      </c>
      <c r="CS175" s="24">
        <f t="shared" si="1445"/>
        <v>3951.3127044467333</v>
      </c>
      <c r="CT175" s="24">
        <f t="shared" si="1445"/>
        <v>4515.5157260334645</v>
      </c>
      <c r="CU175" s="24">
        <f t="shared" si="1445"/>
        <v>3294.9313384156285</v>
      </c>
      <c r="CV175" s="24">
        <f t="shared" si="1445"/>
        <v>3655.1959565421753</v>
      </c>
      <c r="CW175" s="24">
        <f t="shared" si="1445"/>
        <v>4412.8471256938628</v>
      </c>
      <c r="CX175" s="24">
        <f t="shared" si="1445"/>
        <v>5068.7650905933042</v>
      </c>
      <c r="CY175" s="24">
        <f t="shared" si="1445"/>
        <v>3672.1126474677421</v>
      </c>
      <c r="CZ175" s="24">
        <f t="shared" si="1445"/>
        <v>4086.5266310648158</v>
      </c>
      <c r="DA175" s="24">
        <f t="shared" si="1445"/>
        <v>4938.1740506093493</v>
      </c>
      <c r="DB175" s="24">
        <f t="shared" si="1445"/>
        <v>5662.4382316022275</v>
      </c>
      <c r="DE175" s="123"/>
      <c r="DF175" s="23">
        <v>6050.9920245227249</v>
      </c>
    </row>
    <row r="176" spans="1:110" s="23" customFormat="1" outlineLevel="1" x14ac:dyDescent="0.2">
      <c r="A176" s="23" t="s">
        <v>62</v>
      </c>
      <c r="B176" s="23">
        <f>'Annual Raw'!C77</f>
        <v>0</v>
      </c>
      <c r="C176" s="23">
        <f>'Annual Raw'!D77</f>
        <v>0</v>
      </c>
      <c r="D176" s="23">
        <f>'Annual Raw'!E77</f>
        <v>0</v>
      </c>
      <c r="E176" s="23">
        <v>614.99</v>
      </c>
      <c r="F176" s="23">
        <v>811.31999999999994</v>
      </c>
      <c r="G176" s="23">
        <v>716.6</v>
      </c>
      <c r="H176" s="23">
        <v>782.18000000000006</v>
      </c>
      <c r="I176" s="23">
        <v>1130.73</v>
      </c>
      <c r="J176" s="23">
        <v>1205.52</v>
      </c>
      <c r="K176" s="23">
        <v>2391.92</v>
      </c>
      <c r="L176" s="23">
        <v>2602.88</v>
      </c>
      <c r="M176" s="23">
        <v>2708.32</v>
      </c>
      <c r="N176" s="23">
        <v>1818.0400000000002</v>
      </c>
      <c r="O176" s="23">
        <v>1216.7</v>
      </c>
      <c r="P176" s="23">
        <v>1114.48</v>
      </c>
      <c r="Q176" s="23">
        <v>2045.6799999999998</v>
      </c>
      <c r="R176" s="23">
        <v>2128</v>
      </c>
      <c r="S176" s="23">
        <v>3479.81</v>
      </c>
      <c r="T176" s="23">
        <v>3250.6400000000003</v>
      </c>
      <c r="U176" s="23">
        <v>1978.06</v>
      </c>
      <c r="V176" s="23">
        <v>2087.5099999999998</v>
      </c>
      <c r="W176" s="23">
        <v>2111.7799999999997</v>
      </c>
      <c r="X176" s="23">
        <v>2307.7200000000003</v>
      </c>
      <c r="Y176" s="23">
        <v>2765</v>
      </c>
      <c r="Z176" s="23">
        <v>2280</v>
      </c>
      <c r="AA176" s="23">
        <v>2280</v>
      </c>
      <c r="AB176" s="24">
        <f t="shared" si="1440"/>
        <v>2048.2147753954682</v>
      </c>
      <c r="AC176" s="24">
        <f t="shared" si="1441"/>
        <v>2191.2484257053502</v>
      </c>
      <c r="AD176" s="24">
        <f t="shared" si="1442"/>
        <v>2459.7242483284181</v>
      </c>
      <c r="AE176" s="24">
        <f t="shared" si="1443"/>
        <v>2747.8165537364835</v>
      </c>
      <c r="AJ176" s="23">
        <f>+'QTR Raw'!D82</f>
        <v>0</v>
      </c>
      <c r="AK176" s="23">
        <f>+AK212*AK32/90</f>
        <v>0</v>
      </c>
      <c r="AL176" s="23">
        <f>+'QTR Raw'!F82</f>
        <v>0</v>
      </c>
      <c r="AM176" s="23">
        <f>+AM212*AM32/90</f>
        <v>0</v>
      </c>
      <c r="AN176" s="23">
        <f>+'QTR Raw'!H82</f>
        <v>0</v>
      </c>
      <c r="AO176" s="23">
        <f>+AO212*AO32/90</f>
        <v>0</v>
      </c>
      <c r="AP176" s="23">
        <f>+'QTR Raw'!J82</f>
        <v>0</v>
      </c>
      <c r="AQ176" s="23">
        <f>+AQ212*AQ32/90</f>
        <v>0</v>
      </c>
      <c r="AR176" s="23">
        <f>+'QTR Raw'!L82</f>
        <v>0</v>
      </c>
      <c r="AS176" s="23">
        <f>+AS212*AS32/90</f>
        <v>0</v>
      </c>
      <c r="AT176" s="23">
        <f>+'QTR Raw'!N82</f>
        <v>0</v>
      </c>
      <c r="AU176" s="23">
        <f>+AU212*AU32/90</f>
        <v>0</v>
      </c>
      <c r="AV176" s="23">
        <f>+'QTR Raw'!P82</f>
        <v>0</v>
      </c>
      <c r="AW176" s="23">
        <f>+AW212*AW32/90</f>
        <v>0</v>
      </c>
      <c r="AX176" s="23">
        <f>+'QTR Raw'!R82</f>
        <v>0</v>
      </c>
      <c r="AY176" s="23">
        <f>+AY212*AY32/90</f>
        <v>0</v>
      </c>
      <c r="AZ176" s="23">
        <f>+'QTR Raw'!T82</f>
        <v>0</v>
      </c>
      <c r="BA176" s="23">
        <f>+BA212*BA32/90</f>
        <v>0</v>
      </c>
      <c r="BB176" s="23">
        <f>+'QTR Raw'!V82</f>
        <v>0</v>
      </c>
      <c r="BC176" s="23">
        <f>+BC212*BC32/90</f>
        <v>0</v>
      </c>
      <c r="BD176" s="23">
        <f>+'QTR Raw'!X82</f>
        <v>0</v>
      </c>
      <c r="BE176" s="23">
        <f>+BE212*BE32/90</f>
        <v>0</v>
      </c>
      <c r="BF176" s="23">
        <f>+'QTR Raw'!Z82</f>
        <v>0</v>
      </c>
      <c r="BG176" s="23">
        <f>+BG212*BG32/90</f>
        <v>0</v>
      </c>
      <c r="BH176" s="23">
        <f>+'QTR Raw'!AB82</f>
        <v>0</v>
      </c>
      <c r="BI176" s="23">
        <f>+BI212*BI32/90</f>
        <v>0</v>
      </c>
      <c r="BJ176" s="23">
        <f>+'QTR Raw'!AD82</f>
        <v>0</v>
      </c>
      <c r="BK176" s="23">
        <f>+BK212*BK32/90</f>
        <v>0</v>
      </c>
      <c r="BL176" s="23">
        <f>+'QTR Raw'!AF82</f>
        <v>0</v>
      </c>
      <c r="BM176" s="23">
        <f>+BM212*BM32/90</f>
        <v>0</v>
      </c>
      <c r="BN176" s="23">
        <f>+'QTR Raw'!AH82</f>
        <v>0</v>
      </c>
      <c r="BO176" s="23">
        <f>+BO212*BO32/90</f>
        <v>0</v>
      </c>
      <c r="BP176" s="23">
        <f>+'QTR Raw'!AJ82</f>
        <v>0</v>
      </c>
      <c r="BQ176" s="23">
        <f>+BQ212*BQ32/90</f>
        <v>0</v>
      </c>
      <c r="BR176" s="23">
        <f>+'QTR Raw'!AL82</f>
        <v>0</v>
      </c>
      <c r="BS176" s="23">
        <f>+BS212*BS32/90</f>
        <v>0</v>
      </c>
      <c r="BT176" s="23">
        <f>+'QTR Raw'!AN82</f>
        <v>0</v>
      </c>
      <c r="BU176" s="23">
        <f>+BU212*BU32/90</f>
        <v>0</v>
      </c>
      <c r="BV176" s="23">
        <f>+'QTR Raw'!AP82</f>
        <v>0</v>
      </c>
      <c r="BW176" s="23">
        <f>+BW212*BW32/90</f>
        <v>0</v>
      </c>
      <c r="BX176" s="23">
        <f>+'QTR Raw'!AR82</f>
        <v>0</v>
      </c>
      <c r="BY176" s="23">
        <f>+BY212*BY32/90</f>
        <v>0</v>
      </c>
      <c r="BZ176" s="23">
        <f>+'QTR Raw'!AT82</f>
        <v>0</v>
      </c>
      <c r="CA176" s="23">
        <f>+CA212*CA32/90</f>
        <v>0</v>
      </c>
      <c r="CB176" s="23">
        <f>+'QTR Raw'!AV82</f>
        <v>0</v>
      </c>
      <c r="CC176" s="23">
        <f>+CC212*CC32/90</f>
        <v>0</v>
      </c>
      <c r="CD176" s="23">
        <f>+'QTR Raw'!AX82</f>
        <v>0</v>
      </c>
      <c r="CE176" s="23">
        <f>+CE212*CE32/90</f>
        <v>0</v>
      </c>
      <c r="CF176" s="23">
        <f>+'QTR Raw'!AZ82</f>
        <v>0</v>
      </c>
      <c r="CG176" s="23">
        <f>+CG212*CG32/90</f>
        <v>0</v>
      </c>
      <c r="CH176" s="23">
        <f t="shared" si="1422"/>
        <v>2280</v>
      </c>
      <c r="CI176" s="23">
        <f>+CI212*CI32/90</f>
        <v>1787.8373918695934</v>
      </c>
      <c r="CJ176" s="23">
        <f>+'QTR Raw'!BD82</f>
        <v>2804</v>
      </c>
      <c r="CK176" s="23">
        <f t="shared" ref="CK176:DB176" si="1446">+CK212*CK32/90</f>
        <v>3430.9545104086355</v>
      </c>
      <c r="CL176" s="23">
        <f>+'QTR Raw'!BF82</f>
        <v>1845</v>
      </c>
      <c r="CM176" s="24">
        <f t="shared" si="1446"/>
        <v>1317.3666813079799</v>
      </c>
      <c r="CN176" s="24">
        <f t="shared" si="1446"/>
        <v>1458.5819618391583</v>
      </c>
      <c r="CO176" s="24">
        <f t="shared" si="1446"/>
        <v>1767.9587774393508</v>
      </c>
      <c r="CP176" s="24">
        <f t="shared" si="1446"/>
        <v>2048.2147753954682</v>
      </c>
      <c r="CQ176" s="24">
        <f t="shared" si="1446"/>
        <v>1443.5334846548233</v>
      </c>
      <c r="CR176" s="24">
        <f t="shared" si="1446"/>
        <v>1594.5606588846665</v>
      </c>
      <c r="CS176" s="24">
        <f t="shared" si="1446"/>
        <v>1917.4571119684965</v>
      </c>
      <c r="CT176" s="24">
        <f t="shared" si="1446"/>
        <v>2191.2484257053502</v>
      </c>
      <c r="CU176" s="24">
        <f t="shared" si="1446"/>
        <v>1598.9343291364639</v>
      </c>
      <c r="CV176" s="24">
        <f t="shared" si="1446"/>
        <v>1773.7602682325919</v>
      </c>
      <c r="CW176" s="24">
        <f t="shared" si="1446"/>
        <v>2141.4263405852648</v>
      </c>
      <c r="CX176" s="24">
        <f t="shared" si="1446"/>
        <v>2459.7242483284181</v>
      </c>
      <c r="CY176" s="24">
        <f t="shared" si="1446"/>
        <v>1781.969446233031</v>
      </c>
      <c r="CZ176" s="24">
        <f t="shared" si="1446"/>
        <v>1983.0724971895281</v>
      </c>
      <c r="DA176" s="24">
        <f t="shared" si="1446"/>
        <v>2396.3522155113756</v>
      </c>
      <c r="DB176" s="24">
        <f t="shared" si="1446"/>
        <v>2747.8165537364835</v>
      </c>
      <c r="DE176" s="123"/>
      <c r="DF176" s="23">
        <v>4040.7196086596141</v>
      </c>
    </row>
    <row r="177" spans="1:110" s="23" customFormat="1" outlineLevel="1" x14ac:dyDescent="0.2">
      <c r="A177" s="23" t="s">
        <v>63</v>
      </c>
      <c r="B177" s="23">
        <f>'Annual Raw'!C79</f>
        <v>0</v>
      </c>
      <c r="C177" s="23">
        <f>'Annual Raw'!D79</f>
        <v>0</v>
      </c>
      <c r="D177" s="23">
        <f>'Annual Raw'!E79</f>
        <v>0</v>
      </c>
      <c r="E177" s="23">
        <v>0.03</v>
      </c>
      <c r="F177" s="23">
        <v>6.12</v>
      </c>
      <c r="G177" s="23">
        <v>6.16</v>
      </c>
      <c r="H177" s="23">
        <v>5.9399999999999995</v>
      </c>
      <c r="I177" s="23">
        <v>0.86</v>
      </c>
      <c r="J177" s="23">
        <v>0.11000000000000001</v>
      </c>
      <c r="K177" s="23">
        <v>0.11000000000000001</v>
      </c>
      <c r="L177" s="23">
        <v>111.85</v>
      </c>
      <c r="M177" s="23">
        <v>213.83</v>
      </c>
      <c r="N177" s="23">
        <v>198.57999999999998</v>
      </c>
      <c r="O177" s="23">
        <v>232.91</v>
      </c>
      <c r="P177" s="23">
        <v>292.7</v>
      </c>
      <c r="Q177" s="23">
        <v>228.11999999999998</v>
      </c>
      <c r="R177" s="23">
        <v>4923.5200000000004</v>
      </c>
      <c r="S177" s="23">
        <v>5195.4600000000009</v>
      </c>
      <c r="T177" s="23">
        <v>5906.38</v>
      </c>
      <c r="U177" s="23">
        <v>6558.15</v>
      </c>
      <c r="V177" s="23">
        <v>6667.3</v>
      </c>
      <c r="W177" s="23">
        <v>5333.9</v>
      </c>
      <c r="X177" s="23">
        <v>6913.81</v>
      </c>
      <c r="Y177" s="23">
        <v>6576</v>
      </c>
      <c r="Z177" s="23">
        <v>4847</v>
      </c>
      <c r="AA177" s="23">
        <v>4847</v>
      </c>
      <c r="AB177" s="24">
        <f t="shared" si="1440"/>
        <v>7057.1822911593435</v>
      </c>
      <c r="AC177" s="24">
        <f t="shared" si="1441"/>
        <v>7550.0088033652628</v>
      </c>
      <c r="AD177" s="24">
        <f t="shared" si="1442"/>
        <v>8475.0498897689722</v>
      </c>
      <c r="AE177" s="24">
        <f t="shared" si="1443"/>
        <v>9467.6801258009891</v>
      </c>
      <c r="AJ177" s="23">
        <f>+'QTR Raw'!D84</f>
        <v>0</v>
      </c>
      <c r="AK177" s="23">
        <f t="shared" si="1444"/>
        <v>0</v>
      </c>
      <c r="AL177" s="23">
        <f>+'QTR Raw'!F84</f>
        <v>0</v>
      </c>
      <c r="AM177" s="23">
        <f t="shared" si="1444"/>
        <v>0</v>
      </c>
      <c r="AN177" s="23">
        <f>+'QTR Raw'!H84</f>
        <v>0</v>
      </c>
      <c r="AO177" s="23">
        <f t="shared" si="1444"/>
        <v>0</v>
      </c>
      <c r="AP177" s="23">
        <f>+'QTR Raw'!J84</f>
        <v>0</v>
      </c>
      <c r="AQ177" s="23">
        <f t="shared" si="1444"/>
        <v>0</v>
      </c>
      <c r="AR177" s="23">
        <f>+'QTR Raw'!L84</f>
        <v>0</v>
      </c>
      <c r="AS177" s="23">
        <f t="shared" si="1444"/>
        <v>0</v>
      </c>
      <c r="AT177" s="23">
        <f>+'QTR Raw'!N84</f>
        <v>0</v>
      </c>
      <c r="AU177" s="23">
        <f t="shared" si="1444"/>
        <v>0</v>
      </c>
      <c r="AV177" s="23">
        <f>+'QTR Raw'!P84</f>
        <v>0</v>
      </c>
      <c r="AW177" s="23">
        <f t="shared" si="1444"/>
        <v>0</v>
      </c>
      <c r="AX177" s="23">
        <f>+'QTR Raw'!R84</f>
        <v>0</v>
      </c>
      <c r="AY177" s="23">
        <f t="shared" si="1444"/>
        <v>0</v>
      </c>
      <c r="AZ177" s="23">
        <f>+'QTR Raw'!T84</f>
        <v>0</v>
      </c>
      <c r="BA177" s="23">
        <f t="shared" si="1444"/>
        <v>0</v>
      </c>
      <c r="BB177" s="23">
        <f>+'QTR Raw'!V84</f>
        <v>0</v>
      </c>
      <c r="BC177" s="23">
        <f t="shared" si="1444"/>
        <v>0</v>
      </c>
      <c r="BD177" s="23">
        <f>+'QTR Raw'!X84</f>
        <v>0</v>
      </c>
      <c r="BE177" s="23">
        <f t="shared" si="1444"/>
        <v>0</v>
      </c>
      <c r="BF177" s="23">
        <f>+'QTR Raw'!Z84</f>
        <v>0</v>
      </c>
      <c r="BG177" s="23">
        <f t="shared" si="1444"/>
        <v>0</v>
      </c>
      <c r="BH177" s="23">
        <f>+'QTR Raw'!AB84</f>
        <v>0</v>
      </c>
      <c r="BI177" s="23">
        <f t="shared" si="1444"/>
        <v>0</v>
      </c>
      <c r="BJ177" s="23">
        <f>+'QTR Raw'!AD84</f>
        <v>0</v>
      </c>
      <c r="BK177" s="23">
        <f t="shared" si="1444"/>
        <v>0</v>
      </c>
      <c r="BL177" s="23">
        <f>+'QTR Raw'!AF84</f>
        <v>0</v>
      </c>
      <c r="BM177" s="23">
        <f t="shared" si="1444"/>
        <v>0</v>
      </c>
      <c r="BN177" s="23">
        <f>+'QTR Raw'!AH84</f>
        <v>0</v>
      </c>
      <c r="BO177" s="23">
        <f t="shared" si="1444"/>
        <v>0</v>
      </c>
      <c r="BP177" s="23">
        <f>+'QTR Raw'!AJ84</f>
        <v>0</v>
      </c>
      <c r="BQ177" s="23">
        <f t="shared" si="1444"/>
        <v>0</v>
      </c>
      <c r="BR177" s="23">
        <f>+'QTR Raw'!AL84</f>
        <v>0</v>
      </c>
      <c r="BS177" s="23">
        <f t="shared" si="1444"/>
        <v>0</v>
      </c>
      <c r="BT177" s="23">
        <f>+'QTR Raw'!AN84</f>
        <v>0</v>
      </c>
      <c r="BU177" s="23">
        <f t="shared" si="1444"/>
        <v>0</v>
      </c>
      <c r="BV177" s="23">
        <f>+'QTR Raw'!AP84</f>
        <v>0</v>
      </c>
      <c r="BW177" s="23">
        <f t="shared" si="1444"/>
        <v>0</v>
      </c>
      <c r="BX177" s="23">
        <f>+'QTR Raw'!AR84</f>
        <v>0</v>
      </c>
      <c r="BY177" s="23">
        <f t="shared" si="1444"/>
        <v>0</v>
      </c>
      <c r="BZ177" s="23">
        <f>+'QTR Raw'!AT84</f>
        <v>0</v>
      </c>
      <c r="CA177" s="23">
        <f t="shared" si="1444"/>
        <v>0</v>
      </c>
      <c r="CB177" s="23">
        <f>+'QTR Raw'!AV84</f>
        <v>0</v>
      </c>
      <c r="CC177" s="23">
        <f t="shared" si="1444"/>
        <v>0</v>
      </c>
      <c r="CD177" s="23">
        <f>+'QTR Raw'!AX84</f>
        <v>0</v>
      </c>
      <c r="CE177" s="23">
        <f t="shared" si="1444"/>
        <v>0</v>
      </c>
      <c r="CF177" s="23">
        <f>+'QTR Raw'!AZ84</f>
        <v>0</v>
      </c>
      <c r="CG177" s="23">
        <f t="shared" ref="CG177:CG179" si="1447">+CF177</f>
        <v>0</v>
      </c>
      <c r="CH177" s="23">
        <f t="shared" si="1422"/>
        <v>4847</v>
      </c>
      <c r="CI177" s="23">
        <f>CI32/90*CI213</f>
        <v>6400.14420721036</v>
      </c>
      <c r="CJ177" s="23">
        <f>+'QTR Raw'!BD84</f>
        <v>2389</v>
      </c>
      <c r="CK177" s="23">
        <f t="shared" ref="CK177:DB177" si="1448">CK32/90*CK213</f>
        <v>10205.988434849653</v>
      </c>
      <c r="CL177" s="23">
        <f>+'QTR Raw'!BF84</f>
        <v>1331</v>
      </c>
      <c r="CM177" s="24">
        <f t="shared" si="1448"/>
        <v>4539.0243864904214</v>
      </c>
      <c r="CN177" s="24">
        <f t="shared" si="1448"/>
        <v>5025.5856538815879</v>
      </c>
      <c r="CO177" s="24">
        <f t="shared" si="1448"/>
        <v>6091.5522754373724</v>
      </c>
      <c r="CP177" s="24">
        <f t="shared" si="1448"/>
        <v>7057.1822911593435</v>
      </c>
      <c r="CQ177" s="24">
        <f t="shared" si="1448"/>
        <v>4973.73569753426</v>
      </c>
      <c r="CR177" s="24">
        <f t="shared" si="1448"/>
        <v>5494.1041238644029</v>
      </c>
      <c r="CS177" s="24">
        <f t="shared" si="1448"/>
        <v>6606.653041075193</v>
      </c>
      <c r="CT177" s="24">
        <f t="shared" si="1448"/>
        <v>7550.0088033652628</v>
      </c>
      <c r="CU177" s="24">
        <f t="shared" si="1448"/>
        <v>5509.1737291710024</v>
      </c>
      <c r="CV177" s="24">
        <f t="shared" si="1448"/>
        <v>6111.541477048555</v>
      </c>
      <c r="CW177" s="24">
        <f t="shared" si="1448"/>
        <v>7378.3453913823996</v>
      </c>
      <c r="CX177" s="24">
        <f t="shared" si="1448"/>
        <v>8475.0498897689722</v>
      </c>
      <c r="CY177" s="24">
        <f t="shared" si="1448"/>
        <v>6139.8264334435653</v>
      </c>
      <c r="CZ177" s="24">
        <f t="shared" si="1448"/>
        <v>6832.7327179587146</v>
      </c>
      <c r="DA177" s="24">
        <f t="shared" si="1448"/>
        <v>8256.6997474286254</v>
      </c>
      <c r="DB177" s="24">
        <f t="shared" si="1448"/>
        <v>9467.6801258009891</v>
      </c>
      <c r="DE177" s="123"/>
      <c r="DF177" s="23">
        <v>12019.843885816634</v>
      </c>
    </row>
    <row r="178" spans="1:110" s="23" customFormat="1" outlineLevel="1" x14ac:dyDescent="0.2">
      <c r="A178" s="23" t="s">
        <v>530</v>
      </c>
      <c r="E178" s="23">
        <v>22.19</v>
      </c>
      <c r="F178" s="23">
        <v>18.16</v>
      </c>
      <c r="G178" s="23">
        <v>14.12</v>
      </c>
      <c r="H178" s="23">
        <v>10.09</v>
      </c>
      <c r="I178" s="23">
        <v>6.05</v>
      </c>
      <c r="J178" s="23">
        <v>2.02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23">
        <v>0</v>
      </c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outlineLevel="1" x14ac:dyDescent="0.2">
      <c r="A179" s="23" t="s">
        <v>64</v>
      </c>
      <c r="B179" s="23">
        <f>'Annual Raw'!C80</f>
        <v>0</v>
      </c>
      <c r="C179" s="23">
        <f>'Annual Raw'!D80</f>
        <v>0</v>
      </c>
      <c r="D179" s="23">
        <f>'Annual Raw'!E80</f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24">
        <f t="shared" si="1440"/>
        <v>0</v>
      </c>
      <c r="AC179" s="24">
        <f t="shared" si="1441"/>
        <v>0</v>
      </c>
      <c r="AD179" s="24">
        <f t="shared" si="1442"/>
        <v>0</v>
      </c>
      <c r="AE179" s="24">
        <f t="shared" si="1443"/>
        <v>0</v>
      </c>
      <c r="AJ179" s="23">
        <f>+'QTR Raw'!D85</f>
        <v>0</v>
      </c>
      <c r="AK179" s="23">
        <f t="shared" si="1444"/>
        <v>0</v>
      </c>
      <c r="AL179" s="23">
        <f>+'QTR Raw'!F85</f>
        <v>0</v>
      </c>
      <c r="AM179" s="23">
        <f t="shared" si="1444"/>
        <v>0</v>
      </c>
      <c r="AN179" s="23">
        <f>+'QTR Raw'!H85</f>
        <v>0</v>
      </c>
      <c r="AO179" s="23">
        <f t="shared" si="1444"/>
        <v>0</v>
      </c>
      <c r="AP179" s="23">
        <f>+'QTR Raw'!J85</f>
        <v>0</v>
      </c>
      <c r="AQ179" s="23">
        <f t="shared" si="1444"/>
        <v>0</v>
      </c>
      <c r="AR179" s="23">
        <f>+'QTR Raw'!L85</f>
        <v>0</v>
      </c>
      <c r="AS179" s="23">
        <f t="shared" si="1444"/>
        <v>0</v>
      </c>
      <c r="AT179" s="23">
        <f>+'QTR Raw'!N85</f>
        <v>0</v>
      </c>
      <c r="AU179" s="23">
        <f t="shared" si="1444"/>
        <v>0</v>
      </c>
      <c r="AV179" s="23">
        <f>+'QTR Raw'!P85</f>
        <v>0</v>
      </c>
      <c r="AW179" s="23">
        <f t="shared" si="1444"/>
        <v>0</v>
      </c>
      <c r="AX179" s="23">
        <f>+'QTR Raw'!R85</f>
        <v>0</v>
      </c>
      <c r="AY179" s="23">
        <f t="shared" si="1444"/>
        <v>0</v>
      </c>
      <c r="AZ179" s="23">
        <f>+'QTR Raw'!T85</f>
        <v>0</v>
      </c>
      <c r="BA179" s="23">
        <f t="shared" si="1444"/>
        <v>0</v>
      </c>
      <c r="BB179" s="23">
        <f>+'QTR Raw'!V85</f>
        <v>0</v>
      </c>
      <c r="BC179" s="23">
        <f t="shared" si="1444"/>
        <v>0</v>
      </c>
      <c r="BD179" s="23">
        <f>+'QTR Raw'!X85</f>
        <v>0</v>
      </c>
      <c r="BE179" s="23">
        <f t="shared" si="1444"/>
        <v>0</v>
      </c>
      <c r="BF179" s="23">
        <f>+'QTR Raw'!Z85</f>
        <v>0</v>
      </c>
      <c r="BG179" s="23">
        <f t="shared" si="1444"/>
        <v>0</v>
      </c>
      <c r="BH179" s="23">
        <f>+'QTR Raw'!AB85</f>
        <v>0</v>
      </c>
      <c r="BI179" s="23">
        <f t="shared" si="1444"/>
        <v>0</v>
      </c>
      <c r="BJ179" s="23">
        <f>+'QTR Raw'!AD85</f>
        <v>0</v>
      </c>
      <c r="BK179" s="23">
        <f t="shared" si="1444"/>
        <v>0</v>
      </c>
      <c r="BL179" s="23">
        <f>+'QTR Raw'!AF85</f>
        <v>0</v>
      </c>
      <c r="BM179" s="23">
        <f t="shared" si="1444"/>
        <v>0</v>
      </c>
      <c r="BN179" s="23">
        <f>+'QTR Raw'!AH85</f>
        <v>0</v>
      </c>
      <c r="BO179" s="23">
        <f t="shared" si="1444"/>
        <v>0</v>
      </c>
      <c r="BP179" s="23">
        <f>+'QTR Raw'!AJ85</f>
        <v>0</v>
      </c>
      <c r="BQ179" s="23">
        <f t="shared" si="1444"/>
        <v>0</v>
      </c>
      <c r="BR179" s="23">
        <f>+'QTR Raw'!AL85</f>
        <v>0</v>
      </c>
      <c r="BS179" s="23">
        <f t="shared" si="1444"/>
        <v>0</v>
      </c>
      <c r="BT179" s="23">
        <f>+'QTR Raw'!AN85</f>
        <v>0</v>
      </c>
      <c r="BU179" s="23">
        <f t="shared" si="1444"/>
        <v>0</v>
      </c>
      <c r="BV179" s="23">
        <f>+'QTR Raw'!AP85</f>
        <v>0</v>
      </c>
      <c r="BW179" s="23">
        <f t="shared" si="1444"/>
        <v>0</v>
      </c>
      <c r="BX179" s="23">
        <f>+'QTR Raw'!AR85</f>
        <v>0</v>
      </c>
      <c r="BY179" s="23">
        <f t="shared" si="1444"/>
        <v>0</v>
      </c>
      <c r="BZ179" s="23">
        <f>+'QTR Raw'!AT85</f>
        <v>0</v>
      </c>
      <c r="CA179" s="23">
        <f t="shared" si="1444"/>
        <v>0</v>
      </c>
      <c r="CB179" s="23">
        <f>+'QTR Raw'!AV85</f>
        <v>0</v>
      </c>
      <c r="CC179" s="23">
        <f t="shared" si="1444"/>
        <v>0</v>
      </c>
      <c r="CD179" s="23">
        <f>+'QTR Raw'!AX85</f>
        <v>0</v>
      </c>
      <c r="CE179" s="23">
        <f t="shared" si="1444"/>
        <v>0</v>
      </c>
      <c r="CF179" s="23">
        <f>+'QTR Raw'!AZ85</f>
        <v>0</v>
      </c>
      <c r="CG179" s="23">
        <f t="shared" si="1447"/>
        <v>0</v>
      </c>
      <c r="CH179" s="23">
        <f t="shared" si="1422"/>
        <v>0</v>
      </c>
      <c r="CJ179" s="23">
        <f>+'QTR Raw'!BD85</f>
        <v>3591</v>
      </c>
      <c r="CL179" s="23">
        <f>+'QTR Raw'!BF85</f>
        <v>2807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2807</v>
      </c>
    </row>
    <row r="180" spans="1:110" s="22" customFormat="1" x14ac:dyDescent="0.2">
      <c r="A180" s="22" t="s">
        <v>65</v>
      </c>
      <c r="B180" s="22">
        <f>SUM(B173:B179)</f>
        <v>0</v>
      </c>
      <c r="C180" s="22">
        <f t="shared" ref="C180:V180" si="1449">SUM(C173:C179)</f>
        <v>0</v>
      </c>
      <c r="D180" s="22">
        <f t="shared" si="1449"/>
        <v>0</v>
      </c>
      <c r="E180" s="22">
        <f t="shared" si="1449"/>
        <v>2947.4000000000005</v>
      </c>
      <c r="F180" s="22">
        <f t="shared" si="1449"/>
        <v>5159.3099999999995</v>
      </c>
      <c r="G180" s="22">
        <f t="shared" si="1449"/>
        <v>8382.5000000000018</v>
      </c>
      <c r="H180" s="22">
        <f t="shared" si="1449"/>
        <v>9325.15</v>
      </c>
      <c r="I180" s="22">
        <f t="shared" si="1449"/>
        <v>7968.99</v>
      </c>
      <c r="J180" s="22">
        <f t="shared" si="1449"/>
        <v>8400.4500000000007</v>
      </c>
      <c r="K180" s="22">
        <f t="shared" si="1449"/>
        <v>9753.3500000000022</v>
      </c>
      <c r="L180" s="22">
        <f>SUM(L173:L179)</f>
        <v>11886.380000000003</v>
      </c>
      <c r="M180" s="22">
        <f>SUM(M173:M179)</f>
        <v>12870.230000000001</v>
      </c>
      <c r="N180" s="22">
        <f t="shared" si="1449"/>
        <v>11578.980000000001</v>
      </c>
      <c r="O180" s="22">
        <f t="shared" si="1449"/>
        <v>9454.2100000000009</v>
      </c>
      <c r="P180" s="22">
        <f t="shared" si="1449"/>
        <v>10187.23</v>
      </c>
      <c r="Q180" s="22">
        <f t="shared" si="1449"/>
        <v>12162.020000000002</v>
      </c>
      <c r="R180" s="22">
        <f t="shared" si="1449"/>
        <v>13211.95</v>
      </c>
      <c r="S180" s="22">
        <f t="shared" si="1449"/>
        <v>14629.630000000001</v>
      </c>
      <c r="T180" s="22">
        <f t="shared" si="1449"/>
        <v>14162.23</v>
      </c>
      <c r="U180" s="22">
        <f t="shared" si="1449"/>
        <v>12738.73</v>
      </c>
      <c r="V180" s="22">
        <f t="shared" si="1449"/>
        <v>13617.990000000002</v>
      </c>
      <c r="W180" s="22">
        <f t="shared" ref="W180" si="1450">SUM(W173:W179)</f>
        <v>11351.97</v>
      </c>
      <c r="X180" s="22">
        <f t="shared" ref="X180:Y180" si="1451">SUM(X173:X179)</f>
        <v>12404.27</v>
      </c>
      <c r="Y180" s="22">
        <f t="shared" si="1451"/>
        <v>13045</v>
      </c>
      <c r="Z180" s="22">
        <f t="shared" ref="Z180:AA180" si="1452">SUM(Z173:Z179)</f>
        <v>13596</v>
      </c>
      <c r="AA180" s="22">
        <f t="shared" si="1452"/>
        <v>13596</v>
      </c>
      <c r="AB180" s="21">
        <f t="shared" ref="AA180:AD180" si="1453">SUM(AB173:AB179)</f>
        <v>13326.162690432087</v>
      </c>
      <c r="AC180" s="21">
        <f t="shared" si="1453"/>
        <v>14256.772955104077</v>
      </c>
      <c r="AD180" s="21">
        <f t="shared" si="1453"/>
        <v>16003.539228690694</v>
      </c>
      <c r="AE180" s="21">
        <f t="shared" ref="AE180" si="1454">SUM(AE173:AE179)</f>
        <v>17877.934911139702</v>
      </c>
      <c r="AJ180" s="22">
        <f>SUM(AJ173:AJ179)</f>
        <v>0</v>
      </c>
      <c r="AK180" s="22">
        <f t="shared" ref="AK180" si="1455">SUM(AK173:AK179)</f>
        <v>0</v>
      </c>
      <c r="AL180" s="22">
        <f t="shared" ref="AL180:AM180" si="1456">SUM(AL173:AL179)</f>
        <v>0</v>
      </c>
      <c r="AM180" s="22">
        <f t="shared" si="1456"/>
        <v>0</v>
      </c>
      <c r="AN180" s="22">
        <f t="shared" ref="AN180:AO180" si="1457">SUM(AN173:AN179)</f>
        <v>0</v>
      </c>
      <c r="AO180" s="22">
        <f t="shared" si="1457"/>
        <v>0</v>
      </c>
      <c r="AP180" s="22">
        <f t="shared" ref="AP180:CE180" si="1458">SUM(AP173:AP179)</f>
        <v>0</v>
      </c>
      <c r="AQ180" s="22">
        <f t="shared" si="1458"/>
        <v>0</v>
      </c>
      <c r="AR180" s="22">
        <f t="shared" si="1458"/>
        <v>0</v>
      </c>
      <c r="AS180" s="22">
        <f t="shared" si="1458"/>
        <v>0</v>
      </c>
      <c r="AT180" s="22">
        <f t="shared" si="1458"/>
        <v>0</v>
      </c>
      <c r="AU180" s="22">
        <f t="shared" si="1458"/>
        <v>0</v>
      </c>
      <c r="AV180" s="22">
        <f t="shared" si="1458"/>
        <v>0</v>
      </c>
      <c r="AW180" s="22">
        <f t="shared" si="1458"/>
        <v>0</v>
      </c>
      <c r="AX180" s="22">
        <f t="shared" si="1458"/>
        <v>0</v>
      </c>
      <c r="AY180" s="22">
        <f t="shared" si="1458"/>
        <v>0</v>
      </c>
      <c r="AZ180" s="22">
        <f t="shared" si="1458"/>
        <v>0</v>
      </c>
      <c r="BA180" s="22">
        <f t="shared" si="1458"/>
        <v>0</v>
      </c>
      <c r="BB180" s="22">
        <f t="shared" si="1458"/>
        <v>0</v>
      </c>
      <c r="BC180" s="22">
        <f t="shared" si="1458"/>
        <v>0</v>
      </c>
      <c r="BD180" s="22">
        <f t="shared" si="1458"/>
        <v>0</v>
      </c>
      <c r="BE180" s="22">
        <f t="shared" si="1458"/>
        <v>0</v>
      </c>
      <c r="BF180" s="22">
        <f t="shared" si="1458"/>
        <v>0</v>
      </c>
      <c r="BG180" s="22">
        <f t="shared" si="1458"/>
        <v>0</v>
      </c>
      <c r="BH180" s="22">
        <f t="shared" si="1458"/>
        <v>0</v>
      </c>
      <c r="BI180" s="22">
        <f t="shared" si="1458"/>
        <v>0</v>
      </c>
      <c r="BJ180" s="22">
        <f t="shared" si="1458"/>
        <v>0</v>
      </c>
      <c r="BK180" s="22">
        <f t="shared" si="1458"/>
        <v>0</v>
      </c>
      <c r="BL180" s="22">
        <f t="shared" si="1458"/>
        <v>0</v>
      </c>
      <c r="BM180" s="22">
        <f t="shared" si="1458"/>
        <v>0</v>
      </c>
      <c r="BN180" s="22">
        <f t="shared" si="1458"/>
        <v>0</v>
      </c>
      <c r="BO180" s="22">
        <f t="shared" si="1458"/>
        <v>0</v>
      </c>
      <c r="BP180" s="22">
        <f t="shared" si="1458"/>
        <v>0</v>
      </c>
      <c r="BQ180" s="22">
        <f t="shared" si="1458"/>
        <v>0</v>
      </c>
      <c r="BR180" s="22">
        <f t="shared" si="1458"/>
        <v>0</v>
      </c>
      <c r="BS180" s="22">
        <f t="shared" si="1458"/>
        <v>0</v>
      </c>
      <c r="BT180" s="22">
        <f t="shared" si="1458"/>
        <v>0</v>
      </c>
      <c r="BU180" s="22">
        <f t="shared" si="1458"/>
        <v>0</v>
      </c>
      <c r="BV180" s="22">
        <f t="shared" si="1458"/>
        <v>0</v>
      </c>
      <c r="BW180" s="22">
        <f t="shared" si="1458"/>
        <v>0</v>
      </c>
      <c r="BX180" s="22">
        <f t="shared" si="1458"/>
        <v>0</v>
      </c>
      <c r="BY180" s="22">
        <f t="shared" si="1458"/>
        <v>0</v>
      </c>
      <c r="BZ180" s="22">
        <f t="shared" si="1458"/>
        <v>0</v>
      </c>
      <c r="CA180" s="22">
        <f t="shared" si="1458"/>
        <v>0</v>
      </c>
      <c r="CB180" s="22">
        <f t="shared" si="1458"/>
        <v>0</v>
      </c>
      <c r="CC180" s="22">
        <f t="shared" si="1458"/>
        <v>0</v>
      </c>
      <c r="CD180" s="22">
        <f t="shared" si="1458"/>
        <v>0</v>
      </c>
      <c r="CE180" s="22">
        <f t="shared" si="1458"/>
        <v>0</v>
      </c>
      <c r="CF180" s="22">
        <f t="shared" ref="CF180:CG180" si="1459">SUM(CF173:CF179)</f>
        <v>0</v>
      </c>
      <c r="CG180" s="22">
        <f t="shared" si="1459"/>
        <v>0</v>
      </c>
      <c r="CH180" s="22">
        <f t="shared" ref="CH180:CI180" si="1460">SUM(CH173:CH179)</f>
        <v>13596</v>
      </c>
      <c r="CI180" s="22">
        <f t="shared" si="1460"/>
        <v>10661.156657832891</v>
      </c>
      <c r="CJ180" s="22">
        <f t="shared" ref="CJ180:DB180" si="1461">SUM(CJ173:CJ179)</f>
        <v>15344</v>
      </c>
      <c r="CK180" s="22">
        <f t="shared" si="1461"/>
        <v>18774.809560524285</v>
      </c>
      <c r="CL180" s="22">
        <f t="shared" ref="CL180" si="1462">SUM(CL173:CL179)</f>
        <v>12004</v>
      </c>
      <c r="CM180" s="21">
        <f t="shared" si="1461"/>
        <v>8571.0946571387485</v>
      </c>
      <c r="CN180" s="21">
        <f t="shared" si="1461"/>
        <v>9489.8741842369964</v>
      </c>
      <c r="CO180" s="21">
        <f t="shared" si="1461"/>
        <v>11502.751850613531</v>
      </c>
      <c r="CP180" s="21">
        <f t="shared" si="1461"/>
        <v>13326.162690432087</v>
      </c>
      <c r="CQ180" s="21">
        <f t="shared" si="1461"/>
        <v>9391.9652844425455</v>
      </c>
      <c r="CR180" s="21">
        <f t="shared" si="1461"/>
        <v>10374.583278727119</v>
      </c>
      <c r="CS180" s="21">
        <f t="shared" si="1461"/>
        <v>12475.422857490423</v>
      </c>
      <c r="CT180" s="21">
        <f t="shared" si="1461"/>
        <v>14256.772955104077</v>
      </c>
      <c r="CU180" s="21">
        <f t="shared" si="1461"/>
        <v>10403.039396723096</v>
      </c>
      <c r="CV180" s="21">
        <f t="shared" si="1461"/>
        <v>11540.497701823322</v>
      </c>
      <c r="CW180" s="21">
        <f t="shared" si="1461"/>
        <v>13932.618857661528</v>
      </c>
      <c r="CX180" s="21">
        <f t="shared" si="1461"/>
        <v>16003.539228690694</v>
      </c>
      <c r="CY180" s="21">
        <f t="shared" si="1461"/>
        <v>11593.908527144338</v>
      </c>
      <c r="CZ180" s="21">
        <f t="shared" si="1461"/>
        <v>12902.331846213059</v>
      </c>
      <c r="DA180" s="21">
        <f t="shared" si="1461"/>
        <v>15591.226013549351</v>
      </c>
      <c r="DB180" s="21">
        <f t="shared" si="1461"/>
        <v>17877.934911139702</v>
      </c>
      <c r="DE180" s="127"/>
      <c r="DF180" s="22">
        <v>22111.555518998972</v>
      </c>
    </row>
    <row r="181" spans="1:110" s="23" customFormat="1" outlineLevel="1" x14ac:dyDescent="0.2">
      <c r="A181" s="23" t="s">
        <v>66</v>
      </c>
      <c r="B181" s="23">
        <f>'Annual Raw'!C50+'Annual Raw'!C58</f>
        <v>0</v>
      </c>
      <c r="C181" s="23">
        <f>'Annual Raw'!D50+'Annual Raw'!D58</f>
        <v>0</v>
      </c>
      <c r="D181" s="23">
        <f>'Annual Raw'!E50+'Annual Raw'!E58</f>
        <v>0</v>
      </c>
      <c r="E181" s="23">
        <f>('Annual Raw'!F50+'Annual Raw'!F58)/10</f>
        <v>0</v>
      </c>
      <c r="F181" s="23">
        <f>('Annual Raw'!G50+'Annual Raw'!G58)/10</f>
        <v>0</v>
      </c>
      <c r="G181" s="23">
        <f>('Annual Raw'!H50+'Annual Raw'!H58)/10</f>
        <v>0</v>
      </c>
      <c r="H181" s="23">
        <f>('Annual Raw'!I50+'Annual Raw'!I58)/10</f>
        <v>0</v>
      </c>
      <c r="I181" s="23">
        <f>('Annual Raw'!J50+'Annual Raw'!J58)/10</f>
        <v>0</v>
      </c>
      <c r="J181" s="23">
        <f>('Annual Raw'!K50+'Annual Raw'!K58)/10</f>
        <v>0</v>
      </c>
      <c r="K181" s="23">
        <f>('Annual Raw'!L50+'Annual Raw'!L58)/10</f>
        <v>0</v>
      </c>
      <c r="L181" s="23">
        <f>('Annual Raw'!M50+'Annual Raw'!M58)/10</f>
        <v>0</v>
      </c>
      <c r="M181" s="23">
        <f>('Annual Raw'!N50+'Annual Raw'!N58)/10</f>
        <v>0</v>
      </c>
      <c r="N181" s="23">
        <f>('Annual Raw'!O50+'Annual Raw'!O58)/10</f>
        <v>0</v>
      </c>
      <c r="O181" s="23">
        <f>('Annual Raw'!P50+'Annual Raw'!P58)/10</f>
        <v>0</v>
      </c>
      <c r="P181" s="23">
        <f>('Annual Raw'!Q50+'Annual Raw'!Q58)/10</f>
        <v>0</v>
      </c>
      <c r="Q181" s="23">
        <f>('Annual Raw'!R50+'Annual Raw'!R58)/10</f>
        <v>0</v>
      </c>
      <c r="R181" s="23">
        <f>('Annual Raw'!S50+'Annual Raw'!S58)/10</f>
        <v>0</v>
      </c>
      <c r="S181" s="23">
        <f>('Annual Raw'!T50+'Annual Raw'!T58)/10</f>
        <v>0</v>
      </c>
      <c r="T181" s="23">
        <f>('Annual Raw'!U50+'Annual Raw'!U58)/10</f>
        <v>0</v>
      </c>
      <c r="U181" s="23">
        <f>('Annual Raw'!V50+'Annual Raw'!V58)/10</f>
        <v>0</v>
      </c>
      <c r="V181" s="23">
        <f>('Annual Raw'!W50+'Annual Raw'!W58)/10</f>
        <v>0</v>
      </c>
      <c r="W181" s="23">
        <f>('Annual Raw'!X50+'Annual Raw'!X58)/10</f>
        <v>0</v>
      </c>
      <c r="X181" s="23">
        <f>('Annual Raw'!Y50+'Annual Raw'!Y58)/10</f>
        <v>0</v>
      </c>
      <c r="Y181" s="23">
        <f>('Annual Raw'!Z50+'Annual Raw'!Z58)/10</f>
        <v>0</v>
      </c>
      <c r="Z181" s="23">
        <f>('Annual Raw'!AA50+'Annual Raw'!AA58)/10</f>
        <v>0</v>
      </c>
      <c r="AA181" s="23">
        <f>('Annual Raw'!AB50+'Annual Raw'!AB58)/10</f>
        <v>147.9</v>
      </c>
      <c r="AB181" s="24">
        <f t="shared" ref="AB181:AB187" si="1463">+CP181</f>
        <v>0</v>
      </c>
      <c r="AC181" s="24">
        <f t="shared" ref="AC181:AC187" si="1464">+CT181</f>
        <v>0</v>
      </c>
      <c r="AD181" s="24">
        <f t="shared" ref="AD181:AD187" si="1465">+CX181</f>
        <v>0</v>
      </c>
      <c r="AE181" s="24">
        <f t="shared" ref="AE181:AE187" si="1466">+DB181</f>
        <v>0</v>
      </c>
      <c r="AJ181" s="23">
        <f>+'QTR Raw'!D64</f>
        <v>0</v>
      </c>
      <c r="AK181" s="23">
        <f t="shared" ref="AK181:CE187" si="1467">+AJ181</f>
        <v>0</v>
      </c>
      <c r="AL181" s="23">
        <f>+'QTR Raw'!F64</f>
        <v>0</v>
      </c>
      <c r="AM181" s="23">
        <f t="shared" si="1467"/>
        <v>0</v>
      </c>
      <c r="AN181" s="23">
        <f>+'QTR Raw'!H64</f>
        <v>0</v>
      </c>
      <c r="AO181" s="23">
        <f t="shared" si="1467"/>
        <v>0</v>
      </c>
      <c r="AP181" s="23">
        <f>+'QTR Raw'!J64</f>
        <v>0</v>
      </c>
      <c r="AQ181" s="23">
        <f t="shared" si="1467"/>
        <v>0</v>
      </c>
      <c r="AR181" s="23">
        <f>+'QTR Raw'!L64</f>
        <v>0</v>
      </c>
      <c r="AS181" s="23">
        <f t="shared" si="1467"/>
        <v>0</v>
      </c>
      <c r="AT181" s="23">
        <f>+'QTR Raw'!N64</f>
        <v>0</v>
      </c>
      <c r="AU181" s="23">
        <f t="shared" si="1467"/>
        <v>0</v>
      </c>
      <c r="AV181" s="23">
        <f>+'QTR Raw'!P64</f>
        <v>0</v>
      </c>
      <c r="AW181" s="23">
        <f t="shared" si="1467"/>
        <v>0</v>
      </c>
      <c r="AX181" s="23">
        <f>+'QTR Raw'!R64</f>
        <v>0</v>
      </c>
      <c r="AY181" s="23">
        <f t="shared" si="1467"/>
        <v>0</v>
      </c>
      <c r="AZ181" s="23">
        <f>+'QTR Raw'!T64</f>
        <v>0</v>
      </c>
      <c r="BA181" s="23">
        <f t="shared" si="1467"/>
        <v>0</v>
      </c>
      <c r="BB181" s="23">
        <f>+'QTR Raw'!V64</f>
        <v>0</v>
      </c>
      <c r="BC181" s="23">
        <f t="shared" si="1467"/>
        <v>0</v>
      </c>
      <c r="BD181" s="23">
        <f>+'QTR Raw'!X64</f>
        <v>0</v>
      </c>
      <c r="BE181" s="23">
        <f t="shared" si="1467"/>
        <v>0</v>
      </c>
      <c r="BF181" s="23">
        <f>+'QTR Raw'!Z64</f>
        <v>0</v>
      </c>
      <c r="BG181" s="23">
        <f t="shared" si="1467"/>
        <v>0</v>
      </c>
      <c r="BH181" s="23">
        <f>+'QTR Raw'!AB64</f>
        <v>0</v>
      </c>
      <c r="BI181" s="23">
        <f t="shared" si="1467"/>
        <v>0</v>
      </c>
      <c r="BJ181" s="23">
        <f>+'QTR Raw'!AD64</f>
        <v>0</v>
      </c>
      <c r="BK181" s="23">
        <f t="shared" si="1467"/>
        <v>0</v>
      </c>
      <c r="BL181" s="23">
        <f>+'QTR Raw'!AF64</f>
        <v>0</v>
      </c>
      <c r="BM181" s="23">
        <f t="shared" si="1467"/>
        <v>0</v>
      </c>
      <c r="BN181" s="23">
        <f>+'QTR Raw'!AH64</f>
        <v>0</v>
      </c>
      <c r="BO181" s="23">
        <f t="shared" si="1467"/>
        <v>0</v>
      </c>
      <c r="BP181" s="23">
        <f>+'QTR Raw'!AJ64</f>
        <v>0</v>
      </c>
      <c r="BQ181" s="23">
        <f t="shared" si="1467"/>
        <v>0</v>
      </c>
      <c r="BR181" s="23">
        <f>+'QTR Raw'!AL64</f>
        <v>0</v>
      </c>
      <c r="BS181" s="23">
        <f t="shared" si="1467"/>
        <v>0</v>
      </c>
      <c r="BT181" s="23">
        <f>+'QTR Raw'!AN64</f>
        <v>0</v>
      </c>
      <c r="BU181" s="23">
        <f t="shared" si="1467"/>
        <v>0</v>
      </c>
      <c r="BV181" s="23">
        <f>+'QTR Raw'!AP64</f>
        <v>0</v>
      </c>
      <c r="BW181" s="23">
        <f t="shared" si="1467"/>
        <v>0</v>
      </c>
      <c r="BX181" s="23">
        <f>+'QTR Raw'!AR64</f>
        <v>0</v>
      </c>
      <c r="BY181" s="23">
        <f t="shared" si="1467"/>
        <v>0</v>
      </c>
      <c r="BZ181" s="23">
        <f>+'QTR Raw'!AT64</f>
        <v>0</v>
      </c>
      <c r="CA181" s="23">
        <f t="shared" si="1467"/>
        <v>0</v>
      </c>
      <c r="CB181" s="23">
        <f>+'QTR Raw'!AV64</f>
        <v>0</v>
      </c>
      <c r="CC181" s="23">
        <f t="shared" si="1467"/>
        <v>0</v>
      </c>
      <c r="CD181" s="23">
        <f>+'QTR Raw'!AX64</f>
        <v>0</v>
      </c>
      <c r="CE181" s="23">
        <f t="shared" si="1467"/>
        <v>0</v>
      </c>
      <c r="CF181" s="23">
        <f>+'QTR Raw'!AZ64</f>
        <v>0</v>
      </c>
      <c r="CG181" s="23">
        <f t="shared" ref="CG181:CG184" si="1468">+CF181</f>
        <v>0</v>
      </c>
      <c r="CH181" s="23">
        <f t="shared" si="1422"/>
        <v>0</v>
      </c>
      <c r="CJ181" s="23">
        <f>+'QTR Raw'!BD64</f>
        <v>1260</v>
      </c>
      <c r="CL181" s="23">
        <f>+'QTR Raw'!BF64</f>
        <v>1479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  <c r="DF181" s="23">
        <v>1479</v>
      </c>
    </row>
    <row r="182" spans="1:110" s="23" customFormat="1" outlineLevel="1" x14ac:dyDescent="0.2">
      <c r="A182" s="23" t="s">
        <v>67</v>
      </c>
      <c r="B182" s="23">
        <f>'Annual Raw'!C51</f>
        <v>0</v>
      </c>
      <c r="C182" s="23">
        <f>'Annual Raw'!D51</f>
        <v>0</v>
      </c>
      <c r="D182" s="23">
        <f>'Annual Raw'!E51</f>
        <v>0</v>
      </c>
      <c r="E182" s="23">
        <f>('Annual Raw'!F51)/10</f>
        <v>0</v>
      </c>
      <c r="F182" s="23">
        <f>('Annual Raw'!G51)/10</f>
        <v>0</v>
      </c>
      <c r="G182" s="23">
        <f>('Annual Raw'!H51)/10</f>
        <v>0</v>
      </c>
      <c r="H182" s="23">
        <f>('Annual Raw'!I51)/10</f>
        <v>0</v>
      </c>
      <c r="I182" s="23">
        <f>('Annual Raw'!J51)/10</f>
        <v>0</v>
      </c>
      <c r="J182" s="23">
        <f>('Annual Raw'!K51)/10</f>
        <v>0</v>
      </c>
      <c r="K182" s="23">
        <f>('Annual Raw'!L51)/10</f>
        <v>0</v>
      </c>
      <c r="L182" s="23">
        <f>('Annual Raw'!M51)/10</f>
        <v>0</v>
      </c>
      <c r="M182" s="23">
        <f>('Annual Raw'!N51)/10</f>
        <v>0</v>
      </c>
      <c r="N182" s="23">
        <f>('Annual Raw'!O51)/10</f>
        <v>0</v>
      </c>
      <c r="O182" s="23">
        <f>('Annual Raw'!P51)/10</f>
        <v>0</v>
      </c>
      <c r="P182" s="23">
        <f>('Annual Raw'!Q51)/10</f>
        <v>0</v>
      </c>
      <c r="Q182" s="23">
        <f>('Annual Raw'!R51)/10</f>
        <v>0</v>
      </c>
      <c r="R182" s="23">
        <f>('Annual Raw'!S51)/10</f>
        <v>0</v>
      </c>
      <c r="S182" s="23">
        <f>('Annual Raw'!T51)/10</f>
        <v>0</v>
      </c>
      <c r="T182" s="23">
        <f>('Annual Raw'!U51)/10</f>
        <v>0</v>
      </c>
      <c r="U182" s="23">
        <f>('Annual Raw'!V51)/10</f>
        <v>0</v>
      </c>
      <c r="V182" s="23">
        <f>('Annual Raw'!W51)/10</f>
        <v>0</v>
      </c>
      <c r="W182" s="23">
        <f>('Annual Raw'!X51)/10</f>
        <v>0</v>
      </c>
      <c r="X182" s="23">
        <f>('Annual Raw'!Y51)/10</f>
        <v>0</v>
      </c>
      <c r="Y182" s="23">
        <f>('Annual Raw'!Z51)/10</f>
        <v>0</v>
      </c>
      <c r="Z182" s="23">
        <f>('Annual Raw'!AA51)/10</f>
        <v>0</v>
      </c>
      <c r="AA182" s="23">
        <f>('Annual Raw'!AB51)/10</f>
        <v>0</v>
      </c>
      <c r="AB182" s="24">
        <f t="shared" si="1463"/>
        <v>0</v>
      </c>
      <c r="AC182" s="24">
        <f t="shared" si="1464"/>
        <v>0</v>
      </c>
      <c r="AD182" s="24">
        <f t="shared" si="1465"/>
        <v>0</v>
      </c>
      <c r="AE182" s="24">
        <f t="shared" si="1466"/>
        <v>0</v>
      </c>
      <c r="AJ182" s="23">
        <f>+'QTR Raw'!D65</f>
        <v>0</v>
      </c>
      <c r="AK182" s="23">
        <f t="shared" si="1467"/>
        <v>0</v>
      </c>
      <c r="AL182" s="23">
        <f>+'QTR Raw'!F65</f>
        <v>0</v>
      </c>
      <c r="AM182" s="23">
        <f t="shared" si="1467"/>
        <v>0</v>
      </c>
      <c r="AN182" s="23">
        <f>+'QTR Raw'!H65</f>
        <v>0</v>
      </c>
      <c r="AO182" s="23">
        <f t="shared" si="1467"/>
        <v>0</v>
      </c>
      <c r="AP182" s="23">
        <f>+'QTR Raw'!J65</f>
        <v>0</v>
      </c>
      <c r="AQ182" s="23">
        <f t="shared" si="1467"/>
        <v>0</v>
      </c>
      <c r="AR182" s="23">
        <f>+'QTR Raw'!L65</f>
        <v>0</v>
      </c>
      <c r="AS182" s="23">
        <f t="shared" si="1467"/>
        <v>0</v>
      </c>
      <c r="AT182" s="23">
        <f>+'QTR Raw'!N65</f>
        <v>0</v>
      </c>
      <c r="AU182" s="23">
        <f t="shared" si="1467"/>
        <v>0</v>
      </c>
      <c r="AV182" s="23">
        <f>+'QTR Raw'!P65</f>
        <v>0</v>
      </c>
      <c r="AW182" s="23">
        <f t="shared" si="1467"/>
        <v>0</v>
      </c>
      <c r="AX182" s="23">
        <f>+'QTR Raw'!R65</f>
        <v>0</v>
      </c>
      <c r="AY182" s="23">
        <f t="shared" si="1467"/>
        <v>0</v>
      </c>
      <c r="AZ182" s="23">
        <f>+'QTR Raw'!T65</f>
        <v>0</v>
      </c>
      <c r="BA182" s="23">
        <f t="shared" si="1467"/>
        <v>0</v>
      </c>
      <c r="BB182" s="23">
        <f>+'QTR Raw'!V65</f>
        <v>0</v>
      </c>
      <c r="BC182" s="23">
        <f t="shared" si="1467"/>
        <v>0</v>
      </c>
      <c r="BD182" s="23">
        <f>+'QTR Raw'!X65</f>
        <v>0</v>
      </c>
      <c r="BE182" s="23">
        <f t="shared" si="1467"/>
        <v>0</v>
      </c>
      <c r="BF182" s="23">
        <f>+'QTR Raw'!Z65</f>
        <v>0</v>
      </c>
      <c r="BG182" s="23">
        <f t="shared" si="1467"/>
        <v>0</v>
      </c>
      <c r="BH182" s="23">
        <f>+'QTR Raw'!AB65</f>
        <v>0</v>
      </c>
      <c r="BI182" s="23">
        <f t="shared" si="1467"/>
        <v>0</v>
      </c>
      <c r="BJ182" s="23">
        <f>+'QTR Raw'!AD65</f>
        <v>0</v>
      </c>
      <c r="BK182" s="23">
        <f t="shared" si="1467"/>
        <v>0</v>
      </c>
      <c r="BL182" s="23">
        <f>+'QTR Raw'!AF65</f>
        <v>0</v>
      </c>
      <c r="BM182" s="23">
        <f t="shared" si="1467"/>
        <v>0</v>
      </c>
      <c r="BN182" s="23">
        <f>+'QTR Raw'!AH65</f>
        <v>0</v>
      </c>
      <c r="BO182" s="23">
        <f t="shared" si="1467"/>
        <v>0</v>
      </c>
      <c r="BP182" s="23">
        <f>+'QTR Raw'!AJ65</f>
        <v>0</v>
      </c>
      <c r="BQ182" s="23">
        <f t="shared" si="1467"/>
        <v>0</v>
      </c>
      <c r="BR182" s="23">
        <f>+'QTR Raw'!AL65</f>
        <v>0</v>
      </c>
      <c r="BS182" s="23">
        <f t="shared" si="1467"/>
        <v>0</v>
      </c>
      <c r="BT182" s="23">
        <f>+'QTR Raw'!AN65</f>
        <v>0</v>
      </c>
      <c r="BU182" s="23">
        <f t="shared" si="1467"/>
        <v>0</v>
      </c>
      <c r="BV182" s="23">
        <f>+'QTR Raw'!AP65</f>
        <v>0</v>
      </c>
      <c r="BW182" s="23">
        <f t="shared" si="1467"/>
        <v>0</v>
      </c>
      <c r="BX182" s="23">
        <f>+'QTR Raw'!AR65</f>
        <v>0</v>
      </c>
      <c r="BY182" s="23">
        <f t="shared" si="1467"/>
        <v>0</v>
      </c>
      <c r="BZ182" s="23">
        <f>+'QTR Raw'!AT65</f>
        <v>0</v>
      </c>
      <c r="CA182" s="23">
        <f t="shared" si="1467"/>
        <v>0</v>
      </c>
      <c r="CB182" s="23">
        <f>+'QTR Raw'!AV65</f>
        <v>0</v>
      </c>
      <c r="CC182" s="23">
        <f t="shared" si="1467"/>
        <v>0</v>
      </c>
      <c r="CD182" s="23">
        <f>+'QTR Raw'!AX65</f>
        <v>0</v>
      </c>
      <c r="CE182" s="23">
        <f t="shared" si="1467"/>
        <v>0</v>
      </c>
      <c r="CF182" s="23">
        <f>+'QTR Raw'!AZ65</f>
        <v>0</v>
      </c>
      <c r="CG182" s="23">
        <f t="shared" si="1468"/>
        <v>0</v>
      </c>
      <c r="CH182" s="23">
        <f t="shared" si="1422"/>
        <v>0</v>
      </c>
      <c r="CJ182" s="23">
        <f>+'QTR Raw'!BD65</f>
        <v>0</v>
      </c>
      <c r="CL182" s="23">
        <f>+'QTR Raw'!BF65</f>
        <v>0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  <c r="DF182" s="23">
        <v>0</v>
      </c>
    </row>
    <row r="183" spans="1:110" s="23" customFormat="1" outlineLevel="1" x14ac:dyDescent="0.2">
      <c r="A183" s="23" t="s">
        <v>68</v>
      </c>
      <c r="B183" s="23">
        <f>'Annual Raw'!C52</f>
        <v>0</v>
      </c>
      <c r="C183" s="23">
        <f>'Annual Raw'!D52</f>
        <v>0</v>
      </c>
      <c r="D183" s="23">
        <f>'Annual Raw'!E52</f>
        <v>0</v>
      </c>
      <c r="E183" s="23">
        <v>270.27</v>
      </c>
      <c r="F183" s="23">
        <v>610.45000000000005</v>
      </c>
      <c r="G183" s="23">
        <v>647.26</v>
      </c>
      <c r="H183" s="23">
        <v>688</v>
      </c>
      <c r="I183" s="23">
        <v>1329.75</v>
      </c>
      <c r="J183" s="23">
        <v>1733.25</v>
      </c>
      <c r="K183" s="23">
        <v>1771.4900000000002</v>
      </c>
      <c r="L183" s="23">
        <v>1800.0700000000002</v>
      </c>
      <c r="M183" s="23">
        <v>2320.12</v>
      </c>
      <c r="N183" s="23">
        <v>1555.5699999999997</v>
      </c>
      <c r="O183" s="23">
        <v>2708.1099999999997</v>
      </c>
      <c r="P183" s="23">
        <v>2717.28</v>
      </c>
      <c r="Q183" s="23">
        <v>3434.7300000000005</v>
      </c>
      <c r="R183" s="23">
        <v>1453.03</v>
      </c>
      <c r="S183" s="23">
        <v>1894.17</v>
      </c>
      <c r="T183" s="23">
        <v>2430.2799999999997</v>
      </c>
      <c r="U183" s="23">
        <v>3176.4900000000002</v>
      </c>
      <c r="V183" s="23">
        <v>2415.48</v>
      </c>
      <c r="W183" s="23">
        <v>2082.17</v>
      </c>
      <c r="X183" s="23">
        <v>1997.64</v>
      </c>
      <c r="Y183" s="23">
        <v>3071</v>
      </c>
      <c r="Z183" s="23">
        <v>4357</v>
      </c>
      <c r="AA183" s="23">
        <v>4357</v>
      </c>
      <c r="AB183" s="24">
        <f t="shared" si="1463"/>
        <v>0</v>
      </c>
      <c r="AC183" s="24">
        <f t="shared" si="1464"/>
        <v>0</v>
      </c>
      <c r="AD183" s="24">
        <f t="shared" si="1465"/>
        <v>0</v>
      </c>
      <c r="AE183" s="24">
        <f t="shared" si="1466"/>
        <v>0</v>
      </c>
      <c r="AJ183" s="23">
        <f>+'QTR Raw'!D66</f>
        <v>0</v>
      </c>
      <c r="AK183" s="23">
        <f t="shared" si="1467"/>
        <v>0</v>
      </c>
      <c r="AL183" s="23">
        <f>+'QTR Raw'!F66</f>
        <v>0</v>
      </c>
      <c r="AM183" s="23">
        <f t="shared" si="1467"/>
        <v>0</v>
      </c>
      <c r="AN183" s="23">
        <f>+'QTR Raw'!H66</f>
        <v>0</v>
      </c>
      <c r="AO183" s="23">
        <f t="shared" si="1467"/>
        <v>0</v>
      </c>
      <c r="AP183" s="23">
        <f>+'QTR Raw'!J66</f>
        <v>0</v>
      </c>
      <c r="AQ183" s="23">
        <f t="shared" si="1467"/>
        <v>0</v>
      </c>
      <c r="AR183" s="23">
        <f>+'QTR Raw'!L66</f>
        <v>0</v>
      </c>
      <c r="AS183" s="23">
        <f t="shared" si="1467"/>
        <v>0</v>
      </c>
      <c r="AT183" s="23">
        <f>+'QTR Raw'!N66</f>
        <v>0</v>
      </c>
      <c r="AU183" s="23">
        <f t="shared" si="1467"/>
        <v>0</v>
      </c>
      <c r="AV183" s="23">
        <f>+'QTR Raw'!P66</f>
        <v>0</v>
      </c>
      <c r="AW183" s="23">
        <f t="shared" si="1467"/>
        <v>0</v>
      </c>
      <c r="AX183" s="23">
        <f>+'QTR Raw'!R66</f>
        <v>0</v>
      </c>
      <c r="AY183" s="23">
        <f t="shared" si="1467"/>
        <v>0</v>
      </c>
      <c r="AZ183" s="23">
        <f>+'QTR Raw'!T66</f>
        <v>0</v>
      </c>
      <c r="BA183" s="23">
        <f t="shared" si="1467"/>
        <v>0</v>
      </c>
      <c r="BB183" s="23">
        <f>+'QTR Raw'!V66</f>
        <v>0</v>
      </c>
      <c r="BC183" s="23">
        <f t="shared" si="1467"/>
        <v>0</v>
      </c>
      <c r="BD183" s="23">
        <f>+'QTR Raw'!X66</f>
        <v>0</v>
      </c>
      <c r="BE183" s="23">
        <f t="shared" si="1467"/>
        <v>0</v>
      </c>
      <c r="BF183" s="23">
        <f>+'QTR Raw'!Z66</f>
        <v>0</v>
      </c>
      <c r="BG183" s="23">
        <f t="shared" si="1467"/>
        <v>0</v>
      </c>
      <c r="BH183" s="23">
        <f>+'QTR Raw'!AB66</f>
        <v>0</v>
      </c>
      <c r="BI183" s="23">
        <f t="shared" si="1467"/>
        <v>0</v>
      </c>
      <c r="BJ183" s="23">
        <f>+'QTR Raw'!AD66</f>
        <v>0</v>
      </c>
      <c r="BK183" s="23">
        <f t="shared" si="1467"/>
        <v>0</v>
      </c>
      <c r="BL183" s="23">
        <f>+'QTR Raw'!AF66</f>
        <v>0</v>
      </c>
      <c r="BM183" s="23">
        <f t="shared" si="1467"/>
        <v>0</v>
      </c>
      <c r="BN183" s="23">
        <f>+'QTR Raw'!AH66</f>
        <v>0</v>
      </c>
      <c r="BO183" s="23">
        <f t="shared" si="1467"/>
        <v>0</v>
      </c>
      <c r="BP183" s="23">
        <f>+'QTR Raw'!AJ66</f>
        <v>0</v>
      </c>
      <c r="BQ183" s="23">
        <f t="shared" si="1467"/>
        <v>0</v>
      </c>
      <c r="BR183" s="23">
        <f>+'QTR Raw'!AL66</f>
        <v>0</v>
      </c>
      <c r="BS183" s="23">
        <f t="shared" si="1467"/>
        <v>0</v>
      </c>
      <c r="BT183" s="23">
        <f>+'QTR Raw'!AN66</f>
        <v>0</v>
      </c>
      <c r="BU183" s="23">
        <f t="shared" si="1467"/>
        <v>0</v>
      </c>
      <c r="BV183" s="23">
        <f>+'QTR Raw'!AP66</f>
        <v>0</v>
      </c>
      <c r="BW183" s="23">
        <f t="shared" si="1467"/>
        <v>0</v>
      </c>
      <c r="BX183" s="23">
        <f>+'QTR Raw'!AR66</f>
        <v>0</v>
      </c>
      <c r="BY183" s="23">
        <f t="shared" si="1467"/>
        <v>0</v>
      </c>
      <c r="BZ183" s="23">
        <f>+'QTR Raw'!AT66</f>
        <v>0</v>
      </c>
      <c r="CA183" s="23">
        <f t="shared" si="1467"/>
        <v>0</v>
      </c>
      <c r="CB183" s="23">
        <f>+'QTR Raw'!AV66</f>
        <v>0</v>
      </c>
      <c r="CC183" s="23">
        <f t="shared" si="1467"/>
        <v>0</v>
      </c>
      <c r="CD183" s="23">
        <f>+'QTR Raw'!AX66</f>
        <v>0</v>
      </c>
      <c r="CE183" s="23">
        <f t="shared" si="1467"/>
        <v>0</v>
      </c>
      <c r="CF183" s="23">
        <f>+'QTR Raw'!AZ66</f>
        <v>0</v>
      </c>
      <c r="CG183" s="23">
        <f t="shared" si="1468"/>
        <v>0</v>
      </c>
      <c r="CH183" s="23">
        <f t="shared" si="1422"/>
        <v>4357</v>
      </c>
      <c r="CJ183" s="23">
        <f>+'QTR Raw'!BD66</f>
        <v>2303</v>
      </c>
      <c r="CL183" s="23">
        <f>+'QTR Raw'!BF66</f>
        <v>2975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  <c r="DF183" s="23">
        <v>2975</v>
      </c>
    </row>
    <row r="184" spans="1:110" s="23" customFormat="1" outlineLevel="1" x14ac:dyDescent="0.2">
      <c r="A184" s="23" t="s">
        <v>69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24">
        <f t="shared" si="1463"/>
        <v>12994.229781031952</v>
      </c>
      <c r="AC184" s="24">
        <f t="shared" si="1464"/>
        <v>13901.660066602237</v>
      </c>
      <c r="AD184" s="24">
        <f t="shared" si="1465"/>
        <v>15604.917250235305</v>
      </c>
      <c r="AE184" s="24">
        <f t="shared" si="1466"/>
        <v>17432.624802973194</v>
      </c>
      <c r="AJ184" s="23">
        <f>+'QTR Raw'!D87</f>
        <v>0</v>
      </c>
      <c r="AK184" s="23">
        <f t="shared" si="1467"/>
        <v>0</v>
      </c>
      <c r="AL184" s="23">
        <f>+'QTR Raw'!F87</f>
        <v>0</v>
      </c>
      <c r="AM184" s="23">
        <f t="shared" si="1467"/>
        <v>0</v>
      </c>
      <c r="AN184" s="23">
        <f>+'QTR Raw'!H87</f>
        <v>0</v>
      </c>
      <c r="AO184" s="23">
        <f t="shared" si="1467"/>
        <v>0</v>
      </c>
      <c r="AP184" s="23">
        <f>+'QTR Raw'!J87</f>
        <v>0</v>
      </c>
      <c r="AQ184" s="23">
        <f t="shared" si="1467"/>
        <v>0</v>
      </c>
      <c r="AR184" s="23">
        <f>+'QTR Raw'!L87</f>
        <v>0</v>
      </c>
      <c r="AS184" s="23">
        <f t="shared" si="1467"/>
        <v>0</v>
      </c>
      <c r="AT184" s="23">
        <f>+'QTR Raw'!N87</f>
        <v>0</v>
      </c>
      <c r="AU184" s="23">
        <f t="shared" si="1467"/>
        <v>0</v>
      </c>
      <c r="AV184" s="23">
        <f>+'QTR Raw'!P87</f>
        <v>0</v>
      </c>
      <c r="AW184" s="23">
        <f t="shared" si="1467"/>
        <v>0</v>
      </c>
      <c r="AX184" s="23">
        <f>+'QTR Raw'!R87</f>
        <v>0</v>
      </c>
      <c r="AY184" s="23">
        <f t="shared" si="1467"/>
        <v>0</v>
      </c>
      <c r="AZ184" s="23">
        <f>+'QTR Raw'!T87</f>
        <v>0</v>
      </c>
      <c r="BA184" s="23">
        <f t="shared" si="1467"/>
        <v>0</v>
      </c>
      <c r="BB184" s="23">
        <f>+'QTR Raw'!V87</f>
        <v>0</v>
      </c>
      <c r="BC184" s="23">
        <f t="shared" si="1467"/>
        <v>0</v>
      </c>
      <c r="BD184" s="23">
        <f>+'QTR Raw'!X87</f>
        <v>0</v>
      </c>
      <c r="BE184" s="23">
        <f t="shared" si="1467"/>
        <v>0</v>
      </c>
      <c r="BF184" s="23">
        <f>+'QTR Raw'!Z87</f>
        <v>0</v>
      </c>
      <c r="BG184" s="23">
        <f t="shared" si="1467"/>
        <v>0</v>
      </c>
      <c r="BH184" s="23">
        <f>+'QTR Raw'!AB87</f>
        <v>0</v>
      </c>
      <c r="BI184" s="23">
        <f t="shared" si="1467"/>
        <v>0</v>
      </c>
      <c r="BJ184" s="23">
        <f>+'QTR Raw'!AD87</f>
        <v>0</v>
      </c>
      <c r="BK184" s="23">
        <f t="shared" si="1467"/>
        <v>0</v>
      </c>
      <c r="BL184" s="23">
        <f>+'QTR Raw'!AF87</f>
        <v>0</v>
      </c>
      <c r="BM184" s="23">
        <f t="shared" si="1467"/>
        <v>0</v>
      </c>
      <c r="BN184" s="23">
        <f>+'QTR Raw'!AH87</f>
        <v>0</v>
      </c>
      <c r="BO184" s="23">
        <f t="shared" si="1467"/>
        <v>0</v>
      </c>
      <c r="BP184" s="23">
        <f>+'QTR Raw'!AJ87</f>
        <v>0</v>
      </c>
      <c r="BQ184" s="23">
        <f t="shared" si="1467"/>
        <v>0</v>
      </c>
      <c r="BR184" s="23">
        <f>+'QTR Raw'!AL87</f>
        <v>0</v>
      </c>
      <c r="BS184" s="23">
        <f t="shared" si="1467"/>
        <v>0</v>
      </c>
      <c r="BT184" s="23">
        <f>+'QTR Raw'!AN87</f>
        <v>0</v>
      </c>
      <c r="BU184" s="23">
        <f t="shared" si="1467"/>
        <v>0</v>
      </c>
      <c r="BV184" s="23">
        <f>+'QTR Raw'!AP87</f>
        <v>0</v>
      </c>
      <c r="BW184" s="23">
        <f t="shared" si="1467"/>
        <v>0</v>
      </c>
      <c r="BX184" s="23">
        <f>+'QTR Raw'!AR87</f>
        <v>0</v>
      </c>
      <c r="BY184" s="23">
        <f t="shared" si="1467"/>
        <v>0</v>
      </c>
      <c r="BZ184" s="23">
        <f>+'QTR Raw'!AT87</f>
        <v>0</v>
      </c>
      <c r="CA184" s="23">
        <f t="shared" si="1467"/>
        <v>0</v>
      </c>
      <c r="CB184" s="23">
        <f>+'QTR Raw'!AV87</f>
        <v>0</v>
      </c>
      <c r="CC184" s="23">
        <f t="shared" si="1467"/>
        <v>0</v>
      </c>
      <c r="CD184" s="23">
        <f>+'QTR Raw'!AX87</f>
        <v>0</v>
      </c>
      <c r="CE184" s="23">
        <f t="shared" si="1467"/>
        <v>0</v>
      </c>
      <c r="CF184" s="23">
        <f>+'QTR Raw'!AZ87</f>
        <v>0</v>
      </c>
      <c r="CG184" s="23">
        <f t="shared" si="1468"/>
        <v>0</v>
      </c>
      <c r="CH184" s="23">
        <f t="shared" si="1422"/>
        <v>0</v>
      </c>
      <c r="CI184" s="23">
        <f>CI32/90*CI216</f>
        <v>7293.2787639381977</v>
      </c>
      <c r="CJ184" s="23">
        <f>+'QTR Raw'!BD87</f>
        <v>0</v>
      </c>
      <c r="CK184" s="23">
        <f t="shared" ref="CK184:DB184" si="1469">CK32/90*CK216</f>
        <v>10541.252891287584</v>
      </c>
      <c r="CL184" s="23">
        <f>+'QTR Raw'!BF87</f>
        <v>0</v>
      </c>
      <c r="CM184" s="24">
        <f t="shared" si="1469"/>
        <v>8357.6027125798955</v>
      </c>
      <c r="CN184" s="24">
        <f t="shared" si="1469"/>
        <v>9253.4969448928732</v>
      </c>
      <c r="CO184" s="24">
        <f t="shared" si="1469"/>
        <v>11216.23712191198</v>
      </c>
      <c r="CP184" s="24">
        <f t="shared" si="1469"/>
        <v>12994.229781031952</v>
      </c>
      <c r="CQ184" s="24">
        <f t="shared" si="1469"/>
        <v>9158.0267956014668</v>
      </c>
      <c r="CR184" s="24">
        <f t="shared" si="1469"/>
        <v>10116.169383330634</v>
      </c>
      <c r="CS184" s="24">
        <f t="shared" si="1469"/>
        <v>12164.680485415312</v>
      </c>
      <c r="CT184" s="24">
        <f t="shared" si="1469"/>
        <v>13901.660066602237</v>
      </c>
      <c r="CU184" s="24">
        <f t="shared" si="1469"/>
        <v>10143.916705984993</v>
      </c>
      <c r="CV184" s="24">
        <f t="shared" si="1469"/>
        <v>11253.042785724925</v>
      </c>
      <c r="CW184" s="24">
        <f t="shared" si="1469"/>
        <v>13585.580117371559</v>
      </c>
      <c r="CX184" s="24">
        <f t="shared" si="1469"/>
        <v>15604.917250235305</v>
      </c>
      <c r="CY184" s="24">
        <f t="shared" si="1469"/>
        <v>11305.123234773784</v>
      </c>
      <c r="CZ184" s="24">
        <f t="shared" si="1469"/>
        <v>12580.955869703754</v>
      </c>
      <c r="DA184" s="24">
        <f t="shared" si="1469"/>
        <v>15202.874082688701</v>
      </c>
      <c r="DB184" s="24">
        <f t="shared" si="1469"/>
        <v>17432.624802973194</v>
      </c>
      <c r="DE184" s="123"/>
      <c r="DF184" s="23">
        <v>12414.693091513042</v>
      </c>
    </row>
    <row r="185" spans="1:110" s="23" customFormat="1" outlineLevel="1" x14ac:dyDescent="0.2">
      <c r="A185" s="23" t="s">
        <v>70</v>
      </c>
      <c r="B185" s="23">
        <f>'Annual Raw'!C54</f>
        <v>0</v>
      </c>
      <c r="C185" s="23">
        <f>'Annual Raw'!D54</f>
        <v>0</v>
      </c>
      <c r="D185" s="23">
        <f>'Annual Raw'!E54</f>
        <v>0</v>
      </c>
      <c r="E185" s="23">
        <v>2277.04</v>
      </c>
      <c r="F185" s="23">
        <v>2269.73</v>
      </c>
      <c r="G185" s="23">
        <v>2664.9900000000002</v>
      </c>
      <c r="H185" s="23">
        <v>3709.71</v>
      </c>
      <c r="I185" s="23">
        <v>4629.6499999999996</v>
      </c>
      <c r="J185" s="23">
        <v>4511.8500000000004</v>
      </c>
      <c r="K185" s="23">
        <v>5396.6</v>
      </c>
      <c r="L185" s="23">
        <v>8817.27</v>
      </c>
      <c r="M185" s="23">
        <v>8744.83</v>
      </c>
      <c r="N185" s="23">
        <v>8455.02</v>
      </c>
      <c r="O185" s="23">
        <v>9672.36</v>
      </c>
      <c r="P185" s="23">
        <v>8852.65</v>
      </c>
      <c r="Q185" s="23">
        <v>9028.4500000000007</v>
      </c>
      <c r="R185" s="23">
        <v>11462.24</v>
      </c>
      <c r="S185" s="23">
        <v>14225.63</v>
      </c>
      <c r="T185" s="23">
        <v>13502.11</v>
      </c>
      <c r="U185" s="23">
        <v>8707.7899999999991</v>
      </c>
      <c r="V185" s="23">
        <v>8805.2199999999993</v>
      </c>
      <c r="W185" s="23">
        <v>13986.060000000001</v>
      </c>
      <c r="X185" s="23">
        <v>13001.99</v>
      </c>
      <c r="Y185" s="23">
        <v>13335</v>
      </c>
      <c r="Z185" s="23">
        <v>13267</v>
      </c>
      <c r="AA185" s="23">
        <v>13267</v>
      </c>
      <c r="AB185" s="24">
        <f t="shared" si="1463"/>
        <v>16037.133141118122</v>
      </c>
      <c r="AC185" s="24">
        <f t="shared" si="1464"/>
        <v>17157.059489289699</v>
      </c>
      <c r="AD185" s="24">
        <f t="shared" si="1465"/>
        <v>19259.174250055465</v>
      </c>
      <c r="AE185" s="24">
        <f t="shared" si="1466"/>
        <v>21514.882349743762</v>
      </c>
      <c r="AJ185" s="23">
        <f>+'QTR Raw'!D89</f>
        <v>0</v>
      </c>
      <c r="AK185" s="23">
        <f>+AK215*AK32/90</f>
        <v>0</v>
      </c>
      <c r="AL185" s="23">
        <f>+'QTR Raw'!F89</f>
        <v>0</v>
      </c>
      <c r="AM185" s="23">
        <f>+AM215*AM32/90</f>
        <v>0</v>
      </c>
      <c r="AN185" s="23">
        <f>+'QTR Raw'!H89</f>
        <v>0</v>
      </c>
      <c r="AO185" s="23">
        <f>+AO215*AO32/90</f>
        <v>0</v>
      </c>
      <c r="AP185" s="23">
        <f>+'QTR Raw'!J89</f>
        <v>0</v>
      </c>
      <c r="AQ185" s="23">
        <f>+AQ215*AQ32/90</f>
        <v>0</v>
      </c>
      <c r="AR185" s="23">
        <f>+'QTR Raw'!L89</f>
        <v>0</v>
      </c>
      <c r="AS185" s="23">
        <f>+AS215*AS32/90</f>
        <v>0</v>
      </c>
      <c r="AT185" s="23">
        <f>+'QTR Raw'!N89</f>
        <v>0</v>
      </c>
      <c r="AU185" s="23">
        <f>+AU215*AU32/90</f>
        <v>0</v>
      </c>
      <c r="AV185" s="23">
        <f>+'QTR Raw'!P89</f>
        <v>0</v>
      </c>
      <c r="AW185" s="23">
        <f>+AW215*AW32/90</f>
        <v>0</v>
      </c>
      <c r="AX185" s="23">
        <f>+'QTR Raw'!R89</f>
        <v>0</v>
      </c>
      <c r="AY185" s="23">
        <f>+AY215*AY32/90</f>
        <v>0</v>
      </c>
      <c r="AZ185" s="23">
        <f>+'QTR Raw'!T89</f>
        <v>0</v>
      </c>
      <c r="BA185" s="23">
        <f>+BA215*BA32/90</f>
        <v>0</v>
      </c>
      <c r="BB185" s="23">
        <f>+'QTR Raw'!V89</f>
        <v>0</v>
      </c>
      <c r="BC185" s="23">
        <f>+BC215*BC32/90</f>
        <v>0</v>
      </c>
      <c r="BD185" s="23">
        <f>+'QTR Raw'!X89</f>
        <v>0</v>
      </c>
      <c r="BE185" s="23">
        <f>+BE215*BE32/90</f>
        <v>0</v>
      </c>
      <c r="BF185" s="23">
        <f>+'QTR Raw'!Z89</f>
        <v>0</v>
      </c>
      <c r="BG185" s="23">
        <f>+BG215*BG32/90</f>
        <v>0</v>
      </c>
      <c r="BH185" s="23">
        <f>+'QTR Raw'!AB89</f>
        <v>0</v>
      </c>
      <c r="BI185" s="23">
        <f>+BI215*BI32/90</f>
        <v>0</v>
      </c>
      <c r="BJ185" s="23">
        <f>+'QTR Raw'!AD89</f>
        <v>0</v>
      </c>
      <c r="BK185" s="23">
        <f>+BK215*BK32/90</f>
        <v>0</v>
      </c>
      <c r="BL185" s="23">
        <f>+'QTR Raw'!AF89</f>
        <v>0</v>
      </c>
      <c r="BM185" s="23">
        <f>+BM215*BM32/90</f>
        <v>0</v>
      </c>
      <c r="BN185" s="23">
        <f>+'QTR Raw'!AH89</f>
        <v>0</v>
      </c>
      <c r="BO185" s="23">
        <f>+BO215*BO32/90</f>
        <v>0</v>
      </c>
      <c r="BP185" s="23">
        <f>+'QTR Raw'!AJ89</f>
        <v>0</v>
      </c>
      <c r="BQ185" s="23">
        <f>+BQ215*BQ32/90</f>
        <v>0</v>
      </c>
      <c r="BR185" s="23">
        <f>+'QTR Raw'!AL89</f>
        <v>0</v>
      </c>
      <c r="BS185" s="23">
        <f>+BS215*BS32/90</f>
        <v>0</v>
      </c>
      <c r="BT185" s="23">
        <f>+'QTR Raw'!AN89</f>
        <v>0</v>
      </c>
      <c r="BU185" s="23">
        <f>+BU215*BU32/90</f>
        <v>0</v>
      </c>
      <c r="BV185" s="23">
        <f>+'QTR Raw'!AP89</f>
        <v>0</v>
      </c>
      <c r="BW185" s="23">
        <f>+BW215*BW32/90</f>
        <v>0</v>
      </c>
      <c r="BX185" s="23">
        <f>+'QTR Raw'!AR89</f>
        <v>0</v>
      </c>
      <c r="BY185" s="23">
        <f>+BY215*BY32/90</f>
        <v>0</v>
      </c>
      <c r="BZ185" s="23">
        <f>+'QTR Raw'!AT89</f>
        <v>0</v>
      </c>
      <c r="CA185" s="23">
        <f>+CA215*CA32/90</f>
        <v>0</v>
      </c>
      <c r="CB185" s="23">
        <f>+'QTR Raw'!AV89</f>
        <v>0</v>
      </c>
      <c r="CC185" s="23">
        <f>+CC215*CC32/90</f>
        <v>0</v>
      </c>
      <c r="CD185" s="23">
        <f>+'QTR Raw'!AX89</f>
        <v>0</v>
      </c>
      <c r="CE185" s="23">
        <f>+CE215*CE32/90</f>
        <v>0</v>
      </c>
      <c r="CF185" s="23">
        <f>+'QTR Raw'!AZ89</f>
        <v>0</v>
      </c>
      <c r="CG185" s="23">
        <f>+CG215*CG32/90</f>
        <v>0</v>
      </c>
      <c r="CH185" s="23">
        <f t="shared" si="1422"/>
        <v>13267</v>
      </c>
      <c r="CI185" s="23">
        <f>+CI215*CI32/90</f>
        <v>10403.174858742937</v>
      </c>
      <c r="CJ185" s="23">
        <f>+'QTR Raw'!BD89</f>
        <v>13260</v>
      </c>
      <c r="CK185" s="23">
        <f t="shared" ref="CK185:DB185" si="1470">+CK215*CK32/90</f>
        <v>16224.841942945261</v>
      </c>
      <c r="CL185" s="23">
        <f>+'QTR Raw'!BF89</f>
        <v>14446</v>
      </c>
      <c r="CM185" s="24">
        <f t="shared" si="1470"/>
        <v>10314.731207682969</v>
      </c>
      <c r="CN185" s="24">
        <f t="shared" si="1470"/>
        <v>11420.420065435494</v>
      </c>
      <c r="CO185" s="24">
        <f t="shared" si="1470"/>
        <v>13842.781842216184</v>
      </c>
      <c r="CP185" s="24">
        <f t="shared" si="1470"/>
        <v>16037.133141118122</v>
      </c>
      <c r="CQ185" s="24">
        <f t="shared" si="1470"/>
        <v>11302.593343806815</v>
      </c>
      <c r="CR185" s="24">
        <f t="shared" si="1470"/>
        <v>12485.107467885036</v>
      </c>
      <c r="CS185" s="24">
        <f t="shared" si="1470"/>
        <v>15013.325441461735</v>
      </c>
      <c r="CT185" s="24">
        <f t="shared" si="1470"/>
        <v>17157.059489289699</v>
      </c>
      <c r="CU185" s="24">
        <f t="shared" si="1470"/>
        <v>12519.352476263068</v>
      </c>
      <c r="CV185" s="24">
        <f t="shared" si="1470"/>
        <v>13888.206414573453</v>
      </c>
      <c r="CW185" s="24">
        <f t="shared" si="1470"/>
        <v>16766.96201414349</v>
      </c>
      <c r="CX185" s="24">
        <f t="shared" si="1470"/>
        <v>19259.174250055465</v>
      </c>
      <c r="CY185" s="24">
        <f t="shared" si="1470"/>
        <v>13952.482721020255</v>
      </c>
      <c r="CZ185" s="24">
        <f t="shared" si="1470"/>
        <v>15527.081460379362</v>
      </c>
      <c r="DA185" s="24">
        <f t="shared" si="1470"/>
        <v>18762.983254892864</v>
      </c>
      <c r="DB185" s="24">
        <f t="shared" si="1470"/>
        <v>21514.882349743762</v>
      </c>
      <c r="DE185" s="123"/>
      <c r="DF185" s="23">
        <v>19108.39586691387</v>
      </c>
    </row>
    <row r="186" spans="1:110" s="23" customFormat="1" outlineLevel="1" x14ac:dyDescent="0.2">
      <c r="A186" s="23" t="s">
        <v>71</v>
      </c>
      <c r="B186" s="23">
        <f>'Annual Raw'!C55-Template!B156</f>
        <v>0</v>
      </c>
      <c r="C186" s="23">
        <f>'Annual Raw'!D55-Template!C156</f>
        <v>0</v>
      </c>
      <c r="D186" s="23">
        <f>'Annual Raw'!E55-Template!D156</f>
        <v>0</v>
      </c>
      <c r="E186" s="23">
        <v>1947.2599999999998</v>
      </c>
      <c r="F186" s="23">
        <v>3205.04</v>
      </c>
      <c r="G186" s="23">
        <v>3061.8299999999995</v>
      </c>
      <c r="H186" s="23">
        <v>2283.7400000000002</v>
      </c>
      <c r="I186" s="23">
        <v>4014.0199999999995</v>
      </c>
      <c r="J186" s="23">
        <v>4086.12</v>
      </c>
      <c r="K186" s="23">
        <v>9212.5600000000013</v>
      </c>
      <c r="L186" s="23">
        <v>5431.42</v>
      </c>
      <c r="M186" s="23">
        <v>4561.6400000000003</v>
      </c>
      <c r="N186" s="23">
        <v>2204.2300000000018</v>
      </c>
      <c r="O186" s="23">
        <v>3618.66</v>
      </c>
      <c r="P186" s="23">
        <v>2376.2800000000002</v>
      </c>
      <c r="Q186" s="23">
        <v>6696.0300000000007</v>
      </c>
      <c r="R186" s="23">
        <v>5808.21</v>
      </c>
      <c r="S186" s="23">
        <v>6511.13</v>
      </c>
      <c r="T186" s="23">
        <v>5071.2300000000005</v>
      </c>
      <c r="U186" s="23">
        <v>11221.48</v>
      </c>
      <c r="V186" s="23">
        <v>15647.220000000001</v>
      </c>
      <c r="W186" s="23">
        <v>4184.7</v>
      </c>
      <c r="X186" s="23">
        <v>4971.4399999999996</v>
      </c>
      <c r="Y186" s="23">
        <v>5295</v>
      </c>
      <c r="Z186" s="23">
        <v>4944</v>
      </c>
      <c r="AA186" s="23">
        <v>4944</v>
      </c>
      <c r="AB186" s="24">
        <f t="shared" si="1463"/>
        <v>0</v>
      </c>
      <c r="AC186" s="24">
        <f t="shared" si="1464"/>
        <v>0</v>
      </c>
      <c r="AD186" s="24">
        <f t="shared" si="1465"/>
        <v>0</v>
      </c>
      <c r="AE186" s="24">
        <f t="shared" si="1466"/>
        <v>0</v>
      </c>
      <c r="AJ186" s="23">
        <f>+'QTR Raw'!D91</f>
        <v>0</v>
      </c>
      <c r="AK186" s="23">
        <f t="shared" si="1467"/>
        <v>0</v>
      </c>
      <c r="AL186" s="23">
        <f>+'QTR Raw'!F91</f>
        <v>0</v>
      </c>
      <c r="AM186" s="23">
        <f t="shared" si="1467"/>
        <v>0</v>
      </c>
      <c r="AN186" s="23">
        <f>+'QTR Raw'!H91</f>
        <v>0</v>
      </c>
      <c r="AO186" s="23">
        <f t="shared" si="1467"/>
        <v>0</v>
      </c>
      <c r="AP186" s="23">
        <f>+'QTR Raw'!J91</f>
        <v>0</v>
      </c>
      <c r="AQ186" s="23">
        <f t="shared" si="1467"/>
        <v>0</v>
      </c>
      <c r="AR186" s="23">
        <f>+'QTR Raw'!L91</f>
        <v>0</v>
      </c>
      <c r="AS186" s="23">
        <f t="shared" si="1467"/>
        <v>0</v>
      </c>
      <c r="AT186" s="23">
        <f>+'QTR Raw'!N91</f>
        <v>0</v>
      </c>
      <c r="AU186" s="23">
        <f t="shared" si="1467"/>
        <v>0</v>
      </c>
      <c r="AV186" s="23">
        <f>+'QTR Raw'!P91</f>
        <v>0</v>
      </c>
      <c r="AW186" s="23">
        <f t="shared" si="1467"/>
        <v>0</v>
      </c>
      <c r="AX186" s="23">
        <f>+'QTR Raw'!R91</f>
        <v>0</v>
      </c>
      <c r="AY186" s="23">
        <f t="shared" si="1467"/>
        <v>0</v>
      </c>
      <c r="AZ186" s="23">
        <f>+'QTR Raw'!T91</f>
        <v>0</v>
      </c>
      <c r="BA186" s="23">
        <f t="shared" si="1467"/>
        <v>0</v>
      </c>
      <c r="BB186" s="23">
        <f>+'QTR Raw'!V91</f>
        <v>0</v>
      </c>
      <c r="BC186" s="23">
        <f t="shared" si="1467"/>
        <v>0</v>
      </c>
      <c r="BD186" s="23">
        <f>+'QTR Raw'!X91</f>
        <v>0</v>
      </c>
      <c r="BE186" s="23">
        <f t="shared" si="1467"/>
        <v>0</v>
      </c>
      <c r="BF186" s="23">
        <f>+'QTR Raw'!Z91</f>
        <v>0</v>
      </c>
      <c r="BG186" s="23">
        <f t="shared" si="1467"/>
        <v>0</v>
      </c>
      <c r="BH186" s="23">
        <f>+'QTR Raw'!AB91</f>
        <v>0</v>
      </c>
      <c r="BI186" s="23">
        <f t="shared" si="1467"/>
        <v>0</v>
      </c>
      <c r="BJ186" s="23">
        <f>+'QTR Raw'!AD91</f>
        <v>0</v>
      </c>
      <c r="BK186" s="23">
        <f t="shared" si="1467"/>
        <v>0</v>
      </c>
      <c r="BL186" s="23">
        <f>+'QTR Raw'!AF91</f>
        <v>0</v>
      </c>
      <c r="BM186" s="23">
        <f t="shared" si="1467"/>
        <v>0</v>
      </c>
      <c r="BN186" s="23">
        <f>+'QTR Raw'!AH91</f>
        <v>0</v>
      </c>
      <c r="BO186" s="23">
        <f t="shared" si="1467"/>
        <v>0</v>
      </c>
      <c r="BP186" s="23">
        <f>+'QTR Raw'!AJ91</f>
        <v>0</v>
      </c>
      <c r="BQ186" s="23">
        <f t="shared" si="1467"/>
        <v>0</v>
      </c>
      <c r="BR186" s="23">
        <f>+'QTR Raw'!AL91</f>
        <v>0</v>
      </c>
      <c r="BS186" s="23">
        <f t="shared" si="1467"/>
        <v>0</v>
      </c>
      <c r="BT186" s="23">
        <f>+'QTR Raw'!AN91</f>
        <v>0</v>
      </c>
      <c r="BU186" s="23">
        <f t="shared" si="1467"/>
        <v>0</v>
      </c>
      <c r="BV186" s="23">
        <f>+'QTR Raw'!AP91</f>
        <v>0</v>
      </c>
      <c r="BW186" s="23">
        <f t="shared" si="1467"/>
        <v>0</v>
      </c>
      <c r="BX186" s="23">
        <f>+'QTR Raw'!AR91</f>
        <v>0</v>
      </c>
      <c r="BY186" s="23">
        <f t="shared" si="1467"/>
        <v>0</v>
      </c>
      <c r="BZ186" s="23">
        <f>+'QTR Raw'!AT91</f>
        <v>0</v>
      </c>
      <c r="CA186" s="23">
        <f t="shared" si="1467"/>
        <v>0</v>
      </c>
      <c r="CB186" s="23">
        <f>+'QTR Raw'!AV91</f>
        <v>0</v>
      </c>
      <c r="CC186" s="23">
        <f t="shared" si="1467"/>
        <v>0</v>
      </c>
      <c r="CD186" s="23">
        <f>+'QTR Raw'!AX91</f>
        <v>0</v>
      </c>
      <c r="CE186" s="23">
        <f t="shared" si="1467"/>
        <v>0</v>
      </c>
      <c r="CF186" s="23">
        <f>+'QTR Raw'!AZ91</f>
        <v>0</v>
      </c>
      <c r="CG186" s="23">
        <f t="shared" ref="CG186:CG187" si="1471">+CF186</f>
        <v>0</v>
      </c>
      <c r="CH186" s="23">
        <f t="shared" si="1422"/>
        <v>4944</v>
      </c>
      <c r="CJ186" s="23">
        <f>+'QTR Raw'!BD91</f>
        <v>2838</v>
      </c>
      <c r="CL186" s="23">
        <f>+'QTR Raw'!BF91</f>
        <v>4904</v>
      </c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  <c r="DF186" s="23">
        <v>4904</v>
      </c>
    </row>
    <row r="187" spans="1:110" s="23" customFormat="1" outlineLevel="1" x14ac:dyDescent="0.2">
      <c r="A187" s="23" t="s">
        <v>72</v>
      </c>
      <c r="B187" s="23">
        <f>'Annual Raw'!C57</f>
        <v>0</v>
      </c>
      <c r="C187" s="23">
        <f>'Annual Raw'!D57</f>
        <v>0</v>
      </c>
      <c r="D187" s="23">
        <f>'Annual Raw'!E57</f>
        <v>0</v>
      </c>
      <c r="E187" s="23">
        <v>160.36999999999998</v>
      </c>
      <c r="F187" s="23">
        <v>515.6099999999999</v>
      </c>
      <c r="G187" s="23">
        <v>567.78</v>
      </c>
      <c r="H187" s="23">
        <v>676.31999999999994</v>
      </c>
      <c r="I187" s="23">
        <v>659.68000000000006</v>
      </c>
      <c r="J187" s="23">
        <v>345.7</v>
      </c>
      <c r="K187" s="23">
        <v>991.93999999999994</v>
      </c>
      <c r="L187" s="23">
        <v>1467.03</v>
      </c>
      <c r="M187" s="23">
        <v>1280.7</v>
      </c>
      <c r="N187" s="23">
        <v>645.20000000000005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0</v>
      </c>
      <c r="Y187" s="23">
        <v>0</v>
      </c>
      <c r="Z187" s="23">
        <v>0</v>
      </c>
      <c r="AA187" s="23">
        <v>0</v>
      </c>
      <c r="AB187" s="24">
        <f t="shared" si="1463"/>
        <v>0</v>
      </c>
      <c r="AC187" s="24">
        <f t="shared" si="1464"/>
        <v>0</v>
      </c>
      <c r="AD187" s="24">
        <f t="shared" si="1465"/>
        <v>0</v>
      </c>
      <c r="AE187" s="24">
        <f t="shared" si="1466"/>
        <v>0</v>
      </c>
      <c r="AJ187" s="23">
        <f>+'QTR Raw'!D92</f>
        <v>0</v>
      </c>
      <c r="AK187" s="23">
        <f t="shared" si="1467"/>
        <v>0</v>
      </c>
      <c r="AL187" s="23">
        <f>+'QTR Raw'!F92</f>
        <v>0</v>
      </c>
      <c r="AM187" s="23">
        <f t="shared" si="1467"/>
        <v>0</v>
      </c>
      <c r="AN187" s="23">
        <f>+'QTR Raw'!H92</f>
        <v>0</v>
      </c>
      <c r="AO187" s="23">
        <f t="shared" si="1467"/>
        <v>0</v>
      </c>
      <c r="AP187" s="23">
        <f>+'QTR Raw'!J92</f>
        <v>0</v>
      </c>
      <c r="AQ187" s="23">
        <f t="shared" si="1467"/>
        <v>0</v>
      </c>
      <c r="AR187" s="23">
        <f>+'QTR Raw'!L92</f>
        <v>0</v>
      </c>
      <c r="AS187" s="23">
        <f t="shared" si="1467"/>
        <v>0</v>
      </c>
      <c r="AT187" s="23">
        <f>+'QTR Raw'!N92</f>
        <v>0</v>
      </c>
      <c r="AU187" s="23">
        <f t="shared" si="1467"/>
        <v>0</v>
      </c>
      <c r="AV187" s="23">
        <f>+'QTR Raw'!P92</f>
        <v>0</v>
      </c>
      <c r="AW187" s="23">
        <f t="shared" si="1467"/>
        <v>0</v>
      </c>
      <c r="AX187" s="23">
        <f>+'QTR Raw'!R92</f>
        <v>0</v>
      </c>
      <c r="AY187" s="23">
        <f t="shared" si="1467"/>
        <v>0</v>
      </c>
      <c r="AZ187" s="23">
        <f>+'QTR Raw'!T92</f>
        <v>0</v>
      </c>
      <c r="BA187" s="23">
        <f t="shared" si="1467"/>
        <v>0</v>
      </c>
      <c r="BB187" s="23">
        <f>+'QTR Raw'!V92</f>
        <v>0</v>
      </c>
      <c r="BC187" s="23">
        <f t="shared" si="1467"/>
        <v>0</v>
      </c>
      <c r="BD187" s="23">
        <f>+'QTR Raw'!X92</f>
        <v>0</v>
      </c>
      <c r="BE187" s="23">
        <f t="shared" si="1467"/>
        <v>0</v>
      </c>
      <c r="BF187" s="23">
        <f>+'QTR Raw'!Z92</f>
        <v>0</v>
      </c>
      <c r="BG187" s="23">
        <f t="shared" si="1467"/>
        <v>0</v>
      </c>
      <c r="BH187" s="23">
        <f>+'QTR Raw'!AB92</f>
        <v>0</v>
      </c>
      <c r="BI187" s="23">
        <f t="shared" si="1467"/>
        <v>0</v>
      </c>
      <c r="BJ187" s="23">
        <f>+'QTR Raw'!AD92</f>
        <v>0</v>
      </c>
      <c r="BK187" s="23">
        <f t="shared" si="1467"/>
        <v>0</v>
      </c>
      <c r="BL187" s="23">
        <f>+'QTR Raw'!AF92</f>
        <v>0</v>
      </c>
      <c r="BM187" s="23">
        <f t="shared" si="1467"/>
        <v>0</v>
      </c>
      <c r="BN187" s="23">
        <f>+'QTR Raw'!AH92</f>
        <v>0</v>
      </c>
      <c r="BO187" s="23">
        <f t="shared" si="1467"/>
        <v>0</v>
      </c>
      <c r="BP187" s="23">
        <f>+'QTR Raw'!AJ92</f>
        <v>0</v>
      </c>
      <c r="BQ187" s="23">
        <f t="shared" si="1467"/>
        <v>0</v>
      </c>
      <c r="BR187" s="23">
        <f>+'QTR Raw'!AL92</f>
        <v>0</v>
      </c>
      <c r="BS187" s="23">
        <f t="shared" si="1467"/>
        <v>0</v>
      </c>
      <c r="BT187" s="23">
        <f>+'QTR Raw'!AN92</f>
        <v>0</v>
      </c>
      <c r="BU187" s="23">
        <f t="shared" si="1467"/>
        <v>0</v>
      </c>
      <c r="BV187" s="23">
        <f>+'QTR Raw'!AP92</f>
        <v>0</v>
      </c>
      <c r="BW187" s="23">
        <f t="shared" si="1467"/>
        <v>0</v>
      </c>
      <c r="BX187" s="23">
        <f>+'QTR Raw'!AR92</f>
        <v>0</v>
      </c>
      <c r="BY187" s="23">
        <f t="shared" si="1467"/>
        <v>0</v>
      </c>
      <c r="BZ187" s="23">
        <f>+'QTR Raw'!AT92</f>
        <v>0</v>
      </c>
      <c r="CA187" s="23">
        <f t="shared" si="1467"/>
        <v>0</v>
      </c>
      <c r="CB187" s="23">
        <f>+'QTR Raw'!AV92</f>
        <v>0</v>
      </c>
      <c r="CC187" s="23">
        <f t="shared" si="1467"/>
        <v>0</v>
      </c>
      <c r="CD187" s="23">
        <f>+'QTR Raw'!AX92</f>
        <v>0</v>
      </c>
      <c r="CE187" s="23">
        <f t="shared" si="1467"/>
        <v>0</v>
      </c>
      <c r="CF187" s="23">
        <f>+'QTR Raw'!AZ92</f>
        <v>0</v>
      </c>
      <c r="CG187" s="23">
        <f t="shared" si="1471"/>
        <v>0</v>
      </c>
      <c r="CH187" s="23">
        <f t="shared" si="1422"/>
        <v>0</v>
      </c>
      <c r="CJ187" s="23">
        <f>+'QTR Raw'!BD92</f>
        <v>2214</v>
      </c>
      <c r="CL187" s="23">
        <f>+'QTR Raw'!BF92</f>
        <v>2347</v>
      </c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  <c r="DF187" s="23">
        <v>2347</v>
      </c>
    </row>
    <row r="188" spans="1:110" s="22" customFormat="1" x14ac:dyDescent="0.2">
      <c r="A188" s="22" t="s">
        <v>73</v>
      </c>
      <c r="B188" s="22">
        <f>SUM(B181:B187)</f>
        <v>0</v>
      </c>
      <c r="C188" s="22">
        <f t="shared" ref="C188:V188" si="1472">SUM(C181:C187)</f>
        <v>0</v>
      </c>
      <c r="D188" s="22">
        <f t="shared" si="1472"/>
        <v>0</v>
      </c>
      <c r="E188" s="22">
        <f t="shared" si="1472"/>
        <v>4654.9399999999996</v>
      </c>
      <c r="F188" s="22">
        <f t="shared" si="1472"/>
        <v>6600.83</v>
      </c>
      <c r="G188" s="22">
        <f t="shared" si="1472"/>
        <v>6941.86</v>
      </c>
      <c r="H188" s="22">
        <f t="shared" si="1472"/>
        <v>7357.77</v>
      </c>
      <c r="I188" s="22">
        <f t="shared" si="1472"/>
        <v>10633.099999999999</v>
      </c>
      <c r="J188" s="22">
        <f t="shared" si="1472"/>
        <v>10676.920000000002</v>
      </c>
      <c r="K188" s="22">
        <f t="shared" si="1472"/>
        <v>17372.59</v>
      </c>
      <c r="L188" s="22">
        <f t="shared" si="1472"/>
        <v>17515.79</v>
      </c>
      <c r="M188" s="22">
        <f t="shared" si="1472"/>
        <v>16907.29</v>
      </c>
      <c r="N188" s="22">
        <f t="shared" si="1472"/>
        <v>12860.020000000002</v>
      </c>
      <c r="O188" s="22">
        <f t="shared" si="1472"/>
        <v>15999.130000000001</v>
      </c>
      <c r="P188" s="22">
        <f t="shared" si="1472"/>
        <v>13946.210000000001</v>
      </c>
      <c r="Q188" s="22">
        <f t="shared" si="1472"/>
        <v>19159.21</v>
      </c>
      <c r="R188" s="22">
        <f t="shared" si="1472"/>
        <v>18723.48</v>
      </c>
      <c r="S188" s="22">
        <f t="shared" si="1472"/>
        <v>22630.93</v>
      </c>
      <c r="T188" s="22">
        <f t="shared" si="1472"/>
        <v>21003.62</v>
      </c>
      <c r="U188" s="22">
        <f t="shared" si="1472"/>
        <v>23105.759999999998</v>
      </c>
      <c r="V188" s="22">
        <f t="shared" si="1472"/>
        <v>26867.919999999998</v>
      </c>
      <c r="W188" s="22">
        <f t="shared" ref="W188" si="1473">SUM(W181:W187)</f>
        <v>20252.93</v>
      </c>
      <c r="X188" s="22">
        <f t="shared" ref="X188:Y188" si="1474">SUM(X181:X187)</f>
        <v>19971.07</v>
      </c>
      <c r="Y188" s="22">
        <f t="shared" si="1474"/>
        <v>21701</v>
      </c>
      <c r="Z188" s="22">
        <f t="shared" ref="Z188:AA188" si="1475">SUM(Z181:Z187)</f>
        <v>22568</v>
      </c>
      <c r="AA188" s="22">
        <f t="shared" si="1475"/>
        <v>22715.9</v>
      </c>
      <c r="AB188" s="21">
        <f t="shared" ref="AA188:AD188" si="1476">SUM(AB181:AB187)</f>
        <v>29031.362922150074</v>
      </c>
      <c r="AC188" s="21">
        <f t="shared" si="1476"/>
        <v>31058.719555891934</v>
      </c>
      <c r="AD188" s="21">
        <f t="shared" si="1476"/>
        <v>34864.091500290771</v>
      </c>
      <c r="AE188" s="21">
        <f t="shared" ref="AE188" si="1477">SUM(AE181:AE187)</f>
        <v>38947.507152716957</v>
      </c>
      <c r="AJ188" s="22">
        <f>SUM(AJ181:AJ187)</f>
        <v>0</v>
      </c>
      <c r="AK188" s="22">
        <f t="shared" ref="AK188" si="1478">SUM(AK181:AK187)</f>
        <v>0</v>
      </c>
      <c r="AL188" s="22">
        <f t="shared" ref="AL188:AM188" si="1479">SUM(AL181:AL187)</f>
        <v>0</v>
      </c>
      <c r="AM188" s="22">
        <f t="shared" si="1479"/>
        <v>0</v>
      </c>
      <c r="AN188" s="22">
        <f t="shared" ref="AN188:AO188" si="1480">SUM(AN181:AN187)</f>
        <v>0</v>
      </c>
      <c r="AO188" s="22">
        <f t="shared" si="1480"/>
        <v>0</v>
      </c>
      <c r="AP188" s="22">
        <f t="shared" ref="AP188:CE188" si="1481">SUM(AP181:AP187)</f>
        <v>0</v>
      </c>
      <c r="AQ188" s="22">
        <f t="shared" si="1481"/>
        <v>0</v>
      </c>
      <c r="AR188" s="22">
        <f t="shared" si="1481"/>
        <v>0</v>
      </c>
      <c r="AS188" s="22">
        <f t="shared" si="1481"/>
        <v>0</v>
      </c>
      <c r="AT188" s="22">
        <f t="shared" si="1481"/>
        <v>0</v>
      </c>
      <c r="AU188" s="22">
        <f t="shared" si="1481"/>
        <v>0</v>
      </c>
      <c r="AV188" s="22">
        <f t="shared" si="1481"/>
        <v>0</v>
      </c>
      <c r="AW188" s="22">
        <f t="shared" si="1481"/>
        <v>0</v>
      </c>
      <c r="AX188" s="22">
        <f t="shared" si="1481"/>
        <v>0</v>
      </c>
      <c r="AY188" s="22">
        <f t="shared" si="1481"/>
        <v>0</v>
      </c>
      <c r="AZ188" s="22">
        <f t="shared" si="1481"/>
        <v>0</v>
      </c>
      <c r="BA188" s="22">
        <f t="shared" si="1481"/>
        <v>0</v>
      </c>
      <c r="BB188" s="22">
        <f t="shared" si="1481"/>
        <v>0</v>
      </c>
      <c r="BC188" s="22">
        <f t="shared" si="1481"/>
        <v>0</v>
      </c>
      <c r="BD188" s="22">
        <f t="shared" si="1481"/>
        <v>0</v>
      </c>
      <c r="BE188" s="22">
        <f t="shared" si="1481"/>
        <v>0</v>
      </c>
      <c r="BF188" s="22">
        <f t="shared" si="1481"/>
        <v>0</v>
      </c>
      <c r="BG188" s="22">
        <f t="shared" si="1481"/>
        <v>0</v>
      </c>
      <c r="BH188" s="22">
        <f t="shared" si="1481"/>
        <v>0</v>
      </c>
      <c r="BI188" s="22">
        <f t="shared" si="1481"/>
        <v>0</v>
      </c>
      <c r="BJ188" s="22">
        <f t="shared" si="1481"/>
        <v>0</v>
      </c>
      <c r="BK188" s="22">
        <f t="shared" si="1481"/>
        <v>0</v>
      </c>
      <c r="BL188" s="22">
        <f t="shared" si="1481"/>
        <v>0</v>
      </c>
      <c r="BM188" s="22">
        <f t="shared" si="1481"/>
        <v>0</v>
      </c>
      <c r="BN188" s="22">
        <f t="shared" si="1481"/>
        <v>0</v>
      </c>
      <c r="BO188" s="22">
        <f t="shared" si="1481"/>
        <v>0</v>
      </c>
      <c r="BP188" s="22">
        <f t="shared" si="1481"/>
        <v>0</v>
      </c>
      <c r="BQ188" s="22">
        <f t="shared" si="1481"/>
        <v>0</v>
      </c>
      <c r="BR188" s="22">
        <f t="shared" si="1481"/>
        <v>0</v>
      </c>
      <c r="BS188" s="22">
        <f t="shared" si="1481"/>
        <v>0</v>
      </c>
      <c r="BT188" s="22">
        <f t="shared" si="1481"/>
        <v>0</v>
      </c>
      <c r="BU188" s="22">
        <f t="shared" si="1481"/>
        <v>0</v>
      </c>
      <c r="BV188" s="22">
        <f t="shared" si="1481"/>
        <v>0</v>
      </c>
      <c r="BW188" s="22">
        <f t="shared" si="1481"/>
        <v>0</v>
      </c>
      <c r="BX188" s="22">
        <f t="shared" si="1481"/>
        <v>0</v>
      </c>
      <c r="BY188" s="22">
        <f t="shared" si="1481"/>
        <v>0</v>
      </c>
      <c r="BZ188" s="22">
        <f t="shared" si="1481"/>
        <v>0</v>
      </c>
      <c r="CA188" s="22">
        <f t="shared" si="1481"/>
        <v>0</v>
      </c>
      <c r="CB188" s="22">
        <f t="shared" si="1481"/>
        <v>0</v>
      </c>
      <c r="CC188" s="22">
        <f t="shared" si="1481"/>
        <v>0</v>
      </c>
      <c r="CD188" s="22">
        <f t="shared" si="1481"/>
        <v>0</v>
      </c>
      <c r="CE188" s="22">
        <f t="shared" si="1481"/>
        <v>0</v>
      </c>
      <c r="CF188" s="22">
        <f t="shared" ref="CF188:CG188" si="1482">SUM(CF181:CF187)</f>
        <v>0</v>
      </c>
      <c r="CG188" s="22">
        <f t="shared" si="1482"/>
        <v>0</v>
      </c>
      <c r="CH188" s="22">
        <f t="shared" ref="CH188:CI188" si="1483">SUM(CH181:CH187)</f>
        <v>22568</v>
      </c>
      <c r="CI188" s="22">
        <f t="shared" si="1483"/>
        <v>17696.453622681136</v>
      </c>
      <c r="CJ188" s="22">
        <f t="shared" ref="CJ188:DB188" si="1484">SUM(CJ181:CJ187)</f>
        <v>21875</v>
      </c>
      <c r="CK188" s="22">
        <f t="shared" si="1484"/>
        <v>26766.094834232845</v>
      </c>
      <c r="CL188" s="22">
        <f t="shared" ref="CL188" si="1485">SUM(CL181:CL187)</f>
        <v>26151</v>
      </c>
      <c r="CM188" s="21">
        <f t="shared" si="1484"/>
        <v>18672.333920262863</v>
      </c>
      <c r="CN188" s="21">
        <f t="shared" si="1484"/>
        <v>20673.917010328369</v>
      </c>
      <c r="CO188" s="21">
        <f t="shared" si="1484"/>
        <v>25059.018964128161</v>
      </c>
      <c r="CP188" s="21">
        <f t="shared" si="1484"/>
        <v>29031.362922150074</v>
      </c>
      <c r="CQ188" s="21">
        <f t="shared" si="1484"/>
        <v>20460.620139408282</v>
      </c>
      <c r="CR188" s="21">
        <f t="shared" si="1484"/>
        <v>22601.276851215669</v>
      </c>
      <c r="CS188" s="21">
        <f t="shared" si="1484"/>
        <v>27178.005926877049</v>
      </c>
      <c r="CT188" s="21">
        <f t="shared" si="1484"/>
        <v>31058.719555891934</v>
      </c>
      <c r="CU188" s="21">
        <f t="shared" si="1484"/>
        <v>22663.269182248063</v>
      </c>
      <c r="CV188" s="21">
        <f t="shared" si="1484"/>
        <v>25141.249200298378</v>
      </c>
      <c r="CW188" s="21">
        <f t="shared" si="1484"/>
        <v>30352.542131515049</v>
      </c>
      <c r="CX188" s="21">
        <f t="shared" si="1484"/>
        <v>34864.091500290771</v>
      </c>
      <c r="CY188" s="21">
        <f t="shared" si="1484"/>
        <v>25257.605955794039</v>
      </c>
      <c r="CZ188" s="21">
        <f t="shared" si="1484"/>
        <v>28108.037330083116</v>
      </c>
      <c r="DA188" s="21">
        <f t="shared" si="1484"/>
        <v>33965.857337581561</v>
      </c>
      <c r="DB188" s="21">
        <f t="shared" si="1484"/>
        <v>38947.507152716957</v>
      </c>
      <c r="DE188" s="127"/>
      <c r="DF188" s="22">
        <v>31523.08895842691</v>
      </c>
    </row>
    <row r="189" spans="1:110" s="22" customFormat="1" x14ac:dyDescent="0.2">
      <c r="A189" s="22" t="s">
        <v>74</v>
      </c>
      <c r="B189" s="22">
        <f>B180-B188</f>
        <v>0</v>
      </c>
      <c r="C189" s="22">
        <f t="shared" ref="C189:V189" si="1486">C180-C188</f>
        <v>0</v>
      </c>
      <c r="D189" s="22">
        <f t="shared" si="1486"/>
        <v>0</v>
      </c>
      <c r="E189" s="22">
        <f t="shared" si="1486"/>
        <v>-1707.5399999999991</v>
      </c>
      <c r="F189" s="22">
        <f t="shared" si="1486"/>
        <v>-1441.5200000000004</v>
      </c>
      <c r="G189" s="22">
        <f t="shared" si="1486"/>
        <v>1440.6400000000021</v>
      </c>
      <c r="H189" s="22">
        <f t="shared" si="1486"/>
        <v>1967.3799999999992</v>
      </c>
      <c r="I189" s="22">
        <f t="shared" si="1486"/>
        <v>-2664.1099999999988</v>
      </c>
      <c r="J189" s="22">
        <f t="shared" si="1486"/>
        <v>-2276.4700000000012</v>
      </c>
      <c r="K189" s="22">
        <f t="shared" si="1486"/>
        <v>-7619.239999999998</v>
      </c>
      <c r="L189" s="22">
        <f t="shared" si="1486"/>
        <v>-5629.409999999998</v>
      </c>
      <c r="M189" s="22">
        <f t="shared" si="1486"/>
        <v>-4037.0599999999995</v>
      </c>
      <c r="N189" s="22">
        <f t="shared" si="1486"/>
        <v>-1281.0400000000009</v>
      </c>
      <c r="O189" s="22">
        <f t="shared" si="1486"/>
        <v>-6544.92</v>
      </c>
      <c r="P189" s="22">
        <f t="shared" si="1486"/>
        <v>-3758.9800000000014</v>
      </c>
      <c r="Q189" s="22">
        <f t="shared" si="1486"/>
        <v>-6997.1899999999969</v>
      </c>
      <c r="R189" s="22">
        <f t="shared" si="1486"/>
        <v>-5511.5299999999988</v>
      </c>
      <c r="S189" s="22">
        <f t="shared" si="1486"/>
        <v>-8001.2999999999993</v>
      </c>
      <c r="T189" s="22">
        <f t="shared" si="1486"/>
        <v>-6841.3899999999994</v>
      </c>
      <c r="U189" s="22">
        <f t="shared" si="1486"/>
        <v>-10367.029999999999</v>
      </c>
      <c r="V189" s="22">
        <f t="shared" si="1486"/>
        <v>-13249.929999999997</v>
      </c>
      <c r="W189" s="22">
        <f t="shared" ref="W189" si="1487">W180-W188</f>
        <v>-8900.9600000000009</v>
      </c>
      <c r="X189" s="22">
        <f t="shared" ref="X189:Y189" si="1488">X180-X188</f>
        <v>-7566.7999999999993</v>
      </c>
      <c r="Y189" s="22">
        <f t="shared" si="1488"/>
        <v>-8656</v>
      </c>
      <c r="Z189" s="22">
        <f t="shared" ref="Z189:AA189" si="1489">Z180-Z188</f>
        <v>-8972</v>
      </c>
      <c r="AA189" s="22">
        <f t="shared" si="1489"/>
        <v>-9119.9000000000015</v>
      </c>
      <c r="AB189" s="21">
        <f t="shared" ref="AA189:AD189" si="1490">AB180-AB188</f>
        <v>-15705.200231717987</v>
      </c>
      <c r="AC189" s="21">
        <f t="shared" si="1490"/>
        <v>-16801.946600787858</v>
      </c>
      <c r="AD189" s="21">
        <f t="shared" si="1490"/>
        <v>-18860.552271600078</v>
      </c>
      <c r="AE189" s="21">
        <f t="shared" ref="AE189" si="1491">AE180-AE188</f>
        <v>-21069.572241577254</v>
      </c>
      <c r="AJ189" s="22">
        <f>AJ180-AJ188</f>
        <v>0</v>
      </c>
      <c r="AK189" s="22">
        <f t="shared" ref="AK189" si="1492">AK180-AK188</f>
        <v>0</v>
      </c>
      <c r="AL189" s="22">
        <f t="shared" ref="AL189:AM189" si="1493">AL180-AL188</f>
        <v>0</v>
      </c>
      <c r="AM189" s="22">
        <f t="shared" si="1493"/>
        <v>0</v>
      </c>
      <c r="AN189" s="22">
        <f t="shared" ref="AN189:AO189" si="1494">AN180-AN188</f>
        <v>0</v>
      </c>
      <c r="AO189" s="22">
        <f t="shared" si="1494"/>
        <v>0</v>
      </c>
      <c r="AP189" s="22">
        <f t="shared" ref="AP189:CE189" si="1495">AP180-AP188</f>
        <v>0</v>
      </c>
      <c r="AQ189" s="22">
        <f t="shared" si="1495"/>
        <v>0</v>
      </c>
      <c r="AR189" s="22">
        <f t="shared" si="1495"/>
        <v>0</v>
      </c>
      <c r="AS189" s="22">
        <f t="shared" si="1495"/>
        <v>0</v>
      </c>
      <c r="AT189" s="22">
        <f t="shared" si="1495"/>
        <v>0</v>
      </c>
      <c r="AU189" s="22">
        <f t="shared" si="1495"/>
        <v>0</v>
      </c>
      <c r="AV189" s="22">
        <f t="shared" si="1495"/>
        <v>0</v>
      </c>
      <c r="AW189" s="22">
        <f t="shared" si="1495"/>
        <v>0</v>
      </c>
      <c r="AX189" s="22">
        <f t="shared" si="1495"/>
        <v>0</v>
      </c>
      <c r="AY189" s="22">
        <f t="shared" si="1495"/>
        <v>0</v>
      </c>
      <c r="AZ189" s="22">
        <f t="shared" si="1495"/>
        <v>0</v>
      </c>
      <c r="BA189" s="22">
        <f t="shared" si="1495"/>
        <v>0</v>
      </c>
      <c r="BB189" s="22">
        <f t="shared" si="1495"/>
        <v>0</v>
      </c>
      <c r="BC189" s="22">
        <f t="shared" si="1495"/>
        <v>0</v>
      </c>
      <c r="BD189" s="22">
        <f t="shared" si="1495"/>
        <v>0</v>
      </c>
      <c r="BE189" s="22">
        <f t="shared" si="1495"/>
        <v>0</v>
      </c>
      <c r="BF189" s="22">
        <f t="shared" si="1495"/>
        <v>0</v>
      </c>
      <c r="BG189" s="22">
        <f t="shared" si="1495"/>
        <v>0</v>
      </c>
      <c r="BH189" s="22">
        <f t="shared" si="1495"/>
        <v>0</v>
      </c>
      <c r="BI189" s="22">
        <f t="shared" si="1495"/>
        <v>0</v>
      </c>
      <c r="BJ189" s="22">
        <f t="shared" si="1495"/>
        <v>0</v>
      </c>
      <c r="BK189" s="22">
        <f t="shared" si="1495"/>
        <v>0</v>
      </c>
      <c r="BL189" s="22">
        <f t="shared" si="1495"/>
        <v>0</v>
      </c>
      <c r="BM189" s="22">
        <f t="shared" si="1495"/>
        <v>0</v>
      </c>
      <c r="BN189" s="22">
        <f t="shared" si="1495"/>
        <v>0</v>
      </c>
      <c r="BO189" s="22">
        <f t="shared" si="1495"/>
        <v>0</v>
      </c>
      <c r="BP189" s="22">
        <f t="shared" si="1495"/>
        <v>0</v>
      </c>
      <c r="BQ189" s="22">
        <f t="shared" si="1495"/>
        <v>0</v>
      </c>
      <c r="BR189" s="22">
        <f t="shared" si="1495"/>
        <v>0</v>
      </c>
      <c r="BS189" s="22">
        <f t="shared" si="1495"/>
        <v>0</v>
      </c>
      <c r="BT189" s="22">
        <f t="shared" si="1495"/>
        <v>0</v>
      </c>
      <c r="BU189" s="22">
        <f t="shared" si="1495"/>
        <v>0</v>
      </c>
      <c r="BV189" s="22">
        <f t="shared" si="1495"/>
        <v>0</v>
      </c>
      <c r="BW189" s="22">
        <f t="shared" si="1495"/>
        <v>0</v>
      </c>
      <c r="BX189" s="22">
        <f t="shared" si="1495"/>
        <v>0</v>
      </c>
      <c r="BY189" s="22">
        <f t="shared" si="1495"/>
        <v>0</v>
      </c>
      <c r="BZ189" s="22">
        <f t="shared" si="1495"/>
        <v>0</v>
      </c>
      <c r="CA189" s="22">
        <f t="shared" si="1495"/>
        <v>0</v>
      </c>
      <c r="CB189" s="22">
        <f t="shared" si="1495"/>
        <v>0</v>
      </c>
      <c r="CC189" s="22">
        <f t="shared" si="1495"/>
        <v>0</v>
      </c>
      <c r="CD189" s="22">
        <f t="shared" si="1495"/>
        <v>0</v>
      </c>
      <c r="CE189" s="22">
        <f t="shared" si="1495"/>
        <v>0</v>
      </c>
      <c r="CF189" s="22">
        <f t="shared" ref="CF189:CG189" si="1496">CF180-CF188</f>
        <v>0</v>
      </c>
      <c r="CG189" s="22">
        <f t="shared" si="1496"/>
        <v>0</v>
      </c>
      <c r="CH189" s="22">
        <f t="shared" ref="CH189:CI189" si="1497">CH180-CH188</f>
        <v>-8972</v>
      </c>
      <c r="CI189" s="22">
        <f t="shared" si="1497"/>
        <v>-7035.2969648482449</v>
      </c>
      <c r="CJ189" s="22">
        <f t="shared" ref="CJ189:DB189" si="1498">CJ180-CJ188</f>
        <v>-6531</v>
      </c>
      <c r="CK189" s="22">
        <f t="shared" si="1498"/>
        <v>-7991.2852737085595</v>
      </c>
      <c r="CL189" s="22">
        <f t="shared" ref="CL189" si="1499">CL180-CL188</f>
        <v>-14147</v>
      </c>
      <c r="CM189" s="21">
        <f t="shared" si="1498"/>
        <v>-10101.239263124115</v>
      </c>
      <c r="CN189" s="21">
        <f t="shared" si="1498"/>
        <v>-11184.042826091372</v>
      </c>
      <c r="CO189" s="21">
        <f t="shared" si="1498"/>
        <v>-13556.26711351463</v>
      </c>
      <c r="CP189" s="21">
        <f t="shared" si="1498"/>
        <v>-15705.200231717987</v>
      </c>
      <c r="CQ189" s="21">
        <f t="shared" si="1498"/>
        <v>-11068.654854965736</v>
      </c>
      <c r="CR189" s="21">
        <f t="shared" si="1498"/>
        <v>-12226.69357248855</v>
      </c>
      <c r="CS189" s="21">
        <f t="shared" si="1498"/>
        <v>-14702.583069386626</v>
      </c>
      <c r="CT189" s="21">
        <f t="shared" si="1498"/>
        <v>-16801.946600787858</v>
      </c>
      <c r="CU189" s="21">
        <f t="shared" si="1498"/>
        <v>-12260.229785524967</v>
      </c>
      <c r="CV189" s="21">
        <f t="shared" si="1498"/>
        <v>-13600.751498475056</v>
      </c>
      <c r="CW189" s="21">
        <f t="shared" si="1498"/>
        <v>-16419.923273853521</v>
      </c>
      <c r="CX189" s="21">
        <f t="shared" si="1498"/>
        <v>-18860.552271600078</v>
      </c>
      <c r="CY189" s="21">
        <f t="shared" si="1498"/>
        <v>-13663.697428649701</v>
      </c>
      <c r="CZ189" s="21">
        <f t="shared" si="1498"/>
        <v>-15205.705483870057</v>
      </c>
      <c r="DA189" s="21">
        <f t="shared" si="1498"/>
        <v>-18374.631324032212</v>
      </c>
      <c r="DB189" s="21">
        <f t="shared" si="1498"/>
        <v>-21069.572241577254</v>
      </c>
      <c r="DE189" s="127"/>
      <c r="DF189" s="22">
        <v>-9411.533439427938</v>
      </c>
    </row>
    <row r="190" spans="1:110" s="23" customFormat="1" x14ac:dyDescent="0.2">
      <c r="AB190" s="24"/>
      <c r="AC190" s="24"/>
      <c r="AD190" s="24"/>
      <c r="AE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3"/>
    </row>
    <row r="191" spans="1:110" s="23" customFormat="1" outlineLevel="1" x14ac:dyDescent="0.2">
      <c r="A191" s="23" t="s">
        <v>75</v>
      </c>
      <c r="B191" s="23">
        <f>'Annual Raw'!C75</f>
        <v>0</v>
      </c>
      <c r="C191" s="23">
        <f>'Annual Raw'!D75</f>
        <v>0</v>
      </c>
      <c r="D191" s="23">
        <f>'Annual Raw'!E75</f>
        <v>0</v>
      </c>
      <c r="E191" s="23">
        <v>1619.23</v>
      </c>
      <c r="F191" s="23">
        <v>1069.45</v>
      </c>
      <c r="G191" s="23">
        <v>225.61999999999998</v>
      </c>
      <c r="H191" s="23">
        <v>129.69</v>
      </c>
      <c r="I191" s="23">
        <v>853.51</v>
      </c>
      <c r="J191" s="23">
        <v>439.98</v>
      </c>
      <c r="K191" s="23">
        <v>456.92999999999881</v>
      </c>
      <c r="L191" s="23">
        <v>86</v>
      </c>
      <c r="M191" s="23">
        <v>2590.2599999999998</v>
      </c>
      <c r="N191" s="23">
        <v>1762.6799999999998</v>
      </c>
      <c r="O191" s="23">
        <v>100.85</v>
      </c>
      <c r="P191" s="23">
        <v>20.22</v>
      </c>
      <c r="Q191" s="23">
        <v>1745.8400000000001</v>
      </c>
      <c r="R191" s="23">
        <v>1988.5700000000011</v>
      </c>
      <c r="S191" s="23">
        <v>1456.3299999999988</v>
      </c>
      <c r="T191" s="23">
        <v>1560.1299999999987</v>
      </c>
      <c r="U191" s="23">
        <v>1308.9299999999989</v>
      </c>
      <c r="V191" s="23">
        <v>2385.9299999999989</v>
      </c>
      <c r="W191" s="23">
        <v>5143.08</v>
      </c>
      <c r="X191" s="23">
        <v>3142.96</v>
      </c>
      <c r="Y191" s="23">
        <v>1994</v>
      </c>
      <c r="Z191" s="23">
        <v>2857</v>
      </c>
      <c r="AA191" s="23">
        <v>2857</v>
      </c>
      <c r="AB191" s="24">
        <f t="shared" ref="AB191:AB192" si="1500">+CP191</f>
        <v>0</v>
      </c>
      <c r="AC191" s="24">
        <f t="shared" ref="AC191:AC192" si="1501">+CT191</f>
        <v>0</v>
      </c>
      <c r="AD191" s="24">
        <f t="shared" ref="AD191:AD192" si="1502">+CX191</f>
        <v>0</v>
      </c>
      <c r="AE191" s="24">
        <f t="shared" ref="AE191:AE192" si="1503">+DB191</f>
        <v>0</v>
      </c>
      <c r="AJ191" s="23">
        <f>+'QTR Raw'!D80</f>
        <v>0</v>
      </c>
      <c r="AL191" s="23">
        <f>+'QTR Raw'!F80</f>
        <v>0</v>
      </c>
      <c r="AN191" s="23">
        <f>+'QTR Raw'!H80</f>
        <v>0</v>
      </c>
      <c r="AP191" s="23">
        <f>+'QTR Raw'!J80</f>
        <v>0</v>
      </c>
      <c r="AR191" s="23">
        <f>+'QTR Raw'!L80</f>
        <v>0</v>
      </c>
      <c r="AT191" s="23">
        <f>+'QTR Raw'!N80</f>
        <v>0</v>
      </c>
      <c r="AV191" s="23">
        <f>+'QTR Raw'!P80</f>
        <v>0</v>
      </c>
      <c r="AX191" s="23">
        <f>+'QTR Raw'!R80</f>
        <v>0</v>
      </c>
      <c r="AZ191" s="23">
        <f>+'QTR Raw'!T80</f>
        <v>0</v>
      </c>
      <c r="BB191" s="23">
        <f>+'QTR Raw'!V80</f>
        <v>0</v>
      </c>
      <c r="BD191" s="23">
        <f>+'QTR Raw'!X80</f>
        <v>0</v>
      </c>
      <c r="BF191" s="23">
        <f>+'QTR Raw'!Z80</f>
        <v>0</v>
      </c>
      <c r="BH191" s="23">
        <f>+'QTR Raw'!AB80</f>
        <v>0</v>
      </c>
      <c r="BJ191" s="23">
        <f>+'QTR Raw'!AD80</f>
        <v>0</v>
      </c>
      <c r="BL191" s="23">
        <f>+'QTR Raw'!AF80</f>
        <v>0</v>
      </c>
      <c r="BN191" s="23">
        <f>+'QTR Raw'!AH80</f>
        <v>0</v>
      </c>
      <c r="BP191" s="23">
        <f>+'QTR Raw'!AJ80</f>
        <v>0</v>
      </c>
      <c r="BR191" s="23">
        <f>+'QTR Raw'!AL80</f>
        <v>0</v>
      </c>
      <c r="BT191" s="23">
        <f>+'QTR Raw'!AN80</f>
        <v>0</v>
      </c>
      <c r="BV191" s="23">
        <f>+'QTR Raw'!AP80</f>
        <v>0</v>
      </c>
      <c r="BX191" s="23">
        <f>+'QTR Raw'!AR80</f>
        <v>0</v>
      </c>
      <c r="BZ191" s="23">
        <f>+'QTR Raw'!AT80</f>
        <v>0</v>
      </c>
      <c r="CB191" s="23">
        <f>+'QTR Raw'!AV80</f>
        <v>0</v>
      </c>
      <c r="CD191" s="23">
        <f>+'QTR Raw'!AX80</f>
        <v>0</v>
      </c>
      <c r="CF191" s="23">
        <f>+'QTR Raw'!AZ80</f>
        <v>0</v>
      </c>
      <c r="CH191" s="23">
        <f t="shared" ref="CH191:CH192" si="1504">Z191</f>
        <v>2857</v>
      </c>
      <c r="CJ191" s="23">
        <f>+'QTR Raw'!BD80</f>
        <v>423</v>
      </c>
      <c r="CL191" s="23">
        <f>+'QTR Raw'!BF80</f>
        <v>5123</v>
      </c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  <c r="DF191" s="23">
        <v>5123</v>
      </c>
    </row>
    <row r="192" spans="1:110" s="23" customFormat="1" outlineLevel="1" x14ac:dyDescent="0.2">
      <c r="A192" s="23" t="s">
        <v>76</v>
      </c>
      <c r="B192" s="23">
        <f>'Annual Raw'!C78</f>
        <v>0</v>
      </c>
      <c r="C192" s="23">
        <f>'Annual Raw'!D78</f>
        <v>0</v>
      </c>
      <c r="D192" s="23">
        <f>'Annual Raw'!E78</f>
        <v>0</v>
      </c>
      <c r="E192" s="23">
        <v>770.49</v>
      </c>
      <c r="F192" s="23">
        <v>2005.0400000000002</v>
      </c>
      <c r="G192" s="23">
        <v>1119.4299999999998</v>
      </c>
      <c r="H192" s="23">
        <v>826.76</v>
      </c>
      <c r="I192" s="23">
        <v>2397.31</v>
      </c>
      <c r="J192" s="23">
        <v>1141.8200000000002</v>
      </c>
      <c r="K192" s="23">
        <v>1753.2599999999998</v>
      </c>
      <c r="L192" s="23">
        <v>2428.92</v>
      </c>
      <c r="M192" s="23">
        <v>1840.9599999999998</v>
      </c>
      <c r="N192" s="23">
        <v>462.86</v>
      </c>
      <c r="O192" s="23">
        <v>226.15</v>
      </c>
      <c r="P192" s="23">
        <v>944.75</v>
      </c>
      <c r="Q192" s="23">
        <v>788.42</v>
      </c>
      <c r="R192" s="23">
        <v>326.61</v>
      </c>
      <c r="S192" s="23">
        <v>795.42</v>
      </c>
      <c r="T192" s="23">
        <v>1306.6100000000001</v>
      </c>
      <c r="U192" s="23">
        <v>3532.19</v>
      </c>
      <c r="V192" s="23">
        <v>4318.9400000000005</v>
      </c>
      <c r="W192" s="23">
        <v>2605.4299999999998</v>
      </c>
      <c r="X192" s="23">
        <v>1414.65</v>
      </c>
      <c r="Y192" s="23">
        <v>5151</v>
      </c>
      <c r="Z192" s="23">
        <v>1601</v>
      </c>
      <c r="AA192" s="23">
        <v>1601</v>
      </c>
      <c r="AB192" s="24">
        <f t="shared" si="1500"/>
        <v>16171.16923712982</v>
      </c>
      <c r="AC192" s="24">
        <f t="shared" si="1501"/>
        <v>24602.291987764344</v>
      </c>
      <c r="AD192" s="24">
        <f t="shared" si="1502"/>
        <v>35292.836997647559</v>
      </c>
      <c r="AE192" s="24">
        <f t="shared" si="1503"/>
        <v>47017.096970951119</v>
      </c>
      <c r="AJ192" s="23">
        <f>+'QTR Raw'!D83</f>
        <v>0</v>
      </c>
      <c r="AK192" s="23">
        <f t="shared" ref="AK192" si="1505">+AK242</f>
        <v>-458.48999999999978</v>
      </c>
      <c r="AL192" s="23">
        <f>+'QTR Raw'!F83</f>
        <v>0</v>
      </c>
      <c r="AM192" s="23">
        <f t="shared" ref="AM192" si="1506">+AM242</f>
        <v>703.25999999999681</v>
      </c>
      <c r="AN192" s="23">
        <f>+'QTR Raw'!H83</f>
        <v>0</v>
      </c>
      <c r="AO192" s="23">
        <f t="shared" ref="AO192" si="1507">+AO242</f>
        <v>1251.4000000000024</v>
      </c>
      <c r="AP192" s="23">
        <f>+'QTR Raw'!J83</f>
        <v>0</v>
      </c>
      <c r="AQ192" s="23">
        <f t="shared" ref="AQ192" si="1508">+AQ242</f>
        <v>393.69999999999948</v>
      </c>
      <c r="AR192" s="23">
        <f>+'QTR Raw'!L83</f>
        <v>0</v>
      </c>
      <c r="AS192" s="23">
        <f t="shared" ref="AS192" si="1509">+AS242</f>
        <v>-2122.7200000000007</v>
      </c>
      <c r="AT192" s="23">
        <f>+'QTR Raw'!N83</f>
        <v>0</v>
      </c>
      <c r="AU192" s="23">
        <f t="shared" ref="AU192" si="1510">+AU242</f>
        <v>289.8399999999998</v>
      </c>
      <c r="AV192" s="23">
        <f>+'QTR Raw'!P83</f>
        <v>0</v>
      </c>
      <c r="AW192" s="23">
        <f t="shared" ref="AW192" si="1511">+AW242</f>
        <v>-136.82000000000016</v>
      </c>
      <c r="AX192" s="23">
        <f>+'QTR Raw'!R83</f>
        <v>0</v>
      </c>
      <c r="AY192" s="23">
        <f t="shared" ref="AY192" si="1512">+AY242</f>
        <v>25.749999999998749</v>
      </c>
      <c r="AZ192" s="23">
        <f>+'QTR Raw'!T83</f>
        <v>0</v>
      </c>
      <c r="BA192" s="23">
        <f t="shared" ref="BA192" si="1513">+BA242</f>
        <v>-1045.9400000000007</v>
      </c>
      <c r="BB192" s="23">
        <f>+'QTR Raw'!V83</f>
        <v>0</v>
      </c>
      <c r="BC192" s="23">
        <f t="shared" ref="BC192" si="1514">+BC242</f>
        <v>-463.14000000000163</v>
      </c>
      <c r="BD192" s="23">
        <f>+'QTR Raw'!X83</f>
        <v>0</v>
      </c>
      <c r="BE192" s="23">
        <f t="shared" ref="BE192" si="1515">+BE242</f>
        <v>211.58999999999901</v>
      </c>
      <c r="BF192" s="23">
        <f>+'QTR Raw'!Z83</f>
        <v>0</v>
      </c>
      <c r="BG192" s="23">
        <f t="shared" ref="BG192" si="1516">+BG242</f>
        <v>1187.6499999999974</v>
      </c>
      <c r="BH192" s="23">
        <f>+'QTR Raw'!AB83</f>
        <v>0</v>
      </c>
      <c r="BI192" s="23">
        <f t="shared" ref="BI192" si="1517">+BI242</f>
        <v>617.62000000000205</v>
      </c>
      <c r="BJ192" s="23">
        <f>+'QTR Raw'!AD83</f>
        <v>0</v>
      </c>
      <c r="BK192" s="23">
        <f t="shared" ref="BK192" si="1518">+BK242</f>
        <v>-97.100000000000591</v>
      </c>
      <c r="BL192" s="23">
        <f>+'QTR Raw'!AF83</f>
        <v>0</v>
      </c>
      <c r="BM192" s="23">
        <f t="shared" ref="BM192" si="1519">+BM242</f>
        <v>-1039.5099999999984</v>
      </c>
      <c r="BN192" s="23">
        <f>+'QTR Raw'!AH83</f>
        <v>0</v>
      </c>
      <c r="BO192" s="23">
        <f t="shared" ref="BO192" si="1520">+BO242</f>
        <v>-2190.64</v>
      </c>
      <c r="BP192" s="23">
        <f>+'QTR Raw'!AJ83</f>
        <v>0</v>
      </c>
      <c r="BQ192" s="23">
        <f t="shared" ref="BQ192" si="1521">+BQ242</f>
        <v>-638.04</v>
      </c>
      <c r="BR192" s="23">
        <f>+'QTR Raw'!AL83</f>
        <v>0</v>
      </c>
      <c r="BS192" s="23">
        <f t="shared" ref="BS192" si="1522">+BS242</f>
        <v>-1320.7300000000005</v>
      </c>
      <c r="BT192" s="23">
        <f>+'QTR Raw'!AN83</f>
        <v>0</v>
      </c>
      <c r="BU192" s="23">
        <f t="shared" ref="BU192" si="1523">+BU242</f>
        <v>-635.48999999999967</v>
      </c>
      <c r="BV192" s="23">
        <f>+'QTR Raw'!AP83</f>
        <v>0</v>
      </c>
      <c r="BW192" s="23">
        <f t="shared" ref="BW192" si="1524">+BW242</f>
        <v>-181.02999999999756</v>
      </c>
      <c r="BX192" s="23">
        <f>+'QTR Raw'!AR83</f>
        <v>0</v>
      </c>
      <c r="BY192" s="23">
        <f t="shared" ref="BY192" si="1525">+BY242</f>
        <v>484.71</v>
      </c>
      <c r="BZ192" s="23">
        <f>+'QTR Raw'!AT83</f>
        <v>0</v>
      </c>
      <c r="CA192" s="23">
        <f t="shared" ref="CA192" si="1526">+CA242</f>
        <v>-63.999999999997328</v>
      </c>
      <c r="CB192" s="23">
        <f>+'QTR Raw'!AV83</f>
        <v>0</v>
      </c>
      <c r="CC192" s="23">
        <f t="shared" ref="CC192" si="1527">+CC242</f>
        <v>4570.0499999999965</v>
      </c>
      <c r="CD192" s="23">
        <f>+'QTR Raw'!AX83</f>
        <v>0</v>
      </c>
      <c r="CE192" s="23">
        <f t="shared" ref="CE192" si="1528">+CE242</f>
        <v>2190</v>
      </c>
      <c r="CF192" s="23">
        <f>+'QTR Raw'!AZ83</f>
        <v>0</v>
      </c>
      <c r="CG192" s="23">
        <f t="shared" ref="CG192:CI192" si="1529">+CG242</f>
        <v>429.89999999999964</v>
      </c>
      <c r="CH192" s="23">
        <f t="shared" si="1504"/>
        <v>1601</v>
      </c>
      <c r="CI192" s="23">
        <f t="shared" si="1529"/>
        <v>4355.2969648482449</v>
      </c>
      <c r="CJ192" s="23">
        <f>+'QTR Raw'!BD83</f>
        <v>660</v>
      </c>
      <c r="CK192" s="23">
        <f t="shared" ref="CK192:DB192" si="1530">+CK242</f>
        <v>3521.2852737085595</v>
      </c>
      <c r="CL192" s="23">
        <f>+'QTR Raw'!BF83</f>
        <v>2929</v>
      </c>
      <c r="CM192" s="24">
        <f t="shared" si="1530"/>
        <v>5204.0863709586556</v>
      </c>
      <c r="CN192" s="24">
        <f t="shared" si="1530"/>
        <v>7773.5237624817255</v>
      </c>
      <c r="CO192" s="24">
        <f t="shared" si="1530"/>
        <v>11999.175439199056</v>
      </c>
      <c r="CP192" s="24">
        <f t="shared" si="1530"/>
        <v>16171.16923712982</v>
      </c>
      <c r="CQ192" s="24">
        <f t="shared" si="1530"/>
        <v>12891.534028603108</v>
      </c>
      <c r="CR192" s="24">
        <f t="shared" si="1530"/>
        <v>15672.371137851296</v>
      </c>
      <c r="CS192" s="24">
        <f t="shared" si="1530"/>
        <v>20175.143487725043</v>
      </c>
      <c r="CT192" s="24">
        <f t="shared" si="1530"/>
        <v>24602.291987764344</v>
      </c>
      <c r="CU192" s="24">
        <f t="shared" si="1530"/>
        <v>21683.631548511548</v>
      </c>
      <c r="CV192" s="24">
        <f t="shared" si="1530"/>
        <v>24927.095404373726</v>
      </c>
      <c r="CW192" s="24">
        <f t="shared" si="1530"/>
        <v>30102.103066542375</v>
      </c>
      <c r="CX192" s="24">
        <f t="shared" si="1530"/>
        <v>35292.836997647559</v>
      </c>
      <c r="CY192" s="24">
        <f t="shared" si="1530"/>
        <v>31869.296122080883</v>
      </c>
      <c r="CZ192" s="24">
        <f t="shared" si="1530"/>
        <v>35493.909938822129</v>
      </c>
      <c r="DA192" s="24">
        <f t="shared" si="1530"/>
        <v>41276.730186785564</v>
      </c>
      <c r="DB192" s="24">
        <f t="shared" si="1530"/>
        <v>47017.096970951119</v>
      </c>
      <c r="DE192" s="123"/>
      <c r="DF192" s="23">
        <v>7599.2136432307443</v>
      </c>
    </row>
    <row r="193" spans="1:110" s="22" customFormat="1" x14ac:dyDescent="0.2">
      <c r="A193" s="22" t="s">
        <v>77</v>
      </c>
      <c r="B193" s="22">
        <f>B191+B192</f>
        <v>0</v>
      </c>
      <c r="C193" s="22">
        <f t="shared" ref="C193:V193" si="1531">C191+C192</f>
        <v>0</v>
      </c>
      <c r="D193" s="22">
        <f t="shared" si="1531"/>
        <v>0</v>
      </c>
      <c r="E193" s="22">
        <f t="shared" si="1531"/>
        <v>2389.7200000000003</v>
      </c>
      <c r="F193" s="22">
        <f t="shared" si="1531"/>
        <v>3074.4900000000002</v>
      </c>
      <c r="G193" s="22">
        <f t="shared" si="1531"/>
        <v>1345.0499999999997</v>
      </c>
      <c r="H193" s="22">
        <f t="shared" si="1531"/>
        <v>956.45</v>
      </c>
      <c r="I193" s="22">
        <f t="shared" si="1531"/>
        <v>3250.8199999999997</v>
      </c>
      <c r="J193" s="22">
        <f t="shared" si="1531"/>
        <v>1581.8000000000002</v>
      </c>
      <c r="K193" s="22">
        <f t="shared" si="1531"/>
        <v>2210.1899999999987</v>
      </c>
      <c r="L193" s="22">
        <f t="shared" si="1531"/>
        <v>2514.92</v>
      </c>
      <c r="M193" s="22">
        <f t="shared" si="1531"/>
        <v>4431.2199999999993</v>
      </c>
      <c r="N193" s="22">
        <f t="shared" si="1531"/>
        <v>2225.54</v>
      </c>
      <c r="O193" s="22">
        <f t="shared" si="1531"/>
        <v>327</v>
      </c>
      <c r="P193" s="22">
        <f t="shared" si="1531"/>
        <v>964.97</v>
      </c>
      <c r="Q193" s="22">
        <f t="shared" si="1531"/>
        <v>2534.2600000000002</v>
      </c>
      <c r="R193" s="22">
        <f t="shared" si="1531"/>
        <v>2315.1800000000012</v>
      </c>
      <c r="S193" s="22">
        <f t="shared" si="1531"/>
        <v>2251.7499999999986</v>
      </c>
      <c r="T193" s="22">
        <f t="shared" si="1531"/>
        <v>2866.7399999999989</v>
      </c>
      <c r="U193" s="22">
        <f t="shared" si="1531"/>
        <v>4841.119999999999</v>
      </c>
      <c r="V193" s="22">
        <f t="shared" si="1531"/>
        <v>6704.869999999999</v>
      </c>
      <c r="W193" s="22">
        <f t="shared" ref="W193" si="1532">W191+W192</f>
        <v>7748.51</v>
      </c>
      <c r="X193" s="22">
        <f t="shared" ref="X193:Y193" si="1533">X191+X192</f>
        <v>4557.6100000000006</v>
      </c>
      <c r="Y193" s="22">
        <f t="shared" si="1533"/>
        <v>7145</v>
      </c>
      <c r="Z193" s="22">
        <f t="shared" ref="Z193:AA193" si="1534">Z191+Z192</f>
        <v>4458</v>
      </c>
      <c r="AA193" s="22">
        <f t="shared" si="1534"/>
        <v>4458</v>
      </c>
      <c r="AB193" s="21">
        <f t="shared" ref="AA193:AD193" si="1535">AB191+AB192</f>
        <v>16171.16923712982</v>
      </c>
      <c r="AC193" s="21">
        <f t="shared" si="1535"/>
        <v>24602.291987764344</v>
      </c>
      <c r="AD193" s="21">
        <f t="shared" si="1535"/>
        <v>35292.836997647559</v>
      </c>
      <c r="AE193" s="21">
        <f t="shared" ref="AE193" si="1536">AE191+AE192</f>
        <v>47017.096970951119</v>
      </c>
      <c r="AJ193" s="22">
        <f>AJ191+AJ192</f>
        <v>0</v>
      </c>
      <c r="AK193" s="22">
        <f t="shared" ref="AK193" si="1537">AK191+AK192</f>
        <v>-458.48999999999978</v>
      </c>
      <c r="AL193" s="22">
        <f t="shared" ref="AL193:AM193" si="1538">AL191+AL192</f>
        <v>0</v>
      </c>
      <c r="AM193" s="22">
        <f t="shared" si="1538"/>
        <v>703.25999999999681</v>
      </c>
      <c r="AN193" s="22">
        <f t="shared" ref="AN193:AO193" si="1539">AN191+AN192</f>
        <v>0</v>
      </c>
      <c r="AO193" s="22">
        <f t="shared" si="1539"/>
        <v>1251.4000000000024</v>
      </c>
      <c r="AP193" s="22">
        <f t="shared" ref="AP193:CE193" si="1540">AP191+AP192</f>
        <v>0</v>
      </c>
      <c r="AQ193" s="22">
        <f t="shared" si="1540"/>
        <v>393.69999999999948</v>
      </c>
      <c r="AR193" s="22">
        <f t="shared" si="1540"/>
        <v>0</v>
      </c>
      <c r="AS193" s="22">
        <f t="shared" si="1540"/>
        <v>-2122.7200000000007</v>
      </c>
      <c r="AT193" s="22">
        <f t="shared" si="1540"/>
        <v>0</v>
      </c>
      <c r="AU193" s="22">
        <f t="shared" si="1540"/>
        <v>289.8399999999998</v>
      </c>
      <c r="AV193" s="22">
        <f t="shared" si="1540"/>
        <v>0</v>
      </c>
      <c r="AW193" s="22">
        <f t="shared" si="1540"/>
        <v>-136.82000000000016</v>
      </c>
      <c r="AX193" s="22">
        <f t="shared" si="1540"/>
        <v>0</v>
      </c>
      <c r="AY193" s="22">
        <f t="shared" si="1540"/>
        <v>25.749999999998749</v>
      </c>
      <c r="AZ193" s="22">
        <f t="shared" si="1540"/>
        <v>0</v>
      </c>
      <c r="BA193" s="22">
        <f t="shared" si="1540"/>
        <v>-1045.9400000000007</v>
      </c>
      <c r="BB193" s="22">
        <f t="shared" si="1540"/>
        <v>0</v>
      </c>
      <c r="BC193" s="22">
        <f t="shared" si="1540"/>
        <v>-463.14000000000163</v>
      </c>
      <c r="BD193" s="22">
        <f t="shared" si="1540"/>
        <v>0</v>
      </c>
      <c r="BE193" s="22">
        <f t="shared" si="1540"/>
        <v>211.58999999999901</v>
      </c>
      <c r="BF193" s="22">
        <f t="shared" si="1540"/>
        <v>0</v>
      </c>
      <c r="BG193" s="22">
        <f t="shared" si="1540"/>
        <v>1187.6499999999974</v>
      </c>
      <c r="BH193" s="22">
        <f t="shared" si="1540"/>
        <v>0</v>
      </c>
      <c r="BI193" s="22">
        <f t="shared" si="1540"/>
        <v>617.62000000000205</v>
      </c>
      <c r="BJ193" s="22">
        <f t="shared" si="1540"/>
        <v>0</v>
      </c>
      <c r="BK193" s="22">
        <f t="shared" si="1540"/>
        <v>-97.100000000000591</v>
      </c>
      <c r="BL193" s="22">
        <f t="shared" si="1540"/>
        <v>0</v>
      </c>
      <c r="BM193" s="22">
        <f t="shared" si="1540"/>
        <v>-1039.5099999999984</v>
      </c>
      <c r="BN193" s="22">
        <f t="shared" si="1540"/>
        <v>0</v>
      </c>
      <c r="BO193" s="22">
        <f t="shared" si="1540"/>
        <v>-2190.64</v>
      </c>
      <c r="BP193" s="22">
        <f t="shared" si="1540"/>
        <v>0</v>
      </c>
      <c r="BQ193" s="22">
        <f t="shared" si="1540"/>
        <v>-638.04</v>
      </c>
      <c r="BR193" s="22">
        <f t="shared" si="1540"/>
        <v>0</v>
      </c>
      <c r="BS193" s="22">
        <f t="shared" si="1540"/>
        <v>-1320.7300000000005</v>
      </c>
      <c r="BT193" s="22">
        <f t="shared" si="1540"/>
        <v>0</v>
      </c>
      <c r="BU193" s="22">
        <f t="shared" si="1540"/>
        <v>-635.48999999999967</v>
      </c>
      <c r="BV193" s="22">
        <f t="shared" si="1540"/>
        <v>0</v>
      </c>
      <c r="BW193" s="22">
        <f t="shared" si="1540"/>
        <v>-181.02999999999756</v>
      </c>
      <c r="BX193" s="22">
        <f t="shared" si="1540"/>
        <v>0</v>
      </c>
      <c r="BY193" s="22">
        <f t="shared" si="1540"/>
        <v>484.71</v>
      </c>
      <c r="BZ193" s="22">
        <f t="shared" si="1540"/>
        <v>0</v>
      </c>
      <c r="CA193" s="22">
        <f t="shared" si="1540"/>
        <v>-63.999999999997328</v>
      </c>
      <c r="CB193" s="22">
        <f t="shared" si="1540"/>
        <v>0</v>
      </c>
      <c r="CC193" s="22">
        <f t="shared" si="1540"/>
        <v>4570.0499999999965</v>
      </c>
      <c r="CD193" s="22">
        <f t="shared" si="1540"/>
        <v>0</v>
      </c>
      <c r="CE193" s="22">
        <f t="shared" si="1540"/>
        <v>2190</v>
      </c>
      <c r="CF193" s="22">
        <f t="shared" ref="CF193:CG193" si="1541">CF191+CF192</f>
        <v>0</v>
      </c>
      <c r="CG193" s="22">
        <f t="shared" si="1541"/>
        <v>429.89999999999964</v>
      </c>
      <c r="CH193" s="22">
        <f t="shared" ref="CH193:CI193" si="1542">CH191+CH192</f>
        <v>4458</v>
      </c>
      <c r="CI193" s="22">
        <f t="shared" si="1542"/>
        <v>4355.2969648482449</v>
      </c>
      <c r="CJ193" s="22">
        <f t="shared" ref="CJ193:DB193" si="1543">CJ191+CJ192</f>
        <v>1083</v>
      </c>
      <c r="CK193" s="22">
        <f t="shared" si="1543"/>
        <v>3521.2852737085595</v>
      </c>
      <c r="CL193" s="22">
        <f t="shared" ref="CL193" si="1544">CL191+CL192</f>
        <v>8052</v>
      </c>
      <c r="CM193" s="21">
        <f t="shared" si="1543"/>
        <v>5204.0863709586556</v>
      </c>
      <c r="CN193" s="21">
        <f t="shared" si="1543"/>
        <v>7773.5237624817255</v>
      </c>
      <c r="CO193" s="21">
        <f t="shared" si="1543"/>
        <v>11999.175439199056</v>
      </c>
      <c r="CP193" s="21">
        <f t="shared" si="1543"/>
        <v>16171.16923712982</v>
      </c>
      <c r="CQ193" s="21">
        <f t="shared" si="1543"/>
        <v>12891.534028603108</v>
      </c>
      <c r="CR193" s="21">
        <f t="shared" si="1543"/>
        <v>15672.371137851296</v>
      </c>
      <c r="CS193" s="21">
        <f t="shared" si="1543"/>
        <v>20175.143487725043</v>
      </c>
      <c r="CT193" s="21">
        <f t="shared" si="1543"/>
        <v>24602.291987764344</v>
      </c>
      <c r="CU193" s="21">
        <f t="shared" si="1543"/>
        <v>21683.631548511548</v>
      </c>
      <c r="CV193" s="21">
        <f t="shared" si="1543"/>
        <v>24927.095404373726</v>
      </c>
      <c r="CW193" s="21">
        <f t="shared" si="1543"/>
        <v>30102.103066542375</v>
      </c>
      <c r="CX193" s="21">
        <f t="shared" si="1543"/>
        <v>35292.836997647559</v>
      </c>
      <c r="CY193" s="21">
        <f t="shared" si="1543"/>
        <v>31869.296122080883</v>
      </c>
      <c r="CZ193" s="21">
        <f t="shared" si="1543"/>
        <v>35493.909938822129</v>
      </c>
      <c r="DA193" s="21">
        <f t="shared" si="1543"/>
        <v>41276.730186785564</v>
      </c>
      <c r="DB193" s="21">
        <f t="shared" si="1543"/>
        <v>47017.096970951119</v>
      </c>
      <c r="DE193" s="127"/>
      <c r="DF193" s="22">
        <v>7599.2136432307443</v>
      </c>
    </row>
    <row r="194" spans="1:110" s="23" customFormat="1" x14ac:dyDescent="0.2">
      <c r="AB194" s="24"/>
      <c r="AC194" s="24"/>
      <c r="AD194" s="24"/>
      <c r="AE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3"/>
    </row>
    <row r="195" spans="1:110" s="23" customFormat="1" x14ac:dyDescent="0.2">
      <c r="A195" s="23" t="s">
        <v>78</v>
      </c>
      <c r="B195" s="23">
        <f>-'Annual Raw'!C49</f>
        <v>0</v>
      </c>
      <c r="C195" s="23">
        <f>-'Annual Raw'!D49</f>
        <v>0</v>
      </c>
      <c r="D195" s="23">
        <f>-'Annual Raw'!E49</f>
        <v>0</v>
      </c>
      <c r="E195" s="23">
        <v>-514.15</v>
      </c>
      <c r="F195" s="23">
        <v>-565.28</v>
      </c>
      <c r="G195" s="23">
        <v>-622.54</v>
      </c>
      <c r="H195" s="23">
        <v>-786.83</v>
      </c>
      <c r="I195" s="23">
        <v>-975.72</v>
      </c>
      <c r="J195" s="23">
        <v>-865.81000000000006</v>
      </c>
      <c r="K195" s="23">
        <v>-1508.6399999999999</v>
      </c>
      <c r="L195" s="23">
        <v>-2023.1599999999999</v>
      </c>
      <c r="M195" s="23">
        <v>-2105.41</v>
      </c>
      <c r="N195" s="23">
        <v>-1963.9099999999999</v>
      </c>
      <c r="O195" s="23">
        <v>-43.11</v>
      </c>
      <c r="P195" s="23">
        <v>0</v>
      </c>
      <c r="Q195" s="23">
        <v>0</v>
      </c>
      <c r="R195" s="23">
        <v>-147.57999999999998</v>
      </c>
      <c r="S195" s="23">
        <v>-154.60999999999999</v>
      </c>
      <c r="T195" s="23">
        <v>-205.85999999999999</v>
      </c>
      <c r="U195" s="23">
        <v>-198.59</v>
      </c>
      <c r="V195" s="23">
        <v>-266.5</v>
      </c>
      <c r="W195" s="23">
        <v>-173.72</v>
      </c>
      <c r="X195" s="23">
        <v>-51.160000000000004</v>
      </c>
      <c r="Y195" s="23">
        <v>-50</v>
      </c>
      <c r="Z195" s="23">
        <v>-404</v>
      </c>
      <c r="AA195" s="23">
        <v>-404</v>
      </c>
      <c r="AB195" s="24">
        <f t="shared" ref="AB195:AB196" si="1545">+CP195</f>
        <v>-1217</v>
      </c>
      <c r="AC195" s="24">
        <f t="shared" ref="AC195:AC196" si="1546">+CT195</f>
        <v>-1217</v>
      </c>
      <c r="AD195" s="24">
        <f t="shared" ref="AD195:AD196" si="1547">+CX195</f>
        <v>-1217</v>
      </c>
      <c r="AE195" s="24">
        <f t="shared" ref="AE195:AE196" si="1548">+DB195</f>
        <v>-1217</v>
      </c>
      <c r="AJ195" s="23">
        <f>+'QTR Raw'!D96</f>
        <v>0</v>
      </c>
      <c r="AK195" s="23">
        <f t="shared" ref="AK195:CE195" si="1549">+AJ195</f>
        <v>0</v>
      </c>
      <c r="AL195" s="23">
        <f>+'QTR Raw'!F96</f>
        <v>0</v>
      </c>
      <c r="AM195" s="23">
        <f t="shared" si="1549"/>
        <v>0</v>
      </c>
      <c r="AN195" s="23">
        <f>+'QTR Raw'!H96</f>
        <v>0</v>
      </c>
      <c r="AO195" s="23">
        <f t="shared" si="1549"/>
        <v>0</v>
      </c>
      <c r="AP195" s="23">
        <f>+'QTR Raw'!J96</f>
        <v>0</v>
      </c>
      <c r="AQ195" s="23">
        <f t="shared" si="1549"/>
        <v>0</v>
      </c>
      <c r="AR195" s="23">
        <f>+'QTR Raw'!L96</f>
        <v>0</v>
      </c>
      <c r="AS195" s="23">
        <f t="shared" si="1549"/>
        <v>0</v>
      </c>
      <c r="AT195" s="23">
        <f>+'QTR Raw'!N96</f>
        <v>0</v>
      </c>
      <c r="AU195" s="23">
        <f t="shared" si="1549"/>
        <v>0</v>
      </c>
      <c r="AV195" s="23">
        <f>+'QTR Raw'!P96</f>
        <v>0</v>
      </c>
      <c r="AW195" s="23">
        <f t="shared" si="1549"/>
        <v>0</v>
      </c>
      <c r="AX195" s="23">
        <f>+'QTR Raw'!R96</f>
        <v>0</v>
      </c>
      <c r="AY195" s="23">
        <f t="shared" si="1549"/>
        <v>0</v>
      </c>
      <c r="AZ195" s="23">
        <f>+'QTR Raw'!T96</f>
        <v>0</v>
      </c>
      <c r="BA195" s="23">
        <f t="shared" si="1549"/>
        <v>0</v>
      </c>
      <c r="BB195" s="23">
        <f>+'QTR Raw'!V96</f>
        <v>0</v>
      </c>
      <c r="BC195" s="23">
        <f t="shared" si="1549"/>
        <v>0</v>
      </c>
      <c r="BD195" s="23">
        <f>+'QTR Raw'!X96</f>
        <v>0</v>
      </c>
      <c r="BE195" s="23">
        <f t="shared" si="1549"/>
        <v>0</v>
      </c>
      <c r="BF195" s="23">
        <f>+'QTR Raw'!Z96</f>
        <v>0</v>
      </c>
      <c r="BG195" s="23">
        <f t="shared" si="1549"/>
        <v>0</v>
      </c>
      <c r="BH195" s="23">
        <f>+'QTR Raw'!AB96</f>
        <v>0</v>
      </c>
      <c r="BI195" s="23">
        <f t="shared" si="1549"/>
        <v>0</v>
      </c>
      <c r="BJ195" s="23">
        <f>+'QTR Raw'!AD96</f>
        <v>0</v>
      </c>
      <c r="BK195" s="23">
        <f t="shared" si="1549"/>
        <v>0</v>
      </c>
      <c r="BL195" s="23">
        <f>+'QTR Raw'!AF96</f>
        <v>0</v>
      </c>
      <c r="BM195" s="23">
        <f t="shared" si="1549"/>
        <v>0</v>
      </c>
      <c r="BN195" s="23">
        <f>+'QTR Raw'!AH96</f>
        <v>0</v>
      </c>
      <c r="BO195" s="23">
        <f t="shared" si="1549"/>
        <v>0</v>
      </c>
      <c r="BP195" s="23">
        <f>+'QTR Raw'!AJ96</f>
        <v>0</v>
      </c>
      <c r="BQ195" s="23">
        <f t="shared" si="1549"/>
        <v>0</v>
      </c>
      <c r="BR195" s="23">
        <f>+'QTR Raw'!AL96</f>
        <v>0</v>
      </c>
      <c r="BS195" s="23">
        <f t="shared" si="1549"/>
        <v>0</v>
      </c>
      <c r="BT195" s="23">
        <f>+'QTR Raw'!AN96</f>
        <v>0</v>
      </c>
      <c r="BU195" s="23">
        <f t="shared" si="1549"/>
        <v>0</v>
      </c>
      <c r="BV195" s="23">
        <f>+'QTR Raw'!AP96</f>
        <v>0</v>
      </c>
      <c r="BW195" s="23">
        <f t="shared" si="1549"/>
        <v>0</v>
      </c>
      <c r="BX195" s="23">
        <f>+'QTR Raw'!AR96</f>
        <v>0</v>
      </c>
      <c r="BY195" s="23">
        <f t="shared" si="1549"/>
        <v>0</v>
      </c>
      <c r="BZ195" s="23">
        <f>+'QTR Raw'!AT96</f>
        <v>0</v>
      </c>
      <c r="CA195" s="23">
        <f t="shared" si="1549"/>
        <v>0</v>
      </c>
      <c r="CB195" s="23">
        <f>+'QTR Raw'!AV96</f>
        <v>0</v>
      </c>
      <c r="CC195" s="23">
        <f t="shared" si="1549"/>
        <v>0</v>
      </c>
      <c r="CD195" s="23">
        <f>+'QTR Raw'!AX96</f>
        <v>0</v>
      </c>
      <c r="CE195" s="23">
        <f t="shared" si="1549"/>
        <v>0</v>
      </c>
      <c r="CF195" s="23">
        <f>+'QTR Raw'!AZ96</f>
        <v>0</v>
      </c>
      <c r="CG195" s="23">
        <f t="shared" ref="CG195:CI196" si="1550">+CF195</f>
        <v>0</v>
      </c>
      <c r="CH195" s="23">
        <f t="shared" ref="CH195:CH196" si="1551">Z195</f>
        <v>-404</v>
      </c>
      <c r="CI195" s="23">
        <f t="shared" si="1550"/>
        <v>-404</v>
      </c>
      <c r="CJ195" s="23">
        <f>+'QTR Raw'!BD96</f>
        <v>-932</v>
      </c>
      <c r="CK195" s="23">
        <f t="shared" ref="CK195:CK196" si="1552">+CJ195</f>
        <v>-932</v>
      </c>
      <c r="CL195" s="23">
        <f>+'QTR Raw'!BF96</f>
        <v>-1217</v>
      </c>
      <c r="CM195" s="24">
        <f t="shared" ref="CM195:CM196" si="1553">+CL195</f>
        <v>-1217</v>
      </c>
      <c r="CN195" s="24">
        <f t="shared" ref="CN195:CN196" si="1554">+CM195</f>
        <v>-1217</v>
      </c>
      <c r="CO195" s="24">
        <f t="shared" ref="CO195:CO196" si="1555">+CN195</f>
        <v>-1217</v>
      </c>
      <c r="CP195" s="24">
        <f t="shared" ref="CP195:CP196" si="1556">+CO195</f>
        <v>-1217</v>
      </c>
      <c r="CQ195" s="24">
        <f t="shared" ref="CQ195:CQ196" si="1557">+CP195</f>
        <v>-1217</v>
      </c>
      <c r="CR195" s="24">
        <f t="shared" ref="CR195:CR196" si="1558">+CQ195</f>
        <v>-1217</v>
      </c>
      <c r="CS195" s="24">
        <f t="shared" ref="CS195:CS196" si="1559">+CR195</f>
        <v>-1217</v>
      </c>
      <c r="CT195" s="24">
        <f t="shared" ref="CT195:CT196" si="1560">+CS195</f>
        <v>-1217</v>
      </c>
      <c r="CU195" s="24">
        <f t="shared" ref="CU195:CU196" si="1561">+CT195</f>
        <v>-1217</v>
      </c>
      <c r="CV195" s="24">
        <f t="shared" ref="CV195:CV196" si="1562">+CU195</f>
        <v>-1217</v>
      </c>
      <c r="CW195" s="24">
        <f t="shared" ref="CW195:CW196" si="1563">+CV195</f>
        <v>-1217</v>
      </c>
      <c r="CX195" s="24">
        <f t="shared" ref="CX195:CX196" si="1564">+CW195</f>
        <v>-1217</v>
      </c>
      <c r="CY195" s="24">
        <f t="shared" ref="CY195:CY196" si="1565">+CX195</f>
        <v>-1217</v>
      </c>
      <c r="CZ195" s="24">
        <f t="shared" ref="CZ195:CZ196" si="1566">+CY195</f>
        <v>-1217</v>
      </c>
      <c r="DA195" s="24">
        <f t="shared" ref="DA195:DA196" si="1567">+CZ195</f>
        <v>-1217</v>
      </c>
      <c r="DB195" s="24">
        <f t="shared" ref="DB195:DB196" si="1568">+DA195</f>
        <v>-1217</v>
      </c>
      <c r="DE195" s="123"/>
      <c r="DF195" s="23">
        <v>-932</v>
      </c>
    </row>
    <row r="196" spans="1:110" s="23" customFormat="1" x14ac:dyDescent="0.2">
      <c r="A196" s="23" t="s">
        <v>79</v>
      </c>
      <c r="B196" s="23">
        <f>'Annual Raw'!C83</f>
        <v>0</v>
      </c>
      <c r="C196" s="23">
        <f>'Annual Raw'!D83</f>
        <v>0</v>
      </c>
      <c r="D196" s="23">
        <f>'Annual Raw'!E83</f>
        <v>0</v>
      </c>
      <c r="E196" s="23">
        <f>'Annual Raw'!F83</f>
        <v>0</v>
      </c>
      <c r="F196" s="23">
        <f>'Annual Raw'!G83</f>
        <v>0</v>
      </c>
      <c r="G196" s="23">
        <f>'Annual Raw'!H83</f>
        <v>0</v>
      </c>
      <c r="H196" s="23">
        <f>'Annual Raw'!I83</f>
        <v>0</v>
      </c>
      <c r="I196" s="23">
        <f>'Annual Raw'!J83</f>
        <v>0</v>
      </c>
      <c r="J196" s="23">
        <f>'Annual Raw'!K83</f>
        <v>0</v>
      </c>
      <c r="K196" s="23">
        <f>'Annual Raw'!L83</f>
        <v>0</v>
      </c>
      <c r="L196" s="23">
        <f>'Annual Raw'!M83</f>
        <v>0</v>
      </c>
      <c r="M196" s="23">
        <f>'Annual Raw'!N83</f>
        <v>0</v>
      </c>
      <c r="N196" s="23">
        <f>'Annual Raw'!O83</f>
        <v>0</v>
      </c>
      <c r="O196" s="23">
        <f>'Annual Raw'!P83</f>
        <v>0</v>
      </c>
      <c r="P196" s="23">
        <f>'Annual Raw'!Q83</f>
        <v>0</v>
      </c>
      <c r="Q196" s="23">
        <f>'Annual Raw'!R83</f>
        <v>0</v>
      </c>
      <c r="R196" s="23">
        <f>'Annual Raw'!S83</f>
        <v>0</v>
      </c>
      <c r="S196" s="23">
        <f>'Annual Raw'!T83</f>
        <v>0</v>
      </c>
      <c r="T196" s="23">
        <f>'Annual Raw'!U83</f>
        <v>0</v>
      </c>
      <c r="U196" s="23">
        <f>'Annual Raw'!V83</f>
        <v>0</v>
      </c>
      <c r="V196" s="23">
        <f>'Annual Raw'!W83</f>
        <v>0</v>
      </c>
      <c r="W196" s="23">
        <f>'Annual Raw'!X83</f>
        <v>0</v>
      </c>
      <c r="X196" s="23">
        <f>'Annual Raw'!Y83</f>
        <v>0</v>
      </c>
      <c r="Y196" s="23">
        <f>'Annual Raw'!Z83</f>
        <v>0</v>
      </c>
      <c r="Z196" s="23">
        <f>'Annual Raw'!AA83</f>
        <v>0</v>
      </c>
      <c r="AA196" s="23">
        <f>'Annual Raw'!AB83</f>
        <v>0</v>
      </c>
      <c r="AB196" s="24">
        <f t="shared" si="1545"/>
        <v>0</v>
      </c>
      <c r="AC196" s="24">
        <f t="shared" si="1546"/>
        <v>0</v>
      </c>
      <c r="AD196" s="24">
        <f t="shared" si="1547"/>
        <v>0</v>
      </c>
      <c r="AE196" s="24">
        <f t="shared" si="1548"/>
        <v>0</v>
      </c>
      <c r="AI196" s="23">
        <f>+'QTR Raw'!D95</f>
        <v>0</v>
      </c>
      <c r="AJ196" s="23">
        <f>+'QTR Raw'!E95</f>
        <v>0</v>
      </c>
      <c r="AK196" s="23">
        <f t="shared" ref="AK196:CE196" si="1569">+AJ196</f>
        <v>0</v>
      </c>
      <c r="AL196" s="23">
        <f>+'QTR Raw'!G95</f>
        <v>0</v>
      </c>
      <c r="AM196" s="23">
        <f t="shared" si="1569"/>
        <v>0</v>
      </c>
      <c r="AN196" s="23">
        <f>+'QTR Raw'!I95</f>
        <v>0</v>
      </c>
      <c r="AO196" s="23">
        <f t="shared" si="1569"/>
        <v>0</v>
      </c>
      <c r="AP196" s="23">
        <f>+'QTR Raw'!K95</f>
        <v>0</v>
      </c>
      <c r="AQ196" s="23">
        <f t="shared" si="1569"/>
        <v>0</v>
      </c>
      <c r="AR196" s="23">
        <f>+'QTR Raw'!M95</f>
        <v>0</v>
      </c>
      <c r="AS196" s="23">
        <f t="shared" si="1569"/>
        <v>0</v>
      </c>
      <c r="AT196" s="23">
        <f>+'QTR Raw'!O95</f>
        <v>0</v>
      </c>
      <c r="AU196" s="23">
        <f t="shared" si="1569"/>
        <v>0</v>
      </c>
      <c r="AV196" s="23">
        <f>+'QTR Raw'!Q95</f>
        <v>0</v>
      </c>
      <c r="AW196" s="23">
        <f t="shared" si="1569"/>
        <v>0</v>
      </c>
      <c r="AX196" s="23">
        <f>+'QTR Raw'!S95</f>
        <v>0</v>
      </c>
      <c r="AY196" s="23">
        <f t="shared" si="1569"/>
        <v>0</v>
      </c>
      <c r="AZ196" s="23">
        <f>+'QTR Raw'!U95</f>
        <v>0</v>
      </c>
      <c r="BA196" s="23">
        <f t="shared" si="1569"/>
        <v>0</v>
      </c>
      <c r="BB196" s="23">
        <f>+'QTR Raw'!W95</f>
        <v>0</v>
      </c>
      <c r="BC196" s="23">
        <f t="shared" si="1569"/>
        <v>0</v>
      </c>
      <c r="BD196" s="23">
        <f>+'QTR Raw'!Y95</f>
        <v>0</v>
      </c>
      <c r="BE196" s="23">
        <f t="shared" si="1569"/>
        <v>0</v>
      </c>
      <c r="BF196" s="23">
        <f>+'QTR Raw'!AA95</f>
        <v>0</v>
      </c>
      <c r="BG196" s="23">
        <f t="shared" si="1569"/>
        <v>0</v>
      </c>
      <c r="BH196" s="23">
        <f>+'QTR Raw'!AC95</f>
        <v>0</v>
      </c>
      <c r="BI196" s="23">
        <f t="shared" si="1569"/>
        <v>0</v>
      </c>
      <c r="BJ196" s="23">
        <f>+'QTR Raw'!AE95</f>
        <v>0</v>
      </c>
      <c r="BK196" s="23">
        <f t="shared" si="1569"/>
        <v>0</v>
      </c>
      <c r="BL196" s="23">
        <f>+'QTR Raw'!AG95</f>
        <v>0</v>
      </c>
      <c r="BM196" s="23">
        <f t="shared" si="1569"/>
        <v>0</v>
      </c>
      <c r="BN196" s="23">
        <f>+'QTR Raw'!AI95</f>
        <v>0</v>
      </c>
      <c r="BO196" s="23">
        <f t="shared" si="1569"/>
        <v>0</v>
      </c>
      <c r="BP196" s="23">
        <f>+'QTR Raw'!AK95</f>
        <v>0</v>
      </c>
      <c r="BQ196" s="23">
        <f t="shared" si="1569"/>
        <v>0</v>
      </c>
      <c r="BR196" s="23">
        <f>+'QTR Raw'!AM95</f>
        <v>0</v>
      </c>
      <c r="BS196" s="23">
        <f t="shared" si="1569"/>
        <v>0</v>
      </c>
      <c r="BT196" s="23">
        <f>+'QTR Raw'!AO95</f>
        <v>0</v>
      </c>
      <c r="BU196" s="23">
        <f t="shared" si="1569"/>
        <v>0</v>
      </c>
      <c r="BV196" s="23">
        <f>+'QTR Raw'!AQ95</f>
        <v>0</v>
      </c>
      <c r="BW196" s="23">
        <f t="shared" si="1569"/>
        <v>0</v>
      </c>
      <c r="BX196" s="23">
        <f>+'QTR Raw'!AS95</f>
        <v>0</v>
      </c>
      <c r="BY196" s="23">
        <f t="shared" si="1569"/>
        <v>0</v>
      </c>
      <c r="BZ196" s="23">
        <f>+'QTR Raw'!AU95</f>
        <v>0</v>
      </c>
      <c r="CA196" s="23">
        <f t="shared" si="1569"/>
        <v>0</v>
      </c>
      <c r="CB196" s="23">
        <f>+'QTR Raw'!AW95</f>
        <v>0</v>
      </c>
      <c r="CC196" s="23">
        <f t="shared" si="1569"/>
        <v>0</v>
      </c>
      <c r="CD196" s="23">
        <f>+'QTR Raw'!AY95</f>
        <v>0</v>
      </c>
      <c r="CE196" s="23">
        <f t="shared" si="1569"/>
        <v>0</v>
      </c>
      <c r="CF196" s="23">
        <f>+'QTR Raw'!BA95</f>
        <v>0</v>
      </c>
      <c r="CG196" s="23">
        <f t="shared" si="1550"/>
        <v>0</v>
      </c>
      <c r="CH196" s="23">
        <f t="shared" si="1551"/>
        <v>0</v>
      </c>
      <c r="CI196" s="23">
        <f t="shared" si="1550"/>
        <v>0</v>
      </c>
      <c r="CJ196" s="23">
        <f>+'QTR Raw'!BE95</f>
        <v>0</v>
      </c>
      <c r="CK196" s="23">
        <f t="shared" si="1552"/>
        <v>0</v>
      </c>
      <c r="CL196" s="23">
        <f>+'QTR Raw'!BG95</f>
        <v>0</v>
      </c>
      <c r="CM196" s="24">
        <f t="shared" si="1553"/>
        <v>0</v>
      </c>
      <c r="CN196" s="24">
        <f t="shared" si="1554"/>
        <v>0</v>
      </c>
      <c r="CO196" s="24">
        <f t="shared" si="1555"/>
        <v>0</v>
      </c>
      <c r="CP196" s="24">
        <f t="shared" si="1556"/>
        <v>0</v>
      </c>
      <c r="CQ196" s="24">
        <f t="shared" si="1557"/>
        <v>0</v>
      </c>
      <c r="CR196" s="24">
        <f t="shared" si="1558"/>
        <v>0</v>
      </c>
      <c r="CS196" s="24">
        <f t="shared" si="1559"/>
        <v>0</v>
      </c>
      <c r="CT196" s="24">
        <f t="shared" si="1560"/>
        <v>0</v>
      </c>
      <c r="CU196" s="24">
        <f t="shared" si="1561"/>
        <v>0</v>
      </c>
      <c r="CV196" s="24">
        <f t="shared" si="1562"/>
        <v>0</v>
      </c>
      <c r="CW196" s="24">
        <f t="shared" si="1563"/>
        <v>0</v>
      </c>
      <c r="CX196" s="24">
        <f t="shared" si="1564"/>
        <v>0</v>
      </c>
      <c r="CY196" s="24">
        <f t="shared" si="1565"/>
        <v>0</v>
      </c>
      <c r="CZ196" s="24">
        <f t="shared" si="1566"/>
        <v>0</v>
      </c>
      <c r="DA196" s="24">
        <f t="shared" si="1567"/>
        <v>0</v>
      </c>
      <c r="DB196" s="24">
        <f t="shared" si="1568"/>
        <v>0</v>
      </c>
      <c r="DE196" s="123"/>
      <c r="DF196" s="23">
        <v>0</v>
      </c>
    </row>
    <row r="197" spans="1:110" s="26" customFormat="1" x14ac:dyDescent="0.2">
      <c r="A197" s="26" t="s">
        <v>440</v>
      </c>
      <c r="B197" s="26">
        <f t="shared" ref="B197:W197" si="1570">B195+B193+B189+B171+B169+B196</f>
        <v>0</v>
      </c>
      <c r="C197" s="26">
        <f t="shared" si="1570"/>
        <v>0</v>
      </c>
      <c r="D197" s="26">
        <f t="shared" si="1570"/>
        <v>0</v>
      </c>
      <c r="E197" s="26">
        <f t="shared" si="1570"/>
        <v>4853.3700000000008</v>
      </c>
      <c r="F197" s="26">
        <f t="shared" si="1570"/>
        <v>6606.8099999999986</v>
      </c>
      <c r="G197" s="26">
        <f t="shared" si="1570"/>
        <v>8473.9100000000017</v>
      </c>
      <c r="H197" s="26">
        <f t="shared" si="1570"/>
        <v>10878.89</v>
      </c>
      <c r="I197" s="26">
        <f t="shared" si="1570"/>
        <v>14120.02</v>
      </c>
      <c r="J197" s="26">
        <f t="shared" si="1570"/>
        <v>25559.83</v>
      </c>
      <c r="K197" s="26">
        <f t="shared" si="1570"/>
        <v>31398.320000000003</v>
      </c>
      <c r="L197" s="26">
        <f t="shared" si="1570"/>
        <v>34651.5</v>
      </c>
      <c r="M197" s="26">
        <f t="shared" si="1570"/>
        <v>35248.229999999996</v>
      </c>
      <c r="N197" s="26">
        <f t="shared" si="1570"/>
        <v>37360.839999999997</v>
      </c>
      <c r="O197" s="26">
        <f t="shared" si="1570"/>
        <v>33692.18</v>
      </c>
      <c r="P197" s="26">
        <f t="shared" si="1570"/>
        <v>35996.959999999999</v>
      </c>
      <c r="Q197" s="26">
        <f t="shared" si="1570"/>
        <v>37516.930000000008</v>
      </c>
      <c r="R197" s="26">
        <f t="shared" si="1570"/>
        <v>40007.22</v>
      </c>
      <c r="S197" s="26">
        <f t="shared" si="1570"/>
        <v>36426.729999999996</v>
      </c>
      <c r="T197" s="26">
        <f t="shared" si="1570"/>
        <v>39700.15</v>
      </c>
      <c r="U197" s="26">
        <f t="shared" si="1570"/>
        <v>39285.520000000004</v>
      </c>
      <c r="V197" s="26">
        <f t="shared" si="1570"/>
        <v>37925.240000000005</v>
      </c>
      <c r="W197" s="26">
        <f t="shared" si="1570"/>
        <v>43473.23</v>
      </c>
      <c r="X197" s="26">
        <f t="shared" ref="X197:Y197" si="1571">X195+X193+X189+X171+X169+X196</f>
        <v>41748.54</v>
      </c>
      <c r="Y197" s="26">
        <f t="shared" si="1571"/>
        <v>44333</v>
      </c>
      <c r="Z197" s="26">
        <f t="shared" ref="Z197:AA197" si="1572">Z195+Z193+Z189+Z171+Z169+Z196</f>
        <v>42448</v>
      </c>
      <c r="AA197" s="26">
        <f t="shared" si="1572"/>
        <v>42300.1</v>
      </c>
      <c r="AB197" s="27">
        <f t="shared" ref="AA197:AD197" si="1573">AB195+AB193+AB189+AB171+AB169+AB196</f>
        <v>22909.775976381756</v>
      </c>
      <c r="AC197" s="27">
        <f t="shared" si="1573"/>
        <v>30262.069309612671</v>
      </c>
      <c r="AD197" s="27">
        <f t="shared" si="1573"/>
        <v>38909.436995148673</v>
      </c>
      <c r="AE197" s="27">
        <f t="shared" ref="AE197" si="1574">AE195+AE193+AE189+AE171+AE169+AE196</f>
        <v>48437.962398752847</v>
      </c>
      <c r="AI197" s="26">
        <f t="shared" ref="AI197:AM197" si="1575">AI195+AI193+AI189+AI171+AI169+AI196</f>
        <v>0</v>
      </c>
      <c r="AJ197" s="26">
        <f t="shared" si="1575"/>
        <v>0</v>
      </c>
      <c r="AK197" s="26">
        <f t="shared" si="1575"/>
        <v>-458.48999999999978</v>
      </c>
      <c r="AL197" s="26">
        <f t="shared" si="1575"/>
        <v>0</v>
      </c>
      <c r="AM197" s="26">
        <f t="shared" si="1575"/>
        <v>703.25999999999681</v>
      </c>
      <c r="AN197" s="26">
        <f t="shared" ref="AN197:AO197" si="1576">AN195+AN193+AN189+AN171+AN169+AN196</f>
        <v>0</v>
      </c>
      <c r="AO197" s="26">
        <f t="shared" si="1576"/>
        <v>1251.4000000000024</v>
      </c>
      <c r="AP197" s="26">
        <f t="shared" ref="AP197:CE197" si="1577">AP195+AP193+AP189+AP171+AP169+AP196</f>
        <v>0</v>
      </c>
      <c r="AQ197" s="26">
        <f t="shared" si="1577"/>
        <v>393.69999999999948</v>
      </c>
      <c r="AR197" s="26">
        <f t="shared" si="1577"/>
        <v>0</v>
      </c>
      <c r="AS197" s="26">
        <f t="shared" si="1577"/>
        <v>-2122.7200000000007</v>
      </c>
      <c r="AT197" s="26">
        <f t="shared" si="1577"/>
        <v>0</v>
      </c>
      <c r="AU197" s="26">
        <f t="shared" si="1577"/>
        <v>289.8399999999998</v>
      </c>
      <c r="AV197" s="26">
        <f t="shared" si="1577"/>
        <v>0</v>
      </c>
      <c r="AW197" s="26">
        <f t="shared" si="1577"/>
        <v>-136.82000000000016</v>
      </c>
      <c r="AX197" s="26">
        <f t="shared" si="1577"/>
        <v>0</v>
      </c>
      <c r="AY197" s="26">
        <f t="shared" si="1577"/>
        <v>25.749999999998749</v>
      </c>
      <c r="AZ197" s="26">
        <f t="shared" si="1577"/>
        <v>0</v>
      </c>
      <c r="BA197" s="26">
        <f t="shared" si="1577"/>
        <v>-1045.9400000000007</v>
      </c>
      <c r="BB197" s="26">
        <f t="shared" si="1577"/>
        <v>0</v>
      </c>
      <c r="BC197" s="26">
        <f t="shared" si="1577"/>
        <v>-463.14000000000163</v>
      </c>
      <c r="BD197" s="26">
        <f t="shared" si="1577"/>
        <v>0</v>
      </c>
      <c r="BE197" s="26">
        <f t="shared" si="1577"/>
        <v>211.58999999999901</v>
      </c>
      <c r="BF197" s="26">
        <f t="shared" si="1577"/>
        <v>0</v>
      </c>
      <c r="BG197" s="26">
        <f t="shared" si="1577"/>
        <v>1187.6499999999974</v>
      </c>
      <c r="BH197" s="26">
        <f t="shared" si="1577"/>
        <v>0</v>
      </c>
      <c r="BI197" s="26">
        <f t="shared" si="1577"/>
        <v>617.62000000000205</v>
      </c>
      <c r="BJ197" s="26">
        <f t="shared" si="1577"/>
        <v>0</v>
      </c>
      <c r="BK197" s="26">
        <f t="shared" si="1577"/>
        <v>-97.100000000000591</v>
      </c>
      <c r="BL197" s="26">
        <f t="shared" si="1577"/>
        <v>0</v>
      </c>
      <c r="BM197" s="26">
        <f t="shared" si="1577"/>
        <v>-1039.5099999999984</v>
      </c>
      <c r="BN197" s="26">
        <f t="shared" si="1577"/>
        <v>0</v>
      </c>
      <c r="BO197" s="26">
        <f t="shared" si="1577"/>
        <v>-2190.64</v>
      </c>
      <c r="BP197" s="26">
        <f t="shared" si="1577"/>
        <v>0</v>
      </c>
      <c r="BQ197" s="26">
        <f t="shared" si="1577"/>
        <v>-638.04</v>
      </c>
      <c r="BR197" s="26">
        <f t="shared" si="1577"/>
        <v>0</v>
      </c>
      <c r="BS197" s="26">
        <f t="shared" si="1577"/>
        <v>-1320.7300000000005</v>
      </c>
      <c r="BT197" s="26">
        <f t="shared" si="1577"/>
        <v>0</v>
      </c>
      <c r="BU197" s="26">
        <f t="shared" si="1577"/>
        <v>-635.48999999999967</v>
      </c>
      <c r="BV197" s="26">
        <f t="shared" si="1577"/>
        <v>0</v>
      </c>
      <c r="BW197" s="26">
        <f t="shared" si="1577"/>
        <v>-181.02999999999756</v>
      </c>
      <c r="BX197" s="26">
        <f t="shared" si="1577"/>
        <v>0</v>
      </c>
      <c r="BY197" s="26">
        <f t="shared" si="1577"/>
        <v>484.71</v>
      </c>
      <c r="BZ197" s="26">
        <f t="shared" si="1577"/>
        <v>0</v>
      </c>
      <c r="CA197" s="26">
        <f t="shared" si="1577"/>
        <v>-63.999999999997328</v>
      </c>
      <c r="CB197" s="26">
        <f t="shared" si="1577"/>
        <v>0</v>
      </c>
      <c r="CC197" s="26">
        <f t="shared" si="1577"/>
        <v>4570.0499999999965</v>
      </c>
      <c r="CD197" s="26">
        <f t="shared" si="1577"/>
        <v>0</v>
      </c>
      <c r="CE197" s="26">
        <f t="shared" si="1577"/>
        <v>2190</v>
      </c>
      <c r="CF197" s="26">
        <f t="shared" ref="CF197:CG197" si="1578">CF195+CF193+CF189+CF171+CF169+CF196</f>
        <v>0</v>
      </c>
      <c r="CG197" s="26">
        <f t="shared" si="1578"/>
        <v>429.89999999999964</v>
      </c>
      <c r="CH197" s="26">
        <f t="shared" ref="CH197:CI197" si="1579">CH195+CH193+CH189+CH171+CH169+CH196</f>
        <v>42448</v>
      </c>
      <c r="CI197" s="26">
        <f t="shared" si="1579"/>
        <v>43859</v>
      </c>
      <c r="CJ197" s="26">
        <f t="shared" ref="CJ197:DB197" si="1580">CJ195+CJ193+CJ189+CJ171+CJ169+CJ196</f>
        <v>16066</v>
      </c>
      <c r="CK197" s="26">
        <f t="shared" si="1580"/>
        <v>16627</v>
      </c>
      <c r="CL197" s="26">
        <f t="shared" ref="CL197" si="1581">CL195+CL193+CL189+CL171+CL169+CL196</f>
        <v>16328</v>
      </c>
      <c r="CM197" s="27">
        <f t="shared" si="1580"/>
        <v>17531.344083970536</v>
      </c>
      <c r="CN197" s="27">
        <f t="shared" si="1580"/>
        <v>19023.27317713201</v>
      </c>
      <c r="CO197" s="27">
        <f t="shared" si="1580"/>
        <v>20881.801521305701</v>
      </c>
      <c r="CP197" s="27">
        <f t="shared" si="1580"/>
        <v>22909.775976381756</v>
      </c>
      <c r="CQ197" s="27">
        <f t="shared" si="1580"/>
        <v>24271.419608977554</v>
      </c>
      <c r="CR197" s="27">
        <f t="shared" si="1580"/>
        <v>25898.777770605862</v>
      </c>
      <c r="CS197" s="27">
        <f t="shared" si="1580"/>
        <v>27930.053072735325</v>
      </c>
      <c r="CT197" s="27">
        <f t="shared" si="1580"/>
        <v>30262.069309612671</v>
      </c>
      <c r="CU197" s="27">
        <f t="shared" si="1580"/>
        <v>31889.20168748092</v>
      </c>
      <c r="CV197" s="27">
        <f t="shared" si="1580"/>
        <v>33796.070263369635</v>
      </c>
      <c r="CW197" s="27">
        <f t="shared" si="1580"/>
        <v>36155.688502684789</v>
      </c>
      <c r="CX197" s="27">
        <f t="shared" si="1580"/>
        <v>38909.436995148673</v>
      </c>
      <c r="CY197" s="27">
        <f t="shared" si="1580"/>
        <v>40686.260821242206</v>
      </c>
      <c r="CZ197" s="27">
        <f t="shared" si="1580"/>
        <v>42772.247647213313</v>
      </c>
      <c r="DA197" s="27">
        <f t="shared" si="1580"/>
        <v>45389.399051310334</v>
      </c>
      <c r="DB197" s="27">
        <f t="shared" si="1580"/>
        <v>48437.962398752847</v>
      </c>
      <c r="DE197" s="121"/>
      <c r="DF197" s="26">
        <v>18881.423110623324</v>
      </c>
    </row>
    <row r="198" spans="1:110" s="23" customFormat="1" x14ac:dyDescent="0.2">
      <c r="A198" s="28" t="s">
        <v>441</v>
      </c>
      <c r="B198" s="23">
        <f t="shared" ref="B198:W198" si="1582">B197-B160</f>
        <v>0</v>
      </c>
      <c r="C198" s="23">
        <f t="shared" si="1582"/>
        <v>0</v>
      </c>
      <c r="D198" s="23">
        <f t="shared" si="1582"/>
        <v>0</v>
      </c>
      <c r="E198" s="23">
        <f t="shared" si="1582"/>
        <v>0</v>
      </c>
      <c r="F198" s="23">
        <f t="shared" si="1582"/>
        <v>0</v>
      </c>
      <c r="G198" s="23">
        <f t="shared" si="1582"/>
        <v>0</v>
      </c>
      <c r="H198" s="23">
        <f t="shared" si="1582"/>
        <v>0</v>
      </c>
      <c r="I198" s="23">
        <f t="shared" si="1582"/>
        <v>0</v>
      </c>
      <c r="J198" s="23">
        <f t="shared" si="1582"/>
        <v>0</v>
      </c>
      <c r="K198" s="23">
        <f t="shared" si="1582"/>
        <v>0</v>
      </c>
      <c r="L198" s="23">
        <f t="shared" si="1582"/>
        <v>1.0000000002037268E-2</v>
      </c>
      <c r="M198" s="23">
        <f t="shared" si="1582"/>
        <v>0</v>
      </c>
      <c r="N198" s="23">
        <f t="shared" si="1582"/>
        <v>0</v>
      </c>
      <c r="O198" s="23">
        <f t="shared" si="1582"/>
        <v>0</v>
      </c>
      <c r="P198" s="23">
        <f t="shared" si="1582"/>
        <v>0</v>
      </c>
      <c r="Q198" s="23">
        <f t="shared" si="1582"/>
        <v>0</v>
      </c>
      <c r="R198" s="23">
        <f t="shared" si="1582"/>
        <v>0</v>
      </c>
      <c r="S198" s="23">
        <f t="shared" si="1582"/>
        <v>-3.0000000013387762E-2</v>
      </c>
      <c r="T198" s="23">
        <f t="shared" si="1582"/>
        <v>0</v>
      </c>
      <c r="U198" s="23">
        <f t="shared" si="1582"/>
        <v>0</v>
      </c>
      <c r="V198" s="23">
        <f t="shared" si="1582"/>
        <v>0</v>
      </c>
      <c r="W198" s="23">
        <f t="shared" si="1582"/>
        <v>1.0000000002037268E-2</v>
      </c>
      <c r="X198" s="23">
        <f t="shared" ref="X198:Y198" si="1583">X197-X160</f>
        <v>0</v>
      </c>
      <c r="Y198" s="23">
        <f t="shared" si="1583"/>
        <v>0</v>
      </c>
      <c r="Z198" s="23">
        <f t="shared" ref="Z198:AA198" si="1584">Z197-Z160</f>
        <v>0</v>
      </c>
      <c r="AA198" s="23">
        <f t="shared" si="1584"/>
        <v>-2212.9000000000015</v>
      </c>
      <c r="AB198" s="24">
        <f t="shared" ref="AA198:AD198" si="1585">AB197-AB160</f>
        <v>0</v>
      </c>
      <c r="AC198" s="24">
        <f t="shared" si="1585"/>
        <v>0</v>
      </c>
      <c r="AD198" s="24">
        <f t="shared" si="1585"/>
        <v>0</v>
      </c>
      <c r="AE198" s="24">
        <f t="shared" ref="AE198" si="1586">AE197-AE160</f>
        <v>0</v>
      </c>
      <c r="AI198" s="23">
        <f>AI197-AJ160</f>
        <v>0</v>
      </c>
      <c r="AJ198" s="23">
        <f t="shared" ref="AJ198:AM198" si="1587">AJ197-AJ160</f>
        <v>0</v>
      </c>
      <c r="AK198" s="23">
        <f t="shared" si="1587"/>
        <v>0</v>
      </c>
      <c r="AL198" s="23">
        <f t="shared" si="1587"/>
        <v>0</v>
      </c>
      <c r="AM198" s="23">
        <f t="shared" si="1587"/>
        <v>0</v>
      </c>
      <c r="AN198" s="23">
        <f t="shared" ref="AN198:AO198" si="1588">AN197-AN160</f>
        <v>0</v>
      </c>
      <c r="AO198" s="23">
        <f t="shared" si="1588"/>
        <v>0</v>
      </c>
      <c r="AP198" s="23">
        <f t="shared" ref="AP198:CE198" si="1589">AP197-AP160</f>
        <v>0</v>
      </c>
      <c r="AQ198" s="23">
        <f t="shared" si="1589"/>
        <v>0</v>
      </c>
      <c r="AR198" s="23">
        <f t="shared" si="1589"/>
        <v>0</v>
      </c>
      <c r="AS198" s="23">
        <f t="shared" si="1589"/>
        <v>0</v>
      </c>
      <c r="AT198" s="23">
        <f t="shared" si="1589"/>
        <v>0</v>
      </c>
      <c r="AU198" s="23">
        <f t="shared" si="1589"/>
        <v>0</v>
      </c>
      <c r="AV198" s="23">
        <f t="shared" si="1589"/>
        <v>0</v>
      </c>
      <c r="AW198" s="23">
        <f t="shared" si="1589"/>
        <v>0</v>
      </c>
      <c r="AX198" s="23">
        <f t="shared" si="1589"/>
        <v>0</v>
      </c>
      <c r="AY198" s="23">
        <f t="shared" si="1589"/>
        <v>-4.2632564145606011E-14</v>
      </c>
      <c r="AZ198" s="23">
        <f t="shared" si="1589"/>
        <v>0</v>
      </c>
      <c r="BA198" s="23">
        <f t="shared" si="1589"/>
        <v>0</v>
      </c>
      <c r="BB198" s="23">
        <f t="shared" si="1589"/>
        <v>0</v>
      </c>
      <c r="BC198" s="23">
        <f t="shared" si="1589"/>
        <v>0</v>
      </c>
      <c r="BD198" s="23">
        <f t="shared" si="1589"/>
        <v>0</v>
      </c>
      <c r="BE198" s="23">
        <f t="shared" si="1589"/>
        <v>0</v>
      </c>
      <c r="BF198" s="23">
        <f t="shared" si="1589"/>
        <v>0</v>
      </c>
      <c r="BG198" s="23">
        <f t="shared" si="1589"/>
        <v>0</v>
      </c>
      <c r="BH198" s="23">
        <f t="shared" si="1589"/>
        <v>0</v>
      </c>
      <c r="BI198" s="23">
        <f t="shared" si="1589"/>
        <v>0</v>
      </c>
      <c r="BJ198" s="23">
        <f t="shared" si="1589"/>
        <v>0</v>
      </c>
      <c r="BK198" s="23">
        <f t="shared" si="1589"/>
        <v>0</v>
      </c>
      <c r="BL198" s="23">
        <f t="shared" si="1589"/>
        <v>0</v>
      </c>
      <c r="BM198" s="23">
        <f t="shared" si="1589"/>
        <v>0</v>
      </c>
      <c r="BN198" s="23">
        <f t="shared" si="1589"/>
        <v>0</v>
      </c>
      <c r="BO198" s="23">
        <f t="shared" si="1589"/>
        <v>0</v>
      </c>
      <c r="BP198" s="23">
        <f t="shared" si="1589"/>
        <v>0</v>
      </c>
      <c r="BQ198" s="23">
        <f t="shared" si="1589"/>
        <v>0</v>
      </c>
      <c r="BR198" s="23">
        <f t="shared" si="1589"/>
        <v>0</v>
      </c>
      <c r="BS198" s="23">
        <f t="shared" si="1589"/>
        <v>0</v>
      </c>
      <c r="BT198" s="23">
        <f t="shared" si="1589"/>
        <v>0</v>
      </c>
      <c r="BU198" s="23">
        <f t="shared" si="1589"/>
        <v>0</v>
      </c>
      <c r="BV198" s="23">
        <f t="shared" si="1589"/>
        <v>0</v>
      </c>
      <c r="BW198" s="23">
        <f t="shared" si="1589"/>
        <v>0</v>
      </c>
      <c r="BX198" s="23">
        <f t="shared" si="1589"/>
        <v>0</v>
      </c>
      <c r="BY198" s="23">
        <f t="shared" si="1589"/>
        <v>0</v>
      </c>
      <c r="BZ198" s="23">
        <f t="shared" si="1589"/>
        <v>0</v>
      </c>
      <c r="CA198" s="23">
        <f t="shared" si="1589"/>
        <v>0</v>
      </c>
      <c r="CB198" s="23">
        <f t="shared" si="1589"/>
        <v>0</v>
      </c>
      <c r="CC198" s="23">
        <f t="shared" si="1589"/>
        <v>0</v>
      </c>
      <c r="CD198" s="23">
        <f t="shared" si="1589"/>
        <v>0</v>
      </c>
      <c r="CE198" s="23">
        <f t="shared" si="1589"/>
        <v>0</v>
      </c>
      <c r="CF198" s="23">
        <f t="shared" ref="CF198:CG198" si="1590">CF197-CF160</f>
        <v>0</v>
      </c>
      <c r="CG198" s="23">
        <f t="shared" si="1590"/>
        <v>0</v>
      </c>
      <c r="CH198" s="23">
        <f t="shared" ref="CH198:CI198" si="1591">CH197-CH160</f>
        <v>0</v>
      </c>
      <c r="CI198" s="23">
        <f t="shared" si="1591"/>
        <v>0</v>
      </c>
      <c r="CJ198" s="23">
        <f t="shared" ref="CJ198:DB198" si="1592">CJ197-CJ160</f>
        <v>0</v>
      </c>
      <c r="CK198" s="23">
        <f t="shared" si="1592"/>
        <v>0</v>
      </c>
      <c r="CL198" s="23">
        <f t="shared" ref="CL198" si="1593">CL197-CL160</f>
        <v>0</v>
      </c>
      <c r="CM198" s="24">
        <f t="shared" si="1592"/>
        <v>0</v>
      </c>
      <c r="CN198" s="24">
        <f t="shared" si="1592"/>
        <v>0</v>
      </c>
      <c r="CO198" s="24">
        <f t="shared" si="1592"/>
        <v>0</v>
      </c>
      <c r="CP198" s="24">
        <f t="shared" si="1592"/>
        <v>0</v>
      </c>
      <c r="CQ198" s="24">
        <f t="shared" si="1592"/>
        <v>0</v>
      </c>
      <c r="CR198" s="24">
        <f t="shared" si="1592"/>
        <v>0</v>
      </c>
      <c r="CS198" s="24">
        <f t="shared" si="1592"/>
        <v>0</v>
      </c>
      <c r="CT198" s="24">
        <f t="shared" si="1592"/>
        <v>0</v>
      </c>
      <c r="CU198" s="24">
        <f t="shared" si="1592"/>
        <v>0</v>
      </c>
      <c r="CV198" s="24">
        <f t="shared" si="1592"/>
        <v>0</v>
      </c>
      <c r="CW198" s="24">
        <f t="shared" si="1592"/>
        <v>0</v>
      </c>
      <c r="CX198" s="24">
        <f t="shared" si="1592"/>
        <v>0</v>
      </c>
      <c r="CY198" s="24">
        <f t="shared" si="1592"/>
        <v>0</v>
      </c>
      <c r="CZ198" s="24">
        <f t="shared" si="1592"/>
        <v>0</v>
      </c>
      <c r="DA198" s="24">
        <f t="shared" si="1592"/>
        <v>0</v>
      </c>
      <c r="DB198" s="24">
        <f t="shared" si="1592"/>
        <v>0</v>
      </c>
      <c r="DE198" s="123"/>
      <c r="DF198" s="23">
        <v>0</v>
      </c>
    </row>
    <row r="199" spans="1:110" s="23" customFormat="1" x14ac:dyDescent="0.2">
      <c r="A199" s="28"/>
      <c r="AB199" s="24"/>
      <c r="AC199" s="24"/>
      <c r="AD199" s="24"/>
      <c r="AE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E199" s="123"/>
    </row>
    <row r="200" spans="1:110" s="22" customFormat="1" x14ac:dyDescent="0.2">
      <c r="A200" s="22" t="s">
        <v>80</v>
      </c>
      <c r="B200" s="22">
        <f t="shared" ref="B200:W200" si="1594">B159-B193</f>
        <v>0</v>
      </c>
      <c r="C200" s="22">
        <f t="shared" si="1594"/>
        <v>0</v>
      </c>
      <c r="D200" s="22">
        <f t="shared" si="1594"/>
        <v>0</v>
      </c>
      <c r="E200" s="22">
        <f t="shared" si="1594"/>
        <v>-1129.9500000000003</v>
      </c>
      <c r="F200" s="22">
        <f t="shared" si="1594"/>
        <v>-579.07000000000016</v>
      </c>
      <c r="G200" s="22">
        <f t="shared" si="1594"/>
        <v>1591.7900000000004</v>
      </c>
      <c r="H200" s="22">
        <f t="shared" si="1594"/>
        <v>3052.6900000000005</v>
      </c>
      <c r="I200" s="22">
        <f t="shared" si="1594"/>
        <v>3029.7000000000007</v>
      </c>
      <c r="J200" s="22">
        <f t="shared" si="1594"/>
        <v>11747.880000000001</v>
      </c>
      <c r="K200" s="22">
        <f t="shared" si="1594"/>
        <v>14222.660000000003</v>
      </c>
      <c r="L200" s="22">
        <f t="shared" si="1594"/>
        <v>12123.269999999999</v>
      </c>
      <c r="M200" s="22">
        <f t="shared" si="1594"/>
        <v>11449.350000000002</v>
      </c>
      <c r="N200" s="22">
        <f t="shared" si="1594"/>
        <v>16000.46</v>
      </c>
      <c r="O200" s="22">
        <f t="shared" si="1594"/>
        <v>14188.529999999999</v>
      </c>
      <c r="P200" s="22">
        <f t="shared" si="1594"/>
        <v>20169.400000000001</v>
      </c>
      <c r="Q200" s="22">
        <f t="shared" si="1594"/>
        <v>11720.419999999998</v>
      </c>
      <c r="R200" s="22">
        <f t="shared" si="1594"/>
        <v>16529.429999999997</v>
      </c>
      <c r="S200" s="22">
        <f t="shared" si="1594"/>
        <v>14004.030000000004</v>
      </c>
      <c r="T200" s="22">
        <f t="shared" si="1594"/>
        <v>14670.79</v>
      </c>
      <c r="U200" s="22">
        <f t="shared" si="1594"/>
        <v>16056.750000000004</v>
      </c>
      <c r="V200" s="22">
        <f t="shared" si="1594"/>
        <v>12164.400000000001</v>
      </c>
      <c r="W200" s="22">
        <f t="shared" si="1594"/>
        <v>15780.56</v>
      </c>
      <c r="X200" s="22">
        <f t="shared" ref="X200:Y200" si="1595">X159-X193</f>
        <v>14721.080000000002</v>
      </c>
      <c r="Y200" s="22">
        <f t="shared" si="1595"/>
        <v>7045</v>
      </c>
      <c r="Z200" s="22">
        <f t="shared" ref="Z200:AA200" si="1596">Z159-Z193</f>
        <v>4548</v>
      </c>
      <c r="AA200" s="22">
        <f t="shared" si="1596"/>
        <v>6581</v>
      </c>
      <c r="AB200" s="21">
        <f t="shared" ref="AA200:AD200" si="1597">AB159-AB193</f>
        <v>-13242.16923712982</v>
      </c>
      <c r="AC200" s="21">
        <f t="shared" si="1597"/>
        <v>-21673.291987764344</v>
      </c>
      <c r="AD200" s="21">
        <f t="shared" si="1597"/>
        <v>-32363.836997647559</v>
      </c>
      <c r="AE200" s="21">
        <f t="shared" ref="AE200" si="1598">AE159-AE193</f>
        <v>-44088.096970951119</v>
      </c>
      <c r="AI200" s="22">
        <f>AJ159-AJ193</f>
        <v>0</v>
      </c>
      <c r="AJ200" s="22">
        <f t="shared" ref="AJ200:AM200" si="1599">AJ159-AJ193</f>
        <v>0</v>
      </c>
      <c r="AK200" s="22">
        <f t="shared" si="1599"/>
        <v>458.48999999999978</v>
      </c>
      <c r="AL200" s="22">
        <f t="shared" si="1599"/>
        <v>0</v>
      </c>
      <c r="AM200" s="22">
        <f t="shared" si="1599"/>
        <v>-703.25999999999681</v>
      </c>
      <c r="AN200" s="22">
        <f t="shared" ref="AN200:AO200" si="1600">AN159-AN193</f>
        <v>0</v>
      </c>
      <c r="AO200" s="22">
        <f t="shared" si="1600"/>
        <v>-1251.4000000000024</v>
      </c>
      <c r="AP200" s="22">
        <f t="shared" ref="AP200:CE200" si="1601">AP159-AP193</f>
        <v>0</v>
      </c>
      <c r="AQ200" s="22">
        <f t="shared" si="1601"/>
        <v>-393.69999999999948</v>
      </c>
      <c r="AR200" s="22">
        <f t="shared" si="1601"/>
        <v>0</v>
      </c>
      <c r="AS200" s="22">
        <f t="shared" si="1601"/>
        <v>2122.7200000000007</v>
      </c>
      <c r="AT200" s="22">
        <f t="shared" si="1601"/>
        <v>0</v>
      </c>
      <c r="AU200" s="22">
        <f t="shared" si="1601"/>
        <v>-289.8399999999998</v>
      </c>
      <c r="AV200" s="22">
        <f t="shared" si="1601"/>
        <v>0</v>
      </c>
      <c r="AW200" s="22">
        <f t="shared" si="1601"/>
        <v>136.82000000000016</v>
      </c>
      <c r="AX200" s="22">
        <f t="shared" si="1601"/>
        <v>0</v>
      </c>
      <c r="AY200" s="22">
        <f t="shared" si="1601"/>
        <v>-25.749999999998749</v>
      </c>
      <c r="AZ200" s="22">
        <f t="shared" si="1601"/>
        <v>0</v>
      </c>
      <c r="BA200" s="22">
        <f t="shared" si="1601"/>
        <v>1045.9400000000007</v>
      </c>
      <c r="BB200" s="22">
        <f t="shared" si="1601"/>
        <v>0</v>
      </c>
      <c r="BC200" s="22">
        <f t="shared" si="1601"/>
        <v>463.14000000000163</v>
      </c>
      <c r="BD200" s="22">
        <f t="shared" si="1601"/>
        <v>0</v>
      </c>
      <c r="BE200" s="22">
        <f t="shared" si="1601"/>
        <v>-211.58999999999901</v>
      </c>
      <c r="BF200" s="22">
        <f t="shared" si="1601"/>
        <v>0</v>
      </c>
      <c r="BG200" s="22">
        <f t="shared" si="1601"/>
        <v>-1187.6499999999974</v>
      </c>
      <c r="BH200" s="22">
        <f t="shared" si="1601"/>
        <v>0</v>
      </c>
      <c r="BI200" s="22">
        <f t="shared" si="1601"/>
        <v>-617.62000000000205</v>
      </c>
      <c r="BJ200" s="22">
        <f t="shared" si="1601"/>
        <v>0</v>
      </c>
      <c r="BK200" s="22">
        <f t="shared" si="1601"/>
        <v>97.100000000000591</v>
      </c>
      <c r="BL200" s="22">
        <f t="shared" si="1601"/>
        <v>0</v>
      </c>
      <c r="BM200" s="22">
        <f t="shared" si="1601"/>
        <v>1039.5099999999984</v>
      </c>
      <c r="BN200" s="22">
        <f t="shared" si="1601"/>
        <v>0</v>
      </c>
      <c r="BO200" s="22">
        <f t="shared" si="1601"/>
        <v>2190.64</v>
      </c>
      <c r="BP200" s="22">
        <f t="shared" si="1601"/>
        <v>0</v>
      </c>
      <c r="BQ200" s="22">
        <f t="shared" si="1601"/>
        <v>638.04</v>
      </c>
      <c r="BR200" s="22">
        <f t="shared" si="1601"/>
        <v>0</v>
      </c>
      <c r="BS200" s="22">
        <f t="shared" si="1601"/>
        <v>1320.7300000000005</v>
      </c>
      <c r="BT200" s="22">
        <f t="shared" si="1601"/>
        <v>0</v>
      </c>
      <c r="BU200" s="22">
        <f t="shared" si="1601"/>
        <v>635.48999999999967</v>
      </c>
      <c r="BV200" s="22">
        <f t="shared" si="1601"/>
        <v>0</v>
      </c>
      <c r="BW200" s="22">
        <f t="shared" si="1601"/>
        <v>181.02999999999756</v>
      </c>
      <c r="BX200" s="22">
        <f t="shared" si="1601"/>
        <v>0</v>
      </c>
      <c r="BY200" s="22">
        <f t="shared" si="1601"/>
        <v>-484.71</v>
      </c>
      <c r="BZ200" s="22">
        <f t="shared" si="1601"/>
        <v>0</v>
      </c>
      <c r="CA200" s="22">
        <f t="shared" si="1601"/>
        <v>63.999999999997328</v>
      </c>
      <c r="CB200" s="22">
        <f t="shared" si="1601"/>
        <v>0</v>
      </c>
      <c r="CC200" s="22">
        <f t="shared" si="1601"/>
        <v>-4570.0499999999965</v>
      </c>
      <c r="CD200" s="22">
        <f t="shared" si="1601"/>
        <v>0</v>
      </c>
      <c r="CE200" s="22">
        <f t="shared" si="1601"/>
        <v>-2190</v>
      </c>
      <c r="CF200" s="22">
        <f t="shared" ref="CF200:CG200" si="1602">CF159-CF193</f>
        <v>0</v>
      </c>
      <c r="CG200" s="22">
        <f t="shared" si="1602"/>
        <v>-429.89999999999964</v>
      </c>
      <c r="CH200" s="22">
        <f t="shared" ref="CH200:CI200" si="1603">CH159-CH193</f>
        <v>4548</v>
      </c>
      <c r="CI200" s="22">
        <f t="shared" si="1603"/>
        <v>4650.7030351517551</v>
      </c>
      <c r="CJ200" s="22">
        <f t="shared" ref="CJ200:DB200" si="1604">CJ159-CJ193</f>
        <v>4539</v>
      </c>
      <c r="CK200" s="22">
        <f t="shared" si="1604"/>
        <v>2100.7147262914405</v>
      </c>
      <c r="CL200" s="22">
        <f t="shared" ref="CL200" si="1605">CL159-CL193</f>
        <v>-5123</v>
      </c>
      <c r="CM200" s="21">
        <f t="shared" si="1604"/>
        <v>-2275.0863709586556</v>
      </c>
      <c r="CN200" s="21">
        <f t="shared" si="1604"/>
        <v>-4844.5237624817255</v>
      </c>
      <c r="CO200" s="21">
        <f t="shared" si="1604"/>
        <v>-9070.1754391990562</v>
      </c>
      <c r="CP200" s="21">
        <f t="shared" si="1604"/>
        <v>-13242.16923712982</v>
      </c>
      <c r="CQ200" s="21">
        <f t="shared" si="1604"/>
        <v>-9962.5340286031078</v>
      </c>
      <c r="CR200" s="21">
        <f t="shared" si="1604"/>
        <v>-12743.371137851296</v>
      </c>
      <c r="CS200" s="21">
        <f t="shared" si="1604"/>
        <v>-17246.143487725043</v>
      </c>
      <c r="CT200" s="21">
        <f t="shared" si="1604"/>
        <v>-21673.291987764344</v>
      </c>
      <c r="CU200" s="21">
        <f t="shared" si="1604"/>
        <v>-18754.631548511548</v>
      </c>
      <c r="CV200" s="21">
        <f t="shared" si="1604"/>
        <v>-21998.095404373726</v>
      </c>
      <c r="CW200" s="21">
        <f t="shared" si="1604"/>
        <v>-27173.103066542375</v>
      </c>
      <c r="CX200" s="21">
        <f t="shared" si="1604"/>
        <v>-32363.836997647559</v>
      </c>
      <c r="CY200" s="21">
        <f t="shared" si="1604"/>
        <v>-28940.296122080883</v>
      </c>
      <c r="CZ200" s="21">
        <f t="shared" si="1604"/>
        <v>-32564.909938822129</v>
      </c>
      <c r="DA200" s="21">
        <f t="shared" si="1604"/>
        <v>-38347.730186785564</v>
      </c>
      <c r="DB200" s="21">
        <f t="shared" si="1604"/>
        <v>-44088.096970951119</v>
      </c>
      <c r="DE200" s="127"/>
      <c r="DF200" s="22">
        <v>-1977.2136432307443</v>
      </c>
    </row>
    <row r="201" spans="1:110" x14ac:dyDescent="0.2">
      <c r="AA201" s="2"/>
      <c r="CE201" s="111"/>
      <c r="CG201" s="111"/>
      <c r="CL201" s="2"/>
    </row>
    <row r="202" spans="1:110" s="49" customFormat="1" x14ac:dyDescent="0.2">
      <c r="A202" s="49" t="s">
        <v>81</v>
      </c>
      <c r="B202" s="49">
        <f>'Annual Raw'!C85</f>
        <v>0</v>
      </c>
      <c r="C202" s="49">
        <f>'Annual Raw'!D85</f>
        <v>0</v>
      </c>
      <c r="D202" s="49">
        <f>'Annual Raw'!E85</f>
        <v>0</v>
      </c>
      <c r="E202" s="49">
        <f>'Annual Raw'!F85</f>
        <v>0</v>
      </c>
      <c r="F202" s="49">
        <f>'Annual Raw'!G85</f>
        <v>0</v>
      </c>
      <c r="G202" s="49">
        <f>'Annual Raw'!H85</f>
        <v>0</v>
      </c>
      <c r="H202" s="49">
        <f>'Annual Raw'!I85</f>
        <v>0</v>
      </c>
      <c r="I202" s="49">
        <f>'Annual Raw'!J85</f>
        <v>0</v>
      </c>
      <c r="J202" s="49">
        <f>'Annual Raw'!K85</f>
        <v>0</v>
      </c>
      <c r="K202" s="49">
        <f>'Annual Raw'!L85</f>
        <v>0</v>
      </c>
      <c r="L202" s="49">
        <f>'Annual Raw'!M85</f>
        <v>0</v>
      </c>
      <c r="M202" s="49">
        <f>'Annual Raw'!N85</f>
        <v>0</v>
      </c>
      <c r="N202" s="49">
        <f>'Annual Raw'!O85</f>
        <v>0</v>
      </c>
      <c r="O202" s="49">
        <f>'Annual Raw'!P85</f>
        <v>0</v>
      </c>
      <c r="P202" s="49">
        <f>'Annual Raw'!Q85</f>
        <v>0</v>
      </c>
      <c r="Q202" s="49">
        <f>'Annual Raw'!R85</f>
        <v>0</v>
      </c>
      <c r="R202" s="49">
        <f>'Annual Raw'!S85</f>
        <v>0</v>
      </c>
      <c r="S202" s="49">
        <f>'Annual Raw'!T85</f>
        <v>0</v>
      </c>
      <c r="T202" s="49">
        <f>'Annual Raw'!U85</f>
        <v>0</v>
      </c>
      <c r="U202" s="49">
        <f>'Annual Raw'!V85</f>
        <v>0</v>
      </c>
      <c r="V202" s="49">
        <f>'Annual Raw'!W85</f>
        <v>0</v>
      </c>
      <c r="W202" s="49">
        <f>'Annual Raw'!X85</f>
        <v>0</v>
      </c>
      <c r="X202" s="49">
        <f>'Annual Raw'!Y85</f>
        <v>0</v>
      </c>
      <c r="Y202" s="49">
        <f>'Annual Raw'!Z85</f>
        <v>0</v>
      </c>
      <c r="Z202" s="49">
        <f>'Annual Raw'!AA85</f>
        <v>0</v>
      </c>
      <c r="AA202" s="49">
        <f>'Annual Raw'!AB85</f>
        <v>1707</v>
      </c>
      <c r="AB202" s="50"/>
      <c r="AC202" s="50"/>
      <c r="AD202" s="50"/>
      <c r="AE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E202" s="138"/>
    </row>
    <row r="203" spans="1:110" s="29" customFormat="1" x14ac:dyDescent="0.2">
      <c r="A203" s="29" t="s">
        <v>82</v>
      </c>
      <c r="B203" s="29">
        <f>'Annual Raw'!C95</f>
        <v>0</v>
      </c>
      <c r="C203" s="29">
        <f>'Annual Raw'!D95</f>
        <v>0</v>
      </c>
      <c r="D203" s="29">
        <f>'Annual Raw'!E95</f>
        <v>0</v>
      </c>
      <c r="E203" s="29">
        <f>'Annual Raw'!F95</f>
        <v>0</v>
      </c>
      <c r="F203" s="29">
        <f>'Annual Raw'!G95</f>
        <v>0</v>
      </c>
      <c r="G203" s="29">
        <f>'Annual Raw'!H95</f>
        <v>0</v>
      </c>
      <c r="H203" s="29">
        <f>'Annual Raw'!I95</f>
        <v>0</v>
      </c>
      <c r="I203" s="29">
        <f>'Annual Raw'!J95</f>
        <v>0</v>
      </c>
      <c r="J203" s="29">
        <f>'Annual Raw'!K95</f>
        <v>0</v>
      </c>
      <c r="K203" s="29">
        <f>'Annual Raw'!L95</f>
        <v>0</v>
      </c>
      <c r="L203" s="29">
        <f>'Annual Raw'!M95</f>
        <v>0</v>
      </c>
      <c r="M203" s="29">
        <f>'Annual Raw'!N95</f>
        <v>0</v>
      </c>
      <c r="N203" s="29">
        <f>'Annual Raw'!O95</f>
        <v>0</v>
      </c>
      <c r="O203" s="29">
        <f>'Annual Raw'!P95</f>
        <v>0</v>
      </c>
      <c r="P203" s="29">
        <f>'Annual Raw'!Q95</f>
        <v>0</v>
      </c>
      <c r="Q203" s="29">
        <f>'Annual Raw'!R95</f>
        <v>0</v>
      </c>
      <c r="R203" s="29">
        <f>'Annual Raw'!S95</f>
        <v>0</v>
      </c>
      <c r="S203" s="29">
        <f>'Annual Raw'!T95</f>
        <v>0</v>
      </c>
      <c r="T203" s="29">
        <f>'Annual Raw'!U95</f>
        <v>0</v>
      </c>
      <c r="U203" s="29">
        <f>'Annual Raw'!V95</f>
        <v>0</v>
      </c>
      <c r="V203" s="29">
        <f>'Annual Raw'!W95</f>
        <v>0</v>
      </c>
      <c r="W203" s="29">
        <f>'Annual Raw'!X95</f>
        <v>0</v>
      </c>
      <c r="X203" s="29">
        <f>'Annual Raw'!Y95</f>
        <v>0</v>
      </c>
      <c r="Y203" s="29">
        <f>'Annual Raw'!Z95</f>
        <v>0</v>
      </c>
      <c r="Z203" s="29">
        <f>'Annual Raw'!AA95</f>
        <v>0</v>
      </c>
      <c r="AA203" s="29">
        <f>'Annual Raw'!AB95</f>
        <v>0</v>
      </c>
      <c r="AB203" s="30"/>
      <c r="AC203" s="30"/>
      <c r="AD203" s="30"/>
      <c r="AE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E203" s="139"/>
    </row>
    <row r="204" spans="1:110" s="29" customFormat="1" x14ac:dyDescent="0.2">
      <c r="A204" s="29" t="s">
        <v>83</v>
      </c>
      <c r="B204" s="29">
        <f>'Annual Raw'!C93</f>
        <v>0</v>
      </c>
      <c r="C204" s="29">
        <f>'Annual Raw'!D93</f>
        <v>0</v>
      </c>
      <c r="D204" s="29">
        <f>'Annual Raw'!E93</f>
        <v>0</v>
      </c>
      <c r="E204" s="29">
        <f>'Annual Raw'!F93</f>
        <v>0</v>
      </c>
      <c r="F204" s="29">
        <f>'Annual Raw'!G93</f>
        <v>0</v>
      </c>
      <c r="G204" s="29">
        <f>'Annual Raw'!H93</f>
        <v>0</v>
      </c>
      <c r="H204" s="29">
        <f>'Annual Raw'!I93</f>
        <v>0</v>
      </c>
      <c r="I204" s="29">
        <f>'Annual Raw'!J93</f>
        <v>0</v>
      </c>
      <c r="J204" s="29">
        <f>'Annual Raw'!K93</f>
        <v>0</v>
      </c>
      <c r="K204" s="29">
        <f>'Annual Raw'!L93</f>
        <v>0</v>
      </c>
      <c r="L204" s="29">
        <f>'Annual Raw'!M93</f>
        <v>0</v>
      </c>
      <c r="M204" s="29">
        <f>'Annual Raw'!N93</f>
        <v>0</v>
      </c>
      <c r="N204" s="29">
        <f>'Annual Raw'!O93</f>
        <v>0</v>
      </c>
      <c r="O204" s="29">
        <f>'Annual Raw'!P93</f>
        <v>0</v>
      </c>
      <c r="P204" s="29">
        <f>'Annual Raw'!Q93</f>
        <v>0</v>
      </c>
      <c r="Q204" s="29">
        <f>'Annual Raw'!R93</f>
        <v>0</v>
      </c>
      <c r="R204" s="29">
        <f>'Annual Raw'!S93</f>
        <v>0</v>
      </c>
      <c r="S204" s="29">
        <f>'Annual Raw'!T93</f>
        <v>0</v>
      </c>
      <c r="T204" s="29">
        <f>'Annual Raw'!U93</f>
        <v>0</v>
      </c>
      <c r="U204" s="29">
        <f>'Annual Raw'!V93</f>
        <v>0</v>
      </c>
      <c r="V204" s="29">
        <f>'Annual Raw'!W93</f>
        <v>0</v>
      </c>
      <c r="W204" s="29">
        <f>'Annual Raw'!X93</f>
        <v>0</v>
      </c>
      <c r="X204" s="29">
        <f>'Annual Raw'!Y93</f>
        <v>0</v>
      </c>
      <c r="Y204" s="29">
        <f>'Annual Raw'!Z93</f>
        <v>0</v>
      </c>
      <c r="Z204" s="29">
        <f>'Annual Raw'!AA93</f>
        <v>0</v>
      </c>
      <c r="AA204" s="29">
        <f>'Annual Raw'!AB93</f>
        <v>1707</v>
      </c>
      <c r="AB204" s="30"/>
      <c r="AC204" s="30"/>
      <c r="AD204" s="30"/>
      <c r="AE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E204" s="139"/>
    </row>
    <row r="205" spans="1:110" s="29" customFormat="1" x14ac:dyDescent="0.2">
      <c r="A205" s="29" t="s">
        <v>84</v>
      </c>
      <c r="B205" s="29">
        <f t="shared" ref="B205:V205" si="1606">B202-B203-B204</f>
        <v>0</v>
      </c>
      <c r="C205" s="29">
        <f t="shared" si="1606"/>
        <v>0</v>
      </c>
      <c r="D205" s="29">
        <f t="shared" si="1606"/>
        <v>0</v>
      </c>
      <c r="E205" s="29">
        <f t="shared" si="1606"/>
        <v>0</v>
      </c>
      <c r="F205" s="29">
        <f t="shared" si="1606"/>
        <v>0</v>
      </c>
      <c r="G205" s="29">
        <f t="shared" si="1606"/>
        <v>0</v>
      </c>
      <c r="H205" s="29">
        <f t="shared" si="1606"/>
        <v>0</v>
      </c>
      <c r="I205" s="29">
        <f t="shared" si="1606"/>
        <v>0</v>
      </c>
      <c r="J205" s="29">
        <f t="shared" si="1606"/>
        <v>0</v>
      </c>
      <c r="K205" s="29">
        <f t="shared" si="1606"/>
        <v>0</v>
      </c>
      <c r="L205" s="29">
        <f t="shared" si="1606"/>
        <v>0</v>
      </c>
      <c r="M205" s="29">
        <f t="shared" si="1606"/>
        <v>0</v>
      </c>
      <c r="N205" s="29">
        <f t="shared" si="1606"/>
        <v>0</v>
      </c>
      <c r="O205" s="29">
        <f t="shared" si="1606"/>
        <v>0</v>
      </c>
      <c r="P205" s="29">
        <f t="shared" si="1606"/>
        <v>0</v>
      </c>
      <c r="Q205" s="29">
        <f t="shared" si="1606"/>
        <v>0</v>
      </c>
      <c r="R205" s="29">
        <f t="shared" si="1606"/>
        <v>0</v>
      </c>
      <c r="S205" s="29">
        <f t="shared" si="1606"/>
        <v>0</v>
      </c>
      <c r="T205" s="29">
        <f t="shared" si="1606"/>
        <v>0</v>
      </c>
      <c r="U205" s="29">
        <f t="shared" si="1606"/>
        <v>0</v>
      </c>
      <c r="V205" s="29">
        <f t="shared" si="1606"/>
        <v>0</v>
      </c>
      <c r="W205" s="29">
        <f t="shared" ref="W205" si="1607">W202-W203-W204</f>
        <v>0</v>
      </c>
      <c r="X205" s="29">
        <f t="shared" ref="X205:Y205" si="1608">X202-X203-X204</f>
        <v>0</v>
      </c>
      <c r="Y205" s="29">
        <f t="shared" si="1608"/>
        <v>0</v>
      </c>
      <c r="Z205" s="29">
        <f t="shared" ref="Z205:AA205" si="1609">Z202-Z203-Z204</f>
        <v>0</v>
      </c>
      <c r="AA205" s="29">
        <f t="shared" si="1609"/>
        <v>0</v>
      </c>
      <c r="AB205" s="30">
        <f t="shared" ref="AA205:AD205" si="1610">AB202-AB203-AB204</f>
        <v>0</v>
      </c>
      <c r="AC205" s="30">
        <f t="shared" si="1610"/>
        <v>0</v>
      </c>
      <c r="AD205" s="30">
        <f t="shared" si="1610"/>
        <v>0</v>
      </c>
      <c r="AE205" s="30">
        <f t="shared" ref="AE205" si="1611">AE202-AE203-AE204</f>
        <v>0</v>
      </c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E205" s="139"/>
      <c r="DF205" s="29">
        <v>0</v>
      </c>
    </row>
    <row r="206" spans="1:110" s="5" customFormat="1" x14ac:dyDescent="0.2">
      <c r="AB206" s="63"/>
      <c r="AC206" s="63"/>
      <c r="AD206" s="63"/>
      <c r="AE206" s="63"/>
      <c r="CE206" s="112"/>
      <c r="CG206" s="112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E206" s="139"/>
    </row>
    <row r="207" spans="1:110" s="95" customFormat="1" x14ac:dyDescent="0.2">
      <c r="A207" s="95" t="s">
        <v>85</v>
      </c>
      <c r="B207" s="95" t="e">
        <f t="shared" ref="B207:AE207" si="1612">B202/B150</f>
        <v>#DIV/0!</v>
      </c>
      <c r="C207" s="95" t="e">
        <f t="shared" si="1612"/>
        <v>#DIV/0!</v>
      </c>
      <c r="D207" s="95" t="e">
        <f t="shared" si="1612"/>
        <v>#DIV/0!</v>
      </c>
      <c r="E207" s="95">
        <f t="shared" si="1612"/>
        <v>0</v>
      </c>
      <c r="F207" s="95">
        <f t="shared" si="1612"/>
        <v>0</v>
      </c>
      <c r="G207" s="95">
        <f t="shared" si="1612"/>
        <v>0</v>
      </c>
      <c r="H207" s="95">
        <f t="shared" si="1612"/>
        <v>0</v>
      </c>
      <c r="I207" s="95">
        <f t="shared" si="1612"/>
        <v>0</v>
      </c>
      <c r="J207" s="95">
        <f t="shared" si="1612"/>
        <v>0</v>
      </c>
      <c r="K207" s="95">
        <f t="shared" si="1612"/>
        <v>0</v>
      </c>
      <c r="L207" s="95">
        <f t="shared" si="1612"/>
        <v>0</v>
      </c>
      <c r="M207" s="95">
        <f t="shared" si="1612"/>
        <v>0</v>
      </c>
      <c r="N207" s="95">
        <f t="shared" si="1612"/>
        <v>0</v>
      </c>
      <c r="O207" s="95">
        <f t="shared" si="1612"/>
        <v>0</v>
      </c>
      <c r="P207" s="95">
        <f t="shared" si="1612"/>
        <v>0</v>
      </c>
      <c r="Q207" s="95">
        <f t="shared" si="1612"/>
        <v>0</v>
      </c>
      <c r="R207" s="95">
        <f t="shared" si="1612"/>
        <v>0</v>
      </c>
      <c r="S207" s="95">
        <f t="shared" si="1612"/>
        <v>0</v>
      </c>
      <c r="T207" s="95">
        <f t="shared" si="1612"/>
        <v>0</v>
      </c>
      <c r="U207" s="95">
        <f t="shared" si="1612"/>
        <v>0</v>
      </c>
      <c r="V207" s="95">
        <f t="shared" si="1612"/>
        <v>0</v>
      </c>
      <c r="W207" s="95">
        <f t="shared" si="1612"/>
        <v>0</v>
      </c>
      <c r="X207" s="95">
        <f t="shared" si="1612"/>
        <v>0</v>
      </c>
      <c r="Y207" s="95">
        <f t="shared" si="1612"/>
        <v>0</v>
      </c>
      <c r="Z207" s="95">
        <f t="shared" si="1612"/>
        <v>0</v>
      </c>
      <c r="AA207" s="95">
        <f t="shared" ref="AA207" si="1613">AA202/AA150</f>
        <v>5.0994801935830794E-2</v>
      </c>
      <c r="AB207" s="87">
        <f t="shared" si="1612"/>
        <v>0</v>
      </c>
      <c r="AC207" s="87">
        <f t="shared" si="1612"/>
        <v>0</v>
      </c>
      <c r="AD207" s="87">
        <f t="shared" si="1612"/>
        <v>0</v>
      </c>
      <c r="AE207" s="87">
        <f t="shared" si="1612"/>
        <v>0</v>
      </c>
      <c r="CM207" s="96"/>
      <c r="CN207" s="96"/>
      <c r="CO207" s="96"/>
      <c r="CP207" s="96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E207" s="140"/>
      <c r="DF207" s="95">
        <v>0</v>
      </c>
    </row>
    <row r="208" spans="1:110" x14ac:dyDescent="0.2">
      <c r="A208" s="152" t="s">
        <v>495</v>
      </c>
      <c r="AA208" s="2"/>
      <c r="CE208" s="111"/>
      <c r="CG208" s="111"/>
      <c r="CL208" s="2"/>
    </row>
    <row r="209" spans="1:110" s="6" customFormat="1" x14ac:dyDescent="0.2">
      <c r="AB209" s="19"/>
      <c r="AC209" s="19"/>
      <c r="AD209" s="19"/>
      <c r="AE209" s="19"/>
      <c r="CE209" s="113"/>
      <c r="CG209" s="113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0" s="62" customFormat="1" x14ac:dyDescent="0.2">
      <c r="A210" s="153" t="s">
        <v>496</v>
      </c>
      <c r="AB210" s="63"/>
      <c r="AC210" s="63"/>
      <c r="AD210" s="63"/>
      <c r="AE210" s="63"/>
      <c r="CE210" s="114"/>
      <c r="CG210" s="114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E210" s="139"/>
    </row>
    <row r="211" spans="1:110" s="62" customFormat="1" outlineLevel="1" x14ac:dyDescent="0.2">
      <c r="A211" s="68" t="s">
        <v>466</v>
      </c>
      <c r="B211" s="67" t="e">
        <f t="shared" ref="B211:AE211" si="1614">B175/B29*365</f>
        <v>#DIV/0!</v>
      </c>
      <c r="C211" s="67" t="e">
        <f t="shared" si="1614"/>
        <v>#DIV/0!</v>
      </c>
      <c r="D211" s="67" t="e">
        <f t="shared" si="1614"/>
        <v>#DIV/0!</v>
      </c>
      <c r="E211" s="67">
        <f t="shared" si="1614"/>
        <v>27.886479356584072</v>
      </c>
      <c r="F211" s="67">
        <f t="shared" si="1614"/>
        <v>29.311699878439693</v>
      </c>
      <c r="G211" s="67">
        <f t="shared" si="1614"/>
        <v>32.055897126800744</v>
      </c>
      <c r="H211" s="67">
        <f t="shared" si="1614"/>
        <v>29.724091008108907</v>
      </c>
      <c r="I211" s="67">
        <f t="shared" si="1614"/>
        <v>27.681602121414535</v>
      </c>
      <c r="J211" s="67">
        <f t="shared" si="1614"/>
        <v>29.675384268719014</v>
      </c>
      <c r="K211" s="67">
        <f t="shared" si="1614"/>
        <v>28.854425888698739</v>
      </c>
      <c r="L211" s="67">
        <f t="shared" si="1614"/>
        <v>28.06417472073786</v>
      </c>
      <c r="M211" s="67">
        <f t="shared" si="1614"/>
        <v>29.175172274900667</v>
      </c>
      <c r="N211" s="67">
        <f t="shared" si="1614"/>
        <v>34.296362394119654</v>
      </c>
      <c r="O211" s="67">
        <f t="shared" si="1614"/>
        <v>39.182192077534921</v>
      </c>
      <c r="P211" s="67">
        <f t="shared" si="1614"/>
        <v>46.545871420441472</v>
      </c>
      <c r="Q211" s="67">
        <f t="shared" si="1614"/>
        <v>39.423775436274276</v>
      </c>
      <c r="R211" s="67">
        <f t="shared" si="1614"/>
        <v>41.318310515510404</v>
      </c>
      <c r="S211" s="67">
        <f t="shared" si="1614"/>
        <v>35.263318283020503</v>
      </c>
      <c r="T211" s="67">
        <f t="shared" si="1614"/>
        <v>24.589048182471334</v>
      </c>
      <c r="U211" s="67">
        <f t="shared" si="1614"/>
        <v>31.839496159298228</v>
      </c>
      <c r="V211" s="67">
        <f t="shared" si="1614"/>
        <v>35.324733630481894</v>
      </c>
      <c r="W211" s="67">
        <f t="shared" si="1614"/>
        <v>28.950954939712208</v>
      </c>
      <c r="X211" s="67">
        <f t="shared" si="1614"/>
        <v>16.925009693893493</v>
      </c>
      <c r="Y211" s="67">
        <f t="shared" si="1614"/>
        <v>17.410579275836472</v>
      </c>
      <c r="Z211" s="67">
        <f t="shared" si="1614"/>
        <v>16.715938956569719</v>
      </c>
      <c r="AA211" s="67">
        <f t="shared" ref="AA211" si="1615">AA175/AA29*365</f>
        <v>16.715938956569719</v>
      </c>
      <c r="AB211" s="18">
        <f t="shared" si="1614"/>
        <v>17.633593926234372</v>
      </c>
      <c r="AC211" s="18">
        <f t="shared" si="1614"/>
        <v>17.40085538062133</v>
      </c>
      <c r="AD211" s="18">
        <f t="shared" si="1614"/>
        <v>17.506898460733865</v>
      </c>
      <c r="AE211" s="18">
        <f t="shared" si="1614"/>
        <v>17.504072151110311</v>
      </c>
      <c r="AI211" s="67">
        <f>AJ175/AI29*90</f>
        <v>0</v>
      </c>
      <c r="AJ211" s="67">
        <f>AJ175/AJ29*90</f>
        <v>0</v>
      </c>
      <c r="AK211" s="67">
        <f t="shared" ref="AK211:CE211" si="1616">+AJ211</f>
        <v>0</v>
      </c>
      <c r="AL211" s="67">
        <f>AL175/AL29*90</f>
        <v>0</v>
      </c>
      <c r="AM211" s="67">
        <f t="shared" ref="AM211:AM212" si="1617">+AL211</f>
        <v>0</v>
      </c>
      <c r="AN211" s="67">
        <f>AN175/AN29*90</f>
        <v>0</v>
      </c>
      <c r="AO211" s="67">
        <f t="shared" ref="AO211:AO212" si="1618">+AN211</f>
        <v>0</v>
      </c>
      <c r="AP211" s="67">
        <f>AP175/AP29*90</f>
        <v>0</v>
      </c>
      <c r="AQ211" s="67">
        <f t="shared" ref="AQ211:AQ212" si="1619">+AP211</f>
        <v>0</v>
      </c>
      <c r="AR211" s="67">
        <f>AR175/AR29*90</f>
        <v>0</v>
      </c>
      <c r="AS211" s="67">
        <f t="shared" ref="AS211:AS212" si="1620">+AR211</f>
        <v>0</v>
      </c>
      <c r="AT211" s="67">
        <f>AT175/AT29*90</f>
        <v>0</v>
      </c>
      <c r="AU211" s="67">
        <f t="shared" ref="AU211:AU212" si="1621">+AT211</f>
        <v>0</v>
      </c>
      <c r="AV211" s="67">
        <f>AV175/AV29*90</f>
        <v>0</v>
      </c>
      <c r="AW211" s="67">
        <f t="shared" ref="AW211:AW212" si="1622">+AV211</f>
        <v>0</v>
      </c>
      <c r="AX211" s="67">
        <f>AX175/AX29*90</f>
        <v>0</v>
      </c>
      <c r="AY211" s="67">
        <f t="shared" ref="AY211:AY212" si="1623">+AX211</f>
        <v>0</v>
      </c>
      <c r="AZ211" s="67">
        <f>AZ175/AZ29*90</f>
        <v>0</v>
      </c>
      <c r="BA211" s="67">
        <f t="shared" ref="BA211:BA212" si="1624">+AZ211</f>
        <v>0</v>
      </c>
      <c r="BB211" s="67">
        <f>BB175/BB29*90</f>
        <v>0</v>
      </c>
      <c r="BC211" s="67">
        <f t="shared" ref="BC211:BC212" si="1625">+BB211</f>
        <v>0</v>
      </c>
      <c r="BD211" s="67">
        <f>BD175/BD29*90</f>
        <v>0</v>
      </c>
      <c r="BE211" s="67">
        <f t="shared" ref="BE211:BE212" si="1626">+BD211</f>
        <v>0</v>
      </c>
      <c r="BF211" s="67">
        <f>BF175/BF29*90</f>
        <v>0</v>
      </c>
      <c r="BG211" s="67">
        <f t="shared" ref="BG211:BG212" si="1627">+BF211</f>
        <v>0</v>
      </c>
      <c r="BH211" s="67">
        <f>BH175/BH29*90</f>
        <v>0</v>
      </c>
      <c r="BI211" s="67">
        <f t="shared" ref="BI211:BI212" si="1628">+BH211</f>
        <v>0</v>
      </c>
      <c r="BJ211" s="67">
        <f>BJ175/BJ29*90</f>
        <v>0</v>
      </c>
      <c r="BK211" s="67">
        <f t="shared" ref="BK211:BK212" si="1629">+BJ211</f>
        <v>0</v>
      </c>
      <c r="BL211" s="67">
        <f>BL175/BL29*90</f>
        <v>0</v>
      </c>
      <c r="BM211" s="67">
        <f t="shared" ref="BM211:BM212" si="1630">+BL211</f>
        <v>0</v>
      </c>
      <c r="BN211" s="67">
        <f>BN175/BN29*90</f>
        <v>0</v>
      </c>
      <c r="BO211" s="67">
        <f t="shared" ref="BO211:BO212" si="1631">+BN211</f>
        <v>0</v>
      </c>
      <c r="BP211" s="67">
        <f>BP175/BP29*90</f>
        <v>0</v>
      </c>
      <c r="BQ211" s="67">
        <f t="shared" ref="BQ211:BQ212" si="1632">+BP211</f>
        <v>0</v>
      </c>
      <c r="BR211" s="67">
        <f>BR175/BR29*90</f>
        <v>0</v>
      </c>
      <c r="BS211" s="67">
        <f t="shared" ref="BS211:BS212" si="1633">+BR211</f>
        <v>0</v>
      </c>
      <c r="BT211" s="67">
        <f>BT175/BT29*90</f>
        <v>0</v>
      </c>
      <c r="BU211" s="67">
        <f t="shared" ref="BU211:BU212" si="1634">+BT211</f>
        <v>0</v>
      </c>
      <c r="BV211" s="67">
        <f>BV175/BV29*90</f>
        <v>0</v>
      </c>
      <c r="BW211" s="67">
        <f t="shared" ref="BW211:BW212" si="1635">+BV211</f>
        <v>0</v>
      </c>
      <c r="BX211" s="67">
        <f>BX175/BX29*90</f>
        <v>0</v>
      </c>
      <c r="BY211" s="67">
        <f t="shared" ref="BY211:BY212" si="1636">+BX211</f>
        <v>0</v>
      </c>
      <c r="BZ211" s="67">
        <f>BZ175/BZ29*90</f>
        <v>0</v>
      </c>
      <c r="CA211" s="67">
        <f t="shared" ref="CA211:CA212" si="1637">+BZ211</f>
        <v>0</v>
      </c>
      <c r="CB211" s="67">
        <f>CB175/CB29*90</f>
        <v>0</v>
      </c>
      <c r="CC211" s="67">
        <f t="shared" ref="CC211:CC212" si="1638">+CB211</f>
        <v>0</v>
      </c>
      <c r="CD211" s="67">
        <f>CD175/CD29*90</f>
        <v>0</v>
      </c>
      <c r="CE211" s="67">
        <f t="shared" si="1616"/>
        <v>0</v>
      </c>
      <c r="CF211" s="67">
        <f>CF175/CF29*90</f>
        <v>0</v>
      </c>
      <c r="CG211" s="67">
        <f t="shared" ref="CG211:CI212" si="1639">+CF211</f>
        <v>0</v>
      </c>
      <c r="CH211" s="67">
        <f>CH175/CH29*90</f>
        <v>14.193709685484276</v>
      </c>
      <c r="CI211" s="67">
        <f t="shared" si="1639"/>
        <v>14.193709685484276</v>
      </c>
      <c r="CJ211" s="67">
        <f>CJ175/CJ29*90</f>
        <v>22.413261372397841</v>
      </c>
      <c r="CK211" s="67">
        <f t="shared" ref="CK211:CK212" si="1640">+CJ211</f>
        <v>22.413261372397841</v>
      </c>
      <c r="CL211" s="67">
        <f>CL175/CL29*90</f>
        <v>13.993947325372158</v>
      </c>
      <c r="CM211" s="30">
        <f t="shared" ref="CM211:CM212" si="1641">+CL211</f>
        <v>13.993947325372158</v>
      </c>
      <c r="CN211" s="30">
        <f t="shared" ref="CN211:CN212" si="1642">+CM211</f>
        <v>13.993947325372158</v>
      </c>
      <c r="CO211" s="30">
        <f t="shared" ref="CO211:CO212" si="1643">+CN211</f>
        <v>13.993947325372158</v>
      </c>
      <c r="CP211" s="30">
        <f t="shared" ref="CP211:CP212" si="1644">+CO211</f>
        <v>13.993947325372158</v>
      </c>
      <c r="CQ211" s="30">
        <f t="shared" ref="CQ211:CQ212" si="1645">+CP211</f>
        <v>13.993947325372158</v>
      </c>
      <c r="CR211" s="30">
        <f t="shared" ref="CR211:CR212" si="1646">+CQ211</f>
        <v>13.993947325372158</v>
      </c>
      <c r="CS211" s="30">
        <f t="shared" ref="CS211:CS212" si="1647">+CR211</f>
        <v>13.993947325372158</v>
      </c>
      <c r="CT211" s="30">
        <f t="shared" ref="CT211:CT212" si="1648">+CS211</f>
        <v>13.993947325372158</v>
      </c>
      <c r="CU211" s="30">
        <f t="shared" ref="CU211:CU212" si="1649">+CT211</f>
        <v>13.993947325372158</v>
      </c>
      <c r="CV211" s="30">
        <f t="shared" ref="CV211:CV212" si="1650">+CU211</f>
        <v>13.993947325372158</v>
      </c>
      <c r="CW211" s="30">
        <f t="shared" ref="CW211:CW212" si="1651">+CV211</f>
        <v>13.993947325372158</v>
      </c>
      <c r="CX211" s="30">
        <f t="shared" ref="CX211:CX212" si="1652">+CW211</f>
        <v>13.993947325372158</v>
      </c>
      <c r="CY211" s="30">
        <f t="shared" ref="CY211:CY212" si="1653">+CX211</f>
        <v>13.993947325372158</v>
      </c>
      <c r="CZ211" s="30">
        <f t="shared" ref="CZ211:CZ212" si="1654">+CY211</f>
        <v>13.993947325372158</v>
      </c>
      <c r="DA211" s="30">
        <f t="shared" ref="DA211:DA212" si="1655">+CZ211</f>
        <v>13.993947325372158</v>
      </c>
      <c r="DB211" s="30">
        <f t="shared" ref="DB211:DB212" si="1656">+DA211</f>
        <v>13.993947325372158</v>
      </c>
      <c r="DE211" s="139"/>
      <c r="DF211" s="62">
        <v>22.413261372397841</v>
      </c>
    </row>
    <row r="212" spans="1:110" s="62" customFormat="1" outlineLevel="1" x14ac:dyDescent="0.2">
      <c r="A212" s="68" t="s">
        <v>467</v>
      </c>
      <c r="B212" s="67" t="e">
        <f t="shared" ref="B212:AE212" si="1657">B176/B29*365</f>
        <v>#DIV/0!</v>
      </c>
      <c r="C212" s="67" t="e">
        <f t="shared" si="1657"/>
        <v>#DIV/0!</v>
      </c>
      <c r="D212" s="67" t="e">
        <f t="shared" si="1657"/>
        <v>#DIV/0!</v>
      </c>
      <c r="E212" s="67">
        <f t="shared" si="1657"/>
        <v>14.946233301528306</v>
      </c>
      <c r="F212" s="67">
        <f t="shared" si="1657"/>
        <v>14.850607199740027</v>
      </c>
      <c r="G212" s="67">
        <f t="shared" si="1657"/>
        <v>11.415763468107887</v>
      </c>
      <c r="H212" s="67">
        <f t="shared" si="1657"/>
        <v>9.2963032066705154</v>
      </c>
      <c r="I212" s="67">
        <f t="shared" si="1657"/>
        <v>12.924283689089265</v>
      </c>
      <c r="J212" s="67">
        <f t="shared" si="1657"/>
        <v>16.043640150338433</v>
      </c>
      <c r="K212" s="67">
        <f t="shared" si="1657"/>
        <v>23.510598677504792</v>
      </c>
      <c r="L212" s="67">
        <f t="shared" si="1657"/>
        <v>18.771616079887693</v>
      </c>
      <c r="M212" s="67">
        <f t="shared" si="1657"/>
        <v>17.221390944995996</v>
      </c>
      <c r="N212" s="67">
        <f t="shared" si="1657"/>
        <v>13.995900967446975</v>
      </c>
      <c r="O212" s="67">
        <f t="shared" si="1657"/>
        <v>12.342421444166581</v>
      </c>
      <c r="P212" s="67">
        <f t="shared" si="1657"/>
        <v>10.80249449835355</v>
      </c>
      <c r="Q212" s="67">
        <f t="shared" si="1657"/>
        <v>15.758047983258345</v>
      </c>
      <c r="R212" s="67">
        <f t="shared" si="1657"/>
        <v>15.833820716513411</v>
      </c>
      <c r="S212" s="67">
        <f t="shared" si="1657"/>
        <v>21.641416968294831</v>
      </c>
      <c r="T212" s="67">
        <f t="shared" si="1657"/>
        <v>17.145032943772765</v>
      </c>
      <c r="U212" s="67">
        <f t="shared" si="1657"/>
        <v>16.435738160729205</v>
      </c>
      <c r="V212" s="67">
        <f t="shared" si="1657"/>
        <v>16.200666277281996</v>
      </c>
      <c r="W212" s="67">
        <f t="shared" si="1657"/>
        <v>16.441632926963749</v>
      </c>
      <c r="X212" s="67">
        <f t="shared" si="1657"/>
        <v>12.899429760161134</v>
      </c>
      <c r="Y212" s="67">
        <f t="shared" si="1657"/>
        <v>13.873271382618976</v>
      </c>
      <c r="Z212" s="67">
        <f t="shared" si="1657"/>
        <v>12.083811293905823</v>
      </c>
      <c r="AA212" s="67">
        <f t="shared" ref="AA212" si="1658">AA176/AA29*365</f>
        <v>12.083811293905823</v>
      </c>
      <c r="AB212" s="18">
        <f t="shared" si="1657"/>
        <v>8.5570701719890625</v>
      </c>
      <c r="AC212" s="18">
        <f t="shared" si="1657"/>
        <v>8.4441289261563259</v>
      </c>
      <c r="AD212" s="18">
        <f t="shared" si="1657"/>
        <v>8.4955885481467597</v>
      </c>
      <c r="AE212" s="18">
        <f t="shared" si="1657"/>
        <v>8.4942170223036619</v>
      </c>
      <c r="AI212" s="67">
        <f>AJ176/AI29*90</f>
        <v>0</v>
      </c>
      <c r="AJ212" s="67">
        <f>AJ176/AJ29*90</f>
        <v>0</v>
      </c>
      <c r="AK212" s="67">
        <f t="shared" ref="AK212:CE212" si="1659">+AJ212</f>
        <v>0</v>
      </c>
      <c r="AL212" s="67">
        <f>AL176/AL29*90</f>
        <v>0</v>
      </c>
      <c r="AM212" s="67">
        <f t="shared" si="1617"/>
        <v>0</v>
      </c>
      <c r="AN212" s="67">
        <f>AN176/AN29*90</f>
        <v>0</v>
      </c>
      <c r="AO212" s="67">
        <f t="shared" si="1618"/>
        <v>0</v>
      </c>
      <c r="AP212" s="67">
        <f>AP176/AP29*90</f>
        <v>0</v>
      </c>
      <c r="AQ212" s="67">
        <f t="shared" si="1619"/>
        <v>0</v>
      </c>
      <c r="AR212" s="67">
        <f>AR176/AR29*90</f>
        <v>0</v>
      </c>
      <c r="AS212" s="67">
        <f t="shared" si="1620"/>
        <v>0</v>
      </c>
      <c r="AT212" s="67">
        <f>AT176/AT29*90</f>
        <v>0</v>
      </c>
      <c r="AU212" s="67">
        <f t="shared" si="1621"/>
        <v>0</v>
      </c>
      <c r="AV212" s="67">
        <f>AV176/AV29*90</f>
        <v>0</v>
      </c>
      <c r="AW212" s="67">
        <f t="shared" si="1622"/>
        <v>0</v>
      </c>
      <c r="AX212" s="67">
        <f>AX176/AX29*90</f>
        <v>0</v>
      </c>
      <c r="AY212" s="67">
        <f t="shared" si="1623"/>
        <v>0</v>
      </c>
      <c r="AZ212" s="67">
        <f>AZ176/AZ29*90</f>
        <v>0</v>
      </c>
      <c r="BA212" s="67">
        <f t="shared" si="1624"/>
        <v>0</v>
      </c>
      <c r="BB212" s="67">
        <f>BB176/BB29*90</f>
        <v>0</v>
      </c>
      <c r="BC212" s="67">
        <f t="shared" si="1625"/>
        <v>0</v>
      </c>
      <c r="BD212" s="67">
        <f>BD176/BD29*90</f>
        <v>0</v>
      </c>
      <c r="BE212" s="67">
        <f t="shared" si="1626"/>
        <v>0</v>
      </c>
      <c r="BF212" s="67">
        <f>BF176/BF29*90</f>
        <v>0</v>
      </c>
      <c r="BG212" s="67">
        <f t="shared" si="1627"/>
        <v>0</v>
      </c>
      <c r="BH212" s="67">
        <f>BH176/BH29*90</f>
        <v>0</v>
      </c>
      <c r="BI212" s="67">
        <f t="shared" si="1628"/>
        <v>0</v>
      </c>
      <c r="BJ212" s="67">
        <f>BJ176/BJ29*90</f>
        <v>0</v>
      </c>
      <c r="BK212" s="67">
        <f t="shared" si="1629"/>
        <v>0</v>
      </c>
      <c r="BL212" s="67">
        <f>BL176/BL29*90</f>
        <v>0</v>
      </c>
      <c r="BM212" s="67">
        <f t="shared" si="1630"/>
        <v>0</v>
      </c>
      <c r="BN212" s="67">
        <f>BN176/BN29*90</f>
        <v>0</v>
      </c>
      <c r="BO212" s="67">
        <f t="shared" si="1631"/>
        <v>0</v>
      </c>
      <c r="BP212" s="67">
        <f>BP176/BP29*90</f>
        <v>0</v>
      </c>
      <c r="BQ212" s="67">
        <f t="shared" si="1632"/>
        <v>0</v>
      </c>
      <c r="BR212" s="67">
        <f>BR176/BR29*90</f>
        <v>0</v>
      </c>
      <c r="BS212" s="67">
        <f t="shared" si="1633"/>
        <v>0</v>
      </c>
      <c r="BT212" s="67">
        <f>BT176/BT29*90</f>
        <v>0</v>
      </c>
      <c r="BU212" s="67">
        <f t="shared" si="1634"/>
        <v>0</v>
      </c>
      <c r="BV212" s="67">
        <f>BV176/BV29*90</f>
        <v>0</v>
      </c>
      <c r="BW212" s="67">
        <f t="shared" si="1635"/>
        <v>0</v>
      </c>
      <c r="BX212" s="67">
        <f>BX176/BX29*90</f>
        <v>0</v>
      </c>
      <c r="BY212" s="67">
        <f t="shared" si="1636"/>
        <v>0</v>
      </c>
      <c r="BZ212" s="67">
        <f>BZ176/BZ29*90</f>
        <v>0</v>
      </c>
      <c r="CA212" s="67">
        <f t="shared" si="1637"/>
        <v>0</v>
      </c>
      <c r="CB212" s="67">
        <f>CB176/CB29*90</f>
        <v>0</v>
      </c>
      <c r="CC212" s="67">
        <f t="shared" si="1638"/>
        <v>0</v>
      </c>
      <c r="CD212" s="67">
        <f>CD176/CD29*90</f>
        <v>0</v>
      </c>
      <c r="CE212" s="67">
        <f t="shared" si="1659"/>
        <v>0</v>
      </c>
      <c r="CF212" s="67">
        <f>CF176/CF29*90</f>
        <v>0</v>
      </c>
      <c r="CG212" s="67">
        <f t="shared" si="1639"/>
        <v>0</v>
      </c>
      <c r="CH212" s="67">
        <f>CH176/CH29*90</f>
        <v>10.260513025651283</v>
      </c>
      <c r="CI212" s="67">
        <f t="shared" si="1639"/>
        <v>10.260513025651283</v>
      </c>
      <c r="CJ212" s="67">
        <f>CJ176/CJ29*90</f>
        <v>14.967083802858667</v>
      </c>
      <c r="CK212" s="67">
        <f t="shared" si="1640"/>
        <v>14.967083802858667</v>
      </c>
      <c r="CL212" s="67">
        <f>CL176/CL29*90</f>
        <v>6.790855553737936</v>
      </c>
      <c r="CM212" s="30">
        <f t="shared" si="1641"/>
        <v>6.790855553737936</v>
      </c>
      <c r="CN212" s="30">
        <f t="shared" si="1642"/>
        <v>6.790855553737936</v>
      </c>
      <c r="CO212" s="30">
        <f t="shared" si="1643"/>
        <v>6.790855553737936</v>
      </c>
      <c r="CP212" s="30">
        <f t="shared" si="1644"/>
        <v>6.790855553737936</v>
      </c>
      <c r="CQ212" s="30">
        <f t="shared" si="1645"/>
        <v>6.790855553737936</v>
      </c>
      <c r="CR212" s="30">
        <f t="shared" si="1646"/>
        <v>6.790855553737936</v>
      </c>
      <c r="CS212" s="30">
        <f t="shared" si="1647"/>
        <v>6.790855553737936</v>
      </c>
      <c r="CT212" s="30">
        <f t="shared" si="1648"/>
        <v>6.790855553737936</v>
      </c>
      <c r="CU212" s="30">
        <f t="shared" si="1649"/>
        <v>6.790855553737936</v>
      </c>
      <c r="CV212" s="30">
        <f t="shared" si="1650"/>
        <v>6.790855553737936</v>
      </c>
      <c r="CW212" s="30">
        <f t="shared" si="1651"/>
        <v>6.790855553737936</v>
      </c>
      <c r="CX212" s="30">
        <f t="shared" si="1652"/>
        <v>6.790855553737936</v>
      </c>
      <c r="CY212" s="30">
        <f t="shared" si="1653"/>
        <v>6.790855553737936</v>
      </c>
      <c r="CZ212" s="30">
        <f t="shared" si="1654"/>
        <v>6.790855553737936</v>
      </c>
      <c r="DA212" s="30">
        <f t="shared" si="1655"/>
        <v>6.790855553737936</v>
      </c>
      <c r="DB212" s="30">
        <f t="shared" si="1656"/>
        <v>6.790855553737936</v>
      </c>
      <c r="DE212" s="139"/>
      <c r="DF212" s="62">
        <v>14.967083802858667</v>
      </c>
    </row>
    <row r="213" spans="1:110" s="62" customFormat="1" outlineLevel="1" x14ac:dyDescent="0.2">
      <c r="A213" s="68" t="s">
        <v>468</v>
      </c>
      <c r="B213" s="67" t="e">
        <f>B214-B212-B211</f>
        <v>#DIV/0!</v>
      </c>
      <c r="C213" s="67" t="e">
        <f t="shared" ref="C213:U213" si="1660">C214-C212-C211</f>
        <v>#DIV/0!</v>
      </c>
      <c r="D213" s="67" t="e">
        <f t="shared" si="1660"/>
        <v>#DIV/0!</v>
      </c>
      <c r="E213" s="67">
        <f t="shared" si="1660"/>
        <v>28.798578961140837</v>
      </c>
      <c r="F213" s="67">
        <f t="shared" si="1660"/>
        <v>50.275012637457408</v>
      </c>
      <c r="G213" s="67">
        <f t="shared" si="1660"/>
        <v>90.065371600757544</v>
      </c>
      <c r="H213" s="67">
        <f t="shared" si="1660"/>
        <v>71.810133090551261</v>
      </c>
      <c r="I213" s="67">
        <f t="shared" si="1660"/>
        <v>50.479950309096331</v>
      </c>
      <c r="J213" s="67">
        <f t="shared" si="1660"/>
        <v>66.07820573963798</v>
      </c>
      <c r="K213" s="67">
        <f t="shared" si="1660"/>
        <v>43.502352942760567</v>
      </c>
      <c r="L213" s="67">
        <f t="shared" si="1660"/>
        <v>38.887162981206693</v>
      </c>
      <c r="M213" s="67">
        <f t="shared" si="1660"/>
        <v>35.4413519385838</v>
      </c>
      <c r="N213" s="67">
        <f t="shared" si="1660"/>
        <v>40.846731041223848</v>
      </c>
      <c r="O213" s="67">
        <f t="shared" si="1660"/>
        <v>44.380576123777374</v>
      </c>
      <c r="P213" s="67">
        <f t="shared" si="1660"/>
        <v>41.394990649705278</v>
      </c>
      <c r="Q213" s="67">
        <f t="shared" si="1660"/>
        <v>38.503256716826776</v>
      </c>
      <c r="R213" s="67">
        <f t="shared" si="1660"/>
        <v>41.154094151218359</v>
      </c>
      <c r="S213" s="67">
        <f t="shared" si="1660"/>
        <v>34.078945731805909</v>
      </c>
      <c r="T213" s="67">
        <f t="shared" si="1660"/>
        <v>32.96256319834643</v>
      </c>
      <c r="U213" s="67">
        <f t="shared" si="1660"/>
        <v>57.571115527917492</v>
      </c>
      <c r="V213" s="67">
        <f>V214-V212-V211</f>
        <v>54.160566318679834</v>
      </c>
      <c r="W213" s="67">
        <f t="shared" ref="W213" si="1661">W214-W212-W211</f>
        <v>42.990162106287471</v>
      </c>
      <c r="X213" s="67">
        <f t="shared" ref="X213:Y213" si="1662">X214-X212-X211</f>
        <v>39.511532670411924</v>
      </c>
      <c r="Y213" s="67">
        <f t="shared" si="1662"/>
        <v>34.168889011079642</v>
      </c>
      <c r="Z213" s="67">
        <f t="shared" ref="Z213:AA213" si="1663">Z214-Z212-Z211</f>
        <v>43.257924465289179</v>
      </c>
      <c r="AA213" s="67">
        <f t="shared" si="1663"/>
        <v>43.257924465289179</v>
      </c>
      <c r="AB213" s="18">
        <f t="shared" ref="AA213:AD213" si="1664">AB214-AB212-AB211</f>
        <v>29.483628771454992</v>
      </c>
      <c r="AC213" s="18">
        <f t="shared" si="1664"/>
        <v>29.094486495163004</v>
      </c>
      <c r="AD213" s="18">
        <f t="shared" si="1664"/>
        <v>29.27179208702924</v>
      </c>
      <c r="AE213" s="18">
        <f t="shared" ref="AE213" si="1665">AE214-AE212-AE211</f>
        <v>29.267066455709692</v>
      </c>
      <c r="AI213" s="67">
        <f t="shared" ref="AI213:AK213" si="1666">AI214-AI212-AI211</f>
        <v>0</v>
      </c>
      <c r="AJ213" s="67">
        <f t="shared" ref="AJ213:AM213" si="1667">AJ214-AJ212-AJ211</f>
        <v>0</v>
      </c>
      <c r="AK213" s="67">
        <f t="shared" si="1666"/>
        <v>0</v>
      </c>
      <c r="AL213" s="67">
        <f t="shared" si="1667"/>
        <v>0</v>
      </c>
      <c r="AM213" s="67">
        <f t="shared" si="1667"/>
        <v>0</v>
      </c>
      <c r="AN213" s="67">
        <f t="shared" ref="AN213:AY213" si="1668">AN214-AN212-AN211</f>
        <v>0</v>
      </c>
      <c r="AO213" s="67">
        <f t="shared" si="1668"/>
        <v>0</v>
      </c>
      <c r="AP213" s="67">
        <f t="shared" si="1668"/>
        <v>0</v>
      </c>
      <c r="AQ213" s="67">
        <f t="shared" si="1668"/>
        <v>0</v>
      </c>
      <c r="AR213" s="67">
        <f t="shared" si="1668"/>
        <v>0</v>
      </c>
      <c r="AS213" s="67">
        <f t="shared" si="1668"/>
        <v>0</v>
      </c>
      <c r="AT213" s="67">
        <f t="shared" si="1668"/>
        <v>0</v>
      </c>
      <c r="AU213" s="67">
        <f t="shared" si="1668"/>
        <v>0</v>
      </c>
      <c r="AV213" s="67">
        <f t="shared" si="1668"/>
        <v>0</v>
      </c>
      <c r="AW213" s="67">
        <f t="shared" si="1668"/>
        <v>0</v>
      </c>
      <c r="AX213" s="67">
        <f t="shared" si="1668"/>
        <v>0</v>
      </c>
      <c r="AY213" s="67">
        <f t="shared" si="1668"/>
        <v>0</v>
      </c>
      <c r="AZ213" s="67">
        <f t="shared" ref="AZ213:BC213" si="1669">AZ214-AZ212-AZ211</f>
        <v>0</v>
      </c>
      <c r="BA213" s="67">
        <f t="shared" si="1669"/>
        <v>0</v>
      </c>
      <c r="BB213" s="67">
        <f t="shared" si="1669"/>
        <v>0</v>
      </c>
      <c r="BC213" s="67">
        <f t="shared" si="1669"/>
        <v>0</v>
      </c>
      <c r="BD213" s="67">
        <f t="shared" ref="BD213:CE213" si="1670">BD214-BD212-BD211</f>
        <v>0</v>
      </c>
      <c r="BE213" s="67">
        <f t="shared" si="1670"/>
        <v>0</v>
      </c>
      <c r="BF213" s="67">
        <f t="shared" si="1670"/>
        <v>0</v>
      </c>
      <c r="BG213" s="67">
        <f t="shared" si="1670"/>
        <v>0</v>
      </c>
      <c r="BH213" s="67">
        <f t="shared" si="1670"/>
        <v>0</v>
      </c>
      <c r="BI213" s="67">
        <f t="shared" si="1670"/>
        <v>0</v>
      </c>
      <c r="BJ213" s="67">
        <f t="shared" si="1670"/>
        <v>0</v>
      </c>
      <c r="BK213" s="67">
        <f t="shared" si="1670"/>
        <v>0</v>
      </c>
      <c r="BL213" s="67">
        <f t="shared" si="1670"/>
        <v>0</v>
      </c>
      <c r="BM213" s="67">
        <f t="shared" si="1670"/>
        <v>0</v>
      </c>
      <c r="BN213" s="67">
        <f t="shared" si="1670"/>
        <v>0</v>
      </c>
      <c r="BO213" s="67">
        <f t="shared" si="1670"/>
        <v>0</v>
      </c>
      <c r="BP213" s="67">
        <f t="shared" si="1670"/>
        <v>0</v>
      </c>
      <c r="BQ213" s="67">
        <f t="shared" si="1670"/>
        <v>0</v>
      </c>
      <c r="BR213" s="67">
        <f t="shared" si="1670"/>
        <v>0</v>
      </c>
      <c r="BS213" s="67">
        <f t="shared" si="1670"/>
        <v>0</v>
      </c>
      <c r="BT213" s="67">
        <f t="shared" si="1670"/>
        <v>0</v>
      </c>
      <c r="BU213" s="67">
        <f t="shared" si="1670"/>
        <v>0</v>
      </c>
      <c r="BV213" s="67">
        <f t="shared" si="1670"/>
        <v>0</v>
      </c>
      <c r="BW213" s="67">
        <f t="shared" si="1670"/>
        <v>0</v>
      </c>
      <c r="BX213" s="67">
        <f t="shared" si="1670"/>
        <v>0</v>
      </c>
      <c r="BY213" s="67">
        <f t="shared" si="1670"/>
        <v>0</v>
      </c>
      <c r="BZ213" s="67">
        <f t="shared" si="1670"/>
        <v>0</v>
      </c>
      <c r="CA213" s="67">
        <f t="shared" si="1670"/>
        <v>0</v>
      </c>
      <c r="CB213" s="67">
        <f t="shared" si="1670"/>
        <v>0</v>
      </c>
      <c r="CC213" s="67">
        <f t="shared" si="1670"/>
        <v>0</v>
      </c>
      <c r="CD213" s="67">
        <f t="shared" si="1670"/>
        <v>0</v>
      </c>
      <c r="CE213" s="67">
        <f t="shared" si="1670"/>
        <v>0</v>
      </c>
      <c r="CF213" s="67">
        <f t="shared" ref="CF213:CG213" si="1671">CF214-CF212-CF211</f>
        <v>0</v>
      </c>
      <c r="CG213" s="67">
        <f t="shared" si="1671"/>
        <v>0</v>
      </c>
      <c r="CH213" s="67">
        <f t="shared" ref="CH213" si="1672">CH214-CH212-CH211</f>
        <v>36.730836541827088</v>
      </c>
      <c r="CI213" s="67">
        <f>CH213</f>
        <v>36.730836541827088</v>
      </c>
      <c r="CJ213" s="67">
        <f t="shared" ref="CJ213:CL213" si="1673">CJ214-CJ212-CJ211</f>
        <v>44.522270327975804</v>
      </c>
      <c r="CK213" s="67">
        <f t="shared" ref="CK213:DB213" si="1674">CJ213</f>
        <v>44.522270327975804</v>
      </c>
      <c r="CL213" s="67">
        <f t="shared" si="1673"/>
        <v>23.398086046131194</v>
      </c>
      <c r="CM213" s="30">
        <f t="shared" si="1674"/>
        <v>23.398086046131194</v>
      </c>
      <c r="CN213" s="30">
        <f t="shared" si="1674"/>
        <v>23.398086046131194</v>
      </c>
      <c r="CO213" s="30">
        <f t="shared" si="1674"/>
        <v>23.398086046131194</v>
      </c>
      <c r="CP213" s="30">
        <f t="shared" si="1674"/>
        <v>23.398086046131194</v>
      </c>
      <c r="CQ213" s="30">
        <f t="shared" si="1674"/>
        <v>23.398086046131194</v>
      </c>
      <c r="CR213" s="30">
        <f t="shared" si="1674"/>
        <v>23.398086046131194</v>
      </c>
      <c r="CS213" s="30">
        <f t="shared" si="1674"/>
        <v>23.398086046131194</v>
      </c>
      <c r="CT213" s="30">
        <f t="shared" si="1674"/>
        <v>23.398086046131194</v>
      </c>
      <c r="CU213" s="30">
        <f t="shared" si="1674"/>
        <v>23.398086046131194</v>
      </c>
      <c r="CV213" s="30">
        <f t="shared" si="1674"/>
        <v>23.398086046131194</v>
      </c>
      <c r="CW213" s="30">
        <f t="shared" si="1674"/>
        <v>23.398086046131194</v>
      </c>
      <c r="CX213" s="30">
        <f t="shared" si="1674"/>
        <v>23.398086046131194</v>
      </c>
      <c r="CY213" s="30">
        <f t="shared" si="1674"/>
        <v>23.398086046131194</v>
      </c>
      <c r="CZ213" s="30">
        <f t="shared" si="1674"/>
        <v>23.398086046131194</v>
      </c>
      <c r="DA213" s="30">
        <f t="shared" si="1674"/>
        <v>23.398086046131194</v>
      </c>
      <c r="DB213" s="30">
        <f t="shared" si="1674"/>
        <v>23.398086046131194</v>
      </c>
      <c r="DE213" s="139"/>
      <c r="DF213" s="62">
        <v>44.522270327975804</v>
      </c>
    </row>
    <row r="214" spans="1:110" s="7" customFormat="1" outlineLevel="1" x14ac:dyDescent="0.2">
      <c r="A214" s="69" t="s">
        <v>469</v>
      </c>
      <c r="B214" s="70" t="e">
        <f t="shared" ref="B214:AE214" si="1675">B180/B29*365</f>
        <v>#DIV/0!</v>
      </c>
      <c r="C214" s="70" t="e">
        <f t="shared" si="1675"/>
        <v>#DIV/0!</v>
      </c>
      <c r="D214" s="70" t="e">
        <f t="shared" si="1675"/>
        <v>#DIV/0!</v>
      </c>
      <c r="E214" s="70">
        <f t="shared" si="1675"/>
        <v>71.631291619253219</v>
      </c>
      <c r="F214" s="70">
        <f t="shared" si="1675"/>
        <v>94.43731971563713</v>
      </c>
      <c r="G214" s="70">
        <f t="shared" si="1675"/>
        <v>133.53703219566617</v>
      </c>
      <c r="H214" s="70">
        <f t="shared" si="1675"/>
        <v>110.83052730533068</v>
      </c>
      <c r="I214" s="70">
        <f t="shared" si="1675"/>
        <v>91.085836119600131</v>
      </c>
      <c r="J214" s="70">
        <f t="shared" si="1675"/>
        <v>111.79723015869543</v>
      </c>
      <c r="K214" s="70">
        <f t="shared" si="1675"/>
        <v>95.867377508964097</v>
      </c>
      <c r="L214" s="70">
        <f t="shared" si="1675"/>
        <v>85.722953781832246</v>
      </c>
      <c r="M214" s="70">
        <f t="shared" si="1675"/>
        <v>81.83791515848047</v>
      </c>
      <c r="N214" s="70">
        <f t="shared" si="1675"/>
        <v>89.138994402790473</v>
      </c>
      <c r="O214" s="70">
        <f t="shared" si="1675"/>
        <v>95.90518964547887</v>
      </c>
      <c r="P214" s="70">
        <f t="shared" si="1675"/>
        <v>98.743356568500303</v>
      </c>
      <c r="Q214" s="70">
        <f t="shared" si="1675"/>
        <v>93.685080136359403</v>
      </c>
      <c r="R214" s="70">
        <f t="shared" si="1675"/>
        <v>98.306225383242179</v>
      </c>
      <c r="S214" s="70">
        <f t="shared" si="1675"/>
        <v>90.983680983121246</v>
      </c>
      <c r="T214" s="70">
        <f t="shared" si="1675"/>
        <v>74.696644324590523</v>
      </c>
      <c r="U214" s="70">
        <f t="shared" si="1675"/>
        <v>105.84634984794492</v>
      </c>
      <c r="V214" s="70">
        <f t="shared" si="1675"/>
        <v>105.68596622644372</v>
      </c>
      <c r="W214" s="70">
        <f t="shared" si="1675"/>
        <v>88.382749972963424</v>
      </c>
      <c r="X214" s="70">
        <f t="shared" si="1675"/>
        <v>69.335972124466551</v>
      </c>
      <c r="Y214" s="70">
        <f t="shared" si="1675"/>
        <v>65.452739669535092</v>
      </c>
      <c r="Z214" s="70">
        <f t="shared" si="1675"/>
        <v>72.057674715764719</v>
      </c>
      <c r="AA214" s="70">
        <f t="shared" ref="AA214" si="1676">AA180/AA29*365</f>
        <v>72.057674715764719</v>
      </c>
      <c r="AB214" s="71">
        <f t="shared" si="1675"/>
        <v>55.674292869678425</v>
      </c>
      <c r="AC214" s="71">
        <f t="shared" si="1675"/>
        <v>54.939470801940658</v>
      </c>
      <c r="AD214" s="71">
        <f t="shared" si="1675"/>
        <v>55.274279095909861</v>
      </c>
      <c r="AE214" s="71">
        <f t="shared" si="1675"/>
        <v>55.265355629123668</v>
      </c>
      <c r="AI214" s="70">
        <f t="shared" ref="AI214:CD214" si="1677">AI180/AI29*90</f>
        <v>0</v>
      </c>
      <c r="AJ214" s="70">
        <f t="shared" si="1677"/>
        <v>0</v>
      </c>
      <c r="AK214" s="70">
        <f t="shared" si="1677"/>
        <v>0</v>
      </c>
      <c r="AL214" s="70">
        <f t="shared" si="1677"/>
        <v>0</v>
      </c>
      <c r="AM214" s="70">
        <f t="shared" si="1677"/>
        <v>0</v>
      </c>
      <c r="AN214" s="70">
        <f t="shared" si="1677"/>
        <v>0</v>
      </c>
      <c r="AO214" s="70">
        <f t="shared" si="1677"/>
        <v>0</v>
      </c>
      <c r="AP214" s="70">
        <f t="shared" si="1677"/>
        <v>0</v>
      </c>
      <c r="AQ214" s="70">
        <f t="shared" si="1677"/>
        <v>0</v>
      </c>
      <c r="AR214" s="70">
        <f t="shared" si="1677"/>
        <v>0</v>
      </c>
      <c r="AS214" s="70">
        <f t="shared" si="1677"/>
        <v>0</v>
      </c>
      <c r="AT214" s="70">
        <f t="shared" si="1677"/>
        <v>0</v>
      </c>
      <c r="AU214" s="70">
        <f t="shared" si="1677"/>
        <v>0</v>
      </c>
      <c r="AV214" s="70">
        <f t="shared" si="1677"/>
        <v>0</v>
      </c>
      <c r="AW214" s="70">
        <f t="shared" si="1677"/>
        <v>0</v>
      </c>
      <c r="AX214" s="70">
        <f t="shared" si="1677"/>
        <v>0</v>
      </c>
      <c r="AY214" s="70">
        <f t="shared" si="1677"/>
        <v>0</v>
      </c>
      <c r="AZ214" s="70">
        <f t="shared" si="1677"/>
        <v>0</v>
      </c>
      <c r="BA214" s="70">
        <f t="shared" si="1677"/>
        <v>0</v>
      </c>
      <c r="BB214" s="70">
        <f t="shared" si="1677"/>
        <v>0</v>
      </c>
      <c r="BC214" s="70">
        <f t="shared" si="1677"/>
        <v>0</v>
      </c>
      <c r="BD214" s="70">
        <f t="shared" si="1677"/>
        <v>0</v>
      </c>
      <c r="BE214" s="70">
        <f t="shared" si="1677"/>
        <v>0</v>
      </c>
      <c r="BF214" s="70">
        <f t="shared" si="1677"/>
        <v>0</v>
      </c>
      <c r="BG214" s="70">
        <f t="shared" si="1677"/>
        <v>0</v>
      </c>
      <c r="BH214" s="70">
        <f t="shared" si="1677"/>
        <v>0</v>
      </c>
      <c r="BI214" s="70">
        <f t="shared" si="1677"/>
        <v>0</v>
      </c>
      <c r="BJ214" s="70">
        <f t="shared" si="1677"/>
        <v>0</v>
      </c>
      <c r="BK214" s="70">
        <f t="shared" si="1677"/>
        <v>0</v>
      </c>
      <c r="BL214" s="70">
        <f t="shared" si="1677"/>
        <v>0</v>
      </c>
      <c r="BM214" s="70">
        <f t="shared" si="1677"/>
        <v>0</v>
      </c>
      <c r="BN214" s="70">
        <f t="shared" si="1677"/>
        <v>0</v>
      </c>
      <c r="BO214" s="70">
        <f t="shared" si="1677"/>
        <v>0</v>
      </c>
      <c r="BP214" s="70">
        <f t="shared" si="1677"/>
        <v>0</v>
      </c>
      <c r="BQ214" s="70">
        <f t="shared" si="1677"/>
        <v>0</v>
      </c>
      <c r="BR214" s="70">
        <f t="shared" si="1677"/>
        <v>0</v>
      </c>
      <c r="BS214" s="70">
        <f t="shared" si="1677"/>
        <v>0</v>
      </c>
      <c r="BT214" s="70">
        <f t="shared" si="1677"/>
        <v>0</v>
      </c>
      <c r="BU214" s="70">
        <f t="shared" si="1677"/>
        <v>0</v>
      </c>
      <c r="BV214" s="70">
        <f t="shared" si="1677"/>
        <v>0</v>
      </c>
      <c r="BW214" s="70">
        <f t="shared" si="1677"/>
        <v>0</v>
      </c>
      <c r="BX214" s="70">
        <f t="shared" si="1677"/>
        <v>0</v>
      </c>
      <c r="BY214" s="70">
        <f t="shared" si="1677"/>
        <v>0</v>
      </c>
      <c r="BZ214" s="70">
        <f t="shared" si="1677"/>
        <v>0</v>
      </c>
      <c r="CA214" s="70">
        <f t="shared" si="1677"/>
        <v>0</v>
      </c>
      <c r="CB214" s="70">
        <f t="shared" si="1677"/>
        <v>0</v>
      </c>
      <c r="CC214" s="70">
        <f t="shared" si="1677"/>
        <v>0</v>
      </c>
      <c r="CD214" s="70">
        <f t="shared" si="1677"/>
        <v>0</v>
      </c>
      <c r="CE214" s="70">
        <f>CE180/CE32*90</f>
        <v>0</v>
      </c>
      <c r="CF214" s="70">
        <f>CF180/CF29*90</f>
        <v>0</v>
      </c>
      <c r="CG214" s="70">
        <f>CG180/CG32*90</f>
        <v>0</v>
      </c>
      <c r="CH214" s="70">
        <f>CH180/CH29*90</f>
        <v>61.185059252962652</v>
      </c>
      <c r="CI214" s="70">
        <f>CI211+CI212+CI213</f>
        <v>61.185059252962645</v>
      </c>
      <c r="CJ214" s="70">
        <f>CJ180/CJ29*90</f>
        <v>81.902615503232312</v>
      </c>
      <c r="CK214" s="70">
        <f t="shared" ref="CK214:DB214" si="1678">CK211+CK212+CK213</f>
        <v>81.902615503232312</v>
      </c>
      <c r="CL214" s="70">
        <f>CL180/CL29*90</f>
        <v>44.182888925241286</v>
      </c>
      <c r="CM214" s="50">
        <f t="shared" si="1678"/>
        <v>44.182888925241286</v>
      </c>
      <c r="CN214" s="50">
        <f t="shared" si="1678"/>
        <v>44.182888925241286</v>
      </c>
      <c r="CO214" s="50">
        <f t="shared" si="1678"/>
        <v>44.182888925241286</v>
      </c>
      <c r="CP214" s="50">
        <f t="shared" si="1678"/>
        <v>44.182888925241286</v>
      </c>
      <c r="CQ214" s="50">
        <f t="shared" si="1678"/>
        <v>44.182888925241286</v>
      </c>
      <c r="CR214" s="50">
        <f t="shared" si="1678"/>
        <v>44.182888925241286</v>
      </c>
      <c r="CS214" s="50">
        <f t="shared" si="1678"/>
        <v>44.182888925241286</v>
      </c>
      <c r="CT214" s="50">
        <f t="shared" si="1678"/>
        <v>44.182888925241286</v>
      </c>
      <c r="CU214" s="50">
        <f t="shared" si="1678"/>
        <v>44.182888925241286</v>
      </c>
      <c r="CV214" s="50">
        <f t="shared" si="1678"/>
        <v>44.182888925241286</v>
      </c>
      <c r="CW214" s="50">
        <f t="shared" si="1678"/>
        <v>44.182888925241286</v>
      </c>
      <c r="CX214" s="50">
        <f t="shared" si="1678"/>
        <v>44.182888925241286</v>
      </c>
      <c r="CY214" s="50">
        <f t="shared" si="1678"/>
        <v>44.182888925241286</v>
      </c>
      <c r="CZ214" s="50">
        <f t="shared" si="1678"/>
        <v>44.182888925241286</v>
      </c>
      <c r="DA214" s="50">
        <f t="shared" si="1678"/>
        <v>44.182888925241286</v>
      </c>
      <c r="DB214" s="50">
        <f t="shared" si="1678"/>
        <v>44.182888925241286</v>
      </c>
      <c r="DE214" s="138"/>
      <c r="DF214" s="7">
        <v>81.902615503232312</v>
      </c>
    </row>
    <row r="215" spans="1:110" s="62" customFormat="1" outlineLevel="1" x14ac:dyDescent="0.2">
      <c r="A215" s="68" t="s">
        <v>470</v>
      </c>
      <c r="B215" s="67" t="e">
        <f t="shared" ref="B215:AE215" si="1679">B185/B29*365</f>
        <v>#DIV/0!</v>
      </c>
      <c r="C215" s="67" t="e">
        <f t="shared" si="1679"/>
        <v>#DIV/0!</v>
      </c>
      <c r="D215" s="67" t="e">
        <f t="shared" si="1679"/>
        <v>#DIV/0!</v>
      </c>
      <c r="E215" s="67">
        <f t="shared" si="1679"/>
        <v>55.339389383424141</v>
      </c>
      <c r="F215" s="67">
        <f t="shared" si="1679"/>
        <v>41.545713996284988</v>
      </c>
      <c r="G215" s="67">
        <f t="shared" si="1679"/>
        <v>42.454501095273287</v>
      </c>
      <c r="H215" s="67">
        <f t="shared" si="1679"/>
        <v>44.090348728959675</v>
      </c>
      <c r="I215" s="67">
        <f t="shared" si="1679"/>
        <v>52.917062412063103</v>
      </c>
      <c r="J215" s="67">
        <f t="shared" si="1679"/>
        <v>60.045870505926473</v>
      </c>
      <c r="K215" s="67">
        <f t="shared" si="1679"/>
        <v>53.044122221070253</v>
      </c>
      <c r="L215" s="67">
        <f t="shared" si="1679"/>
        <v>63.588950436712935</v>
      </c>
      <c r="M215" s="67">
        <f t="shared" si="1679"/>
        <v>55.605739416881811</v>
      </c>
      <c r="N215" s="67">
        <f t="shared" si="1679"/>
        <v>65.089669422995925</v>
      </c>
      <c r="O215" s="67">
        <f t="shared" si="1679"/>
        <v>98.11814208901049</v>
      </c>
      <c r="P215" s="67">
        <f t="shared" si="1679"/>
        <v>85.807464396713755</v>
      </c>
      <c r="Q215" s="67">
        <f t="shared" si="1679"/>
        <v>69.546922448500652</v>
      </c>
      <c r="R215" s="67">
        <f t="shared" si="1679"/>
        <v>85.287149045887531</v>
      </c>
      <c r="S215" s="67">
        <f t="shared" si="1679"/>
        <v>88.471149420998273</v>
      </c>
      <c r="T215" s="67">
        <f t="shared" si="1679"/>
        <v>71.214936369589893</v>
      </c>
      <c r="U215" s="67">
        <f t="shared" si="1679"/>
        <v>72.35319272348471</v>
      </c>
      <c r="V215" s="67">
        <f t="shared" si="1679"/>
        <v>68.33520831902554</v>
      </c>
      <c r="W215" s="67">
        <f t="shared" si="1679"/>
        <v>108.89091885257493</v>
      </c>
      <c r="X215" s="67">
        <f t="shared" si="1679"/>
        <v>72.677039132701296</v>
      </c>
      <c r="Y215" s="67">
        <f t="shared" si="1679"/>
        <v>66.9078024908586</v>
      </c>
      <c r="Z215" s="67">
        <f t="shared" si="1679"/>
        <v>70.314001945723035</v>
      </c>
      <c r="AA215" s="67">
        <f t="shared" ref="AA215" si="1680">AA185/AA29*365</f>
        <v>70.314001945723035</v>
      </c>
      <c r="AB215" s="18">
        <f t="shared" si="1679"/>
        <v>67.000236154229796</v>
      </c>
      <c r="AC215" s="18">
        <f t="shared" si="1679"/>
        <v>66.115927624528084</v>
      </c>
      <c r="AD215" s="18">
        <f t="shared" si="1679"/>
        <v>66.518846702725256</v>
      </c>
      <c r="AE215" s="18">
        <f t="shared" si="1679"/>
        <v>66.508107915554859</v>
      </c>
      <c r="AI215" s="67">
        <f>AJ185/AI29*90</f>
        <v>0</v>
      </c>
      <c r="AJ215" s="67">
        <f>AJ185/AJ29*90</f>
        <v>0</v>
      </c>
      <c r="AK215" s="67">
        <f t="shared" ref="AK215:CE215" si="1681">+AJ215</f>
        <v>0</v>
      </c>
      <c r="AL215" s="67">
        <f>AL185/AL29*90</f>
        <v>0</v>
      </c>
      <c r="AM215" s="67">
        <f t="shared" ref="AM215" si="1682">+AL215</f>
        <v>0</v>
      </c>
      <c r="AN215" s="67">
        <f>AN185/AN29*90</f>
        <v>0</v>
      </c>
      <c r="AO215" s="67">
        <f t="shared" ref="AO215" si="1683">+AN215</f>
        <v>0</v>
      </c>
      <c r="AP215" s="67">
        <f>AP185/AP29*90</f>
        <v>0</v>
      </c>
      <c r="AQ215" s="67">
        <f t="shared" ref="AQ215" si="1684">+AP215</f>
        <v>0</v>
      </c>
      <c r="AR215" s="67">
        <f>AR185/AR29*90</f>
        <v>0</v>
      </c>
      <c r="AS215" s="67">
        <f t="shared" ref="AS215" si="1685">+AR215</f>
        <v>0</v>
      </c>
      <c r="AT215" s="67">
        <f>AT185/AT29*90</f>
        <v>0</v>
      </c>
      <c r="AU215" s="67">
        <f t="shared" ref="AU215" si="1686">+AT215</f>
        <v>0</v>
      </c>
      <c r="AV215" s="67">
        <f>AV185/AV29*90</f>
        <v>0</v>
      </c>
      <c r="AW215" s="67">
        <f t="shared" ref="AW215" si="1687">+AV215</f>
        <v>0</v>
      </c>
      <c r="AX215" s="67">
        <f>AX185/AX29*90</f>
        <v>0</v>
      </c>
      <c r="AY215" s="67">
        <f t="shared" ref="AY215" si="1688">+AX215</f>
        <v>0</v>
      </c>
      <c r="AZ215" s="67">
        <f>AZ185/AZ29*90</f>
        <v>0</v>
      </c>
      <c r="BA215" s="67">
        <f t="shared" ref="BA215" si="1689">+AZ215</f>
        <v>0</v>
      </c>
      <c r="BB215" s="67">
        <f>BB185/BB29*90</f>
        <v>0</v>
      </c>
      <c r="BC215" s="67">
        <f t="shared" ref="BC215" si="1690">+BB215</f>
        <v>0</v>
      </c>
      <c r="BD215" s="67">
        <f>BD185/BD29*90</f>
        <v>0</v>
      </c>
      <c r="BE215" s="67">
        <f t="shared" ref="BE215" si="1691">+BD215</f>
        <v>0</v>
      </c>
      <c r="BF215" s="67">
        <f>BF185/BF29*90</f>
        <v>0</v>
      </c>
      <c r="BG215" s="67">
        <f t="shared" ref="BG215" si="1692">+BF215</f>
        <v>0</v>
      </c>
      <c r="BH215" s="67">
        <f>BH185/BH29*90</f>
        <v>0</v>
      </c>
      <c r="BI215" s="67">
        <f t="shared" ref="BI215" si="1693">+BH215</f>
        <v>0</v>
      </c>
      <c r="BJ215" s="67">
        <f>BJ185/BJ29*90</f>
        <v>0</v>
      </c>
      <c r="BK215" s="67">
        <f t="shared" ref="BK215" si="1694">+BJ215</f>
        <v>0</v>
      </c>
      <c r="BL215" s="67">
        <f>BL185/BL29*90</f>
        <v>0</v>
      </c>
      <c r="BM215" s="67">
        <f t="shared" ref="BM215" si="1695">+BL215</f>
        <v>0</v>
      </c>
      <c r="BN215" s="67">
        <f>BN185/BN29*90</f>
        <v>0</v>
      </c>
      <c r="BO215" s="67">
        <f t="shared" ref="BO215" si="1696">+BN215</f>
        <v>0</v>
      </c>
      <c r="BP215" s="67">
        <f>BP185/BP29*90</f>
        <v>0</v>
      </c>
      <c r="BQ215" s="67">
        <f t="shared" ref="BQ215" si="1697">+BP215</f>
        <v>0</v>
      </c>
      <c r="BR215" s="67">
        <f>BR185/BR29*90</f>
        <v>0</v>
      </c>
      <c r="BS215" s="67">
        <f t="shared" ref="BS215" si="1698">+BR215</f>
        <v>0</v>
      </c>
      <c r="BT215" s="67">
        <f>BT185/BT29*90</f>
        <v>0</v>
      </c>
      <c r="BU215" s="67">
        <f t="shared" ref="BU215" si="1699">+BT215</f>
        <v>0</v>
      </c>
      <c r="BV215" s="67">
        <f>BV185/BV29*90</f>
        <v>0</v>
      </c>
      <c r="BW215" s="67">
        <f t="shared" ref="BW215" si="1700">+BV215</f>
        <v>0</v>
      </c>
      <c r="BX215" s="67">
        <f>BX185/BX29*90</f>
        <v>0</v>
      </c>
      <c r="BY215" s="67">
        <f t="shared" ref="BY215" si="1701">+BX215</f>
        <v>0</v>
      </c>
      <c r="BZ215" s="67">
        <f>BZ185/BZ29*90</f>
        <v>0</v>
      </c>
      <c r="CA215" s="67">
        <f t="shared" ref="CA215" si="1702">+BZ215</f>
        <v>0</v>
      </c>
      <c r="CB215" s="67">
        <f>CB185/CB29*90</f>
        <v>0</v>
      </c>
      <c r="CC215" s="67">
        <f t="shared" ref="CC215" si="1703">+CB215</f>
        <v>0</v>
      </c>
      <c r="CD215" s="67">
        <f>CD185/CD29*90</f>
        <v>0</v>
      </c>
      <c r="CE215" s="67">
        <f t="shared" si="1681"/>
        <v>0</v>
      </c>
      <c r="CF215" s="67">
        <f>CF185/CF29*90</f>
        <v>0</v>
      </c>
      <c r="CG215" s="67">
        <f t="shared" ref="CG215:CI215" si="1704">+CF215</f>
        <v>0</v>
      </c>
      <c r="CH215" s="67">
        <f>CH185/CH29*90</f>
        <v>59.704485224261219</v>
      </c>
      <c r="CI215" s="67">
        <f t="shared" si="1704"/>
        <v>59.704485224261219</v>
      </c>
      <c r="CJ215" s="67">
        <f>CJ185/CJ29*90</f>
        <v>70.778720123361609</v>
      </c>
      <c r="CK215" s="67">
        <f t="shared" ref="CK215" si="1705">+CJ215</f>
        <v>70.778720123361609</v>
      </c>
      <c r="CL215" s="67">
        <f>CL185/CL29*90</f>
        <v>53.171110747587115</v>
      </c>
      <c r="CM215" s="30">
        <f t="shared" ref="CM215" si="1706">+CL215</f>
        <v>53.171110747587115</v>
      </c>
      <c r="CN215" s="30">
        <f t="shared" ref="CN215" si="1707">+CM215</f>
        <v>53.171110747587115</v>
      </c>
      <c r="CO215" s="30">
        <f t="shared" ref="CO215" si="1708">+CN215</f>
        <v>53.171110747587115</v>
      </c>
      <c r="CP215" s="30">
        <f t="shared" ref="CP215" si="1709">+CO215</f>
        <v>53.171110747587115</v>
      </c>
      <c r="CQ215" s="30">
        <f t="shared" ref="CQ215" si="1710">+CP215</f>
        <v>53.171110747587115</v>
      </c>
      <c r="CR215" s="30">
        <f t="shared" ref="CR215" si="1711">+CQ215</f>
        <v>53.171110747587115</v>
      </c>
      <c r="CS215" s="30">
        <f t="shared" ref="CS215" si="1712">+CR215</f>
        <v>53.171110747587115</v>
      </c>
      <c r="CT215" s="30">
        <f t="shared" ref="CT215" si="1713">+CS215</f>
        <v>53.171110747587115</v>
      </c>
      <c r="CU215" s="30">
        <f t="shared" ref="CU215" si="1714">+CT215</f>
        <v>53.171110747587115</v>
      </c>
      <c r="CV215" s="30">
        <f t="shared" ref="CV215" si="1715">+CU215</f>
        <v>53.171110747587115</v>
      </c>
      <c r="CW215" s="30">
        <f t="shared" ref="CW215" si="1716">+CV215</f>
        <v>53.171110747587115</v>
      </c>
      <c r="CX215" s="30">
        <f t="shared" ref="CX215" si="1717">+CW215</f>
        <v>53.171110747587115</v>
      </c>
      <c r="CY215" s="30">
        <f t="shared" ref="CY215" si="1718">+CX215</f>
        <v>53.171110747587115</v>
      </c>
      <c r="CZ215" s="30">
        <f t="shared" ref="CZ215" si="1719">+CY215</f>
        <v>53.171110747587115</v>
      </c>
      <c r="DA215" s="30">
        <f t="shared" ref="DA215" si="1720">+CZ215</f>
        <v>53.171110747587115</v>
      </c>
      <c r="DB215" s="30">
        <f t="shared" ref="DB215" si="1721">+DA215</f>
        <v>53.171110747587115</v>
      </c>
      <c r="DE215" s="139"/>
      <c r="DF215" s="62">
        <v>70.778720123361609</v>
      </c>
    </row>
    <row r="216" spans="1:110" s="62" customFormat="1" outlineLevel="1" x14ac:dyDescent="0.2">
      <c r="A216" s="68" t="s">
        <v>468</v>
      </c>
      <c r="B216" s="67" t="e">
        <f>B217-B215</f>
        <v>#DIV/0!</v>
      </c>
      <c r="C216" s="67" t="e">
        <f t="shared" ref="C216:V216" si="1722">C217-C215</f>
        <v>#DIV/0!</v>
      </c>
      <c r="D216" s="67" t="e">
        <f t="shared" si="1722"/>
        <v>#DIV/0!</v>
      </c>
      <c r="E216" s="67">
        <f t="shared" si="1722"/>
        <v>57.790611502145005</v>
      </c>
      <c r="F216" s="67">
        <f t="shared" si="1722"/>
        <v>79.277553669075118</v>
      </c>
      <c r="G216" s="67">
        <f t="shared" si="1722"/>
        <v>68.132481585049632</v>
      </c>
      <c r="H216" s="67">
        <f t="shared" si="1722"/>
        <v>43.357631077407298</v>
      </c>
      <c r="I216" s="67">
        <f t="shared" si="1722"/>
        <v>68.619644754506339</v>
      </c>
      <c r="J216" s="67">
        <f t="shared" si="1722"/>
        <v>82.047717650181653</v>
      </c>
      <c r="K216" s="67">
        <f t="shared" si="1722"/>
        <v>117.7140935548892</v>
      </c>
      <c r="L216" s="67">
        <f t="shared" si="1722"/>
        <v>62.732541608996456</v>
      </c>
      <c r="M216" s="67">
        <f t="shared" si="1722"/>
        <v>51.902624037370764</v>
      </c>
      <c r="N216" s="67">
        <f t="shared" si="1722"/>
        <v>33.911214143585369</v>
      </c>
      <c r="O216" s="67">
        <f t="shared" si="1722"/>
        <v>64.179881417202097</v>
      </c>
      <c r="P216" s="67">
        <f t="shared" si="1722"/>
        <v>49.371145177153238</v>
      </c>
      <c r="Q216" s="67">
        <f t="shared" si="1722"/>
        <v>78.038110646276209</v>
      </c>
      <c r="R216" s="67">
        <f t="shared" si="1722"/>
        <v>54.028746400176601</v>
      </c>
      <c r="S216" s="67">
        <f t="shared" si="1722"/>
        <v>52.273716680970665</v>
      </c>
      <c r="T216" s="67">
        <f t="shared" si="1722"/>
        <v>39.565635098946927</v>
      </c>
      <c r="U216" s="67">
        <f t="shared" si="1722"/>
        <v>119.63300656503557</v>
      </c>
      <c r="V216" s="67">
        <f t="shared" si="1722"/>
        <v>140.18029842571372</v>
      </c>
      <c r="W216" s="67">
        <f t="shared" ref="W216" si="1723">W217-W215</f>
        <v>48.791813607952221</v>
      </c>
      <c r="X216" s="67">
        <f t="shared" ref="X216:Y216" si="1724">X217-X215</f>
        <v>38.954967653330442</v>
      </c>
      <c r="Y216" s="67">
        <f t="shared" si="1724"/>
        <v>41.97605366618096</v>
      </c>
      <c r="Z216" s="67">
        <f t="shared" ref="Z216:AA216" si="1725">Z217-Z215</f>
        <v>49.294530195007908</v>
      </c>
      <c r="AA216" s="67">
        <f t="shared" si="1725"/>
        <v>50.078387953941558</v>
      </c>
      <c r="AB216" s="18">
        <f t="shared" ref="AA216:AD216" si="1726">AB217-AB215</f>
        <v>54.287537324190765</v>
      </c>
      <c r="AC216" s="18">
        <f t="shared" si="1726"/>
        <v>53.571018471902306</v>
      </c>
      <c r="AD216" s="18">
        <f t="shared" si="1726"/>
        <v>53.897487239055721</v>
      </c>
      <c r="AE216" s="18">
        <f t="shared" ref="AE216" si="1727">AE217-AE215</f>
        <v>53.888786041227291</v>
      </c>
      <c r="AI216" s="67">
        <f t="shared" ref="AI216:AK216" si="1728">AI217-AI215</f>
        <v>0</v>
      </c>
      <c r="AJ216" s="67">
        <f t="shared" ref="AJ216:AM216" si="1729">AJ217-AJ215</f>
        <v>0</v>
      </c>
      <c r="AK216" s="67">
        <f t="shared" si="1728"/>
        <v>0</v>
      </c>
      <c r="AL216" s="67">
        <f t="shared" si="1729"/>
        <v>0</v>
      </c>
      <c r="AM216" s="67">
        <f t="shared" si="1729"/>
        <v>0</v>
      </c>
      <c r="AN216" s="67">
        <f t="shared" ref="AN216:AY216" si="1730">AN217-AN215</f>
        <v>0</v>
      </c>
      <c r="AO216" s="67">
        <f t="shared" si="1730"/>
        <v>0</v>
      </c>
      <c r="AP216" s="67">
        <f t="shared" si="1730"/>
        <v>0</v>
      </c>
      <c r="AQ216" s="67">
        <f t="shared" si="1730"/>
        <v>0</v>
      </c>
      <c r="AR216" s="67">
        <f t="shared" si="1730"/>
        <v>0</v>
      </c>
      <c r="AS216" s="67">
        <f t="shared" si="1730"/>
        <v>0</v>
      </c>
      <c r="AT216" s="67">
        <f t="shared" si="1730"/>
        <v>0</v>
      </c>
      <c r="AU216" s="67">
        <f t="shared" si="1730"/>
        <v>0</v>
      </c>
      <c r="AV216" s="67">
        <f t="shared" si="1730"/>
        <v>0</v>
      </c>
      <c r="AW216" s="67">
        <f t="shared" si="1730"/>
        <v>0</v>
      </c>
      <c r="AX216" s="67">
        <f t="shared" si="1730"/>
        <v>0</v>
      </c>
      <c r="AY216" s="67">
        <f t="shared" si="1730"/>
        <v>0</v>
      </c>
      <c r="AZ216" s="67">
        <f t="shared" ref="AZ216:BC216" si="1731">AZ217-AZ215</f>
        <v>0</v>
      </c>
      <c r="BA216" s="67">
        <f t="shared" si="1731"/>
        <v>0</v>
      </c>
      <c r="BB216" s="67">
        <f t="shared" si="1731"/>
        <v>0</v>
      </c>
      <c r="BC216" s="67">
        <f t="shared" si="1731"/>
        <v>0</v>
      </c>
      <c r="BD216" s="67">
        <f t="shared" ref="BD216:CE216" si="1732">BD217-BD215</f>
        <v>0</v>
      </c>
      <c r="BE216" s="67">
        <f t="shared" si="1732"/>
        <v>0</v>
      </c>
      <c r="BF216" s="67">
        <f t="shared" si="1732"/>
        <v>0</v>
      </c>
      <c r="BG216" s="67">
        <f t="shared" si="1732"/>
        <v>0</v>
      </c>
      <c r="BH216" s="67">
        <f t="shared" si="1732"/>
        <v>0</v>
      </c>
      <c r="BI216" s="67">
        <f t="shared" si="1732"/>
        <v>0</v>
      </c>
      <c r="BJ216" s="67">
        <f t="shared" si="1732"/>
        <v>0</v>
      </c>
      <c r="BK216" s="67">
        <f t="shared" si="1732"/>
        <v>0</v>
      </c>
      <c r="BL216" s="67">
        <f t="shared" si="1732"/>
        <v>0</v>
      </c>
      <c r="BM216" s="67">
        <f t="shared" si="1732"/>
        <v>0</v>
      </c>
      <c r="BN216" s="67">
        <f t="shared" si="1732"/>
        <v>0</v>
      </c>
      <c r="BO216" s="67">
        <f t="shared" si="1732"/>
        <v>0</v>
      </c>
      <c r="BP216" s="67">
        <f t="shared" si="1732"/>
        <v>0</v>
      </c>
      <c r="BQ216" s="67">
        <f t="shared" si="1732"/>
        <v>0</v>
      </c>
      <c r="BR216" s="67">
        <f t="shared" si="1732"/>
        <v>0</v>
      </c>
      <c r="BS216" s="67">
        <f t="shared" si="1732"/>
        <v>0</v>
      </c>
      <c r="BT216" s="67">
        <f t="shared" si="1732"/>
        <v>0</v>
      </c>
      <c r="BU216" s="67">
        <f t="shared" si="1732"/>
        <v>0</v>
      </c>
      <c r="BV216" s="67">
        <f t="shared" si="1732"/>
        <v>0</v>
      </c>
      <c r="BW216" s="67">
        <f t="shared" si="1732"/>
        <v>0</v>
      </c>
      <c r="BX216" s="67">
        <f t="shared" si="1732"/>
        <v>0</v>
      </c>
      <c r="BY216" s="67">
        <f t="shared" si="1732"/>
        <v>0</v>
      </c>
      <c r="BZ216" s="67">
        <f t="shared" si="1732"/>
        <v>0</v>
      </c>
      <c r="CA216" s="67">
        <f t="shared" si="1732"/>
        <v>0</v>
      </c>
      <c r="CB216" s="67">
        <f t="shared" si="1732"/>
        <v>0</v>
      </c>
      <c r="CC216" s="67">
        <f t="shared" si="1732"/>
        <v>0</v>
      </c>
      <c r="CD216" s="67">
        <f t="shared" si="1732"/>
        <v>0</v>
      </c>
      <c r="CE216" s="67">
        <f t="shared" si="1732"/>
        <v>0</v>
      </c>
      <c r="CF216" s="67">
        <f t="shared" ref="CF216:CG216" si="1733">CF217-CF215</f>
        <v>0</v>
      </c>
      <c r="CG216" s="67">
        <f t="shared" si="1733"/>
        <v>0</v>
      </c>
      <c r="CH216" s="67">
        <f t="shared" ref="CH216" si="1734">CH217-CH215</f>
        <v>41.856592829641485</v>
      </c>
      <c r="CI216" s="67">
        <f>CH216</f>
        <v>41.856592829641485</v>
      </c>
      <c r="CJ216" s="67">
        <f t="shared" ref="CJ216:CL216" si="1735">CJ217-CJ215</f>
        <v>45.984817033390655</v>
      </c>
      <c r="CK216" s="67">
        <f t="shared" ref="CK216:DB216" si="1736">CJ216</f>
        <v>45.984817033390655</v>
      </c>
      <c r="CL216" s="67">
        <f t="shared" si="1735"/>
        <v>43.082365450678886</v>
      </c>
      <c r="CM216" s="30">
        <f t="shared" si="1736"/>
        <v>43.082365450678886</v>
      </c>
      <c r="CN216" s="30">
        <f t="shared" si="1736"/>
        <v>43.082365450678886</v>
      </c>
      <c r="CO216" s="30">
        <f t="shared" si="1736"/>
        <v>43.082365450678886</v>
      </c>
      <c r="CP216" s="30">
        <f t="shared" si="1736"/>
        <v>43.082365450678886</v>
      </c>
      <c r="CQ216" s="30">
        <f t="shared" si="1736"/>
        <v>43.082365450678886</v>
      </c>
      <c r="CR216" s="30">
        <f t="shared" si="1736"/>
        <v>43.082365450678886</v>
      </c>
      <c r="CS216" s="30">
        <f t="shared" si="1736"/>
        <v>43.082365450678886</v>
      </c>
      <c r="CT216" s="30">
        <f t="shared" si="1736"/>
        <v>43.082365450678886</v>
      </c>
      <c r="CU216" s="30">
        <f t="shared" si="1736"/>
        <v>43.082365450678886</v>
      </c>
      <c r="CV216" s="30">
        <f t="shared" si="1736"/>
        <v>43.082365450678886</v>
      </c>
      <c r="CW216" s="30">
        <f t="shared" si="1736"/>
        <v>43.082365450678886</v>
      </c>
      <c r="CX216" s="30">
        <f t="shared" si="1736"/>
        <v>43.082365450678886</v>
      </c>
      <c r="CY216" s="30">
        <f t="shared" si="1736"/>
        <v>43.082365450678886</v>
      </c>
      <c r="CZ216" s="30">
        <f t="shared" si="1736"/>
        <v>43.082365450678886</v>
      </c>
      <c r="DA216" s="30">
        <f t="shared" si="1736"/>
        <v>43.082365450678886</v>
      </c>
      <c r="DB216" s="30">
        <f t="shared" si="1736"/>
        <v>43.082365450678886</v>
      </c>
      <c r="DE216" s="139"/>
      <c r="DF216" s="62">
        <v>45.984817033390655</v>
      </c>
    </row>
    <row r="217" spans="1:110" s="7" customFormat="1" outlineLevel="1" x14ac:dyDescent="0.2">
      <c r="A217" s="69" t="s">
        <v>471</v>
      </c>
      <c r="B217" s="70" t="e">
        <f t="shared" ref="B217:AE217" si="1737">B188/B29*365</f>
        <v>#DIV/0!</v>
      </c>
      <c r="C217" s="70" t="e">
        <f t="shared" si="1737"/>
        <v>#DIV/0!</v>
      </c>
      <c r="D217" s="70" t="e">
        <f t="shared" si="1737"/>
        <v>#DIV/0!</v>
      </c>
      <c r="E217" s="70">
        <f t="shared" si="1737"/>
        <v>113.13000088556915</v>
      </c>
      <c r="F217" s="70">
        <f t="shared" si="1737"/>
        <v>120.82326766536011</v>
      </c>
      <c r="G217" s="70">
        <f t="shared" si="1737"/>
        <v>110.58698268032292</v>
      </c>
      <c r="H217" s="70">
        <f t="shared" si="1737"/>
        <v>87.447979806366973</v>
      </c>
      <c r="I217" s="70">
        <f t="shared" si="1737"/>
        <v>121.53670716656944</v>
      </c>
      <c r="J217" s="70">
        <f t="shared" si="1737"/>
        <v>142.09358815610813</v>
      </c>
      <c r="K217" s="70">
        <f t="shared" si="1737"/>
        <v>170.75821577595946</v>
      </c>
      <c r="L217" s="70">
        <f t="shared" si="1737"/>
        <v>126.32149204570939</v>
      </c>
      <c r="M217" s="70">
        <f t="shared" si="1737"/>
        <v>107.50836345425257</v>
      </c>
      <c r="N217" s="70">
        <f t="shared" si="1737"/>
        <v>99.000883566581294</v>
      </c>
      <c r="O217" s="70">
        <f t="shared" si="1737"/>
        <v>162.29802350621259</v>
      </c>
      <c r="P217" s="70">
        <f t="shared" si="1737"/>
        <v>135.17860957386699</v>
      </c>
      <c r="Q217" s="70">
        <f t="shared" si="1737"/>
        <v>147.58503309477686</v>
      </c>
      <c r="R217" s="70">
        <f t="shared" si="1737"/>
        <v>139.31589544606413</v>
      </c>
      <c r="S217" s="70">
        <f t="shared" si="1737"/>
        <v>140.74486610196894</v>
      </c>
      <c r="T217" s="70">
        <f t="shared" si="1737"/>
        <v>110.78057146853682</v>
      </c>
      <c r="U217" s="70">
        <f t="shared" si="1737"/>
        <v>191.98619928852028</v>
      </c>
      <c r="V217" s="70">
        <f t="shared" si="1737"/>
        <v>208.51550674473924</v>
      </c>
      <c r="W217" s="70">
        <f t="shared" si="1737"/>
        <v>157.68273246052715</v>
      </c>
      <c r="X217" s="70">
        <f t="shared" si="1737"/>
        <v>111.63200678603174</v>
      </c>
      <c r="Y217" s="70">
        <f t="shared" si="1737"/>
        <v>108.88385615703956</v>
      </c>
      <c r="Z217" s="70">
        <f t="shared" si="1737"/>
        <v>119.60853214073094</v>
      </c>
      <c r="AA217" s="70">
        <f t="shared" ref="AA217" si="1738">AA188/AA29*365</f>
        <v>120.39238989966459</v>
      </c>
      <c r="AB217" s="71">
        <f t="shared" si="1737"/>
        <v>121.28777347842056</v>
      </c>
      <c r="AC217" s="71">
        <f t="shared" si="1737"/>
        <v>119.68694609643039</v>
      </c>
      <c r="AD217" s="71">
        <f t="shared" si="1737"/>
        <v>120.41633394178098</v>
      </c>
      <c r="AE217" s="71">
        <f t="shared" si="1737"/>
        <v>120.39689395678215</v>
      </c>
      <c r="AI217" s="70">
        <f t="shared" ref="AI217:CD217" si="1739">AI188/AI29*90</f>
        <v>0</v>
      </c>
      <c r="AJ217" s="70">
        <f t="shared" si="1739"/>
        <v>0</v>
      </c>
      <c r="AK217" s="70">
        <f t="shared" si="1739"/>
        <v>0</v>
      </c>
      <c r="AL217" s="70">
        <f t="shared" si="1739"/>
        <v>0</v>
      </c>
      <c r="AM217" s="70">
        <f t="shared" si="1739"/>
        <v>0</v>
      </c>
      <c r="AN217" s="70">
        <f t="shared" si="1739"/>
        <v>0</v>
      </c>
      <c r="AO217" s="70">
        <f t="shared" si="1739"/>
        <v>0</v>
      </c>
      <c r="AP217" s="70">
        <f t="shared" si="1739"/>
        <v>0</v>
      </c>
      <c r="AQ217" s="70">
        <f t="shared" si="1739"/>
        <v>0</v>
      </c>
      <c r="AR217" s="70">
        <f t="shared" si="1739"/>
        <v>0</v>
      </c>
      <c r="AS217" s="70">
        <f t="shared" si="1739"/>
        <v>0</v>
      </c>
      <c r="AT217" s="70">
        <f t="shared" si="1739"/>
        <v>0</v>
      </c>
      <c r="AU217" s="70">
        <f t="shared" si="1739"/>
        <v>0</v>
      </c>
      <c r="AV217" s="70">
        <f t="shared" si="1739"/>
        <v>0</v>
      </c>
      <c r="AW217" s="70">
        <f t="shared" si="1739"/>
        <v>0</v>
      </c>
      <c r="AX217" s="70">
        <f t="shared" si="1739"/>
        <v>0</v>
      </c>
      <c r="AY217" s="70">
        <f t="shared" si="1739"/>
        <v>0</v>
      </c>
      <c r="AZ217" s="70">
        <f t="shared" si="1739"/>
        <v>0</v>
      </c>
      <c r="BA217" s="70">
        <f t="shared" si="1739"/>
        <v>0</v>
      </c>
      <c r="BB217" s="70">
        <f t="shared" si="1739"/>
        <v>0</v>
      </c>
      <c r="BC217" s="70">
        <f t="shared" si="1739"/>
        <v>0</v>
      </c>
      <c r="BD217" s="70">
        <f t="shared" si="1739"/>
        <v>0</v>
      </c>
      <c r="BE217" s="70">
        <f t="shared" si="1739"/>
        <v>0</v>
      </c>
      <c r="BF217" s="70">
        <f t="shared" si="1739"/>
        <v>0</v>
      </c>
      <c r="BG217" s="70">
        <f t="shared" si="1739"/>
        <v>0</v>
      </c>
      <c r="BH217" s="70">
        <f t="shared" si="1739"/>
        <v>0</v>
      </c>
      <c r="BI217" s="70">
        <f t="shared" si="1739"/>
        <v>0</v>
      </c>
      <c r="BJ217" s="70">
        <f t="shared" si="1739"/>
        <v>0</v>
      </c>
      <c r="BK217" s="70">
        <f t="shared" si="1739"/>
        <v>0</v>
      </c>
      <c r="BL217" s="70">
        <f t="shared" si="1739"/>
        <v>0</v>
      </c>
      <c r="BM217" s="70">
        <f t="shared" si="1739"/>
        <v>0</v>
      </c>
      <c r="BN217" s="70">
        <f t="shared" si="1739"/>
        <v>0</v>
      </c>
      <c r="BO217" s="70">
        <f t="shared" si="1739"/>
        <v>0</v>
      </c>
      <c r="BP217" s="70">
        <f t="shared" si="1739"/>
        <v>0</v>
      </c>
      <c r="BQ217" s="70">
        <f t="shared" si="1739"/>
        <v>0</v>
      </c>
      <c r="BR217" s="70">
        <f t="shared" si="1739"/>
        <v>0</v>
      </c>
      <c r="BS217" s="70">
        <f t="shared" si="1739"/>
        <v>0</v>
      </c>
      <c r="BT217" s="70">
        <f t="shared" si="1739"/>
        <v>0</v>
      </c>
      <c r="BU217" s="70">
        <f t="shared" si="1739"/>
        <v>0</v>
      </c>
      <c r="BV217" s="70">
        <f t="shared" si="1739"/>
        <v>0</v>
      </c>
      <c r="BW217" s="70">
        <f t="shared" si="1739"/>
        <v>0</v>
      </c>
      <c r="BX217" s="70">
        <f t="shared" si="1739"/>
        <v>0</v>
      </c>
      <c r="BY217" s="70">
        <f t="shared" si="1739"/>
        <v>0</v>
      </c>
      <c r="BZ217" s="70">
        <f t="shared" si="1739"/>
        <v>0</v>
      </c>
      <c r="CA217" s="70">
        <f t="shared" si="1739"/>
        <v>0</v>
      </c>
      <c r="CB217" s="70">
        <f t="shared" si="1739"/>
        <v>0</v>
      </c>
      <c r="CC217" s="70">
        <f t="shared" si="1739"/>
        <v>0</v>
      </c>
      <c r="CD217" s="70">
        <f t="shared" si="1739"/>
        <v>0</v>
      </c>
      <c r="CE217" s="70">
        <f>CE188/CE32*90</f>
        <v>0</v>
      </c>
      <c r="CF217" s="70">
        <f>CF188/CF29*90</f>
        <v>0</v>
      </c>
      <c r="CG217" s="70">
        <f>CG188/CG32*90</f>
        <v>0</v>
      </c>
      <c r="CH217" s="70">
        <f>CH188/CH29*90</f>
        <v>101.5610780539027</v>
      </c>
      <c r="CI217" s="70">
        <f>CI215+CI216</f>
        <v>101.5610780539027</v>
      </c>
      <c r="CJ217" s="70">
        <f>CJ188/CJ29*90</f>
        <v>116.76353715675226</v>
      </c>
      <c r="CK217" s="70">
        <f t="shared" ref="CK217:DB217" si="1740">CK215+CK216</f>
        <v>116.76353715675226</v>
      </c>
      <c r="CL217" s="70">
        <f>CL188/CL29*90</f>
        <v>96.253476198266</v>
      </c>
      <c r="CM217" s="50">
        <f t="shared" si="1740"/>
        <v>96.253476198266</v>
      </c>
      <c r="CN217" s="50">
        <f t="shared" si="1740"/>
        <v>96.253476198266</v>
      </c>
      <c r="CO217" s="50">
        <f t="shared" si="1740"/>
        <v>96.253476198266</v>
      </c>
      <c r="CP217" s="50">
        <f t="shared" si="1740"/>
        <v>96.253476198266</v>
      </c>
      <c r="CQ217" s="50">
        <f t="shared" si="1740"/>
        <v>96.253476198266</v>
      </c>
      <c r="CR217" s="50">
        <f t="shared" si="1740"/>
        <v>96.253476198266</v>
      </c>
      <c r="CS217" s="50">
        <f t="shared" si="1740"/>
        <v>96.253476198266</v>
      </c>
      <c r="CT217" s="50">
        <f t="shared" si="1740"/>
        <v>96.253476198266</v>
      </c>
      <c r="CU217" s="50">
        <f t="shared" si="1740"/>
        <v>96.253476198266</v>
      </c>
      <c r="CV217" s="50">
        <f t="shared" si="1740"/>
        <v>96.253476198266</v>
      </c>
      <c r="CW217" s="50">
        <f t="shared" si="1740"/>
        <v>96.253476198266</v>
      </c>
      <c r="CX217" s="50">
        <f t="shared" si="1740"/>
        <v>96.253476198266</v>
      </c>
      <c r="CY217" s="50">
        <f t="shared" si="1740"/>
        <v>96.253476198266</v>
      </c>
      <c r="CZ217" s="50">
        <f t="shared" si="1740"/>
        <v>96.253476198266</v>
      </c>
      <c r="DA217" s="50">
        <f t="shared" si="1740"/>
        <v>96.253476198266</v>
      </c>
      <c r="DB217" s="50">
        <f t="shared" si="1740"/>
        <v>96.253476198266</v>
      </c>
      <c r="DE217" s="138"/>
      <c r="DF217" s="7">
        <v>116.76353715675226</v>
      </c>
    </row>
    <row r="218" spans="1:110" s="7" customFormat="1" x14ac:dyDescent="0.2">
      <c r="A218" s="69" t="s">
        <v>472</v>
      </c>
      <c r="B218" s="70" t="e">
        <f>B214-B217</f>
        <v>#DIV/0!</v>
      </c>
      <c r="C218" s="70" t="e">
        <f t="shared" ref="C218:V218" si="1741">C214-C217</f>
        <v>#DIV/0!</v>
      </c>
      <c r="D218" s="70" t="e">
        <f t="shared" si="1741"/>
        <v>#DIV/0!</v>
      </c>
      <c r="E218" s="70">
        <f t="shared" si="1741"/>
        <v>-41.498709266315927</v>
      </c>
      <c r="F218" s="70">
        <f t="shared" si="1741"/>
        <v>-26.385947949722976</v>
      </c>
      <c r="G218" s="70">
        <f t="shared" si="1741"/>
        <v>22.950049515343252</v>
      </c>
      <c r="H218" s="70">
        <f t="shared" si="1741"/>
        <v>23.382547498963703</v>
      </c>
      <c r="I218" s="70">
        <f t="shared" si="1741"/>
        <v>-30.450871046969311</v>
      </c>
      <c r="J218" s="70">
        <f t="shared" si="1741"/>
        <v>-30.296357997412699</v>
      </c>
      <c r="K218" s="70">
        <f t="shared" si="1741"/>
        <v>-74.89083826699536</v>
      </c>
      <c r="L218" s="70">
        <f t="shared" si="1741"/>
        <v>-40.598538263877145</v>
      </c>
      <c r="M218" s="70">
        <f t="shared" si="1741"/>
        <v>-25.670448295772104</v>
      </c>
      <c r="N218" s="70">
        <f t="shared" si="1741"/>
        <v>-9.8618891637908206</v>
      </c>
      <c r="O218" s="70">
        <f t="shared" si="1741"/>
        <v>-66.392833860733717</v>
      </c>
      <c r="P218" s="70">
        <f t="shared" si="1741"/>
        <v>-36.43525300536669</v>
      </c>
      <c r="Q218" s="70">
        <f t="shared" si="1741"/>
        <v>-53.899952958417458</v>
      </c>
      <c r="R218" s="70">
        <f t="shared" si="1741"/>
        <v>-41.009670062821954</v>
      </c>
      <c r="S218" s="70">
        <f t="shared" si="1741"/>
        <v>-49.761185118847692</v>
      </c>
      <c r="T218" s="70">
        <f t="shared" si="1741"/>
        <v>-36.083927143946298</v>
      </c>
      <c r="U218" s="70">
        <f t="shared" si="1741"/>
        <v>-86.139849440575361</v>
      </c>
      <c r="V218" s="70">
        <f t="shared" si="1741"/>
        <v>-102.82954051829552</v>
      </c>
      <c r="W218" s="70">
        <f t="shared" ref="W218" si="1742">W214-W217</f>
        <v>-69.299982487563724</v>
      </c>
      <c r="X218" s="70">
        <f t="shared" ref="X218:Y218" si="1743">X214-X217</f>
        <v>-42.296034661565187</v>
      </c>
      <c r="Y218" s="70">
        <f t="shared" si="1743"/>
        <v>-43.431116487504468</v>
      </c>
      <c r="Z218" s="70">
        <f t="shared" ref="Z218:AA218" si="1744">Z214-Z217</f>
        <v>-47.550857424966225</v>
      </c>
      <c r="AA218" s="70">
        <f t="shared" si="1744"/>
        <v>-48.334715183899874</v>
      </c>
      <c r="AB218" s="71">
        <f t="shared" ref="AA218:AD218" si="1745">AB214-AB217</f>
        <v>-65.613480608742137</v>
      </c>
      <c r="AC218" s="71">
        <f t="shared" si="1745"/>
        <v>-64.747475294489732</v>
      </c>
      <c r="AD218" s="71">
        <f t="shared" si="1745"/>
        <v>-65.142054845871115</v>
      </c>
      <c r="AE218" s="71">
        <f t="shared" ref="AE218" si="1746">AE214-AE217</f>
        <v>-65.13153832765849</v>
      </c>
      <c r="AI218" s="70">
        <f t="shared" ref="AI218:AK218" si="1747">AI214-AI217</f>
        <v>0</v>
      </c>
      <c r="AJ218" s="70">
        <f t="shared" ref="AJ218:AM218" si="1748">AJ214-AJ217</f>
        <v>0</v>
      </c>
      <c r="AK218" s="70">
        <f t="shared" si="1747"/>
        <v>0</v>
      </c>
      <c r="AL218" s="70">
        <f t="shared" si="1748"/>
        <v>0</v>
      </c>
      <c r="AM218" s="70">
        <f t="shared" si="1748"/>
        <v>0</v>
      </c>
      <c r="AN218" s="70">
        <f t="shared" ref="AN218:AY218" si="1749">AN214-AN217</f>
        <v>0</v>
      </c>
      <c r="AO218" s="70">
        <f t="shared" si="1749"/>
        <v>0</v>
      </c>
      <c r="AP218" s="70">
        <f t="shared" si="1749"/>
        <v>0</v>
      </c>
      <c r="AQ218" s="70">
        <f t="shared" si="1749"/>
        <v>0</v>
      </c>
      <c r="AR218" s="70">
        <f t="shared" si="1749"/>
        <v>0</v>
      </c>
      <c r="AS218" s="70">
        <f t="shared" si="1749"/>
        <v>0</v>
      </c>
      <c r="AT218" s="70">
        <f t="shared" si="1749"/>
        <v>0</v>
      </c>
      <c r="AU218" s="70">
        <f t="shared" si="1749"/>
        <v>0</v>
      </c>
      <c r="AV218" s="70">
        <f t="shared" si="1749"/>
        <v>0</v>
      </c>
      <c r="AW218" s="70">
        <f t="shared" si="1749"/>
        <v>0</v>
      </c>
      <c r="AX218" s="70">
        <f t="shared" si="1749"/>
        <v>0</v>
      </c>
      <c r="AY218" s="70">
        <f t="shared" si="1749"/>
        <v>0</v>
      </c>
      <c r="AZ218" s="70">
        <f t="shared" ref="AZ218:BC218" si="1750">AZ214-AZ217</f>
        <v>0</v>
      </c>
      <c r="BA218" s="70">
        <f t="shared" si="1750"/>
        <v>0</v>
      </c>
      <c r="BB218" s="70">
        <f t="shared" si="1750"/>
        <v>0</v>
      </c>
      <c r="BC218" s="70">
        <f t="shared" si="1750"/>
        <v>0</v>
      </c>
      <c r="BD218" s="70">
        <f t="shared" ref="BD218:CE218" si="1751">BD214-BD217</f>
        <v>0</v>
      </c>
      <c r="BE218" s="70">
        <f t="shared" si="1751"/>
        <v>0</v>
      </c>
      <c r="BF218" s="70">
        <f t="shared" si="1751"/>
        <v>0</v>
      </c>
      <c r="BG218" s="70">
        <f t="shared" si="1751"/>
        <v>0</v>
      </c>
      <c r="BH218" s="70">
        <f t="shared" si="1751"/>
        <v>0</v>
      </c>
      <c r="BI218" s="70">
        <f t="shared" si="1751"/>
        <v>0</v>
      </c>
      <c r="BJ218" s="70">
        <f t="shared" si="1751"/>
        <v>0</v>
      </c>
      <c r="BK218" s="70">
        <f t="shared" si="1751"/>
        <v>0</v>
      </c>
      <c r="BL218" s="70">
        <f t="shared" si="1751"/>
        <v>0</v>
      </c>
      <c r="BM218" s="70">
        <f t="shared" si="1751"/>
        <v>0</v>
      </c>
      <c r="BN218" s="70">
        <f t="shared" si="1751"/>
        <v>0</v>
      </c>
      <c r="BO218" s="70">
        <f t="shared" si="1751"/>
        <v>0</v>
      </c>
      <c r="BP218" s="70">
        <f t="shared" si="1751"/>
        <v>0</v>
      </c>
      <c r="BQ218" s="70">
        <f t="shared" si="1751"/>
        <v>0</v>
      </c>
      <c r="BR218" s="70">
        <f t="shared" si="1751"/>
        <v>0</v>
      </c>
      <c r="BS218" s="70">
        <f t="shared" si="1751"/>
        <v>0</v>
      </c>
      <c r="BT218" s="70">
        <f t="shared" si="1751"/>
        <v>0</v>
      </c>
      <c r="BU218" s="70">
        <f t="shared" si="1751"/>
        <v>0</v>
      </c>
      <c r="BV218" s="70">
        <f t="shared" si="1751"/>
        <v>0</v>
      </c>
      <c r="BW218" s="70">
        <f t="shared" si="1751"/>
        <v>0</v>
      </c>
      <c r="BX218" s="70">
        <f t="shared" si="1751"/>
        <v>0</v>
      </c>
      <c r="BY218" s="70">
        <f t="shared" si="1751"/>
        <v>0</v>
      </c>
      <c r="BZ218" s="70">
        <f t="shared" si="1751"/>
        <v>0</v>
      </c>
      <c r="CA218" s="70">
        <f t="shared" si="1751"/>
        <v>0</v>
      </c>
      <c r="CB218" s="70">
        <f t="shared" si="1751"/>
        <v>0</v>
      </c>
      <c r="CC218" s="70">
        <f t="shared" si="1751"/>
        <v>0</v>
      </c>
      <c r="CD218" s="70">
        <f t="shared" si="1751"/>
        <v>0</v>
      </c>
      <c r="CE218" s="70">
        <f t="shared" si="1751"/>
        <v>0</v>
      </c>
      <c r="CF218" s="70">
        <f t="shared" ref="CF218:CG218" si="1752">CF214-CF217</f>
        <v>0</v>
      </c>
      <c r="CG218" s="70">
        <f t="shared" si="1752"/>
        <v>0</v>
      </c>
      <c r="CH218" s="70">
        <f t="shared" ref="CH218:CI218" si="1753">CH214-CH217</f>
        <v>-40.376018800940052</v>
      </c>
      <c r="CI218" s="70">
        <f t="shared" si="1753"/>
        <v>-40.376018800940059</v>
      </c>
      <c r="CJ218" s="70">
        <f t="shared" ref="CJ218:DB218" si="1754">CJ214-CJ217</f>
        <v>-34.860921653519952</v>
      </c>
      <c r="CK218" s="70">
        <f t="shared" si="1754"/>
        <v>-34.860921653519952</v>
      </c>
      <c r="CL218" s="70">
        <f t="shared" ref="CL218" si="1755">CL214-CL217</f>
        <v>-52.070587273024714</v>
      </c>
      <c r="CM218" s="50">
        <f t="shared" si="1754"/>
        <v>-52.070587273024714</v>
      </c>
      <c r="CN218" s="50">
        <f t="shared" si="1754"/>
        <v>-52.070587273024714</v>
      </c>
      <c r="CO218" s="50">
        <f t="shared" si="1754"/>
        <v>-52.070587273024714</v>
      </c>
      <c r="CP218" s="50">
        <f t="shared" si="1754"/>
        <v>-52.070587273024714</v>
      </c>
      <c r="CQ218" s="50">
        <f t="shared" si="1754"/>
        <v>-52.070587273024714</v>
      </c>
      <c r="CR218" s="50">
        <f t="shared" si="1754"/>
        <v>-52.070587273024714</v>
      </c>
      <c r="CS218" s="50">
        <f t="shared" si="1754"/>
        <v>-52.070587273024714</v>
      </c>
      <c r="CT218" s="50">
        <f t="shared" si="1754"/>
        <v>-52.070587273024714</v>
      </c>
      <c r="CU218" s="50">
        <f t="shared" si="1754"/>
        <v>-52.070587273024714</v>
      </c>
      <c r="CV218" s="50">
        <f t="shared" si="1754"/>
        <v>-52.070587273024714</v>
      </c>
      <c r="CW218" s="50">
        <f t="shared" si="1754"/>
        <v>-52.070587273024714</v>
      </c>
      <c r="CX218" s="50">
        <f t="shared" si="1754"/>
        <v>-52.070587273024714</v>
      </c>
      <c r="CY218" s="50">
        <f t="shared" si="1754"/>
        <v>-52.070587273024714</v>
      </c>
      <c r="CZ218" s="50">
        <f t="shared" si="1754"/>
        <v>-52.070587273024714</v>
      </c>
      <c r="DA218" s="50">
        <f t="shared" si="1754"/>
        <v>-52.070587273024714</v>
      </c>
      <c r="DB218" s="50">
        <f t="shared" si="1754"/>
        <v>-52.070587273024714</v>
      </c>
      <c r="DE218" s="138"/>
      <c r="DF218" s="7">
        <v>-34.860921653519952</v>
      </c>
    </row>
    <row r="219" spans="1:110" s="7" customFormat="1" x14ac:dyDescent="0.2">
      <c r="A219" s="69" t="s">
        <v>86</v>
      </c>
      <c r="AB219" s="77"/>
      <c r="AC219" s="77"/>
      <c r="AD219" s="77"/>
      <c r="AE219" s="77"/>
      <c r="CE219" s="115"/>
      <c r="CG219" s="115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E219" s="138"/>
    </row>
    <row r="220" spans="1:110" s="86" customFormat="1" x14ac:dyDescent="0.2">
      <c r="A220" s="86" t="s">
        <v>442</v>
      </c>
      <c r="C220" s="86" t="e">
        <f t="shared" ref="C220:AE220" si="1756">C29/B29-1</f>
        <v>#DIV/0!</v>
      </c>
      <c r="D220" s="86" t="e">
        <f t="shared" si="1756"/>
        <v>#DIV/0!</v>
      </c>
      <c r="E220" s="86" t="e">
        <f t="shared" si="1756"/>
        <v>#DIV/0!</v>
      </c>
      <c r="F220" s="86">
        <f t="shared" si="1756"/>
        <v>0.32773582606622864</v>
      </c>
      <c r="G220" s="86">
        <f t="shared" si="1756"/>
        <v>0.14901016613241636</v>
      </c>
      <c r="H220" s="86">
        <f t="shared" si="1756"/>
        <v>0.34036964764017608</v>
      </c>
      <c r="I220" s="86">
        <f t="shared" si="1756"/>
        <v>3.9814826573304707E-2</v>
      </c>
      <c r="J220" s="86">
        <f t="shared" si="1756"/>
        <v>-0.1411465296064528</v>
      </c>
      <c r="K220" s="86">
        <f t="shared" si="1756"/>
        <v>0.35397752215770928</v>
      </c>
      <c r="L220" s="86">
        <f t="shared" si="1756"/>
        <v>0.36291735280138204</v>
      </c>
      <c r="M220" s="86">
        <f t="shared" si="1756"/>
        <v>0.13417290523430148</v>
      </c>
      <c r="N220" s="86">
        <f t="shared" si="1756"/>
        <v>-0.17401754511160428</v>
      </c>
      <c r="O220" s="86">
        <f t="shared" si="1756"/>
        <v>-0.24110697205374254</v>
      </c>
      <c r="P220" s="86">
        <f t="shared" si="1756"/>
        <v>4.6562306948370935E-2</v>
      </c>
      <c r="Q220" s="86">
        <f t="shared" si="1756"/>
        <v>0.2583082824476659</v>
      </c>
      <c r="R220" s="86">
        <f t="shared" si="1756"/>
        <v>3.5262826112235857E-2</v>
      </c>
      <c r="S220" s="86">
        <f t="shared" si="1756"/>
        <v>0.19642075577587303</v>
      </c>
      <c r="T220" s="86">
        <f t="shared" si="1756"/>
        <v>0.17912734766052196</v>
      </c>
      <c r="U220" s="86">
        <f t="shared" si="1756"/>
        <v>-0.36522517310003233</v>
      </c>
      <c r="V220" s="86">
        <f t="shared" si="1756"/>
        <v>7.0644873210060632E-2</v>
      </c>
      <c r="W220" s="86">
        <f t="shared" si="1756"/>
        <v>-3.1999850312989242E-3</v>
      </c>
      <c r="X220" s="86">
        <f t="shared" si="1756"/>
        <v>0.39286452477412426</v>
      </c>
      <c r="Y220" s="86">
        <f t="shared" si="1756"/>
        <v>0.11404735520569753</v>
      </c>
      <c r="Z220" s="86">
        <f t="shared" si="1756"/>
        <v>-5.329502653066831E-2</v>
      </c>
      <c r="AA220" s="86">
        <f t="shared" si="1756"/>
        <v>0</v>
      </c>
      <c r="AB220" s="87">
        <f t="shared" si="1756"/>
        <v>0.26858475730779086</v>
      </c>
      <c r="AC220" s="87">
        <f t="shared" si="1756"/>
        <v>8.4142476237692776E-2</v>
      </c>
      <c r="AD220" s="87">
        <f t="shared" si="1756"/>
        <v>0.11572249705605175</v>
      </c>
      <c r="AE220" s="87">
        <f t="shared" si="1756"/>
        <v>0.11730419948418014</v>
      </c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E220" s="141"/>
      <c r="DF220" s="86">
        <v>0.1238583397464752</v>
      </c>
    </row>
    <row r="221" spans="1:110" s="86" customFormat="1" x14ac:dyDescent="0.2">
      <c r="A221" s="86" t="s">
        <v>443</v>
      </c>
      <c r="C221" s="86" t="e">
        <f t="shared" ref="C221" si="1757">C218/B218-1</f>
        <v>#DIV/0!</v>
      </c>
      <c r="D221" s="86" t="e">
        <f t="shared" ref="D221" si="1758">D218/C218-1</f>
        <v>#DIV/0!</v>
      </c>
      <c r="E221" s="86" t="e">
        <f>E218/D218-1</f>
        <v>#DIV/0!</v>
      </c>
      <c r="F221" s="86">
        <f t="shared" ref="F221" si="1759">F218/E218-1</f>
        <v>-0.36417424984491809</v>
      </c>
      <c r="G221" s="86">
        <f t="shared" ref="G221" si="1760">G218/F218-1</f>
        <v>-1.869783020836445</v>
      </c>
      <c r="H221" s="86">
        <f t="shared" ref="H221" si="1761">H218/G218-1</f>
        <v>1.8845187385382545E-2</v>
      </c>
      <c r="I221" s="86">
        <f t="shared" ref="I221" si="1762">I218/H218-1</f>
        <v>-2.3022905672839484</v>
      </c>
      <c r="J221" s="86">
        <f t="shared" ref="J221" si="1763">J218/I218-1</f>
        <v>-5.0741750315871359E-3</v>
      </c>
      <c r="K221" s="86">
        <f>K218/J218-1</f>
        <v>1.4719419500321136</v>
      </c>
      <c r="L221" s="86">
        <f t="shared" ref="L221" si="1764">L218/K218-1</f>
        <v>-0.45789713130011722</v>
      </c>
      <c r="M221" s="86">
        <f t="shared" ref="M221" si="1765">M218/L218-1</f>
        <v>-0.36770018346664024</v>
      </c>
      <c r="N221" s="86">
        <f t="shared" ref="N221" si="1766">N218/M218-1</f>
        <v>-0.61582715462686077</v>
      </c>
      <c r="O221" s="86">
        <f t="shared" ref="O221" si="1767">O218/N218-1</f>
        <v>5.732263236591975</v>
      </c>
      <c r="P221" s="86">
        <f t="shared" ref="P221" si="1768">P218/O218-1</f>
        <v>-0.45121708343111777</v>
      </c>
      <c r="Q221" s="86">
        <f t="shared" ref="Q221" si="1769">Q218/P218-1</f>
        <v>0.47933521829746395</v>
      </c>
      <c r="R221" s="86">
        <f t="shared" ref="R221" si="1770">R218/Q218-1</f>
        <v>-0.2391520249663307</v>
      </c>
      <c r="S221" s="86">
        <f t="shared" ref="S221" si="1771">S218/R218-1</f>
        <v>0.21340125493863904</v>
      </c>
      <c r="T221" s="86">
        <f t="shared" ref="T221" si="1772">T218/S218-1</f>
        <v>-0.27485796293306042</v>
      </c>
      <c r="U221" s="86">
        <f t="shared" ref="U221" si="1773">U218/T218-1</f>
        <v>1.3872082741145544</v>
      </c>
      <c r="V221" s="86">
        <f t="shared" ref="V221" si="1774">V218/U218-1</f>
        <v>0.19375110574384902</v>
      </c>
      <c r="W221" s="86">
        <f t="shared" ref="W221:AA221" si="1775">W218/V218-1</f>
        <v>-0.32606931686878626</v>
      </c>
      <c r="X221" s="86">
        <f t="shared" si="1775"/>
        <v>-0.38966745526731628</v>
      </c>
      <c r="Y221" s="86">
        <f t="shared" si="1775"/>
        <v>2.6836601469185428E-2</v>
      </c>
      <c r="Z221" s="86">
        <f t="shared" si="1775"/>
        <v>9.4856896866720941E-2</v>
      </c>
      <c r="AA221" s="86">
        <f t="shared" si="1775"/>
        <v>1.6484618814088803E-2</v>
      </c>
      <c r="AB221" s="87">
        <f t="shared" ref="AB221" si="1776">AB218/AA218-1</f>
        <v>0.35748147804536479</v>
      </c>
      <c r="AC221" s="87">
        <f t="shared" ref="AC221" si="1777">AC218/AB218-1</f>
        <v>-1.3198588250735499E-2</v>
      </c>
      <c r="AD221" s="87">
        <f t="shared" ref="AD221" si="1778">AD218/AC218-1</f>
        <v>6.0941303052624018E-3</v>
      </c>
      <c r="AE221" s="87">
        <f t="shared" ref="AE221" si="1779">AE218/AD218-1</f>
        <v>-1.6143976786586745E-4</v>
      </c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E221" s="141"/>
      <c r="DF221" s="86">
        <v>0.403018882295612</v>
      </c>
    </row>
    <row r="222" spans="1:110" s="101" customFormat="1" x14ac:dyDescent="0.2">
      <c r="A222" s="147" t="s">
        <v>87</v>
      </c>
      <c r="C222" s="101" t="e">
        <f>IF(C221&gt;C220,"RF",0)</f>
        <v>#DIV/0!</v>
      </c>
      <c r="D222" s="101" t="e">
        <f>IF(D221&gt;D220,"RF",0)</f>
        <v>#DIV/0!</v>
      </c>
      <c r="E222" s="101" t="e">
        <f t="shared" ref="E222:U222" si="1780">IF(E221&gt;E220,"RF",0)</f>
        <v>#DIV/0!</v>
      </c>
      <c r="F222" s="101">
        <f t="shared" si="1780"/>
        <v>0</v>
      </c>
      <c r="G222" s="101">
        <f t="shared" si="1780"/>
        <v>0</v>
      </c>
      <c r="H222" s="101">
        <f t="shared" si="1780"/>
        <v>0</v>
      </c>
      <c r="I222" s="101">
        <f t="shared" si="1780"/>
        <v>0</v>
      </c>
      <c r="J222" s="101" t="str">
        <f t="shared" si="1780"/>
        <v>RF</v>
      </c>
      <c r="K222" s="101" t="str">
        <f t="shared" si="1780"/>
        <v>RF</v>
      </c>
      <c r="L222" s="101">
        <f t="shared" si="1780"/>
        <v>0</v>
      </c>
      <c r="M222" s="101">
        <f t="shared" si="1780"/>
        <v>0</v>
      </c>
      <c r="N222" s="101">
        <f t="shared" si="1780"/>
        <v>0</v>
      </c>
      <c r="O222" s="101" t="str">
        <f t="shared" si="1780"/>
        <v>RF</v>
      </c>
      <c r="P222" s="101">
        <f t="shared" si="1780"/>
        <v>0</v>
      </c>
      <c r="Q222" s="101" t="str">
        <f t="shared" si="1780"/>
        <v>RF</v>
      </c>
      <c r="R222" s="101">
        <f t="shared" si="1780"/>
        <v>0</v>
      </c>
      <c r="S222" s="101" t="str">
        <f t="shared" si="1780"/>
        <v>RF</v>
      </c>
      <c r="T222" s="101">
        <f t="shared" si="1780"/>
        <v>0</v>
      </c>
      <c r="U222" s="101" t="str">
        <f t="shared" si="1780"/>
        <v>RF</v>
      </c>
      <c r="V222" s="101" t="str">
        <f>IF(V221&gt;V220,"RF",0)</f>
        <v>RF</v>
      </c>
      <c r="W222" s="101">
        <f t="shared" ref="W222" si="1781">IF(W221&gt;W220,"RF",0)</f>
        <v>0</v>
      </c>
      <c r="X222" s="101">
        <f t="shared" ref="X222:Y222" si="1782">IF(X221&gt;X220,"RF",0)</f>
        <v>0</v>
      </c>
      <c r="Y222" s="101">
        <f t="shared" si="1782"/>
        <v>0</v>
      </c>
      <c r="Z222" s="101" t="str">
        <f t="shared" ref="Z222:AA222" si="1783">IF(Z221&gt;Z220,"RF",0)</f>
        <v>RF</v>
      </c>
      <c r="AA222" s="101" t="str">
        <f t="shared" si="1783"/>
        <v>RF</v>
      </c>
      <c r="AB222" s="73" t="str">
        <f t="shared" ref="AA222:AD222" si="1784">IF(AB221&gt;AB220,"RF",0)</f>
        <v>RF</v>
      </c>
      <c r="AC222" s="73">
        <f t="shared" si="1784"/>
        <v>0</v>
      </c>
      <c r="AD222" s="73">
        <f t="shared" si="1784"/>
        <v>0</v>
      </c>
      <c r="AE222" s="73">
        <f t="shared" ref="AE222" si="1785">IF(AE221&gt;AE220,"RF",0)</f>
        <v>0</v>
      </c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E222" s="142"/>
      <c r="DF222" s="101" t="s">
        <v>551</v>
      </c>
    </row>
    <row r="223" spans="1:110" x14ac:dyDescent="0.2">
      <c r="A223" s="153" t="s">
        <v>497</v>
      </c>
      <c r="AA223" s="2"/>
      <c r="CL223" s="2"/>
    </row>
    <row r="224" spans="1:110" x14ac:dyDescent="0.2">
      <c r="A224" s="152" t="s">
        <v>498</v>
      </c>
      <c r="AA224" s="2"/>
      <c r="CL224" s="2"/>
    </row>
    <row r="225" spans="1:110" s="23" customFormat="1" x14ac:dyDescent="0.2">
      <c r="A225" s="23" t="s">
        <v>22</v>
      </c>
      <c r="C225" s="23" t="e">
        <f t="shared" ref="C225:AE225" si="1786">C73</f>
        <v>#REF!</v>
      </c>
      <c r="D225" s="23" t="e">
        <f t="shared" si="1786"/>
        <v>#REF!</v>
      </c>
      <c r="E225" s="23">
        <f t="shared" si="1786"/>
        <v>2727.5699999999983</v>
      </c>
      <c r="F225" s="23">
        <f t="shared" si="1786"/>
        <v>3791.6800000000017</v>
      </c>
      <c r="G225" s="23">
        <f t="shared" si="1786"/>
        <v>3863.9399999999987</v>
      </c>
      <c r="H225" s="23">
        <f t="shared" si="1786"/>
        <v>5220.2400000000016</v>
      </c>
      <c r="I225" s="23">
        <f t="shared" si="1786"/>
        <v>5486.7299999999968</v>
      </c>
      <c r="J225" s="23">
        <f t="shared" si="1786"/>
        <v>2703.0900000000029</v>
      </c>
      <c r="K225" s="23">
        <f t="shared" si="1786"/>
        <v>3949.1199999999935</v>
      </c>
      <c r="L225" s="23">
        <f t="shared" si="1786"/>
        <v>4215.4600000000019</v>
      </c>
      <c r="M225" s="23">
        <f t="shared" si="1786"/>
        <v>4638.5116154584921</v>
      </c>
      <c r="N225" s="23">
        <f t="shared" si="1786"/>
        <v>3341.5518954585041</v>
      </c>
      <c r="O225" s="23">
        <f t="shared" si="1786"/>
        <v>806.44261599999504</v>
      </c>
      <c r="P225" s="23">
        <f t="shared" si="1786"/>
        <v>-4678.2213262399982</v>
      </c>
      <c r="Q225" s="23">
        <f t="shared" si="1786"/>
        <v>4897.6599999999953</v>
      </c>
      <c r="R225" s="23">
        <f t="shared" si="1786"/>
        <v>2890.4000000000037</v>
      </c>
      <c r="S225" s="23">
        <f t="shared" si="1786"/>
        <v>213.91000000001588</v>
      </c>
      <c r="T225" s="23">
        <f t="shared" si="1786"/>
        <v>2458.4799999999932</v>
      </c>
      <c r="U225" s="23">
        <f t="shared" si="1786"/>
        <v>-6847.2199999999857</v>
      </c>
      <c r="V225" s="23">
        <f t="shared" si="1786"/>
        <v>-1923.370000000006</v>
      </c>
      <c r="W225" s="23">
        <f t="shared" si="1786"/>
        <v>-1739.2299999999875</v>
      </c>
      <c r="X225" s="23">
        <f t="shared" si="1786"/>
        <v>2728.1299999999874</v>
      </c>
      <c r="Y225" s="23">
        <f t="shared" si="1786"/>
        <v>7902</v>
      </c>
      <c r="Z225" s="23">
        <f t="shared" si="1786"/>
        <v>5452</v>
      </c>
      <c r="AA225" s="23">
        <f t="shared" ref="AA225" si="1787">AA73</f>
        <v>5452</v>
      </c>
      <c r="AB225" s="24">
        <f t="shared" si="1786"/>
        <v>-4760.8376761976097</v>
      </c>
      <c r="AC225" s="24">
        <f t="shared" si="1786"/>
        <v>-4693.3306601626937</v>
      </c>
      <c r="AD225" s="24">
        <f t="shared" si="1786"/>
        <v>-4844.4813120393319</v>
      </c>
      <c r="AE225" s="24">
        <f t="shared" si="1786"/>
        <v>-5817.5796306923658</v>
      </c>
      <c r="AI225" s="23">
        <f t="shared" ref="AI225:BN225" si="1788">AI73</f>
        <v>205.34000000000043</v>
      </c>
      <c r="AJ225" s="23">
        <f t="shared" si="1788"/>
        <v>867.01999999999987</v>
      </c>
      <c r="AK225" s="23">
        <f t="shared" si="1788"/>
        <v>-458.48999999999978</v>
      </c>
      <c r="AL225" s="23">
        <f t="shared" si="1788"/>
        <v>-312.08999999999861</v>
      </c>
      <c r="AM225" s="23">
        <f t="shared" si="1788"/>
        <v>703.25999999999681</v>
      </c>
      <c r="AN225" s="23">
        <f t="shared" si="1788"/>
        <v>-803.5300000000002</v>
      </c>
      <c r="AO225" s="23">
        <f t="shared" si="1788"/>
        <v>1251.4000000000021</v>
      </c>
      <c r="AP225" s="23">
        <f t="shared" si="1788"/>
        <v>-816.61</v>
      </c>
      <c r="AQ225" s="23">
        <f t="shared" si="1788"/>
        <v>393.69999999999948</v>
      </c>
      <c r="AR225" s="23">
        <f t="shared" si="1788"/>
        <v>-1845.6300000000015</v>
      </c>
      <c r="AS225" s="23">
        <f t="shared" si="1788"/>
        <v>-2122.7200000000007</v>
      </c>
      <c r="AT225" s="23">
        <f t="shared" si="1788"/>
        <v>-1164.2499999999989</v>
      </c>
      <c r="AU225" s="23">
        <f t="shared" si="1788"/>
        <v>289.8399999999998</v>
      </c>
      <c r="AV225" s="23">
        <f t="shared" si="1788"/>
        <v>-288.78999999999911</v>
      </c>
      <c r="AW225" s="23">
        <f t="shared" si="1788"/>
        <v>-136.82000000000016</v>
      </c>
      <c r="AX225" s="23">
        <f t="shared" si="1788"/>
        <v>397.95000000000084</v>
      </c>
      <c r="AY225" s="23">
        <f t="shared" si="1788"/>
        <v>25.749999999998792</v>
      </c>
      <c r="AZ225" s="23">
        <f t="shared" si="1788"/>
        <v>-630.76000000000056</v>
      </c>
      <c r="BA225" s="23">
        <f t="shared" si="1788"/>
        <v>-1045.9400000000007</v>
      </c>
      <c r="BB225" s="23">
        <f t="shared" si="1788"/>
        <v>-805.90999999999758</v>
      </c>
      <c r="BC225" s="23">
        <f t="shared" si="1788"/>
        <v>-463.14000000000163</v>
      </c>
      <c r="BD225" s="23">
        <f t="shared" si="1788"/>
        <v>-283.34999999999684</v>
      </c>
      <c r="BE225" s="23">
        <f t="shared" si="1788"/>
        <v>211.58999999999901</v>
      </c>
      <c r="BF225" s="23">
        <f t="shared" si="1788"/>
        <v>-499.93999999999642</v>
      </c>
      <c r="BG225" s="23">
        <f t="shared" si="1788"/>
        <v>1187.6499999999976</v>
      </c>
      <c r="BH225" s="23">
        <f t="shared" si="1788"/>
        <v>109.13999999999703</v>
      </c>
      <c r="BI225" s="23">
        <f t="shared" si="1788"/>
        <v>617.62000000000194</v>
      </c>
      <c r="BJ225" s="23">
        <f t="shared" si="1788"/>
        <v>106.18999999999906</v>
      </c>
      <c r="BK225" s="23">
        <f t="shared" si="1788"/>
        <v>-97.100000000000563</v>
      </c>
      <c r="BL225" s="23">
        <f t="shared" si="1788"/>
        <v>-1281.9700000000005</v>
      </c>
      <c r="BM225" s="23">
        <f t="shared" si="1788"/>
        <v>-1039.5099999999984</v>
      </c>
      <c r="BN225" s="23">
        <f t="shared" si="1788"/>
        <v>-4871.050000000002</v>
      </c>
      <c r="BO225" s="23">
        <f t="shared" ref="BO225:CT225" si="1789">BO73</f>
        <v>-2190.64</v>
      </c>
      <c r="BP225" s="23">
        <f t="shared" si="1789"/>
        <v>-1212.4499999999991</v>
      </c>
      <c r="BQ225" s="23">
        <f t="shared" si="1789"/>
        <v>-638.04</v>
      </c>
      <c r="BR225" s="23">
        <f t="shared" si="1789"/>
        <v>1645.7200000000009</v>
      </c>
      <c r="BS225" s="23">
        <f t="shared" si="1789"/>
        <v>-1320.7300000000005</v>
      </c>
      <c r="BT225" s="23">
        <f t="shared" si="1789"/>
        <v>-575.67999999999813</v>
      </c>
      <c r="BU225" s="23">
        <f t="shared" si="1789"/>
        <v>-635.48999999999967</v>
      </c>
      <c r="BV225" s="23">
        <f t="shared" si="1789"/>
        <v>413.34999999999968</v>
      </c>
      <c r="BW225" s="23">
        <f t="shared" si="1789"/>
        <v>-181.02999999999756</v>
      </c>
      <c r="BX225" s="23">
        <f t="shared" si="1789"/>
        <v>-292.58999999999685</v>
      </c>
      <c r="BY225" s="23">
        <f t="shared" si="1789"/>
        <v>484.71</v>
      </c>
      <c r="BZ225" s="23">
        <f t="shared" si="1789"/>
        <v>2695.559999999999</v>
      </c>
      <c r="CA225" s="23">
        <f t="shared" si="1789"/>
        <v>-63.99999999999735</v>
      </c>
      <c r="CB225" s="23">
        <f t="shared" si="1789"/>
        <v>1269.6200000000017</v>
      </c>
      <c r="CC225" s="23">
        <f t="shared" si="1789"/>
        <v>4570.0499999999965</v>
      </c>
      <c r="CD225" s="23">
        <f t="shared" si="1789"/>
        <v>2126.429999999998</v>
      </c>
      <c r="CE225" s="23">
        <f t="shared" si="1789"/>
        <v>2190</v>
      </c>
      <c r="CF225" s="23">
        <f t="shared" si="1789"/>
        <v>643</v>
      </c>
      <c r="CG225" s="23">
        <f t="shared" si="1789"/>
        <v>429.89999999999964</v>
      </c>
      <c r="CH225" s="23">
        <f t="shared" si="1789"/>
        <v>271.59999999999854</v>
      </c>
      <c r="CI225" s="23">
        <f t="shared" si="1789"/>
        <v>1411</v>
      </c>
      <c r="CJ225" s="23">
        <f t="shared" si="1789"/>
        <v>-1021</v>
      </c>
      <c r="CK225" s="23">
        <f t="shared" si="1789"/>
        <v>561</v>
      </c>
      <c r="CL225" s="23">
        <f t="shared" ref="CL225" si="1790">CL73</f>
        <v>2406</v>
      </c>
      <c r="CM225" s="24">
        <f t="shared" si="1789"/>
        <v>1203.3440839705352</v>
      </c>
      <c r="CN225" s="24">
        <f t="shared" si="1789"/>
        <v>1491.9290931614767</v>
      </c>
      <c r="CO225" s="24">
        <f t="shared" si="1789"/>
        <v>1858.5283441736904</v>
      </c>
      <c r="CP225" s="24">
        <f t="shared" si="1789"/>
        <v>2027.9744550760536</v>
      </c>
      <c r="CQ225" s="24">
        <f t="shared" si="1789"/>
        <v>1361.6436325957989</v>
      </c>
      <c r="CR225" s="24">
        <f t="shared" si="1789"/>
        <v>1627.3581616283059</v>
      </c>
      <c r="CS225" s="24">
        <f t="shared" si="1789"/>
        <v>2031.2753021294661</v>
      </c>
      <c r="CT225" s="24">
        <f t="shared" si="1789"/>
        <v>2332.0162368773481</v>
      </c>
      <c r="CU225" s="24">
        <f t="shared" ref="CU225:DB225" si="1791">CU73</f>
        <v>1627.1323778682474</v>
      </c>
      <c r="CV225" s="24">
        <f t="shared" si="1791"/>
        <v>1906.8685758887175</v>
      </c>
      <c r="CW225" s="24">
        <f t="shared" si="1791"/>
        <v>2359.618239315153</v>
      </c>
      <c r="CX225" s="24">
        <f t="shared" si="1791"/>
        <v>2753.7484924638811</v>
      </c>
      <c r="CY225" s="24">
        <f t="shared" si="1791"/>
        <v>1776.8238260935395</v>
      </c>
      <c r="CZ225" s="24">
        <f t="shared" si="1791"/>
        <v>2085.9868259711052</v>
      </c>
      <c r="DA225" s="24">
        <f t="shared" si="1791"/>
        <v>2617.1514040970205</v>
      </c>
      <c r="DB225" s="24">
        <f t="shared" si="1791"/>
        <v>3048.5633474425067</v>
      </c>
      <c r="DE225" s="123"/>
      <c r="DF225" s="23">
        <v>2254.4231106233233</v>
      </c>
    </row>
    <row r="226" spans="1:110" s="23" customFormat="1" x14ac:dyDescent="0.2">
      <c r="A226" s="23" t="s">
        <v>88</v>
      </c>
      <c r="C226" s="23">
        <f t="shared" ref="C226:AE226" si="1792">C56</f>
        <v>0</v>
      </c>
      <c r="D226" s="23">
        <f t="shared" si="1792"/>
        <v>0</v>
      </c>
      <c r="E226" s="23">
        <f t="shared" si="1792"/>
        <v>382.6</v>
      </c>
      <c r="F226" s="23">
        <f t="shared" si="1792"/>
        <v>450.16</v>
      </c>
      <c r="G226" s="23">
        <f t="shared" si="1792"/>
        <v>520.93999999999994</v>
      </c>
      <c r="H226" s="23">
        <f t="shared" si="1792"/>
        <v>586.29</v>
      </c>
      <c r="I226" s="23">
        <f t="shared" si="1792"/>
        <v>652.31000000000006</v>
      </c>
      <c r="J226" s="23">
        <f t="shared" si="1792"/>
        <v>874.54</v>
      </c>
      <c r="K226" s="23">
        <f t="shared" si="1792"/>
        <v>1033.8700000000001</v>
      </c>
      <c r="L226" s="23">
        <f t="shared" si="1792"/>
        <v>1360.77</v>
      </c>
      <c r="M226" s="23">
        <f t="shared" si="1792"/>
        <v>1606.74</v>
      </c>
      <c r="N226" s="23">
        <f t="shared" si="1792"/>
        <v>1817.6200000000001</v>
      </c>
      <c r="O226" s="23">
        <f t="shared" si="1792"/>
        <v>2070.3000000000002</v>
      </c>
      <c r="P226" s="23">
        <f t="shared" si="1792"/>
        <v>2603.2200000000003</v>
      </c>
      <c r="Q226" s="23">
        <f t="shared" si="1792"/>
        <v>2329.2200000000003</v>
      </c>
      <c r="R226" s="23">
        <f t="shared" si="1792"/>
        <v>3037.12</v>
      </c>
      <c r="S226" s="23">
        <f t="shared" si="1792"/>
        <v>3101.8900000000003</v>
      </c>
      <c r="T226" s="23">
        <f t="shared" si="1792"/>
        <v>3098.6400000000003</v>
      </c>
      <c r="U226" s="23">
        <f t="shared" si="1792"/>
        <v>3375.29</v>
      </c>
      <c r="V226" s="23">
        <f t="shared" si="1792"/>
        <v>3681.6099999999997</v>
      </c>
      <c r="W226" s="23">
        <f t="shared" si="1792"/>
        <v>1760.5700000000002</v>
      </c>
      <c r="X226" s="23">
        <f t="shared" si="1792"/>
        <v>1766.86</v>
      </c>
      <c r="Y226" s="23">
        <f t="shared" si="1792"/>
        <v>2017</v>
      </c>
      <c r="Z226" s="23">
        <f t="shared" si="1792"/>
        <v>2008</v>
      </c>
      <c r="AA226" s="23">
        <f t="shared" ref="AA226" si="1793">AA56</f>
        <v>2008</v>
      </c>
      <c r="AB226" s="24">
        <f t="shared" si="1792"/>
        <v>1899.193029030077</v>
      </c>
      <c r="AC226" s="24">
        <f t="shared" si="1792"/>
        <v>1902.0830483337375</v>
      </c>
      <c r="AD226" s="24">
        <f t="shared" si="1792"/>
        <v>1904.5716535349991</v>
      </c>
      <c r="AE226" s="24">
        <f t="shared" si="1792"/>
        <v>1906.7145997222106</v>
      </c>
      <c r="AI226" s="23">
        <f t="shared" ref="AI226:BN226" si="1794">AI56</f>
        <v>429.36</v>
      </c>
      <c r="AJ226" s="23">
        <f t="shared" si="1794"/>
        <v>447.15</v>
      </c>
      <c r="AK226" s="23">
        <f t="shared" si="1794"/>
        <v>482.38</v>
      </c>
      <c r="AL226" s="23">
        <f t="shared" si="1794"/>
        <v>458.73</v>
      </c>
      <c r="AM226" s="23">
        <f t="shared" si="1794"/>
        <v>499.77999999999992</v>
      </c>
      <c r="AN226" s="23">
        <f t="shared" si="1794"/>
        <v>519.04999999999995</v>
      </c>
      <c r="AO226" s="23">
        <f t="shared" si="1794"/>
        <v>512.17999999999995</v>
      </c>
      <c r="AP226" s="23">
        <f t="shared" si="1794"/>
        <v>539.29</v>
      </c>
      <c r="AQ226" s="23">
        <f t="shared" si="1794"/>
        <v>540.82000000000005</v>
      </c>
      <c r="AR226" s="23">
        <f t="shared" si="1794"/>
        <v>613.47</v>
      </c>
      <c r="AS226" s="23">
        <f t="shared" si="1794"/>
        <v>625.6</v>
      </c>
      <c r="AT226" s="23">
        <f t="shared" si="1794"/>
        <v>823.32999999999993</v>
      </c>
      <c r="AU226" s="23">
        <f t="shared" si="1794"/>
        <v>580.29999999999995</v>
      </c>
      <c r="AV226" s="23">
        <f t="shared" si="1794"/>
        <v>591.96</v>
      </c>
      <c r="AW226" s="23">
        <f t="shared" si="1794"/>
        <v>590.98</v>
      </c>
      <c r="AX226" s="23">
        <f t="shared" si="1794"/>
        <v>565.98</v>
      </c>
      <c r="AY226" s="23">
        <f t="shared" si="1794"/>
        <v>712.24</v>
      </c>
      <c r="AZ226" s="23">
        <f t="shared" si="1794"/>
        <v>718.56999999999994</v>
      </c>
      <c r="BA226" s="23">
        <f t="shared" si="1794"/>
        <v>728.96</v>
      </c>
      <c r="BB226" s="23">
        <f t="shared" si="1794"/>
        <v>819.25</v>
      </c>
      <c r="BC226" s="23">
        <f t="shared" si="1794"/>
        <v>689.83</v>
      </c>
      <c r="BD226" s="23">
        <f t="shared" si="1794"/>
        <v>767.39</v>
      </c>
      <c r="BE226" s="23">
        <f t="shared" si="1794"/>
        <v>788.5</v>
      </c>
      <c r="BF226" s="23">
        <f t="shared" si="1794"/>
        <v>856.17000000000007</v>
      </c>
      <c r="BG226" s="23">
        <f t="shared" si="1794"/>
        <v>705.15</v>
      </c>
      <c r="BH226" s="23">
        <f t="shared" si="1794"/>
        <v>754.05</v>
      </c>
      <c r="BI226" s="23">
        <f t="shared" si="1794"/>
        <v>766.83</v>
      </c>
      <c r="BJ226" s="23">
        <f t="shared" si="1794"/>
        <v>872.61</v>
      </c>
      <c r="BK226" s="23">
        <f t="shared" si="1794"/>
        <v>777.05</v>
      </c>
      <c r="BL226" s="23">
        <f t="shared" si="1794"/>
        <v>760.65</v>
      </c>
      <c r="BM226" s="23">
        <f t="shared" si="1794"/>
        <v>853.46</v>
      </c>
      <c r="BN226" s="23">
        <f t="shared" si="1794"/>
        <v>984.12999999999988</v>
      </c>
      <c r="BO226" s="23">
        <f t="shared" ref="BO226:CT226" si="1795">BO56</f>
        <v>859.89</v>
      </c>
      <c r="BP226" s="23">
        <f t="shared" si="1795"/>
        <v>909.92000000000007</v>
      </c>
      <c r="BQ226" s="23">
        <f t="shared" si="1795"/>
        <v>947.64</v>
      </c>
      <c r="BR226" s="23">
        <f t="shared" si="1795"/>
        <v>964.16000000000008</v>
      </c>
      <c r="BS226" s="23">
        <f t="shared" si="1795"/>
        <v>959.39</v>
      </c>
      <c r="BT226" s="23">
        <f t="shared" si="1795"/>
        <v>432.68</v>
      </c>
      <c r="BU226" s="23">
        <f t="shared" si="1795"/>
        <v>452.15</v>
      </c>
      <c r="BV226" s="23">
        <f t="shared" si="1795"/>
        <v>457.86</v>
      </c>
      <c r="BW226" s="23">
        <f t="shared" si="1795"/>
        <v>422.98</v>
      </c>
      <c r="BX226" s="23">
        <f t="shared" si="1795"/>
        <v>446.13</v>
      </c>
      <c r="BY226" s="23">
        <f t="shared" si="1795"/>
        <v>430.18</v>
      </c>
      <c r="BZ226" s="23">
        <f t="shared" si="1795"/>
        <v>467.57</v>
      </c>
      <c r="CA226" s="23">
        <f t="shared" si="1795"/>
        <v>495.91</v>
      </c>
      <c r="CB226" s="23">
        <f t="shared" si="1795"/>
        <v>509</v>
      </c>
      <c r="CC226" s="23">
        <f t="shared" si="1795"/>
        <v>513.13</v>
      </c>
      <c r="CD226" s="23">
        <f t="shared" si="1795"/>
        <v>498.8</v>
      </c>
      <c r="CE226" s="23">
        <f t="shared" si="1795"/>
        <v>477</v>
      </c>
      <c r="CF226" s="23">
        <f t="shared" si="1795"/>
        <v>484</v>
      </c>
      <c r="CG226" s="23">
        <f t="shared" si="1795"/>
        <v>497</v>
      </c>
      <c r="CH226" s="23">
        <f t="shared" si="1795"/>
        <v>542</v>
      </c>
      <c r="CI226" s="23">
        <f t="shared" si="1795"/>
        <v>423</v>
      </c>
      <c r="CJ226" s="23">
        <f t="shared" si="1795"/>
        <v>412</v>
      </c>
      <c r="CK226" s="23">
        <f t="shared" si="1795"/>
        <v>417</v>
      </c>
      <c r="CL226" s="23">
        <f t="shared" ref="CL226" si="1796">CL56</f>
        <v>449</v>
      </c>
      <c r="CM226" s="24">
        <f t="shared" si="1795"/>
        <v>474.5030238640079</v>
      </c>
      <c r="CN226" s="24">
        <f t="shared" si="1795"/>
        <v>474.70473539433323</v>
      </c>
      <c r="CO226" s="24">
        <f t="shared" si="1795"/>
        <v>474.89904512038294</v>
      </c>
      <c r="CP226" s="24">
        <f t="shared" si="1795"/>
        <v>475.08622465135284</v>
      </c>
      <c r="CQ226" s="24">
        <f t="shared" si="1795"/>
        <v>475.26653562973979</v>
      </c>
      <c r="CR226" s="24">
        <f t="shared" si="1795"/>
        <v>475.4402300970695</v>
      </c>
      <c r="CS226" s="24">
        <f t="shared" si="1795"/>
        <v>475.6075508462045</v>
      </c>
      <c r="CT226" s="24">
        <f t="shared" si="1795"/>
        <v>475.76873176072348</v>
      </c>
      <c r="CU226" s="24">
        <f t="shared" ref="CU226:DB226" si="1797">CU56</f>
        <v>475.92399814184762</v>
      </c>
      <c r="CV226" s="24">
        <f t="shared" si="1797"/>
        <v>476.07356702337023</v>
      </c>
      <c r="CW226" s="24">
        <f t="shared" si="1797"/>
        <v>476.21764747502988</v>
      </c>
      <c r="CX226" s="24">
        <f t="shared" si="1797"/>
        <v>476.3564408947513</v>
      </c>
      <c r="CY226" s="24">
        <f t="shared" si="1797"/>
        <v>476.49014129016297</v>
      </c>
      <c r="CZ226" s="24">
        <f t="shared" si="1797"/>
        <v>476.61893554978349</v>
      </c>
      <c r="DA226" s="24">
        <f t="shared" si="1797"/>
        <v>476.74300370425772</v>
      </c>
      <c r="DB226" s="24">
        <f t="shared" si="1797"/>
        <v>476.86251917800638</v>
      </c>
      <c r="DE226" s="123"/>
      <c r="DF226" s="23">
        <v>403.25709317948315</v>
      </c>
    </row>
    <row r="227" spans="1:110" s="22" customFormat="1" x14ac:dyDescent="0.2">
      <c r="A227" s="22" t="s">
        <v>89</v>
      </c>
      <c r="C227" s="22" t="e">
        <f t="shared" ref="C227:W227" si="1798">C225+C226</f>
        <v>#REF!</v>
      </c>
      <c r="D227" s="22" t="e">
        <f t="shared" si="1798"/>
        <v>#REF!</v>
      </c>
      <c r="E227" s="22">
        <f t="shared" si="1798"/>
        <v>3110.1699999999983</v>
      </c>
      <c r="F227" s="22">
        <f t="shared" si="1798"/>
        <v>4241.840000000002</v>
      </c>
      <c r="G227" s="22">
        <f t="shared" si="1798"/>
        <v>4384.8799999999983</v>
      </c>
      <c r="H227" s="22">
        <f t="shared" si="1798"/>
        <v>5806.5300000000016</v>
      </c>
      <c r="I227" s="22">
        <f t="shared" si="1798"/>
        <v>6139.0399999999972</v>
      </c>
      <c r="J227" s="22">
        <f t="shared" si="1798"/>
        <v>3577.6300000000028</v>
      </c>
      <c r="K227" s="22">
        <f t="shared" si="1798"/>
        <v>4982.9899999999934</v>
      </c>
      <c r="L227" s="22">
        <f t="shared" si="1798"/>
        <v>5576.2300000000014</v>
      </c>
      <c r="M227" s="22">
        <f t="shared" si="1798"/>
        <v>6245.2516154584919</v>
      </c>
      <c r="N227" s="22">
        <f t="shared" si="1798"/>
        <v>5159.171895458504</v>
      </c>
      <c r="O227" s="22">
        <f t="shared" si="1798"/>
        <v>2876.742615999995</v>
      </c>
      <c r="P227" s="22">
        <f t="shared" si="1798"/>
        <v>-2075.001326239998</v>
      </c>
      <c r="Q227" s="22">
        <f t="shared" si="1798"/>
        <v>7226.8799999999956</v>
      </c>
      <c r="R227" s="22">
        <f t="shared" si="1798"/>
        <v>5927.5200000000041</v>
      </c>
      <c r="S227" s="22">
        <f t="shared" si="1798"/>
        <v>3315.8000000000161</v>
      </c>
      <c r="T227" s="22">
        <f t="shared" si="1798"/>
        <v>5557.1199999999935</v>
      </c>
      <c r="U227" s="22">
        <f t="shared" si="1798"/>
        <v>-3471.9299999999857</v>
      </c>
      <c r="V227" s="22">
        <f t="shared" si="1798"/>
        <v>1758.2399999999936</v>
      </c>
      <c r="W227" s="22">
        <f t="shared" si="1798"/>
        <v>21.340000000012651</v>
      </c>
      <c r="X227" s="22">
        <f t="shared" ref="X227:Y227" si="1799">X225+X226</f>
        <v>4494.989999999987</v>
      </c>
      <c r="Y227" s="22">
        <f t="shared" si="1799"/>
        <v>9919</v>
      </c>
      <c r="Z227" s="22">
        <f t="shared" ref="Z227:AA227" si="1800">Z225+Z226</f>
        <v>7460</v>
      </c>
      <c r="AA227" s="22">
        <f t="shared" si="1800"/>
        <v>7460</v>
      </c>
      <c r="AB227" s="21">
        <f t="shared" ref="AA227:AD227" si="1801">AB225+AB226</f>
        <v>-2861.6446471675326</v>
      </c>
      <c r="AC227" s="21">
        <f t="shared" si="1801"/>
        <v>-2791.247611828956</v>
      </c>
      <c r="AD227" s="21">
        <f t="shared" si="1801"/>
        <v>-2939.9096585043326</v>
      </c>
      <c r="AE227" s="21">
        <f t="shared" ref="AE227" si="1802">AE225+AE226</f>
        <v>-3910.8650309701552</v>
      </c>
      <c r="AI227" s="22">
        <f t="shared" ref="AI227:AL227" si="1803">AI225+AI226</f>
        <v>634.7000000000005</v>
      </c>
      <c r="AJ227" s="22">
        <f t="shared" si="1803"/>
        <v>1314.1699999999998</v>
      </c>
      <c r="AK227" s="22">
        <f t="shared" si="1803"/>
        <v>23.890000000000214</v>
      </c>
      <c r="AL227" s="22">
        <f t="shared" si="1803"/>
        <v>146.64000000000141</v>
      </c>
      <c r="AM227" s="22">
        <f t="shared" ref="AM227" si="1804">AM225+AM226</f>
        <v>1203.0399999999968</v>
      </c>
      <c r="AN227" s="22">
        <f t="shared" ref="AN227:CD227" si="1805">AN225+AN226</f>
        <v>-284.48000000000025</v>
      </c>
      <c r="AO227" s="22">
        <f t="shared" si="1805"/>
        <v>1763.5800000000022</v>
      </c>
      <c r="AP227" s="22">
        <f t="shared" si="1805"/>
        <v>-277.32000000000005</v>
      </c>
      <c r="AQ227" s="22">
        <f t="shared" si="1805"/>
        <v>934.51999999999953</v>
      </c>
      <c r="AR227" s="22">
        <f t="shared" si="1805"/>
        <v>-1232.1600000000014</v>
      </c>
      <c r="AS227" s="22">
        <f t="shared" si="1805"/>
        <v>-1497.1200000000008</v>
      </c>
      <c r="AT227" s="22">
        <f t="shared" si="1805"/>
        <v>-340.91999999999894</v>
      </c>
      <c r="AU227" s="22">
        <f t="shared" si="1805"/>
        <v>870.13999999999976</v>
      </c>
      <c r="AV227" s="22">
        <f t="shared" si="1805"/>
        <v>303.17000000000093</v>
      </c>
      <c r="AW227" s="22">
        <f t="shared" si="1805"/>
        <v>454.15999999999985</v>
      </c>
      <c r="AX227" s="22">
        <f t="shared" si="1805"/>
        <v>963.93000000000086</v>
      </c>
      <c r="AY227" s="22">
        <f t="shared" si="1805"/>
        <v>737.98999999999876</v>
      </c>
      <c r="AZ227" s="22">
        <f t="shared" si="1805"/>
        <v>87.809999999999377</v>
      </c>
      <c r="BA227" s="22">
        <f t="shared" si="1805"/>
        <v>-316.9800000000007</v>
      </c>
      <c r="BB227" s="22">
        <f t="shared" si="1805"/>
        <v>13.340000000002419</v>
      </c>
      <c r="BC227" s="22">
        <f t="shared" si="1805"/>
        <v>226.68999999999841</v>
      </c>
      <c r="BD227" s="22">
        <f t="shared" si="1805"/>
        <v>484.04000000000315</v>
      </c>
      <c r="BE227" s="22">
        <f t="shared" si="1805"/>
        <v>1000.089999999999</v>
      </c>
      <c r="BF227" s="22">
        <f t="shared" si="1805"/>
        <v>356.23000000000366</v>
      </c>
      <c r="BG227" s="22">
        <f t="shared" si="1805"/>
        <v>1892.7999999999975</v>
      </c>
      <c r="BH227" s="22">
        <f t="shared" si="1805"/>
        <v>863.18999999999699</v>
      </c>
      <c r="BI227" s="22">
        <f t="shared" si="1805"/>
        <v>1384.4500000000021</v>
      </c>
      <c r="BJ227" s="22">
        <f t="shared" si="1805"/>
        <v>978.79999999999905</v>
      </c>
      <c r="BK227" s="22">
        <f t="shared" si="1805"/>
        <v>679.94999999999936</v>
      </c>
      <c r="BL227" s="22">
        <f t="shared" si="1805"/>
        <v>-521.3200000000005</v>
      </c>
      <c r="BM227" s="22">
        <f t="shared" si="1805"/>
        <v>-186.04999999999836</v>
      </c>
      <c r="BN227" s="22">
        <f t="shared" si="1805"/>
        <v>-3886.9200000000019</v>
      </c>
      <c r="BO227" s="22">
        <f t="shared" si="1805"/>
        <v>-1330.75</v>
      </c>
      <c r="BP227" s="22">
        <f t="shared" si="1805"/>
        <v>-302.52999999999906</v>
      </c>
      <c r="BQ227" s="22">
        <f t="shared" si="1805"/>
        <v>309.60000000000002</v>
      </c>
      <c r="BR227" s="22">
        <f t="shared" si="1805"/>
        <v>2609.880000000001</v>
      </c>
      <c r="BS227" s="22">
        <f t="shared" si="1805"/>
        <v>-361.34000000000049</v>
      </c>
      <c r="BT227" s="22">
        <f t="shared" si="1805"/>
        <v>-142.99999999999812</v>
      </c>
      <c r="BU227" s="22">
        <f t="shared" si="1805"/>
        <v>-183.33999999999969</v>
      </c>
      <c r="BV227" s="22">
        <f t="shared" si="1805"/>
        <v>871.2099999999997</v>
      </c>
      <c r="BW227" s="22">
        <f t="shared" si="1805"/>
        <v>241.95000000000246</v>
      </c>
      <c r="BX227" s="22">
        <f t="shared" si="1805"/>
        <v>153.54000000000315</v>
      </c>
      <c r="BY227" s="22">
        <f t="shared" si="1805"/>
        <v>914.89</v>
      </c>
      <c r="BZ227" s="22">
        <f t="shared" si="1805"/>
        <v>3163.1299999999992</v>
      </c>
      <c r="CA227" s="22">
        <f t="shared" si="1805"/>
        <v>431.9100000000027</v>
      </c>
      <c r="CB227" s="22">
        <f t="shared" si="1805"/>
        <v>1778.6200000000017</v>
      </c>
      <c r="CC227" s="22">
        <f t="shared" si="1805"/>
        <v>5083.1799999999967</v>
      </c>
      <c r="CD227" s="22">
        <f t="shared" si="1805"/>
        <v>2625.2299999999982</v>
      </c>
      <c r="CE227" s="22">
        <f t="shared" ref="CE227:CF227" si="1806">CE225+CE226</f>
        <v>2667</v>
      </c>
      <c r="CF227" s="22">
        <f t="shared" si="1806"/>
        <v>1127</v>
      </c>
      <c r="CG227" s="22">
        <f t="shared" ref="CG227:CH227" si="1807">CG225+CG226</f>
        <v>926.89999999999964</v>
      </c>
      <c r="CH227" s="22">
        <f t="shared" si="1807"/>
        <v>813.59999999999854</v>
      </c>
      <c r="CI227" s="22">
        <f t="shared" ref="CI227:CJ227" si="1808">CI225+CI226</f>
        <v>1834</v>
      </c>
      <c r="CJ227" s="22">
        <f t="shared" si="1808"/>
        <v>-609</v>
      </c>
      <c r="CK227" s="22">
        <f t="shared" ref="CK227:DB227" si="1809">CK225+CK226</f>
        <v>978</v>
      </c>
      <c r="CL227" s="22">
        <f t="shared" si="1809"/>
        <v>2855</v>
      </c>
      <c r="CM227" s="21">
        <f t="shared" si="1809"/>
        <v>1677.8471078345431</v>
      </c>
      <c r="CN227" s="21">
        <f t="shared" si="1809"/>
        <v>1966.6338285558099</v>
      </c>
      <c r="CO227" s="21">
        <f t="shared" si="1809"/>
        <v>2333.4273892940732</v>
      </c>
      <c r="CP227" s="21">
        <f t="shared" si="1809"/>
        <v>2503.0606797274063</v>
      </c>
      <c r="CQ227" s="21">
        <f t="shared" si="1809"/>
        <v>1836.9101682255387</v>
      </c>
      <c r="CR227" s="21">
        <f t="shared" si="1809"/>
        <v>2102.7983917253755</v>
      </c>
      <c r="CS227" s="21">
        <f t="shared" si="1809"/>
        <v>2506.8828529756706</v>
      </c>
      <c r="CT227" s="21">
        <f t="shared" si="1809"/>
        <v>2807.7849686380714</v>
      </c>
      <c r="CU227" s="21">
        <f t="shared" si="1809"/>
        <v>2103.0563760100949</v>
      </c>
      <c r="CV227" s="21">
        <f t="shared" si="1809"/>
        <v>2382.9421429120875</v>
      </c>
      <c r="CW227" s="21">
        <f t="shared" si="1809"/>
        <v>2835.8358867901829</v>
      </c>
      <c r="CX227" s="21">
        <f t="shared" si="1809"/>
        <v>3230.1049333586325</v>
      </c>
      <c r="CY227" s="21">
        <f t="shared" si="1809"/>
        <v>2253.3139673837027</v>
      </c>
      <c r="CZ227" s="21">
        <f t="shared" si="1809"/>
        <v>2562.6057615208888</v>
      </c>
      <c r="DA227" s="21">
        <f t="shared" si="1809"/>
        <v>3093.8944078012782</v>
      </c>
      <c r="DB227" s="21">
        <f t="shared" si="1809"/>
        <v>3525.4258666205133</v>
      </c>
      <c r="DE227" s="127"/>
      <c r="DF227" s="22">
        <v>2657.6802038028063</v>
      </c>
    </row>
    <row r="228" spans="1:110" s="23" customFormat="1" x14ac:dyDescent="0.2">
      <c r="A228" s="23" t="s">
        <v>65</v>
      </c>
      <c r="C228" s="23">
        <f t="shared" ref="C228:AA228" si="1810">B180-C180+B195+B196-C195-C196</f>
        <v>0</v>
      </c>
      <c r="D228" s="23">
        <f t="shared" si="1810"/>
        <v>0</v>
      </c>
      <c r="E228" s="23">
        <f>D180-E180+D195+D196-E195-E196</f>
        <v>-2433.2500000000005</v>
      </c>
      <c r="F228" s="23">
        <f t="shared" si="1810"/>
        <v>-2160.7799999999988</v>
      </c>
      <c r="G228" s="23">
        <f t="shared" si="1810"/>
        <v>-3165.9300000000021</v>
      </c>
      <c r="H228" s="23">
        <f t="shared" si="1810"/>
        <v>-778.35999999999774</v>
      </c>
      <c r="I228" s="23">
        <f t="shared" si="1810"/>
        <v>1545.0499999999997</v>
      </c>
      <c r="J228" s="23">
        <f>I180-J180+I195+I196-J195-J196</f>
        <v>-541.37000000000091</v>
      </c>
      <c r="K228" s="23">
        <f>J180-K180+J195+J196-K195-K196</f>
        <v>-710.07000000000153</v>
      </c>
      <c r="L228" s="23">
        <f t="shared" si="1810"/>
        <v>-1618.5100000000007</v>
      </c>
      <c r="M228" s="23">
        <f t="shared" si="1810"/>
        <v>-901.59999999999854</v>
      </c>
      <c r="N228" s="23">
        <f t="shared" si="1810"/>
        <v>1149.75</v>
      </c>
      <c r="O228" s="23">
        <f t="shared" si="1810"/>
        <v>203.9700000000006</v>
      </c>
      <c r="P228" s="23">
        <f t="shared" si="1810"/>
        <v>-776.12999999999863</v>
      </c>
      <c r="Q228" s="23">
        <f t="shared" si="1810"/>
        <v>-1974.7900000000027</v>
      </c>
      <c r="R228" s="23">
        <f t="shared" si="1810"/>
        <v>-902.34999999999854</v>
      </c>
      <c r="S228" s="23">
        <f t="shared" si="1810"/>
        <v>-1410.6500000000003</v>
      </c>
      <c r="T228" s="23">
        <f t="shared" si="1810"/>
        <v>518.65000000000146</v>
      </c>
      <c r="U228" s="23">
        <f t="shared" si="1810"/>
        <v>1416.23</v>
      </c>
      <c r="V228" s="23">
        <f t="shared" si="1810"/>
        <v>-811.35000000000196</v>
      </c>
      <c r="W228" s="23">
        <f t="shared" si="1810"/>
        <v>2173.2400000000021</v>
      </c>
      <c r="X228" s="23">
        <f t="shared" si="1810"/>
        <v>-1174.860000000001</v>
      </c>
      <c r="Y228" s="23">
        <f t="shared" si="1810"/>
        <v>-641.88999999999953</v>
      </c>
      <c r="Z228" s="23">
        <f t="shared" si="1810"/>
        <v>-197</v>
      </c>
      <c r="AA228" s="23">
        <f t="shared" si="1810"/>
        <v>0</v>
      </c>
      <c r="AB228" s="24">
        <f t="shared" ref="AB228" si="1811">AA180-AB180+AA195+AA196-AB195-AB196</f>
        <v>1082.8373095679126</v>
      </c>
      <c r="AC228" s="24">
        <f t="shared" ref="AC228" si="1812">AB180-AC180+AB195+AB196-AC195-AC196</f>
        <v>-930.61026467199008</v>
      </c>
      <c r="AD228" s="24">
        <f t="shared" ref="AD228" si="1813">AC180-AD180+AC195+AC196-AD195-AD196</f>
        <v>-1746.7662735866161</v>
      </c>
      <c r="AE228" s="24">
        <f t="shared" ref="AE228" si="1814">AD180-AE180+AD195+AD196-AE195-AE196</f>
        <v>-1874.3956824490087</v>
      </c>
      <c r="AI228" s="23">
        <f t="shared" ref="AI228" si="1815">AH180-AI180+AH195+AH196-AI195-AI196</f>
        <v>0</v>
      </c>
      <c r="AJ228" s="23">
        <f t="shared" ref="AJ228" si="1816">AI180-AJ180+AI195+AI196-AJ195-AJ196</f>
        <v>0</v>
      </c>
      <c r="AK228" s="23">
        <f t="shared" ref="AK228" si="1817">AJ180-AK180+AJ195+AJ196-AK195-AK196</f>
        <v>0</v>
      </c>
      <c r="AL228" s="23">
        <f t="shared" ref="AL228" si="1818">AK180-AL180+AK195+AK196-AL195-AL196</f>
        <v>0</v>
      </c>
      <c r="AM228" s="23">
        <f t="shared" ref="AM228" si="1819">AL180-AM180+AL195+AL196-AM195-AM196</f>
        <v>0</v>
      </c>
      <c r="AN228" s="23">
        <f t="shared" ref="AN228" si="1820">AM180-AN180+AM195+AM196-AN195-AN196</f>
        <v>0</v>
      </c>
      <c r="AO228" s="23">
        <f t="shared" ref="AO228" si="1821">AN180-AO180+AN195+AN196-AO195-AO196</f>
        <v>0</v>
      </c>
      <c r="AP228" s="23">
        <f t="shared" ref="AP228" si="1822">AO180-AP180+AO195+AO196-AP195-AP196</f>
        <v>0</v>
      </c>
      <c r="AQ228" s="23">
        <f t="shared" ref="AQ228" si="1823">AP180-AQ180+AP195+AP196-AQ195-AQ196</f>
        <v>0</v>
      </c>
      <c r="AR228" s="23">
        <f t="shared" ref="AR228" si="1824">AQ180-AR180+AQ195+AQ196-AR195-AR196</f>
        <v>0</v>
      </c>
      <c r="AS228" s="23">
        <f t="shared" ref="AS228" si="1825">AR180-AS180+AR195+AR196-AS195-AS196</f>
        <v>0</v>
      </c>
      <c r="AT228" s="23">
        <f t="shared" ref="AT228" si="1826">AS180-AT180+AS195+AS196-AT195-AT196</f>
        <v>0</v>
      </c>
      <c r="AU228" s="23">
        <f t="shared" ref="AU228" si="1827">AT180-AU180+AT195+AT196-AU195-AU196</f>
        <v>0</v>
      </c>
      <c r="AV228" s="23">
        <f t="shared" ref="AV228" si="1828">AU180-AV180+AU195+AU196-AV195-AV196</f>
        <v>0</v>
      </c>
      <c r="AW228" s="23">
        <f t="shared" ref="AW228" si="1829">AV180-AW180+AV195+AV196-AW195-AW196</f>
        <v>0</v>
      </c>
      <c r="AX228" s="23">
        <f t="shared" ref="AX228" si="1830">AW180-AX180+AW195+AW196-AX195-AX196</f>
        <v>0</v>
      </c>
      <c r="AY228" s="23">
        <f t="shared" ref="AY228" si="1831">AX180-AY180+AX195+AX196-AY195-AY196</f>
        <v>0</v>
      </c>
      <c r="AZ228" s="23">
        <f t="shared" ref="AZ228" si="1832">AY180-AZ180+AY195+AY196-AZ195-AZ196</f>
        <v>0</v>
      </c>
      <c r="BA228" s="23">
        <f t="shared" ref="BA228" si="1833">AZ180-BA180+AZ195+AZ196-BA195-BA196</f>
        <v>0</v>
      </c>
      <c r="BB228" s="23">
        <f t="shared" ref="BB228" si="1834">BA180-BB180+BA195+BA196-BB195-BB196</f>
        <v>0</v>
      </c>
      <c r="BC228" s="23">
        <f t="shared" ref="BC228" si="1835">BB180-BC180+BB195+BB196-BC195-BC196</f>
        <v>0</v>
      </c>
      <c r="BD228" s="23">
        <f t="shared" ref="BD228" si="1836">BC180-BD180+BC195+BC196-BD195-BD196</f>
        <v>0</v>
      </c>
      <c r="BE228" s="23">
        <f t="shared" ref="BE228" si="1837">BD180-BE180+BD195+BD196-BE195-BE196</f>
        <v>0</v>
      </c>
      <c r="BF228" s="23">
        <f t="shared" ref="BF228" si="1838">BE180-BF180+BE195+BE196-BF195-BF196</f>
        <v>0</v>
      </c>
      <c r="BG228" s="23">
        <f t="shared" ref="BG228" si="1839">BF180-BG180+BF195+BF196-BG195-BG196</f>
        <v>0</v>
      </c>
      <c r="BH228" s="23">
        <f t="shared" ref="BH228" si="1840">BG180-BH180+BG195+BG196-BH195-BH196</f>
        <v>0</v>
      </c>
      <c r="BI228" s="23">
        <f t="shared" ref="BI228" si="1841">BH180-BI180+BH195+BH196-BI195-BI196</f>
        <v>0</v>
      </c>
      <c r="BJ228" s="23">
        <f t="shared" ref="BJ228" si="1842">BI180-BJ180+BI195+BI196-BJ195-BJ196</f>
        <v>0</v>
      </c>
      <c r="BK228" s="23">
        <f t="shared" ref="BK228" si="1843">BJ180-BK180+BJ195+BJ196-BK195-BK196</f>
        <v>0</v>
      </c>
      <c r="BL228" s="23">
        <f t="shared" ref="BL228" si="1844">BK180-BL180+BK195+BK196-BL195-BL196</f>
        <v>0</v>
      </c>
      <c r="BM228" s="23">
        <f t="shared" ref="BM228" si="1845">BL180-BM180+BL195+BL196-BM195-BM196</f>
        <v>0</v>
      </c>
      <c r="BN228" s="23">
        <f t="shared" ref="BN228" si="1846">BM180-BN180+BM195+BM196-BN195-BN196</f>
        <v>0</v>
      </c>
      <c r="BO228" s="23">
        <f t="shared" ref="BO228" si="1847">BN180-BO180+BN195+BN196-BO195-BO196</f>
        <v>0</v>
      </c>
      <c r="BP228" s="23">
        <f t="shared" ref="BP228" si="1848">BO180-BP180+BO195+BO196-BP195-BP196</f>
        <v>0</v>
      </c>
      <c r="BQ228" s="23">
        <f t="shared" ref="BQ228" si="1849">BP180-BQ180+BP195+BP196-BQ195-BQ196</f>
        <v>0</v>
      </c>
      <c r="BR228" s="23">
        <f t="shared" ref="BR228" si="1850">BQ180-BR180+BQ195+BQ196-BR195-BR196</f>
        <v>0</v>
      </c>
      <c r="BS228" s="23">
        <f t="shared" ref="BS228" si="1851">BR180-BS180+BR195+BR196-BS195-BS196</f>
        <v>0</v>
      </c>
      <c r="BT228" s="23">
        <f t="shared" ref="BT228" si="1852">BS180-BT180+BS195+BS196-BT195-BT196</f>
        <v>0</v>
      </c>
      <c r="BU228" s="23">
        <f t="shared" ref="BU228" si="1853">BT180-BU180+BT195+BT196-BU195-BU196</f>
        <v>0</v>
      </c>
      <c r="BV228" s="23">
        <f t="shared" ref="BV228" si="1854">BU180-BV180+BU195+BU196-BV195-BV196</f>
        <v>0</v>
      </c>
      <c r="BW228" s="23">
        <f t="shared" ref="BW228" si="1855">BV180-BW180+BV195+BV196-BW195-BW196</f>
        <v>0</v>
      </c>
      <c r="BX228" s="23">
        <f t="shared" ref="BX228" si="1856">BW180-BX180+BW195+BW196-BX195-BX196</f>
        <v>0</v>
      </c>
      <c r="BY228" s="23">
        <f t="shared" ref="BY228" si="1857">BX180-BY180+BX195+BX196-BY195-BY196</f>
        <v>0</v>
      </c>
      <c r="BZ228" s="23">
        <f t="shared" ref="BZ228" si="1858">BY180-BZ180+BY195+BY196-BZ195-BZ196</f>
        <v>0</v>
      </c>
      <c r="CA228" s="23">
        <f t="shared" ref="CA228" si="1859">BZ180-CA180+BZ195+BZ196-CA195-CA196</f>
        <v>0</v>
      </c>
      <c r="CB228" s="23">
        <f t="shared" ref="CB228" si="1860">CA180-CB180+CA195+CA196-CB195-CB196</f>
        <v>0</v>
      </c>
      <c r="CC228" s="23">
        <f t="shared" ref="CC228" si="1861">CB180-CC180+CB195+CB196-CC195-CC196</f>
        <v>0</v>
      </c>
      <c r="CD228" s="23">
        <f t="shared" ref="CD228" si="1862">CC180-CD180+CC195+CC196-CD195-CD196</f>
        <v>0</v>
      </c>
      <c r="CE228" s="23">
        <f t="shared" ref="CE228" si="1863">CD180-CE180+CD195+CD196-CE195-CE196</f>
        <v>0</v>
      </c>
      <c r="CF228" s="23">
        <f t="shared" ref="CF228" si="1864">CE180-CF180+CE195+CE196-CF195-CF196</f>
        <v>0</v>
      </c>
      <c r="CG228" s="23">
        <f t="shared" ref="CG228" si="1865">CF180-CG180+CF195+CF196-CG195-CG196</f>
        <v>0</v>
      </c>
      <c r="CH228" s="23">
        <f t="shared" ref="CH228:CL228" si="1866">CG180-CH180+CG195+CG196-CH195-CH196</f>
        <v>-13192</v>
      </c>
      <c r="CI228" s="23">
        <f t="shared" si="1866"/>
        <v>2934.8433421671089</v>
      </c>
      <c r="CJ228" s="23">
        <f t="shared" si="1866"/>
        <v>-4154.8433421671089</v>
      </c>
      <c r="CK228" s="23">
        <f t="shared" ref="CK228" si="1867">CJ180-CK180+CJ195+CJ196-CK195-CK196</f>
        <v>-3430.8095605242852</v>
      </c>
      <c r="CL228" s="23">
        <f t="shared" si="1866"/>
        <v>7055.8095605242852</v>
      </c>
      <c r="CM228" s="24">
        <f t="shared" ref="CM228" si="1868">CL180-CM180+CL195+CL196-CM195-CM196</f>
        <v>3432.9053428612515</v>
      </c>
      <c r="CN228" s="24">
        <f t="shared" ref="CN228" si="1869">CM180-CN180+CM195+CM196-CN195-CN196</f>
        <v>-918.77952709824785</v>
      </c>
      <c r="CO228" s="24">
        <f t="shared" ref="CO228" si="1870">CN180-CO180+CN195+CN196-CO195-CO196</f>
        <v>-2012.8776663765348</v>
      </c>
      <c r="CP228" s="24">
        <f t="shared" ref="CP228" si="1871">CO180-CP180+CO195+CO196-CP195-CP196</f>
        <v>-1823.4108398185563</v>
      </c>
      <c r="CQ228" s="24">
        <f t="shared" ref="CQ228" si="1872">CP180-CQ180+CP195+CP196-CQ195-CQ196</f>
        <v>3934.1974059895419</v>
      </c>
      <c r="CR228" s="24">
        <f t="shared" ref="CR228" si="1873">CQ180-CR180+CQ195+CQ196-CR195-CR196</f>
        <v>-982.6179942845738</v>
      </c>
      <c r="CS228" s="24">
        <f t="shared" ref="CS228" si="1874">CR180-CS180+CR195+CR196-CS195-CS196</f>
        <v>-2100.8395787633035</v>
      </c>
      <c r="CT228" s="24">
        <f t="shared" ref="CT228" si="1875">CS180-CT180+CS195+CS196-CT195-CT196</f>
        <v>-1781.3500976136547</v>
      </c>
      <c r="CU228" s="24">
        <f t="shared" ref="CU228" si="1876">CT180-CU180+CT195+CT196-CU195-CU196</f>
        <v>3853.7335583809818</v>
      </c>
      <c r="CV228" s="24">
        <f t="shared" ref="CV228" si="1877">CU180-CV180+CU195+CU196-CV195-CV196</f>
        <v>-1137.4583051002264</v>
      </c>
      <c r="CW228" s="24">
        <f t="shared" ref="CW228" si="1878">CV180-CW180+CV195+CV196-CW195-CW196</f>
        <v>-2392.1211558382056</v>
      </c>
      <c r="CX228" s="24">
        <f t="shared" ref="CX228" si="1879">CW180-CX180+CW195+CW196-CX195-CX196</f>
        <v>-2070.9203710291658</v>
      </c>
      <c r="CY228" s="24">
        <f t="shared" ref="CY228" si="1880">CX180-CY180+CX195+CX196-CY195-CY196</f>
        <v>4409.6307015463553</v>
      </c>
      <c r="CZ228" s="24">
        <f t="shared" ref="CZ228" si="1881">CY180-CZ180+CY195+CY196-CZ195-CZ196</f>
        <v>-1308.423319068721</v>
      </c>
      <c r="DA228" s="24">
        <f t="shared" ref="DA228" si="1882">CZ180-DA180+CZ195+CZ196-DA195-DA196</f>
        <v>-2688.8941673362915</v>
      </c>
      <c r="DB228" s="24">
        <f t="shared" ref="DB228" si="1883">DA180-DB180+DA195+DA196-DB195-DB196</f>
        <v>-2286.7088975903516</v>
      </c>
      <c r="DE228" s="123"/>
      <c r="DF228" s="23">
        <v>-3336.7459584746866</v>
      </c>
    </row>
    <row r="229" spans="1:110" s="23" customFormat="1" x14ac:dyDescent="0.2">
      <c r="A229" s="23" t="s">
        <v>73</v>
      </c>
      <c r="C229" s="23">
        <f t="shared" ref="C229:AA229" si="1884">B188-C188</f>
        <v>0</v>
      </c>
      <c r="D229" s="23">
        <f t="shared" si="1884"/>
        <v>0</v>
      </c>
      <c r="E229" s="23">
        <f>D188-E188</f>
        <v>-4654.9399999999996</v>
      </c>
      <c r="F229" s="23">
        <f t="shared" si="1884"/>
        <v>-1945.8900000000003</v>
      </c>
      <c r="G229" s="23">
        <f t="shared" si="1884"/>
        <v>-341.02999999999975</v>
      </c>
      <c r="H229" s="23">
        <f t="shared" si="1884"/>
        <v>-415.91000000000076</v>
      </c>
      <c r="I229" s="23">
        <f t="shared" si="1884"/>
        <v>-3275.3299999999981</v>
      </c>
      <c r="J229" s="23">
        <f>I188-J188</f>
        <v>-43.820000000003347</v>
      </c>
      <c r="K229" s="23">
        <f>J188-K188</f>
        <v>-6695.6699999999983</v>
      </c>
      <c r="L229" s="23">
        <f t="shared" si="1884"/>
        <v>-143.20000000000073</v>
      </c>
      <c r="M229" s="23">
        <f t="shared" si="1884"/>
        <v>608.5</v>
      </c>
      <c r="N229" s="23">
        <f t="shared" si="1884"/>
        <v>4047.2699999999986</v>
      </c>
      <c r="O229" s="23">
        <f t="shared" si="1884"/>
        <v>-3139.1099999999988</v>
      </c>
      <c r="P229" s="23">
        <f t="shared" si="1884"/>
        <v>2052.92</v>
      </c>
      <c r="Q229" s="23">
        <f t="shared" si="1884"/>
        <v>-5212.9999999999982</v>
      </c>
      <c r="R229" s="23">
        <f t="shared" si="1884"/>
        <v>435.72999999999956</v>
      </c>
      <c r="S229" s="23">
        <f t="shared" si="1884"/>
        <v>-3907.4500000000007</v>
      </c>
      <c r="T229" s="23">
        <f t="shared" si="1884"/>
        <v>1627.3100000000013</v>
      </c>
      <c r="U229" s="23">
        <f t="shared" si="1884"/>
        <v>-2102.1399999999994</v>
      </c>
      <c r="V229" s="23">
        <f t="shared" si="1884"/>
        <v>-3762.16</v>
      </c>
      <c r="W229" s="23">
        <f t="shared" si="1884"/>
        <v>6614.989999999998</v>
      </c>
      <c r="X229" s="23">
        <f t="shared" si="1884"/>
        <v>281.86000000000058</v>
      </c>
      <c r="Y229" s="23">
        <f t="shared" si="1884"/>
        <v>-1729.9300000000003</v>
      </c>
      <c r="Z229" s="23">
        <f t="shared" si="1884"/>
        <v>-867</v>
      </c>
      <c r="AA229" s="23">
        <f t="shared" si="1884"/>
        <v>-147.90000000000146</v>
      </c>
      <c r="AB229" s="24">
        <f t="shared" ref="AB229" si="1885">AA188-AB188</f>
        <v>-6315.4629221500727</v>
      </c>
      <c r="AC229" s="24">
        <f t="shared" ref="AC229" si="1886">AB188-AC188</f>
        <v>-2027.3566337418597</v>
      </c>
      <c r="AD229" s="24">
        <f t="shared" ref="AD229" si="1887">AC188-AD188</f>
        <v>-3805.3719443988375</v>
      </c>
      <c r="AE229" s="24">
        <f t="shared" ref="AE229" si="1888">AD188-AE188</f>
        <v>-4083.4156524261853</v>
      </c>
      <c r="AI229" s="23">
        <f t="shared" ref="AI229" si="1889">AH188-AI188</f>
        <v>0</v>
      </c>
      <c r="AJ229" s="23">
        <f t="shared" ref="AJ229" si="1890">AI188-AJ188</f>
        <v>0</v>
      </c>
      <c r="AK229" s="23">
        <f t="shared" ref="AK229" si="1891">AJ188-AK188</f>
        <v>0</v>
      </c>
      <c r="AL229" s="23">
        <f t="shared" ref="AL229" si="1892">AK188-AL188</f>
        <v>0</v>
      </c>
      <c r="AM229" s="23">
        <f t="shared" ref="AM229" si="1893">AL188-AM188</f>
        <v>0</v>
      </c>
      <c r="AN229" s="23">
        <f t="shared" ref="AN229" si="1894">AM188-AN188</f>
        <v>0</v>
      </c>
      <c r="AO229" s="23">
        <f t="shared" ref="AO229" si="1895">AN188-AO188</f>
        <v>0</v>
      </c>
      <c r="AP229" s="23">
        <f t="shared" ref="AP229" si="1896">AO188-AP188</f>
        <v>0</v>
      </c>
      <c r="AQ229" s="23">
        <f t="shared" ref="AQ229" si="1897">AP188-AQ188</f>
        <v>0</v>
      </c>
      <c r="AR229" s="23">
        <f t="shared" ref="AR229" si="1898">AQ188-AR188</f>
        <v>0</v>
      </c>
      <c r="AS229" s="23">
        <f t="shared" ref="AS229" si="1899">AR188-AS188</f>
        <v>0</v>
      </c>
      <c r="AT229" s="23">
        <f t="shared" ref="AT229" si="1900">AS188-AT188</f>
        <v>0</v>
      </c>
      <c r="AU229" s="23">
        <f t="shared" ref="AU229" si="1901">AT188-AU188</f>
        <v>0</v>
      </c>
      <c r="AV229" s="23">
        <f t="shared" ref="AV229" si="1902">AU188-AV188</f>
        <v>0</v>
      </c>
      <c r="AW229" s="23">
        <f t="shared" ref="AW229" si="1903">AV188-AW188</f>
        <v>0</v>
      </c>
      <c r="AX229" s="23">
        <f t="shared" ref="AX229" si="1904">AW188-AX188</f>
        <v>0</v>
      </c>
      <c r="AY229" s="23">
        <f t="shared" ref="AY229" si="1905">AX188-AY188</f>
        <v>0</v>
      </c>
      <c r="AZ229" s="23">
        <f t="shared" ref="AZ229" si="1906">AY188-AZ188</f>
        <v>0</v>
      </c>
      <c r="BA229" s="23">
        <f t="shared" ref="BA229" si="1907">AZ188-BA188</f>
        <v>0</v>
      </c>
      <c r="BB229" s="23">
        <f t="shared" ref="BB229" si="1908">BA188-BB188</f>
        <v>0</v>
      </c>
      <c r="BC229" s="23">
        <f t="shared" ref="BC229" si="1909">BB188-BC188</f>
        <v>0</v>
      </c>
      <c r="BD229" s="23">
        <f t="shared" ref="BD229" si="1910">BC188-BD188</f>
        <v>0</v>
      </c>
      <c r="BE229" s="23">
        <f t="shared" ref="BE229" si="1911">BD188-BE188</f>
        <v>0</v>
      </c>
      <c r="BF229" s="23">
        <f t="shared" ref="BF229" si="1912">BE188-BF188</f>
        <v>0</v>
      </c>
      <c r="BG229" s="23">
        <f t="shared" ref="BG229" si="1913">BF188-BG188</f>
        <v>0</v>
      </c>
      <c r="BH229" s="23">
        <f t="shared" ref="BH229" si="1914">BG188-BH188</f>
        <v>0</v>
      </c>
      <c r="BI229" s="23">
        <f t="shared" ref="BI229" si="1915">BH188-BI188</f>
        <v>0</v>
      </c>
      <c r="BJ229" s="23">
        <f t="shared" ref="BJ229" si="1916">BI188-BJ188</f>
        <v>0</v>
      </c>
      <c r="BK229" s="23">
        <f t="shared" ref="BK229" si="1917">BJ188-BK188</f>
        <v>0</v>
      </c>
      <c r="BL229" s="23">
        <f t="shared" ref="BL229" si="1918">BK188-BL188</f>
        <v>0</v>
      </c>
      <c r="BM229" s="23">
        <f t="shared" ref="BM229" si="1919">BL188-BM188</f>
        <v>0</v>
      </c>
      <c r="BN229" s="23">
        <f t="shared" ref="BN229" si="1920">BM188-BN188</f>
        <v>0</v>
      </c>
      <c r="BO229" s="23">
        <f t="shared" ref="BO229" si="1921">BN188-BO188</f>
        <v>0</v>
      </c>
      <c r="BP229" s="23">
        <f t="shared" ref="BP229" si="1922">BO188-BP188</f>
        <v>0</v>
      </c>
      <c r="BQ229" s="23">
        <f t="shared" ref="BQ229" si="1923">BP188-BQ188</f>
        <v>0</v>
      </c>
      <c r="BR229" s="23">
        <f t="shared" ref="BR229" si="1924">BQ188-BR188</f>
        <v>0</v>
      </c>
      <c r="BS229" s="23">
        <f t="shared" ref="BS229" si="1925">BR188-BS188</f>
        <v>0</v>
      </c>
      <c r="BT229" s="23">
        <f t="shared" ref="BT229" si="1926">BS188-BT188</f>
        <v>0</v>
      </c>
      <c r="BU229" s="23">
        <f t="shared" ref="BU229" si="1927">BT188-BU188</f>
        <v>0</v>
      </c>
      <c r="BV229" s="23">
        <f t="shared" ref="BV229" si="1928">BU188-BV188</f>
        <v>0</v>
      </c>
      <c r="BW229" s="23">
        <f t="shared" ref="BW229" si="1929">BV188-BW188</f>
        <v>0</v>
      </c>
      <c r="BX229" s="23">
        <f t="shared" ref="BX229" si="1930">BW188-BX188</f>
        <v>0</v>
      </c>
      <c r="BY229" s="23">
        <f t="shared" ref="BY229" si="1931">BX188-BY188</f>
        <v>0</v>
      </c>
      <c r="BZ229" s="23">
        <f t="shared" ref="BZ229" si="1932">BY188-BZ188</f>
        <v>0</v>
      </c>
      <c r="CA229" s="23">
        <f t="shared" ref="CA229" si="1933">BZ188-CA188</f>
        <v>0</v>
      </c>
      <c r="CB229" s="23">
        <f t="shared" ref="CB229" si="1934">CA188-CB188</f>
        <v>0</v>
      </c>
      <c r="CC229" s="23">
        <f t="shared" ref="CC229" si="1935">CB188-CC188</f>
        <v>0</v>
      </c>
      <c r="CD229" s="23">
        <f t="shared" ref="CD229" si="1936">CC188-CD188</f>
        <v>0</v>
      </c>
      <c r="CE229" s="23">
        <f t="shared" ref="CE229" si="1937">CD188-CE188</f>
        <v>0</v>
      </c>
      <c r="CF229" s="23">
        <f t="shared" ref="CF229" si="1938">CE188-CF188</f>
        <v>0</v>
      </c>
      <c r="CG229" s="23">
        <f t="shared" ref="CG229" si="1939">CF188-CG188</f>
        <v>0</v>
      </c>
      <c r="CH229" s="23">
        <f t="shared" ref="CH229:CL229" si="1940">CG188-CH188</f>
        <v>-22568</v>
      </c>
      <c r="CI229" s="23">
        <f t="shared" si="1940"/>
        <v>4871.546377318864</v>
      </c>
      <c r="CJ229" s="23">
        <f t="shared" si="1940"/>
        <v>-4178.546377318864</v>
      </c>
      <c r="CK229" s="23">
        <f t="shared" ref="CK229" si="1941">CJ188-CK188</f>
        <v>-4891.0948342328447</v>
      </c>
      <c r="CL229" s="23">
        <f t="shared" si="1940"/>
        <v>615.09483423284473</v>
      </c>
      <c r="CM229" s="24">
        <f t="shared" ref="CM229" si="1942">CL188-CM188</f>
        <v>7478.6660797371369</v>
      </c>
      <c r="CN229" s="24">
        <f t="shared" ref="CN229" si="1943">CM188-CN188</f>
        <v>-2001.5830900655055</v>
      </c>
      <c r="CO229" s="24">
        <f t="shared" ref="CO229" si="1944">CN188-CO188</f>
        <v>-4385.1019537997927</v>
      </c>
      <c r="CP229" s="24">
        <f t="shared" ref="CP229" si="1945">CO188-CP188</f>
        <v>-3972.3439580219128</v>
      </c>
      <c r="CQ229" s="24">
        <f t="shared" ref="CQ229" si="1946">CP188-CQ188</f>
        <v>8570.7427827417923</v>
      </c>
      <c r="CR229" s="24">
        <f t="shared" ref="CR229" si="1947">CQ188-CR188</f>
        <v>-2140.6567118073872</v>
      </c>
      <c r="CS229" s="24">
        <f t="shared" ref="CS229" si="1948">CR188-CS188</f>
        <v>-4576.7290756613802</v>
      </c>
      <c r="CT229" s="24">
        <f t="shared" ref="CT229" si="1949">CS188-CT188</f>
        <v>-3880.7136290148846</v>
      </c>
      <c r="CU229" s="24">
        <f t="shared" ref="CU229" si="1950">CT188-CU188</f>
        <v>8395.450373643871</v>
      </c>
      <c r="CV229" s="24">
        <f t="shared" ref="CV229" si="1951">CU188-CV188</f>
        <v>-2477.9800180503153</v>
      </c>
      <c r="CW229" s="24">
        <f t="shared" ref="CW229" si="1952">CV188-CW188</f>
        <v>-5211.2929312166707</v>
      </c>
      <c r="CX229" s="24">
        <f t="shared" ref="CX229" si="1953">CW188-CX188</f>
        <v>-4511.5493687757225</v>
      </c>
      <c r="CY229" s="24">
        <f t="shared" ref="CY229" si="1954">CX188-CY188</f>
        <v>9606.4855444967325</v>
      </c>
      <c r="CZ229" s="24">
        <f t="shared" ref="CZ229" si="1955">CY188-CZ188</f>
        <v>-2850.4313742890772</v>
      </c>
      <c r="DA229" s="24">
        <f t="shared" ref="DA229" si="1956">CZ188-DA188</f>
        <v>-5857.8200074984452</v>
      </c>
      <c r="DB229" s="24">
        <f t="shared" ref="DB229" si="1957">DA188-DB188</f>
        <v>-4981.6498151353953</v>
      </c>
      <c r="DE229" s="123"/>
      <c r="DF229" s="23">
        <v>-4756.9941241940651</v>
      </c>
    </row>
    <row r="230" spans="1:110" s="22" customFormat="1" x14ac:dyDescent="0.2">
      <c r="A230" s="22" t="s">
        <v>90</v>
      </c>
      <c r="C230" s="22">
        <f t="shared" ref="C230:W230" si="1958">C228-C229</f>
        <v>0</v>
      </c>
      <c r="D230" s="22">
        <f t="shared" si="1958"/>
        <v>0</v>
      </c>
      <c r="E230" s="22">
        <f t="shared" si="1958"/>
        <v>2221.6899999999991</v>
      </c>
      <c r="F230" s="22">
        <f t="shared" si="1958"/>
        <v>-214.88999999999851</v>
      </c>
      <c r="G230" s="22">
        <f t="shared" si="1958"/>
        <v>-2824.9000000000024</v>
      </c>
      <c r="H230" s="22">
        <f t="shared" si="1958"/>
        <v>-362.44999999999698</v>
      </c>
      <c r="I230" s="22">
        <f t="shared" si="1958"/>
        <v>4820.3799999999974</v>
      </c>
      <c r="J230" s="22">
        <f>J228-J229</f>
        <v>-497.54999999999757</v>
      </c>
      <c r="K230" s="22">
        <f t="shared" si="1958"/>
        <v>5985.5999999999967</v>
      </c>
      <c r="L230" s="22">
        <f t="shared" si="1958"/>
        <v>-1475.31</v>
      </c>
      <c r="M230" s="22">
        <f t="shared" si="1958"/>
        <v>-1510.0999999999985</v>
      </c>
      <c r="N230" s="22">
        <f t="shared" si="1958"/>
        <v>-2897.5199999999986</v>
      </c>
      <c r="O230" s="22">
        <f t="shared" si="1958"/>
        <v>3343.0799999999995</v>
      </c>
      <c r="P230" s="22">
        <f t="shared" si="1958"/>
        <v>-2829.0499999999988</v>
      </c>
      <c r="Q230" s="22">
        <f t="shared" si="1958"/>
        <v>3238.2099999999955</v>
      </c>
      <c r="R230" s="22">
        <f t="shared" si="1958"/>
        <v>-1338.0799999999981</v>
      </c>
      <c r="S230" s="22">
        <f t="shared" si="1958"/>
        <v>2496.8000000000002</v>
      </c>
      <c r="T230" s="22">
        <f t="shared" si="1958"/>
        <v>-1108.6599999999999</v>
      </c>
      <c r="U230" s="22">
        <f t="shared" si="1958"/>
        <v>3518.3699999999994</v>
      </c>
      <c r="V230" s="22">
        <f t="shared" si="1958"/>
        <v>2950.8099999999977</v>
      </c>
      <c r="W230" s="22">
        <f t="shared" si="1958"/>
        <v>-4441.7499999999964</v>
      </c>
      <c r="X230" s="22">
        <f t="shared" ref="X230:Y230" si="1959">X228-X229</f>
        <v>-1456.7200000000016</v>
      </c>
      <c r="Y230" s="22">
        <f t="shared" si="1959"/>
        <v>1088.0400000000009</v>
      </c>
      <c r="Z230" s="22">
        <f t="shared" ref="Z230:AA230" si="1960">Z228-Z229</f>
        <v>670</v>
      </c>
      <c r="AA230" s="22">
        <f t="shared" si="1960"/>
        <v>147.90000000000146</v>
      </c>
      <c r="AB230" s="21">
        <f t="shared" ref="AA230:AD230" si="1961">AB228-AB229</f>
        <v>7398.3002317179853</v>
      </c>
      <c r="AC230" s="21">
        <f t="shared" si="1961"/>
        <v>1096.7463690698696</v>
      </c>
      <c r="AD230" s="21">
        <f t="shared" si="1961"/>
        <v>2058.6056708122214</v>
      </c>
      <c r="AE230" s="21">
        <f t="shared" ref="AE230" si="1962">AE228-AE229</f>
        <v>2209.0199699771765</v>
      </c>
      <c r="AI230" s="22">
        <f t="shared" ref="AI230:AL230" si="1963">AI228-AI229</f>
        <v>0</v>
      </c>
      <c r="AJ230" s="22">
        <f t="shared" si="1963"/>
        <v>0</v>
      </c>
      <c r="AK230" s="22">
        <f t="shared" si="1963"/>
        <v>0</v>
      </c>
      <c r="AL230" s="22">
        <f t="shared" si="1963"/>
        <v>0</v>
      </c>
      <c r="AM230" s="22">
        <f t="shared" ref="AM230" si="1964">AM228-AM229</f>
        <v>0</v>
      </c>
      <c r="AN230" s="22">
        <f t="shared" ref="AN230:CD230" si="1965">AN228-AN229</f>
        <v>0</v>
      </c>
      <c r="AO230" s="22">
        <f t="shared" si="1965"/>
        <v>0</v>
      </c>
      <c r="AP230" s="22">
        <f t="shared" si="1965"/>
        <v>0</v>
      </c>
      <c r="AQ230" s="22">
        <f t="shared" si="1965"/>
        <v>0</v>
      </c>
      <c r="AR230" s="22">
        <f t="shared" si="1965"/>
        <v>0</v>
      </c>
      <c r="AS230" s="22">
        <f t="shared" si="1965"/>
        <v>0</v>
      </c>
      <c r="AT230" s="22">
        <f t="shared" si="1965"/>
        <v>0</v>
      </c>
      <c r="AU230" s="22">
        <f t="shared" si="1965"/>
        <v>0</v>
      </c>
      <c r="AV230" s="22">
        <f t="shared" si="1965"/>
        <v>0</v>
      </c>
      <c r="AW230" s="22">
        <f t="shared" si="1965"/>
        <v>0</v>
      </c>
      <c r="AX230" s="22">
        <f t="shared" si="1965"/>
        <v>0</v>
      </c>
      <c r="AY230" s="22">
        <f t="shared" si="1965"/>
        <v>0</v>
      </c>
      <c r="AZ230" s="22">
        <f t="shared" si="1965"/>
        <v>0</v>
      </c>
      <c r="BA230" s="22">
        <f t="shared" si="1965"/>
        <v>0</v>
      </c>
      <c r="BB230" s="22">
        <f t="shared" si="1965"/>
        <v>0</v>
      </c>
      <c r="BC230" s="22">
        <f t="shared" si="1965"/>
        <v>0</v>
      </c>
      <c r="BD230" s="22">
        <f t="shared" si="1965"/>
        <v>0</v>
      </c>
      <c r="BE230" s="22">
        <f t="shared" si="1965"/>
        <v>0</v>
      </c>
      <c r="BF230" s="22">
        <f t="shared" si="1965"/>
        <v>0</v>
      </c>
      <c r="BG230" s="22">
        <f t="shared" si="1965"/>
        <v>0</v>
      </c>
      <c r="BH230" s="22">
        <f t="shared" si="1965"/>
        <v>0</v>
      </c>
      <c r="BI230" s="22">
        <f t="shared" si="1965"/>
        <v>0</v>
      </c>
      <c r="BJ230" s="22">
        <f t="shared" si="1965"/>
        <v>0</v>
      </c>
      <c r="BK230" s="22">
        <f t="shared" si="1965"/>
        <v>0</v>
      </c>
      <c r="BL230" s="22">
        <f t="shared" si="1965"/>
        <v>0</v>
      </c>
      <c r="BM230" s="22">
        <f t="shared" si="1965"/>
        <v>0</v>
      </c>
      <c r="BN230" s="22">
        <f t="shared" si="1965"/>
        <v>0</v>
      </c>
      <c r="BO230" s="22">
        <f t="shared" si="1965"/>
        <v>0</v>
      </c>
      <c r="BP230" s="22">
        <f t="shared" si="1965"/>
        <v>0</v>
      </c>
      <c r="BQ230" s="22">
        <f t="shared" si="1965"/>
        <v>0</v>
      </c>
      <c r="BR230" s="22">
        <f t="shared" si="1965"/>
        <v>0</v>
      </c>
      <c r="BS230" s="22">
        <f t="shared" si="1965"/>
        <v>0</v>
      </c>
      <c r="BT230" s="22">
        <f t="shared" si="1965"/>
        <v>0</v>
      </c>
      <c r="BU230" s="22">
        <f t="shared" si="1965"/>
        <v>0</v>
      </c>
      <c r="BV230" s="22">
        <f t="shared" si="1965"/>
        <v>0</v>
      </c>
      <c r="BW230" s="22">
        <f t="shared" si="1965"/>
        <v>0</v>
      </c>
      <c r="BX230" s="22">
        <f t="shared" si="1965"/>
        <v>0</v>
      </c>
      <c r="BY230" s="22">
        <f t="shared" si="1965"/>
        <v>0</v>
      </c>
      <c r="BZ230" s="22">
        <f t="shared" si="1965"/>
        <v>0</v>
      </c>
      <c r="CA230" s="22">
        <f t="shared" si="1965"/>
        <v>0</v>
      </c>
      <c r="CB230" s="22">
        <f t="shared" si="1965"/>
        <v>0</v>
      </c>
      <c r="CC230" s="22">
        <f t="shared" si="1965"/>
        <v>0</v>
      </c>
      <c r="CD230" s="22">
        <f t="shared" si="1965"/>
        <v>0</v>
      </c>
      <c r="CE230" s="22">
        <f t="shared" ref="CE230:CF230" si="1966">CE228-CE229</f>
        <v>0</v>
      </c>
      <c r="CF230" s="22">
        <f t="shared" si="1966"/>
        <v>0</v>
      </c>
      <c r="CG230" s="22">
        <f t="shared" ref="CG230:CH230" si="1967">CG228-CG229</f>
        <v>0</v>
      </c>
      <c r="CH230" s="22">
        <f t="shared" si="1967"/>
        <v>9376</v>
      </c>
      <c r="CI230" s="22">
        <f t="shared" ref="CI230:CJ230" si="1968">CI228-CI229</f>
        <v>-1936.7030351517551</v>
      </c>
      <c r="CJ230" s="22">
        <f t="shared" si="1968"/>
        <v>23.703035151755103</v>
      </c>
      <c r="CK230" s="22">
        <f t="shared" ref="CK230:DB230" si="1969">CK228-CK229</f>
        <v>1460.2852737085595</v>
      </c>
      <c r="CL230" s="22">
        <f t="shared" si="1969"/>
        <v>6440.7147262914405</v>
      </c>
      <c r="CM230" s="21">
        <f t="shared" si="1969"/>
        <v>-4045.7607368758854</v>
      </c>
      <c r="CN230" s="21">
        <f t="shared" si="1969"/>
        <v>1082.8035629672577</v>
      </c>
      <c r="CO230" s="21">
        <f t="shared" si="1969"/>
        <v>2372.2242874232579</v>
      </c>
      <c r="CP230" s="21">
        <f t="shared" si="1969"/>
        <v>2148.9331182033566</v>
      </c>
      <c r="CQ230" s="21">
        <f t="shared" si="1969"/>
        <v>-4636.5453767522504</v>
      </c>
      <c r="CR230" s="21">
        <f t="shared" si="1969"/>
        <v>1158.0387175228134</v>
      </c>
      <c r="CS230" s="21">
        <f t="shared" si="1969"/>
        <v>2475.8894968980767</v>
      </c>
      <c r="CT230" s="21">
        <f t="shared" si="1969"/>
        <v>2099.3635314012299</v>
      </c>
      <c r="CU230" s="21">
        <f t="shared" si="1969"/>
        <v>-4541.7168152628892</v>
      </c>
      <c r="CV230" s="21">
        <f t="shared" si="1969"/>
        <v>1340.5217129500888</v>
      </c>
      <c r="CW230" s="21">
        <f t="shared" si="1969"/>
        <v>2819.1717753784651</v>
      </c>
      <c r="CX230" s="21">
        <f t="shared" si="1969"/>
        <v>2440.6289977465567</v>
      </c>
      <c r="CY230" s="21">
        <f t="shared" si="1969"/>
        <v>-5196.8548429503771</v>
      </c>
      <c r="CZ230" s="21">
        <f t="shared" si="1969"/>
        <v>1542.0080552203563</v>
      </c>
      <c r="DA230" s="21">
        <f t="shared" si="1969"/>
        <v>3168.9258401621537</v>
      </c>
      <c r="DB230" s="21">
        <f t="shared" si="1969"/>
        <v>2694.9409175450437</v>
      </c>
      <c r="DE230" s="127"/>
      <c r="DF230" s="22">
        <v>1420.2481657193784</v>
      </c>
    </row>
    <row r="231" spans="1:110" s="22" customFormat="1" x14ac:dyDescent="0.2">
      <c r="A231" s="22" t="s">
        <v>91</v>
      </c>
      <c r="C231" s="22" t="e">
        <f t="shared" ref="C231:W231" si="1970">C227+C230</f>
        <v>#REF!</v>
      </c>
      <c r="D231" s="22" t="e">
        <f>D227+D230</f>
        <v>#REF!</v>
      </c>
      <c r="E231" s="22">
        <f t="shared" si="1970"/>
        <v>5331.8599999999969</v>
      </c>
      <c r="F231" s="22">
        <f t="shared" si="1970"/>
        <v>4026.9500000000035</v>
      </c>
      <c r="G231" s="22">
        <f t="shared" si="1970"/>
        <v>1559.9799999999959</v>
      </c>
      <c r="H231" s="22">
        <f t="shared" si="1970"/>
        <v>5444.0800000000045</v>
      </c>
      <c r="I231" s="22">
        <f t="shared" si="1970"/>
        <v>10959.419999999995</v>
      </c>
      <c r="J231" s="22">
        <f>J227+J230</f>
        <v>3080.0800000000054</v>
      </c>
      <c r="K231" s="22">
        <f t="shared" si="1970"/>
        <v>10968.589999999989</v>
      </c>
      <c r="L231" s="22">
        <f t="shared" si="1970"/>
        <v>4100.9200000000019</v>
      </c>
      <c r="M231" s="22">
        <f t="shared" si="1970"/>
        <v>4735.1516154584933</v>
      </c>
      <c r="N231" s="22">
        <f t="shared" si="1970"/>
        <v>2261.6518954585054</v>
      </c>
      <c r="O231" s="22">
        <f t="shared" si="1970"/>
        <v>6219.822615999994</v>
      </c>
      <c r="P231" s="22">
        <f t="shared" si="1970"/>
        <v>-4904.0513262399963</v>
      </c>
      <c r="Q231" s="22">
        <f t="shared" si="1970"/>
        <v>10465.089999999991</v>
      </c>
      <c r="R231" s="22">
        <f t="shared" si="1970"/>
        <v>4589.440000000006</v>
      </c>
      <c r="S231" s="22">
        <f t="shared" si="1970"/>
        <v>5812.6000000000167</v>
      </c>
      <c r="T231" s="22">
        <f t="shared" si="1970"/>
        <v>4448.4599999999937</v>
      </c>
      <c r="U231" s="22">
        <f t="shared" si="1970"/>
        <v>46.440000000013697</v>
      </c>
      <c r="V231" s="22">
        <f t="shared" si="1970"/>
        <v>4709.0499999999911</v>
      </c>
      <c r="W231" s="22">
        <f t="shared" si="1970"/>
        <v>-4420.4099999999835</v>
      </c>
      <c r="X231" s="22">
        <f t="shared" ref="X231:Y231" si="1971">X227+X230</f>
        <v>3038.2699999999854</v>
      </c>
      <c r="Y231" s="22">
        <f t="shared" si="1971"/>
        <v>11007.04</v>
      </c>
      <c r="Z231" s="22">
        <f t="shared" ref="Z231:AA231" si="1972">Z227+Z230</f>
        <v>8130</v>
      </c>
      <c r="AA231" s="22">
        <f t="shared" si="1972"/>
        <v>7607.9000000000015</v>
      </c>
      <c r="AB231" s="21">
        <f t="shared" ref="AA231:AD231" si="1973">AB227+AB230</f>
        <v>4536.6555845504527</v>
      </c>
      <c r="AC231" s="21">
        <f t="shared" si="1973"/>
        <v>-1694.5012427590864</v>
      </c>
      <c r="AD231" s="21">
        <f t="shared" si="1973"/>
        <v>-881.30398769211115</v>
      </c>
      <c r="AE231" s="21">
        <f t="shared" ref="AE231" si="1974">AE227+AE230</f>
        <v>-1701.8450609929787</v>
      </c>
      <c r="AI231" s="22">
        <f t="shared" ref="AI231:AL231" si="1975">AI227+AI230</f>
        <v>634.7000000000005</v>
      </c>
      <c r="AJ231" s="22">
        <f t="shared" si="1975"/>
        <v>1314.1699999999998</v>
      </c>
      <c r="AK231" s="22">
        <f t="shared" si="1975"/>
        <v>23.890000000000214</v>
      </c>
      <c r="AL231" s="22">
        <f t="shared" si="1975"/>
        <v>146.64000000000141</v>
      </c>
      <c r="AM231" s="22">
        <f t="shared" ref="AM231" si="1976">AM227+AM230</f>
        <v>1203.0399999999968</v>
      </c>
      <c r="AN231" s="22">
        <f t="shared" ref="AN231:CD231" si="1977">AN227+AN230</f>
        <v>-284.48000000000025</v>
      </c>
      <c r="AO231" s="22">
        <f t="shared" si="1977"/>
        <v>1763.5800000000022</v>
      </c>
      <c r="AP231" s="22">
        <f t="shared" si="1977"/>
        <v>-277.32000000000005</v>
      </c>
      <c r="AQ231" s="22">
        <f t="shared" si="1977"/>
        <v>934.51999999999953</v>
      </c>
      <c r="AR231" s="22">
        <f t="shared" si="1977"/>
        <v>-1232.1600000000014</v>
      </c>
      <c r="AS231" s="22">
        <f t="shared" si="1977"/>
        <v>-1497.1200000000008</v>
      </c>
      <c r="AT231" s="22">
        <f t="shared" si="1977"/>
        <v>-340.91999999999894</v>
      </c>
      <c r="AU231" s="22">
        <f t="shared" si="1977"/>
        <v>870.13999999999976</v>
      </c>
      <c r="AV231" s="22">
        <f t="shared" si="1977"/>
        <v>303.17000000000093</v>
      </c>
      <c r="AW231" s="22">
        <f t="shared" si="1977"/>
        <v>454.15999999999985</v>
      </c>
      <c r="AX231" s="22">
        <f t="shared" si="1977"/>
        <v>963.93000000000086</v>
      </c>
      <c r="AY231" s="22">
        <f t="shared" si="1977"/>
        <v>737.98999999999876</v>
      </c>
      <c r="AZ231" s="22">
        <f t="shared" si="1977"/>
        <v>87.809999999999377</v>
      </c>
      <c r="BA231" s="22">
        <f t="shared" si="1977"/>
        <v>-316.9800000000007</v>
      </c>
      <c r="BB231" s="22">
        <f t="shared" si="1977"/>
        <v>13.340000000002419</v>
      </c>
      <c r="BC231" s="22">
        <f t="shared" si="1977"/>
        <v>226.68999999999841</v>
      </c>
      <c r="BD231" s="22">
        <f t="shared" si="1977"/>
        <v>484.04000000000315</v>
      </c>
      <c r="BE231" s="22">
        <f t="shared" si="1977"/>
        <v>1000.089999999999</v>
      </c>
      <c r="BF231" s="22">
        <f t="shared" si="1977"/>
        <v>356.23000000000366</v>
      </c>
      <c r="BG231" s="22">
        <f t="shared" si="1977"/>
        <v>1892.7999999999975</v>
      </c>
      <c r="BH231" s="22">
        <f t="shared" si="1977"/>
        <v>863.18999999999699</v>
      </c>
      <c r="BI231" s="22">
        <f t="shared" si="1977"/>
        <v>1384.4500000000021</v>
      </c>
      <c r="BJ231" s="22">
        <f t="shared" si="1977"/>
        <v>978.79999999999905</v>
      </c>
      <c r="BK231" s="22">
        <f t="shared" si="1977"/>
        <v>679.94999999999936</v>
      </c>
      <c r="BL231" s="22">
        <f t="shared" si="1977"/>
        <v>-521.3200000000005</v>
      </c>
      <c r="BM231" s="22">
        <f t="shared" si="1977"/>
        <v>-186.04999999999836</v>
      </c>
      <c r="BN231" s="22">
        <f t="shared" si="1977"/>
        <v>-3886.9200000000019</v>
      </c>
      <c r="BO231" s="22">
        <f t="shared" si="1977"/>
        <v>-1330.75</v>
      </c>
      <c r="BP231" s="22">
        <f t="shared" si="1977"/>
        <v>-302.52999999999906</v>
      </c>
      <c r="BQ231" s="22">
        <f t="shared" si="1977"/>
        <v>309.60000000000002</v>
      </c>
      <c r="BR231" s="22">
        <f t="shared" si="1977"/>
        <v>2609.880000000001</v>
      </c>
      <c r="BS231" s="22">
        <f t="shared" si="1977"/>
        <v>-361.34000000000049</v>
      </c>
      <c r="BT231" s="22">
        <f t="shared" si="1977"/>
        <v>-142.99999999999812</v>
      </c>
      <c r="BU231" s="22">
        <f t="shared" si="1977"/>
        <v>-183.33999999999969</v>
      </c>
      <c r="BV231" s="22">
        <f t="shared" si="1977"/>
        <v>871.2099999999997</v>
      </c>
      <c r="BW231" s="22">
        <f t="shared" si="1977"/>
        <v>241.95000000000246</v>
      </c>
      <c r="BX231" s="22">
        <f t="shared" si="1977"/>
        <v>153.54000000000315</v>
      </c>
      <c r="BY231" s="22">
        <f t="shared" si="1977"/>
        <v>914.89</v>
      </c>
      <c r="BZ231" s="22">
        <f t="shared" si="1977"/>
        <v>3163.1299999999992</v>
      </c>
      <c r="CA231" s="22">
        <f t="shared" si="1977"/>
        <v>431.9100000000027</v>
      </c>
      <c r="CB231" s="22">
        <f t="shared" si="1977"/>
        <v>1778.6200000000017</v>
      </c>
      <c r="CC231" s="22">
        <f t="shared" si="1977"/>
        <v>5083.1799999999967</v>
      </c>
      <c r="CD231" s="22">
        <f t="shared" si="1977"/>
        <v>2625.2299999999982</v>
      </c>
      <c r="CE231" s="22">
        <f t="shared" ref="CE231:CF231" si="1978">CE227+CE230</f>
        <v>2667</v>
      </c>
      <c r="CF231" s="22">
        <f t="shared" si="1978"/>
        <v>1127</v>
      </c>
      <c r="CG231" s="22">
        <f t="shared" ref="CG231:CH231" si="1979">CG227+CG230</f>
        <v>926.89999999999964</v>
      </c>
      <c r="CH231" s="22">
        <f t="shared" si="1979"/>
        <v>10189.599999999999</v>
      </c>
      <c r="CI231" s="22">
        <f t="shared" ref="CI231:CJ231" si="1980">CI227+CI230</f>
        <v>-102.7030351517551</v>
      </c>
      <c r="CJ231" s="22">
        <f t="shared" si="1980"/>
        <v>-585.2969648482449</v>
      </c>
      <c r="CK231" s="22">
        <f t="shared" ref="CK231:DB231" si="1981">CK227+CK230</f>
        <v>2438.2852737085595</v>
      </c>
      <c r="CL231" s="22">
        <f t="shared" si="1981"/>
        <v>9295.7147262914405</v>
      </c>
      <c r="CM231" s="21">
        <f t="shared" si="1981"/>
        <v>-2367.9136290413426</v>
      </c>
      <c r="CN231" s="21">
        <f t="shared" si="1981"/>
        <v>3049.4373915230676</v>
      </c>
      <c r="CO231" s="21">
        <f t="shared" si="1981"/>
        <v>4705.6516767173307</v>
      </c>
      <c r="CP231" s="21">
        <f t="shared" si="1981"/>
        <v>4651.9937979307633</v>
      </c>
      <c r="CQ231" s="21">
        <f t="shared" si="1981"/>
        <v>-2799.6352085267117</v>
      </c>
      <c r="CR231" s="21">
        <f t="shared" si="1981"/>
        <v>3260.8371092481889</v>
      </c>
      <c r="CS231" s="21">
        <f t="shared" si="1981"/>
        <v>4982.7723498737469</v>
      </c>
      <c r="CT231" s="21">
        <f t="shared" si="1981"/>
        <v>4907.1485000393013</v>
      </c>
      <c r="CU231" s="21">
        <f t="shared" si="1981"/>
        <v>-2438.6604392527943</v>
      </c>
      <c r="CV231" s="21">
        <f t="shared" si="1981"/>
        <v>3723.4638558621764</v>
      </c>
      <c r="CW231" s="21">
        <f t="shared" si="1981"/>
        <v>5655.0076621686476</v>
      </c>
      <c r="CX231" s="21">
        <f t="shared" si="1981"/>
        <v>5670.7339311051892</v>
      </c>
      <c r="CY231" s="21">
        <f t="shared" si="1981"/>
        <v>-2943.5408755666745</v>
      </c>
      <c r="CZ231" s="21">
        <f t="shared" si="1981"/>
        <v>4104.6138167412446</v>
      </c>
      <c r="DA231" s="21">
        <f t="shared" si="1981"/>
        <v>6262.8202479634319</v>
      </c>
      <c r="DB231" s="21">
        <f t="shared" si="1981"/>
        <v>6220.366784165557</v>
      </c>
      <c r="DE231" s="127"/>
      <c r="DF231" s="22">
        <v>4077.9283695221848</v>
      </c>
    </row>
    <row r="232" spans="1:110" s="23" customFormat="1" x14ac:dyDescent="0.2">
      <c r="AB232" s="24"/>
      <c r="AC232" s="24"/>
      <c r="AD232" s="24"/>
      <c r="AE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22" customFormat="1" x14ac:dyDescent="0.2">
      <c r="A233" s="22" t="s">
        <v>92</v>
      </c>
      <c r="C233" s="22">
        <f t="shared" ref="C233:W233" si="1982">C234+C235</f>
        <v>0</v>
      </c>
      <c r="D233" s="22">
        <f>D234+D235</f>
        <v>0</v>
      </c>
      <c r="E233" s="22">
        <f t="shared" si="1982"/>
        <v>-5067.9399999999996</v>
      </c>
      <c r="F233" s="22">
        <f t="shared" si="1982"/>
        <v>-1303.9399999999994</v>
      </c>
      <c r="G233" s="22">
        <f t="shared" si="1982"/>
        <v>-1292.5800000000004</v>
      </c>
      <c r="H233" s="22">
        <f t="shared" si="1982"/>
        <v>-3017.42</v>
      </c>
      <c r="I233" s="22">
        <f t="shared" si="1982"/>
        <v>-6419.4500000000007</v>
      </c>
      <c r="J233" s="22">
        <f t="shared" si="1982"/>
        <v>-13485.820000000002</v>
      </c>
      <c r="K233" s="22">
        <f t="shared" si="1982"/>
        <v>-12229.570000000002</v>
      </c>
      <c r="L233" s="22">
        <f t="shared" si="1982"/>
        <v>-2833.9099999999962</v>
      </c>
      <c r="M233" s="22">
        <f t="shared" si="1982"/>
        <v>1222.9299999999985</v>
      </c>
      <c r="N233" s="22">
        <f t="shared" si="1982"/>
        <v>-3238.3899999999994</v>
      </c>
      <c r="O233" s="22">
        <f t="shared" si="1982"/>
        <v>-3643.2599999999984</v>
      </c>
      <c r="P233" s="22">
        <f t="shared" si="1982"/>
        <v>-1440.9800000000032</v>
      </c>
      <c r="Q233" s="22">
        <f t="shared" si="1982"/>
        <v>-5518.110000000006</v>
      </c>
      <c r="R233" s="22">
        <f t="shared" si="1982"/>
        <v>-4408.4099999999944</v>
      </c>
      <c r="S233" s="22">
        <f t="shared" si="1982"/>
        <v>-2081.6299999999974</v>
      </c>
      <c r="T233" s="22">
        <f t="shared" si="1982"/>
        <v>-4648.41</v>
      </c>
      <c r="U233" s="22">
        <f t="shared" si="1982"/>
        <v>-4504.6500000000051</v>
      </c>
      <c r="V233" s="22">
        <f t="shared" si="1982"/>
        <v>-3408.3900000000031</v>
      </c>
      <c r="W233" s="22">
        <f t="shared" si="1982"/>
        <v>-1823.1699999999964</v>
      </c>
      <c r="X233" s="22">
        <f t="shared" ref="X233:Y233" si="1983">X234+X235</f>
        <v>-1776.3499999999985</v>
      </c>
      <c r="Y233" s="22">
        <f t="shared" si="1983"/>
        <v>-3102.1099999999988</v>
      </c>
      <c r="Z233" s="22">
        <f t="shared" ref="Z233:AA233" si="1984">Z234+Z235</f>
        <v>-3480</v>
      </c>
      <c r="AA233" s="22">
        <f t="shared" si="1984"/>
        <v>-2008</v>
      </c>
      <c r="AB233" s="21">
        <f t="shared" ref="AA233:AD233" si="1985">AB234+AB235</f>
        <v>21806</v>
      </c>
      <c r="AC233" s="21">
        <f t="shared" si="1985"/>
        <v>-1920</v>
      </c>
      <c r="AD233" s="21">
        <f t="shared" si="1985"/>
        <v>-1920.0000000000018</v>
      </c>
      <c r="AE233" s="21">
        <f t="shared" ref="AE233" si="1986">AE234+AE235</f>
        <v>-1920</v>
      </c>
      <c r="AI233" s="22">
        <f t="shared" ref="AI233:AL233" si="1987">AI234+AI235</f>
        <v>-429.36</v>
      </c>
      <c r="AJ233" s="22">
        <f t="shared" si="1987"/>
        <v>-447.15</v>
      </c>
      <c r="AK233" s="22">
        <f t="shared" si="1987"/>
        <v>-482.38</v>
      </c>
      <c r="AL233" s="22">
        <f t="shared" si="1987"/>
        <v>-458.73</v>
      </c>
      <c r="AM233" s="22">
        <f t="shared" ref="AM233" si="1988">AM234+AM235</f>
        <v>-499.77999999999992</v>
      </c>
      <c r="AN233" s="22">
        <f t="shared" ref="AN233:CD233" si="1989">AN234+AN235</f>
        <v>-519.04999999999995</v>
      </c>
      <c r="AO233" s="22">
        <f t="shared" si="1989"/>
        <v>-512.17999999999995</v>
      </c>
      <c r="AP233" s="22">
        <f t="shared" si="1989"/>
        <v>-539.29</v>
      </c>
      <c r="AQ233" s="22">
        <f t="shared" si="1989"/>
        <v>-540.82000000000005</v>
      </c>
      <c r="AR233" s="22">
        <f t="shared" si="1989"/>
        <v>-613.47</v>
      </c>
      <c r="AS233" s="22">
        <f t="shared" si="1989"/>
        <v>-625.6</v>
      </c>
      <c r="AT233" s="22">
        <f t="shared" si="1989"/>
        <v>-823.32999999999993</v>
      </c>
      <c r="AU233" s="22">
        <f t="shared" si="1989"/>
        <v>-580.29999999999995</v>
      </c>
      <c r="AV233" s="22">
        <f t="shared" si="1989"/>
        <v>-591.96</v>
      </c>
      <c r="AW233" s="22">
        <f t="shared" si="1989"/>
        <v>-590.98</v>
      </c>
      <c r="AX233" s="22">
        <f t="shared" si="1989"/>
        <v>-565.98</v>
      </c>
      <c r="AY233" s="22">
        <f t="shared" si="1989"/>
        <v>-712.24</v>
      </c>
      <c r="AZ233" s="22">
        <f t="shared" si="1989"/>
        <v>-718.56999999999994</v>
      </c>
      <c r="BA233" s="22">
        <f t="shared" si="1989"/>
        <v>-728.96</v>
      </c>
      <c r="BB233" s="22">
        <f t="shared" si="1989"/>
        <v>-819.25</v>
      </c>
      <c r="BC233" s="22">
        <f t="shared" si="1989"/>
        <v>-689.83</v>
      </c>
      <c r="BD233" s="22">
        <f t="shared" si="1989"/>
        <v>-767.39</v>
      </c>
      <c r="BE233" s="22">
        <f t="shared" si="1989"/>
        <v>-788.5</v>
      </c>
      <c r="BF233" s="22">
        <f t="shared" si="1989"/>
        <v>-856.17000000000007</v>
      </c>
      <c r="BG233" s="22">
        <f t="shared" si="1989"/>
        <v>-705.15</v>
      </c>
      <c r="BH233" s="22">
        <f t="shared" si="1989"/>
        <v>-754.05</v>
      </c>
      <c r="BI233" s="22">
        <f t="shared" si="1989"/>
        <v>-766.83</v>
      </c>
      <c r="BJ233" s="22">
        <f t="shared" si="1989"/>
        <v>-872.61</v>
      </c>
      <c r="BK233" s="22">
        <f t="shared" si="1989"/>
        <v>-777.05</v>
      </c>
      <c r="BL233" s="22">
        <f t="shared" si="1989"/>
        <v>-760.65</v>
      </c>
      <c r="BM233" s="22">
        <f t="shared" si="1989"/>
        <v>-853.46</v>
      </c>
      <c r="BN233" s="22">
        <f t="shared" si="1989"/>
        <v>-984.12999999999988</v>
      </c>
      <c r="BO233" s="22">
        <f t="shared" si="1989"/>
        <v>-859.89</v>
      </c>
      <c r="BP233" s="22">
        <f t="shared" si="1989"/>
        <v>-909.92000000000007</v>
      </c>
      <c r="BQ233" s="22">
        <f t="shared" si="1989"/>
        <v>-947.64</v>
      </c>
      <c r="BR233" s="22">
        <f t="shared" si="1989"/>
        <v>-964.16000000000008</v>
      </c>
      <c r="BS233" s="22">
        <f t="shared" si="1989"/>
        <v>-959.39</v>
      </c>
      <c r="BT233" s="22">
        <f t="shared" si="1989"/>
        <v>-432.68</v>
      </c>
      <c r="BU233" s="22">
        <f t="shared" si="1989"/>
        <v>-452.15</v>
      </c>
      <c r="BV233" s="22">
        <f t="shared" si="1989"/>
        <v>-457.86</v>
      </c>
      <c r="BW233" s="22">
        <f t="shared" si="1989"/>
        <v>-422.98</v>
      </c>
      <c r="BX233" s="22">
        <f t="shared" si="1989"/>
        <v>-446.13</v>
      </c>
      <c r="BY233" s="22">
        <f t="shared" si="1989"/>
        <v>-430.18</v>
      </c>
      <c r="BZ233" s="22">
        <f t="shared" si="1989"/>
        <v>-467.57</v>
      </c>
      <c r="CA233" s="22">
        <f t="shared" si="1989"/>
        <v>-495.91</v>
      </c>
      <c r="CB233" s="22">
        <f t="shared" si="1989"/>
        <v>-509</v>
      </c>
      <c r="CC233" s="22">
        <f t="shared" si="1989"/>
        <v>-513.13</v>
      </c>
      <c r="CD233" s="22">
        <f t="shared" si="1989"/>
        <v>-498.8</v>
      </c>
      <c r="CE233" s="22">
        <f t="shared" ref="CE233:CF233" si="1990">CE234+CE235</f>
        <v>-477</v>
      </c>
      <c r="CF233" s="22">
        <f t="shared" si="1990"/>
        <v>-484</v>
      </c>
      <c r="CG233" s="22">
        <f t="shared" ref="CG233:CH233" si="1991">CG234+CG235</f>
        <v>-497</v>
      </c>
      <c r="CH233" s="22">
        <f t="shared" si="1991"/>
        <v>-47908</v>
      </c>
      <c r="CI233" s="22">
        <f t="shared" ref="CI233:CJ233" si="1992">CI234+CI235</f>
        <v>0</v>
      </c>
      <c r="CJ233" s="22">
        <f t="shared" si="1992"/>
        <v>24085</v>
      </c>
      <c r="CK233" s="22">
        <f t="shared" ref="CK233:DB233" si="1993">CK234+CK235</f>
        <v>0</v>
      </c>
      <c r="CL233" s="22">
        <f t="shared" si="1993"/>
        <v>-2060</v>
      </c>
      <c r="CM233" s="21">
        <f t="shared" si="1993"/>
        <v>-480.00000000000182</v>
      </c>
      <c r="CN233" s="21">
        <f t="shared" si="1993"/>
        <v>-479.99999999999818</v>
      </c>
      <c r="CO233" s="21">
        <f t="shared" si="1993"/>
        <v>-480</v>
      </c>
      <c r="CP233" s="21">
        <f t="shared" si="1993"/>
        <v>-480</v>
      </c>
      <c r="CQ233" s="21">
        <f t="shared" si="1993"/>
        <v>-480</v>
      </c>
      <c r="CR233" s="21">
        <f t="shared" si="1993"/>
        <v>-480</v>
      </c>
      <c r="CS233" s="21">
        <f t="shared" si="1993"/>
        <v>-480</v>
      </c>
      <c r="CT233" s="21">
        <f t="shared" si="1993"/>
        <v>-480</v>
      </c>
      <c r="CU233" s="21">
        <f t="shared" si="1993"/>
        <v>-480</v>
      </c>
      <c r="CV233" s="21">
        <f t="shared" si="1993"/>
        <v>-480</v>
      </c>
      <c r="CW233" s="21">
        <f t="shared" si="1993"/>
        <v>-480</v>
      </c>
      <c r="CX233" s="21">
        <f t="shared" si="1993"/>
        <v>-480.00000000000182</v>
      </c>
      <c r="CY233" s="21">
        <f t="shared" si="1993"/>
        <v>-480</v>
      </c>
      <c r="CZ233" s="21">
        <f t="shared" si="1993"/>
        <v>-479.99999999999818</v>
      </c>
      <c r="DA233" s="21">
        <f t="shared" si="1993"/>
        <v>-480</v>
      </c>
      <c r="DB233" s="21">
        <f t="shared" si="1993"/>
        <v>-480.00000000000182</v>
      </c>
      <c r="DE233" s="127"/>
      <c r="DF233" s="22">
        <v>0</v>
      </c>
    </row>
    <row r="234" spans="1:110" s="23" customFormat="1" x14ac:dyDescent="0.2">
      <c r="A234" s="23" t="s">
        <v>93</v>
      </c>
      <c r="C234" s="23">
        <f t="shared" ref="C234:AA234" si="1994">B171-C171</f>
        <v>0</v>
      </c>
      <c r="D234" s="23">
        <f t="shared" si="1994"/>
        <v>0</v>
      </c>
      <c r="E234" s="23">
        <f>D171-E171</f>
        <v>-1437.54</v>
      </c>
      <c r="F234" s="23">
        <f t="shared" si="1994"/>
        <v>-405.06999999999994</v>
      </c>
      <c r="G234" s="23">
        <f t="shared" si="1994"/>
        <v>53.079999999999927</v>
      </c>
      <c r="H234" s="23">
        <f t="shared" si="1994"/>
        <v>-557.78</v>
      </c>
      <c r="I234" s="23">
        <f t="shared" si="1994"/>
        <v>-1709.4499999999998</v>
      </c>
      <c r="J234" s="23">
        <f>I171-J171</f>
        <v>-8471.39</v>
      </c>
      <c r="K234" s="23">
        <f>J171-K171</f>
        <v>-9351.8200000000015</v>
      </c>
      <c r="L234" s="23">
        <f t="shared" si="1994"/>
        <v>-658.23999999999796</v>
      </c>
      <c r="M234" s="23">
        <f t="shared" si="1994"/>
        <v>4634.9199999999983</v>
      </c>
      <c r="N234" s="23">
        <f t="shared" si="1994"/>
        <v>-268.41999999999825</v>
      </c>
      <c r="O234" s="23">
        <f t="shared" si="1994"/>
        <v>-185.86000000000058</v>
      </c>
      <c r="P234" s="23">
        <f t="shared" si="1994"/>
        <v>1390.619999999999</v>
      </c>
      <c r="Q234" s="23">
        <f t="shared" si="1994"/>
        <v>1749.4699999999993</v>
      </c>
      <c r="R234" s="23">
        <f t="shared" si="1994"/>
        <v>-89.760000000000218</v>
      </c>
      <c r="S234" s="23">
        <f t="shared" si="1994"/>
        <v>0</v>
      </c>
      <c r="T234" s="23">
        <f t="shared" si="1994"/>
        <v>0</v>
      </c>
      <c r="U234" s="23">
        <f t="shared" si="1994"/>
        <v>0</v>
      </c>
      <c r="V234" s="23">
        <f t="shared" si="1994"/>
        <v>0</v>
      </c>
      <c r="W234" s="23">
        <f t="shared" si="1994"/>
        <v>-13949.150000000001</v>
      </c>
      <c r="X234" s="23">
        <f t="shared" si="1994"/>
        <v>74.770000000000437</v>
      </c>
      <c r="Y234" s="23">
        <f t="shared" si="1994"/>
        <v>-1133.3799999999974</v>
      </c>
      <c r="Z234" s="23">
        <f t="shared" si="1994"/>
        <v>-1112</v>
      </c>
      <c r="AA234" s="23">
        <f t="shared" si="1994"/>
        <v>0</v>
      </c>
      <c r="AB234" s="24">
        <f t="shared" ref="AB234" si="1995">AA171-AB171</f>
        <v>21391</v>
      </c>
      <c r="AC234" s="24">
        <f t="shared" ref="AC234" si="1996">AB171-AC171</f>
        <v>0</v>
      </c>
      <c r="AD234" s="24">
        <f t="shared" ref="AD234" si="1997">AC171-AD171</f>
        <v>0</v>
      </c>
      <c r="AE234" s="24">
        <f t="shared" ref="AE234" si="1998">AD171-AE171</f>
        <v>0</v>
      </c>
      <c r="AI234" s="23">
        <f t="shared" ref="AI234" si="1999">AH171-AI171</f>
        <v>0</v>
      </c>
      <c r="AJ234" s="23">
        <f t="shared" ref="AJ234" si="2000">AI171-AJ171</f>
        <v>0</v>
      </c>
      <c r="AK234" s="23">
        <f t="shared" ref="AK234" si="2001">AJ171-AK171</f>
        <v>0</v>
      </c>
      <c r="AL234" s="23">
        <f t="shared" ref="AL234" si="2002">AK171-AL171</f>
        <v>0</v>
      </c>
      <c r="AM234" s="23">
        <f t="shared" ref="AM234" si="2003">AL171-AM171</f>
        <v>0</v>
      </c>
      <c r="AN234" s="23">
        <f t="shared" ref="AN234" si="2004">AM171-AN171</f>
        <v>0</v>
      </c>
      <c r="AO234" s="23">
        <f t="shared" ref="AO234" si="2005">AN171-AO171</f>
        <v>0</v>
      </c>
      <c r="AP234" s="23">
        <f t="shared" ref="AP234" si="2006">AO171-AP171</f>
        <v>0</v>
      </c>
      <c r="AQ234" s="23">
        <f t="shared" ref="AQ234" si="2007">AP171-AQ171</f>
        <v>0</v>
      </c>
      <c r="AR234" s="23">
        <f t="shared" ref="AR234" si="2008">AQ171-AR171</f>
        <v>0</v>
      </c>
      <c r="AS234" s="23">
        <f t="shared" ref="AS234" si="2009">AR171-AS171</f>
        <v>0</v>
      </c>
      <c r="AT234" s="23">
        <f t="shared" ref="AT234" si="2010">AS171-AT171</f>
        <v>0</v>
      </c>
      <c r="AU234" s="23">
        <f t="shared" ref="AU234" si="2011">AT171-AU171</f>
        <v>0</v>
      </c>
      <c r="AV234" s="23">
        <f t="shared" ref="AV234" si="2012">AU171-AV171</f>
        <v>0</v>
      </c>
      <c r="AW234" s="23">
        <f t="shared" ref="AW234" si="2013">AV171-AW171</f>
        <v>0</v>
      </c>
      <c r="AX234" s="23">
        <f t="shared" ref="AX234" si="2014">AW171-AX171</f>
        <v>0</v>
      </c>
      <c r="AY234" s="23">
        <f t="shared" ref="AY234" si="2015">AX171-AY171</f>
        <v>0</v>
      </c>
      <c r="AZ234" s="23">
        <f t="shared" ref="AZ234" si="2016">AY171-AZ171</f>
        <v>0</v>
      </c>
      <c r="BA234" s="23">
        <f t="shared" ref="BA234" si="2017">AZ171-BA171</f>
        <v>0</v>
      </c>
      <c r="BB234" s="23">
        <f t="shared" ref="BB234" si="2018">BA171-BB171</f>
        <v>0</v>
      </c>
      <c r="BC234" s="23">
        <f t="shared" ref="BC234" si="2019">BB171-BC171</f>
        <v>0</v>
      </c>
      <c r="BD234" s="23">
        <f t="shared" ref="BD234" si="2020">BC171-BD171</f>
        <v>0</v>
      </c>
      <c r="BE234" s="23">
        <f t="shared" ref="BE234" si="2021">BD171-BE171</f>
        <v>0</v>
      </c>
      <c r="BF234" s="23">
        <f t="shared" ref="BF234" si="2022">BE171-BF171</f>
        <v>0</v>
      </c>
      <c r="BG234" s="23">
        <f t="shared" ref="BG234" si="2023">BF171-BG171</f>
        <v>0</v>
      </c>
      <c r="BH234" s="23">
        <f t="shared" ref="BH234" si="2024">BG171-BH171</f>
        <v>0</v>
      </c>
      <c r="BI234" s="23">
        <f t="shared" ref="BI234" si="2025">BH171-BI171</f>
        <v>0</v>
      </c>
      <c r="BJ234" s="23">
        <f t="shared" ref="BJ234" si="2026">BI171-BJ171</f>
        <v>0</v>
      </c>
      <c r="BK234" s="23">
        <f t="shared" ref="BK234" si="2027">BJ171-BK171</f>
        <v>0</v>
      </c>
      <c r="BL234" s="23">
        <f t="shared" ref="BL234" si="2028">BK171-BL171</f>
        <v>0</v>
      </c>
      <c r="BM234" s="23">
        <f t="shared" ref="BM234" si="2029">BL171-BM171</f>
        <v>0</v>
      </c>
      <c r="BN234" s="23">
        <f t="shared" ref="BN234" si="2030">BM171-BN171</f>
        <v>0</v>
      </c>
      <c r="BO234" s="23">
        <f t="shared" ref="BO234" si="2031">BN171-BO171</f>
        <v>0</v>
      </c>
      <c r="BP234" s="23">
        <f t="shared" ref="BP234" si="2032">BO171-BP171</f>
        <v>0</v>
      </c>
      <c r="BQ234" s="23">
        <f t="shared" ref="BQ234" si="2033">BP171-BQ171</f>
        <v>0</v>
      </c>
      <c r="BR234" s="23">
        <f t="shared" ref="BR234" si="2034">BQ171-BR171</f>
        <v>0</v>
      </c>
      <c r="BS234" s="23">
        <f t="shared" ref="BS234" si="2035">BR171-BS171</f>
        <v>0</v>
      </c>
      <c r="BT234" s="23">
        <f t="shared" ref="BT234" si="2036">BS171-BT171</f>
        <v>0</v>
      </c>
      <c r="BU234" s="23">
        <f t="shared" ref="BU234" si="2037">BT171-BU171</f>
        <v>0</v>
      </c>
      <c r="BV234" s="23">
        <f t="shared" ref="BV234" si="2038">BU171-BV171</f>
        <v>0</v>
      </c>
      <c r="BW234" s="23">
        <f t="shared" ref="BW234" si="2039">BV171-BW171</f>
        <v>0</v>
      </c>
      <c r="BX234" s="23">
        <f t="shared" ref="BX234" si="2040">BW171-BX171</f>
        <v>0</v>
      </c>
      <c r="BY234" s="23">
        <f t="shared" ref="BY234" si="2041">BX171-BY171</f>
        <v>0</v>
      </c>
      <c r="BZ234" s="23">
        <f t="shared" ref="BZ234" si="2042">BY171-BZ171</f>
        <v>0</v>
      </c>
      <c r="CA234" s="23">
        <f t="shared" ref="CA234" si="2043">BZ171-CA171</f>
        <v>0</v>
      </c>
      <c r="CB234" s="23">
        <f t="shared" ref="CB234" si="2044">CA171-CB171</f>
        <v>0</v>
      </c>
      <c r="CC234" s="23">
        <f t="shared" ref="CC234" si="2045">CB171-CC171</f>
        <v>0</v>
      </c>
      <c r="CD234" s="23">
        <f t="shared" ref="CD234" si="2046">CC171-CD171</f>
        <v>0</v>
      </c>
      <c r="CE234" s="23">
        <f t="shared" ref="CE234" si="2047">CD171-CE171</f>
        <v>0</v>
      </c>
      <c r="CF234" s="23">
        <f t="shared" ref="CF234" si="2048">CE171-CF171</f>
        <v>0</v>
      </c>
      <c r="CG234" s="23">
        <f t="shared" ref="CG234" si="2049">CF171-CG171</f>
        <v>0</v>
      </c>
      <c r="CH234" s="23">
        <f t="shared" ref="CH234:CL234" si="2050">CG171-CH171</f>
        <v>-31427</v>
      </c>
      <c r="CI234" s="23">
        <f t="shared" si="2050"/>
        <v>0</v>
      </c>
      <c r="CJ234" s="23">
        <f t="shared" si="2050"/>
        <v>22260</v>
      </c>
      <c r="CK234" s="23">
        <f t="shared" ref="CK234" si="2051">CJ171-CK171</f>
        <v>0</v>
      </c>
      <c r="CL234" s="23">
        <f t="shared" si="2050"/>
        <v>-869</v>
      </c>
      <c r="CM234" s="24">
        <f t="shared" ref="CM234" si="2052">CL171-CM171</f>
        <v>0</v>
      </c>
      <c r="CN234" s="24">
        <f t="shared" ref="CN234" si="2053">CM171-CN171</f>
        <v>0</v>
      </c>
      <c r="CO234" s="24">
        <f t="shared" ref="CO234" si="2054">CN171-CO171</f>
        <v>0</v>
      </c>
      <c r="CP234" s="24">
        <f t="shared" ref="CP234" si="2055">CO171-CP171</f>
        <v>0</v>
      </c>
      <c r="CQ234" s="24">
        <f t="shared" ref="CQ234" si="2056">CP171-CQ171</f>
        <v>0</v>
      </c>
      <c r="CR234" s="24">
        <f t="shared" ref="CR234" si="2057">CQ171-CR171</f>
        <v>0</v>
      </c>
      <c r="CS234" s="24">
        <f t="shared" ref="CS234" si="2058">CR171-CS171</f>
        <v>0</v>
      </c>
      <c r="CT234" s="24">
        <f t="shared" ref="CT234" si="2059">CS171-CT171</f>
        <v>0</v>
      </c>
      <c r="CU234" s="24">
        <f t="shared" ref="CU234" si="2060">CT171-CU171</f>
        <v>0</v>
      </c>
      <c r="CV234" s="24">
        <f t="shared" ref="CV234" si="2061">CU171-CV171</f>
        <v>0</v>
      </c>
      <c r="CW234" s="24">
        <f t="shared" ref="CW234" si="2062">CV171-CW171</f>
        <v>0</v>
      </c>
      <c r="CX234" s="24">
        <f t="shared" ref="CX234" si="2063">CW171-CX171</f>
        <v>0</v>
      </c>
      <c r="CY234" s="24">
        <f t="shared" ref="CY234" si="2064">CX171-CY171</f>
        <v>0</v>
      </c>
      <c r="CZ234" s="24">
        <f t="shared" ref="CZ234" si="2065">CY171-CZ171</f>
        <v>0</v>
      </c>
      <c r="DA234" s="24">
        <f t="shared" ref="DA234" si="2066">CZ171-DA171</f>
        <v>0</v>
      </c>
      <c r="DB234" s="24">
        <f t="shared" ref="DB234" si="2067">DA171-DB171</f>
        <v>0</v>
      </c>
      <c r="DE234" s="123"/>
      <c r="DF234" s="23">
        <v>0</v>
      </c>
    </row>
    <row r="235" spans="1:110" s="23" customFormat="1" x14ac:dyDescent="0.2">
      <c r="A235" s="23" t="s">
        <v>94</v>
      </c>
      <c r="C235" s="23">
        <f t="shared" ref="C235:AE235" si="2068">B169-C56-C169</f>
        <v>0</v>
      </c>
      <c r="D235" s="23">
        <f t="shared" si="2068"/>
        <v>0</v>
      </c>
      <c r="E235" s="23">
        <f t="shared" si="2068"/>
        <v>-3630.3999999999996</v>
      </c>
      <c r="F235" s="23">
        <f t="shared" si="2068"/>
        <v>-898.86999999999944</v>
      </c>
      <c r="G235" s="23">
        <f t="shared" si="2068"/>
        <v>-1345.6600000000003</v>
      </c>
      <c r="H235" s="23">
        <f t="shared" si="2068"/>
        <v>-2459.6400000000003</v>
      </c>
      <c r="I235" s="23">
        <f t="shared" si="2068"/>
        <v>-4710.0000000000009</v>
      </c>
      <c r="J235" s="23">
        <f t="shared" si="2068"/>
        <v>-5014.4300000000021</v>
      </c>
      <c r="K235" s="23">
        <f t="shared" si="2068"/>
        <v>-2877.75</v>
      </c>
      <c r="L235" s="23">
        <f t="shared" si="2068"/>
        <v>-2175.6699999999983</v>
      </c>
      <c r="M235" s="23">
        <f t="shared" si="2068"/>
        <v>-3411.99</v>
      </c>
      <c r="N235" s="23">
        <f t="shared" si="2068"/>
        <v>-2969.9700000000012</v>
      </c>
      <c r="O235" s="23">
        <f t="shared" si="2068"/>
        <v>-3457.3999999999978</v>
      </c>
      <c r="P235" s="23">
        <f t="shared" si="2068"/>
        <v>-2831.6000000000022</v>
      </c>
      <c r="Q235" s="23">
        <f t="shared" si="2068"/>
        <v>-7267.5800000000054</v>
      </c>
      <c r="R235" s="23">
        <f t="shared" si="2068"/>
        <v>-4318.6499999999942</v>
      </c>
      <c r="S235" s="23">
        <f t="shared" si="2068"/>
        <v>-2081.6299999999974</v>
      </c>
      <c r="T235" s="23">
        <f t="shared" si="2068"/>
        <v>-4648.41</v>
      </c>
      <c r="U235" s="23">
        <f t="shared" si="2068"/>
        <v>-4504.6500000000051</v>
      </c>
      <c r="V235" s="23">
        <f t="shared" si="2068"/>
        <v>-3408.3900000000031</v>
      </c>
      <c r="W235" s="23">
        <f t="shared" si="2068"/>
        <v>12125.980000000005</v>
      </c>
      <c r="X235" s="23">
        <f t="shared" si="2068"/>
        <v>-1851.119999999999</v>
      </c>
      <c r="Y235" s="23">
        <f t="shared" si="2068"/>
        <v>-1968.7300000000014</v>
      </c>
      <c r="Z235" s="23">
        <f t="shared" si="2068"/>
        <v>-2368</v>
      </c>
      <c r="AA235" s="23">
        <f t="shared" si="2068"/>
        <v>-2008</v>
      </c>
      <c r="AB235" s="24">
        <f t="shared" si="2068"/>
        <v>415</v>
      </c>
      <c r="AC235" s="24">
        <f t="shared" si="2068"/>
        <v>-1920</v>
      </c>
      <c r="AD235" s="24">
        <f t="shared" si="2068"/>
        <v>-1920.0000000000018</v>
      </c>
      <c r="AE235" s="24">
        <f t="shared" si="2068"/>
        <v>-1920</v>
      </c>
      <c r="AI235" s="23">
        <f t="shared" ref="AI235:BN235" si="2069">AH169-AI56-AI169</f>
        <v>-429.36</v>
      </c>
      <c r="AJ235" s="23">
        <f t="shared" si="2069"/>
        <v>-447.15</v>
      </c>
      <c r="AK235" s="23">
        <f t="shared" si="2069"/>
        <v>-482.38</v>
      </c>
      <c r="AL235" s="23">
        <f t="shared" si="2069"/>
        <v>-458.73</v>
      </c>
      <c r="AM235" s="23">
        <f t="shared" si="2069"/>
        <v>-499.77999999999992</v>
      </c>
      <c r="AN235" s="23">
        <f t="shared" si="2069"/>
        <v>-519.04999999999995</v>
      </c>
      <c r="AO235" s="23">
        <f t="shared" si="2069"/>
        <v>-512.17999999999995</v>
      </c>
      <c r="AP235" s="23">
        <f t="shared" si="2069"/>
        <v>-539.29</v>
      </c>
      <c r="AQ235" s="23">
        <f t="shared" si="2069"/>
        <v>-540.82000000000005</v>
      </c>
      <c r="AR235" s="23">
        <f t="shared" si="2069"/>
        <v>-613.47</v>
      </c>
      <c r="AS235" s="23">
        <f t="shared" si="2069"/>
        <v>-625.6</v>
      </c>
      <c r="AT235" s="23">
        <f t="shared" si="2069"/>
        <v>-823.32999999999993</v>
      </c>
      <c r="AU235" s="23">
        <f t="shared" si="2069"/>
        <v>-580.29999999999995</v>
      </c>
      <c r="AV235" s="23">
        <f t="shared" si="2069"/>
        <v>-591.96</v>
      </c>
      <c r="AW235" s="23">
        <f t="shared" si="2069"/>
        <v>-590.98</v>
      </c>
      <c r="AX235" s="23">
        <f t="shared" si="2069"/>
        <v>-565.98</v>
      </c>
      <c r="AY235" s="23">
        <f t="shared" si="2069"/>
        <v>-712.24</v>
      </c>
      <c r="AZ235" s="23">
        <f t="shared" si="2069"/>
        <v>-718.56999999999994</v>
      </c>
      <c r="BA235" s="23">
        <f t="shared" si="2069"/>
        <v>-728.96</v>
      </c>
      <c r="BB235" s="23">
        <f t="shared" si="2069"/>
        <v>-819.25</v>
      </c>
      <c r="BC235" s="23">
        <f t="shared" si="2069"/>
        <v>-689.83</v>
      </c>
      <c r="BD235" s="23">
        <f t="shared" si="2069"/>
        <v>-767.39</v>
      </c>
      <c r="BE235" s="23">
        <f t="shared" si="2069"/>
        <v>-788.5</v>
      </c>
      <c r="BF235" s="23">
        <f t="shared" si="2069"/>
        <v>-856.17000000000007</v>
      </c>
      <c r="BG235" s="23">
        <f t="shared" si="2069"/>
        <v>-705.15</v>
      </c>
      <c r="BH235" s="23">
        <f t="shared" si="2069"/>
        <v>-754.05</v>
      </c>
      <c r="BI235" s="23">
        <f t="shared" si="2069"/>
        <v>-766.83</v>
      </c>
      <c r="BJ235" s="23">
        <f t="shared" si="2069"/>
        <v>-872.61</v>
      </c>
      <c r="BK235" s="23">
        <f t="shared" si="2069"/>
        <v>-777.05</v>
      </c>
      <c r="BL235" s="23">
        <f t="shared" si="2069"/>
        <v>-760.65</v>
      </c>
      <c r="BM235" s="23">
        <f t="shared" si="2069"/>
        <v>-853.46</v>
      </c>
      <c r="BN235" s="23">
        <f t="shared" si="2069"/>
        <v>-984.12999999999988</v>
      </c>
      <c r="BO235" s="23">
        <f t="shared" ref="BO235:CT235" si="2070">BN169-BO56-BO169</f>
        <v>-859.89</v>
      </c>
      <c r="BP235" s="23">
        <f t="shared" si="2070"/>
        <v>-909.92000000000007</v>
      </c>
      <c r="BQ235" s="23">
        <f t="shared" si="2070"/>
        <v>-947.64</v>
      </c>
      <c r="BR235" s="23">
        <f t="shared" si="2070"/>
        <v>-964.16000000000008</v>
      </c>
      <c r="BS235" s="23">
        <f t="shared" si="2070"/>
        <v>-959.39</v>
      </c>
      <c r="BT235" s="23">
        <f t="shared" si="2070"/>
        <v>-432.68</v>
      </c>
      <c r="BU235" s="23">
        <f t="shared" si="2070"/>
        <v>-452.15</v>
      </c>
      <c r="BV235" s="23">
        <f t="shared" si="2070"/>
        <v>-457.86</v>
      </c>
      <c r="BW235" s="23">
        <f t="shared" si="2070"/>
        <v>-422.98</v>
      </c>
      <c r="BX235" s="23">
        <f t="shared" si="2070"/>
        <v>-446.13</v>
      </c>
      <c r="BY235" s="23">
        <f t="shared" si="2070"/>
        <v>-430.18</v>
      </c>
      <c r="BZ235" s="23">
        <f t="shared" si="2070"/>
        <v>-467.57</v>
      </c>
      <c r="CA235" s="23">
        <f t="shared" si="2070"/>
        <v>-495.91</v>
      </c>
      <c r="CB235" s="23">
        <f t="shared" si="2070"/>
        <v>-509</v>
      </c>
      <c r="CC235" s="23">
        <f t="shared" si="2070"/>
        <v>-513.13</v>
      </c>
      <c r="CD235" s="23">
        <f t="shared" si="2070"/>
        <v>-498.8</v>
      </c>
      <c r="CE235" s="23">
        <f t="shared" si="2070"/>
        <v>-477</v>
      </c>
      <c r="CF235" s="23">
        <f t="shared" si="2070"/>
        <v>-484</v>
      </c>
      <c r="CG235" s="23">
        <f t="shared" si="2070"/>
        <v>-497</v>
      </c>
      <c r="CH235" s="23">
        <f t="shared" si="2070"/>
        <v>-16481</v>
      </c>
      <c r="CI235" s="23">
        <f t="shared" si="2070"/>
        <v>0</v>
      </c>
      <c r="CJ235" s="23">
        <f t="shared" si="2070"/>
        <v>1825</v>
      </c>
      <c r="CK235" s="23">
        <f t="shared" si="2070"/>
        <v>0</v>
      </c>
      <c r="CL235" s="23">
        <f t="shared" si="2070"/>
        <v>-1191</v>
      </c>
      <c r="CM235" s="24">
        <f t="shared" si="2070"/>
        <v>-480.00000000000182</v>
      </c>
      <c r="CN235" s="24">
        <f t="shared" si="2070"/>
        <v>-479.99999999999818</v>
      </c>
      <c r="CO235" s="24">
        <f t="shared" si="2070"/>
        <v>-480</v>
      </c>
      <c r="CP235" s="24">
        <f t="shared" si="2070"/>
        <v>-480</v>
      </c>
      <c r="CQ235" s="24">
        <f t="shared" si="2070"/>
        <v>-480</v>
      </c>
      <c r="CR235" s="24">
        <f t="shared" si="2070"/>
        <v>-480</v>
      </c>
      <c r="CS235" s="24">
        <f t="shared" si="2070"/>
        <v>-480</v>
      </c>
      <c r="CT235" s="24">
        <f t="shared" si="2070"/>
        <v>-480</v>
      </c>
      <c r="CU235" s="24">
        <f t="shared" ref="CU235:DB235" si="2071">CT169-CU56-CU169</f>
        <v>-480</v>
      </c>
      <c r="CV235" s="24">
        <f t="shared" si="2071"/>
        <v>-480</v>
      </c>
      <c r="CW235" s="24">
        <f t="shared" si="2071"/>
        <v>-480</v>
      </c>
      <c r="CX235" s="24">
        <f t="shared" si="2071"/>
        <v>-480.00000000000182</v>
      </c>
      <c r="CY235" s="24">
        <f t="shared" si="2071"/>
        <v>-480</v>
      </c>
      <c r="CZ235" s="24">
        <f t="shared" si="2071"/>
        <v>-479.99999999999818</v>
      </c>
      <c r="DA235" s="24">
        <f t="shared" si="2071"/>
        <v>-480</v>
      </c>
      <c r="DB235" s="24">
        <f t="shared" si="2071"/>
        <v>-480.00000000000182</v>
      </c>
      <c r="DE235" s="123"/>
      <c r="DF235" s="23">
        <v>0</v>
      </c>
    </row>
    <row r="236" spans="1:110" s="23" customFormat="1" x14ac:dyDescent="0.2">
      <c r="AB236" s="24"/>
      <c r="AC236" s="24"/>
      <c r="AD236" s="24"/>
      <c r="AE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E236" s="123"/>
    </row>
    <row r="237" spans="1:110" s="22" customFormat="1" x14ac:dyDescent="0.2">
      <c r="A237" s="22" t="s">
        <v>95</v>
      </c>
      <c r="C237" s="22" t="e">
        <f t="shared" ref="C237:W237" si="2072">C238+C239</f>
        <v>#REF!</v>
      </c>
      <c r="D237" s="22" t="e">
        <f t="shared" si="2072"/>
        <v>#REF!</v>
      </c>
      <c r="E237" s="22">
        <f t="shared" si="2072"/>
        <v>2125.8000000000015</v>
      </c>
      <c r="F237" s="22">
        <f t="shared" si="2072"/>
        <v>-2038.2400000000011</v>
      </c>
      <c r="G237" s="22">
        <f t="shared" si="2072"/>
        <v>-1996.8399999999992</v>
      </c>
      <c r="H237" s="22">
        <f t="shared" si="2072"/>
        <v>-2815.2600000000011</v>
      </c>
      <c r="I237" s="22">
        <f t="shared" si="2072"/>
        <v>-2245.5999999999958</v>
      </c>
      <c r="J237" s="22">
        <f t="shared" si="2072"/>
        <v>8736.7199999999975</v>
      </c>
      <c r="K237" s="22">
        <f t="shared" si="2072"/>
        <v>1889.3700000000081</v>
      </c>
      <c r="L237" s="22">
        <f t="shared" si="2072"/>
        <v>-962.29000000000815</v>
      </c>
      <c r="M237" s="22">
        <f t="shared" si="2072"/>
        <v>-4041.7716154584887</v>
      </c>
      <c r="N237" s="22">
        <f t="shared" si="2072"/>
        <v>-1228.9418954585053</v>
      </c>
      <c r="O237" s="22">
        <f t="shared" si="2072"/>
        <v>-4475.1026159999965</v>
      </c>
      <c r="P237" s="22">
        <f t="shared" si="2072"/>
        <v>6983.0013262400025</v>
      </c>
      <c r="Q237" s="22">
        <f t="shared" si="2072"/>
        <v>-3377.6900000000023</v>
      </c>
      <c r="R237" s="22">
        <f t="shared" si="2072"/>
        <v>-400.11000000000604</v>
      </c>
      <c r="S237" s="22">
        <f t="shared" si="2072"/>
        <v>-3794.3700000000063</v>
      </c>
      <c r="T237" s="22">
        <f t="shared" si="2072"/>
        <v>814.90999999999985</v>
      </c>
      <c r="U237" s="22">
        <f t="shared" si="2072"/>
        <v>6432.5899999999929</v>
      </c>
      <c r="V237" s="22">
        <f t="shared" si="2072"/>
        <v>563.09000000000378</v>
      </c>
      <c r="W237" s="22">
        <f t="shared" si="2072"/>
        <v>7287.2099999999882</v>
      </c>
      <c r="X237" s="22">
        <f t="shared" ref="X237:Y237" si="2073">X238+X239</f>
        <v>-4452.8099999999868</v>
      </c>
      <c r="Y237" s="22">
        <f t="shared" si="2073"/>
        <v>-5317.5400000000009</v>
      </c>
      <c r="Z237" s="22">
        <f t="shared" ref="Z237:AA237" si="2074">Z238+Z239</f>
        <v>-7337</v>
      </c>
      <c r="AA237" s="22">
        <f t="shared" si="2074"/>
        <v>-3387</v>
      </c>
      <c r="AB237" s="21">
        <f t="shared" ref="AA237:AD237" si="2075">AB238+AB239</f>
        <v>-16842.386347420634</v>
      </c>
      <c r="AC237" s="21">
        <f t="shared" si="2075"/>
        <v>12045.623993393612</v>
      </c>
      <c r="AD237" s="21">
        <f t="shared" si="2075"/>
        <v>13491.848997575329</v>
      </c>
      <c r="AE237" s="21">
        <f t="shared" ref="AE237" si="2076">AE238+AE239</f>
        <v>15346.105034296539</v>
      </c>
      <c r="AI237" s="22">
        <f t="shared" ref="AI237:AL237" si="2077">AI238+AI239</f>
        <v>-205.34000000000043</v>
      </c>
      <c r="AJ237" s="22">
        <f t="shared" si="2077"/>
        <v>-867.01999999999987</v>
      </c>
      <c r="AK237" s="22">
        <f t="shared" si="2077"/>
        <v>0</v>
      </c>
      <c r="AL237" s="22">
        <f t="shared" si="2077"/>
        <v>770.57999999999834</v>
      </c>
      <c r="AM237" s="22">
        <f t="shared" ref="AM237" si="2078">AM238+AM239</f>
        <v>0</v>
      </c>
      <c r="AN237" s="22">
        <f t="shared" ref="AN237:CD237" si="2079">AN238+AN239</f>
        <v>100.27000000000339</v>
      </c>
      <c r="AO237" s="22">
        <f t="shared" si="2079"/>
        <v>0</v>
      </c>
      <c r="AP237" s="22">
        <f t="shared" si="2079"/>
        <v>-434.79000000000212</v>
      </c>
      <c r="AQ237" s="22">
        <f t="shared" si="2079"/>
        <v>0</v>
      </c>
      <c r="AR237" s="22">
        <f t="shared" si="2079"/>
        <v>1451.9300000000021</v>
      </c>
      <c r="AS237" s="22">
        <f t="shared" si="2079"/>
        <v>0</v>
      </c>
      <c r="AT237" s="22">
        <f t="shared" si="2079"/>
        <v>3286.9699999999993</v>
      </c>
      <c r="AU237" s="22">
        <f t="shared" si="2079"/>
        <v>0</v>
      </c>
      <c r="AV237" s="22">
        <f t="shared" si="2079"/>
        <v>-1.0500000000006935</v>
      </c>
      <c r="AW237" s="22">
        <f t="shared" si="2079"/>
        <v>0</v>
      </c>
      <c r="AX237" s="22">
        <f t="shared" si="2079"/>
        <v>-261.13000000000068</v>
      </c>
      <c r="AY237" s="22">
        <f t="shared" si="2079"/>
        <v>0</v>
      </c>
      <c r="AZ237" s="22">
        <f t="shared" si="2079"/>
        <v>605.01000000000181</v>
      </c>
      <c r="BA237" s="22">
        <f t="shared" si="2079"/>
        <v>0</v>
      </c>
      <c r="BB237" s="22">
        <f t="shared" si="2079"/>
        <v>1851.8499999999983</v>
      </c>
      <c r="BC237" s="22">
        <f t="shared" si="2079"/>
        <v>0</v>
      </c>
      <c r="BD237" s="22">
        <f t="shared" si="2079"/>
        <v>746.48999999999842</v>
      </c>
      <c r="BE237" s="22">
        <f t="shared" si="2079"/>
        <v>0</v>
      </c>
      <c r="BF237" s="22">
        <f t="shared" si="2079"/>
        <v>288.34999999999741</v>
      </c>
      <c r="BG237" s="22">
        <f t="shared" si="2079"/>
        <v>0</v>
      </c>
      <c r="BH237" s="22">
        <f t="shared" si="2079"/>
        <v>-1296.7899999999945</v>
      </c>
      <c r="BI237" s="22">
        <f t="shared" si="2079"/>
        <v>0</v>
      </c>
      <c r="BJ237" s="22">
        <f t="shared" si="2079"/>
        <v>-723.81000000000097</v>
      </c>
      <c r="BK237" s="22">
        <f t="shared" si="2079"/>
        <v>0</v>
      </c>
      <c r="BL237" s="22">
        <f t="shared" si="2079"/>
        <v>1379.0700000000011</v>
      </c>
      <c r="BM237" s="22">
        <f t="shared" si="2079"/>
        <v>0</v>
      </c>
      <c r="BN237" s="22">
        <f t="shared" si="2079"/>
        <v>5910.56</v>
      </c>
      <c r="BO237" s="22">
        <f t="shared" si="2079"/>
        <v>0</v>
      </c>
      <c r="BP237" s="22">
        <f t="shared" si="2079"/>
        <v>3403.0899999999992</v>
      </c>
      <c r="BQ237" s="22">
        <f t="shared" si="2079"/>
        <v>0</v>
      </c>
      <c r="BR237" s="22">
        <f t="shared" si="2079"/>
        <v>-1007.680000000001</v>
      </c>
      <c r="BS237" s="22">
        <f t="shared" si="2079"/>
        <v>0</v>
      </c>
      <c r="BT237" s="22">
        <f t="shared" si="2079"/>
        <v>1896.4099999999985</v>
      </c>
      <c r="BU237" s="22">
        <f t="shared" si="2079"/>
        <v>0</v>
      </c>
      <c r="BV237" s="22">
        <f t="shared" si="2079"/>
        <v>222.14</v>
      </c>
      <c r="BW237" s="22">
        <f t="shared" si="2079"/>
        <v>0</v>
      </c>
      <c r="BX237" s="22">
        <f t="shared" si="2079"/>
        <v>473.61999999999443</v>
      </c>
      <c r="BY237" s="22">
        <f t="shared" si="2079"/>
        <v>0</v>
      </c>
      <c r="BZ237" s="22">
        <f t="shared" si="2079"/>
        <v>-3180.2699999999991</v>
      </c>
      <c r="CA237" s="22">
        <f t="shared" si="2079"/>
        <v>0</v>
      </c>
      <c r="CB237" s="22">
        <f t="shared" si="2079"/>
        <v>-1205.6200000000044</v>
      </c>
      <c r="CC237" s="22">
        <f t="shared" si="2079"/>
        <v>0</v>
      </c>
      <c r="CD237" s="22">
        <f t="shared" si="2079"/>
        <v>-6696.4799999999941</v>
      </c>
      <c r="CE237" s="22">
        <f t="shared" ref="CE237:CF237" si="2080">CE238+CE239</f>
        <v>0</v>
      </c>
      <c r="CF237" s="22">
        <f t="shared" si="2080"/>
        <v>-2833</v>
      </c>
      <c r="CG237" s="22">
        <f t="shared" ref="CG237:CH237" si="2081">CG238+CG239</f>
        <v>0</v>
      </c>
      <c r="CH237" s="22">
        <f t="shared" si="2081"/>
        <v>41746.5</v>
      </c>
      <c r="CI237" s="22">
        <f t="shared" ref="CI237:CJ237" si="2082">CI238+CI239</f>
        <v>0</v>
      </c>
      <c r="CJ237" s="22">
        <f t="shared" si="2082"/>
        <v>-26772</v>
      </c>
      <c r="CK237" s="22">
        <f t="shared" ref="CK237:DB237" si="2083">CK238+CK239</f>
        <v>0</v>
      </c>
      <c r="CL237" s="22">
        <f t="shared" si="2083"/>
        <v>-2705</v>
      </c>
      <c r="CM237" s="21">
        <f t="shared" si="2083"/>
        <v>0</v>
      </c>
      <c r="CN237" s="21">
        <f t="shared" si="2083"/>
        <v>0</v>
      </c>
      <c r="CO237" s="21">
        <f t="shared" si="2083"/>
        <v>0</v>
      </c>
      <c r="CP237" s="21">
        <f t="shared" si="2083"/>
        <v>0</v>
      </c>
      <c r="CQ237" s="21">
        <f t="shared" si="2083"/>
        <v>0</v>
      </c>
      <c r="CR237" s="21">
        <f t="shared" si="2083"/>
        <v>0</v>
      </c>
      <c r="CS237" s="21">
        <f t="shared" si="2083"/>
        <v>0</v>
      </c>
      <c r="CT237" s="21">
        <f t="shared" si="2083"/>
        <v>0</v>
      </c>
      <c r="CU237" s="21">
        <f t="shared" si="2083"/>
        <v>0</v>
      </c>
      <c r="CV237" s="21">
        <f t="shared" si="2083"/>
        <v>0</v>
      </c>
      <c r="CW237" s="21">
        <f t="shared" si="2083"/>
        <v>0</v>
      </c>
      <c r="CX237" s="21">
        <f t="shared" si="2083"/>
        <v>-7.2759576141834259E-12</v>
      </c>
      <c r="CY237" s="21">
        <f t="shared" si="2083"/>
        <v>0</v>
      </c>
      <c r="CZ237" s="21">
        <f t="shared" si="2083"/>
        <v>0</v>
      </c>
      <c r="DA237" s="21">
        <f t="shared" si="2083"/>
        <v>0</v>
      </c>
      <c r="DB237" s="21">
        <f t="shared" si="2083"/>
        <v>0</v>
      </c>
      <c r="DE237" s="127"/>
      <c r="DF237" s="22">
        <v>0</v>
      </c>
    </row>
    <row r="238" spans="1:110" s="23" customFormat="1" x14ac:dyDescent="0.2">
      <c r="A238" s="23" t="s">
        <v>49</v>
      </c>
      <c r="C238" s="23">
        <f t="shared" ref="C238:AA238" si="2084">C159-B159</f>
        <v>0</v>
      </c>
      <c r="D238" s="23">
        <f t="shared" si="2084"/>
        <v>0</v>
      </c>
      <c r="E238" s="23">
        <f>E159-D159</f>
        <v>1259.77</v>
      </c>
      <c r="F238" s="23">
        <f t="shared" si="2084"/>
        <v>1235.6500000000001</v>
      </c>
      <c r="G238" s="23">
        <f t="shared" si="2084"/>
        <v>441.42000000000007</v>
      </c>
      <c r="H238" s="23">
        <f t="shared" si="2084"/>
        <v>1072.3000000000002</v>
      </c>
      <c r="I238" s="23">
        <f t="shared" si="2084"/>
        <v>2271.38</v>
      </c>
      <c r="J238" s="23">
        <f>J159-I159</f>
        <v>7049.1600000000017</v>
      </c>
      <c r="K238" s="23">
        <f>K159-J159</f>
        <v>3103.17</v>
      </c>
      <c r="L238" s="23">
        <f t="shared" si="2084"/>
        <v>-1794.6600000000035</v>
      </c>
      <c r="M238" s="23">
        <f t="shared" si="2084"/>
        <v>1242.3800000000028</v>
      </c>
      <c r="N238" s="23">
        <f t="shared" si="2084"/>
        <v>2345.4299999999985</v>
      </c>
      <c r="O238" s="23">
        <f t="shared" si="2084"/>
        <v>-3710.4700000000012</v>
      </c>
      <c r="P238" s="23">
        <f t="shared" si="2084"/>
        <v>6618.8400000000038</v>
      </c>
      <c r="Q238" s="23">
        <f t="shared" si="2084"/>
        <v>-6879.6900000000041</v>
      </c>
      <c r="R238" s="23">
        <f t="shared" si="2084"/>
        <v>4589.9299999999985</v>
      </c>
      <c r="S238" s="23">
        <f t="shared" si="2084"/>
        <v>-2588.8299999999945</v>
      </c>
      <c r="T238" s="23">
        <f t="shared" si="2084"/>
        <v>1281.7499999999964</v>
      </c>
      <c r="U238" s="23">
        <f t="shared" si="2084"/>
        <v>3360.3400000000038</v>
      </c>
      <c r="V238" s="23">
        <f t="shared" si="2084"/>
        <v>-2028.6000000000022</v>
      </c>
      <c r="W238" s="23">
        <f t="shared" si="2084"/>
        <v>4659.7999999999993</v>
      </c>
      <c r="X238" s="23">
        <f t="shared" si="2084"/>
        <v>-4250.3799999999974</v>
      </c>
      <c r="Y238" s="23">
        <f t="shared" si="2084"/>
        <v>-5088.6900000000023</v>
      </c>
      <c r="Z238" s="23">
        <f t="shared" si="2084"/>
        <v>-5184</v>
      </c>
      <c r="AA238" s="23">
        <f t="shared" si="2084"/>
        <v>2033</v>
      </c>
      <c r="AB238" s="24">
        <f t="shared" ref="AB238" si="2085">AB159-AA159</f>
        <v>-8110</v>
      </c>
      <c r="AC238" s="24">
        <f t="shared" ref="AC238" si="2086">AC159-AB159</f>
        <v>0</v>
      </c>
      <c r="AD238" s="24">
        <f t="shared" ref="AD238" si="2087">AD159-AC159</f>
        <v>0</v>
      </c>
      <c r="AE238" s="24">
        <f t="shared" ref="AE238" si="2088">AE159-AD159</f>
        <v>0</v>
      </c>
      <c r="AI238" s="23">
        <f t="shared" ref="AI238" si="2089">AI159-AH159</f>
        <v>0</v>
      </c>
      <c r="AJ238" s="23">
        <f t="shared" ref="AJ238" si="2090">AJ159-AI159</f>
        <v>0</v>
      </c>
      <c r="AK238" s="23">
        <f t="shared" ref="AK238" si="2091">AK159-AJ159</f>
        <v>0</v>
      </c>
      <c r="AL238" s="23">
        <f t="shared" ref="AL238" si="2092">AL159-AK159</f>
        <v>0</v>
      </c>
      <c r="AM238" s="23">
        <f t="shared" ref="AM238" si="2093">AM159-AL159</f>
        <v>0</v>
      </c>
      <c r="AN238" s="23">
        <f t="shared" ref="AN238" si="2094">AN159-AM159</f>
        <v>0</v>
      </c>
      <c r="AO238" s="23">
        <f t="shared" ref="AO238" si="2095">AO159-AN159</f>
        <v>0</v>
      </c>
      <c r="AP238" s="23">
        <f t="shared" ref="AP238" si="2096">AP159-AO159</f>
        <v>0</v>
      </c>
      <c r="AQ238" s="23">
        <f t="shared" ref="AQ238" si="2097">AQ159-AP159</f>
        <v>0</v>
      </c>
      <c r="AR238" s="23">
        <f t="shared" ref="AR238" si="2098">AR159-AQ159</f>
        <v>0</v>
      </c>
      <c r="AS238" s="23">
        <f t="shared" ref="AS238" si="2099">AS159-AR159</f>
        <v>0</v>
      </c>
      <c r="AT238" s="23">
        <f t="shared" ref="AT238" si="2100">AT159-AS159</f>
        <v>0</v>
      </c>
      <c r="AU238" s="23">
        <f t="shared" ref="AU238" si="2101">AU159-AT159</f>
        <v>0</v>
      </c>
      <c r="AV238" s="23">
        <f t="shared" ref="AV238" si="2102">AV159-AU159</f>
        <v>0</v>
      </c>
      <c r="AW238" s="23">
        <f t="shared" ref="AW238" si="2103">AW159-AV159</f>
        <v>0</v>
      </c>
      <c r="AX238" s="23">
        <f t="shared" ref="AX238" si="2104">AX159-AW159</f>
        <v>0</v>
      </c>
      <c r="AY238" s="23">
        <f t="shared" ref="AY238" si="2105">AY159-AX159</f>
        <v>0</v>
      </c>
      <c r="AZ238" s="23">
        <f t="shared" ref="AZ238" si="2106">AZ159-AY159</f>
        <v>0</v>
      </c>
      <c r="BA238" s="23">
        <f t="shared" ref="BA238" si="2107">BA159-AZ159</f>
        <v>0</v>
      </c>
      <c r="BB238" s="23">
        <f t="shared" ref="BB238" si="2108">BB159-BA159</f>
        <v>0</v>
      </c>
      <c r="BC238" s="23">
        <f t="shared" ref="BC238" si="2109">BC159-BB159</f>
        <v>0</v>
      </c>
      <c r="BD238" s="23">
        <f t="shared" ref="BD238" si="2110">BD159-BC159</f>
        <v>0</v>
      </c>
      <c r="BE238" s="23">
        <f t="shared" ref="BE238" si="2111">BE159-BD159</f>
        <v>0</v>
      </c>
      <c r="BF238" s="23">
        <f t="shared" ref="BF238" si="2112">BF159-BE159</f>
        <v>0</v>
      </c>
      <c r="BG238" s="23">
        <f t="shared" ref="BG238" si="2113">BG159-BF159</f>
        <v>0</v>
      </c>
      <c r="BH238" s="23">
        <f t="shared" ref="BH238" si="2114">BH159-BG159</f>
        <v>0</v>
      </c>
      <c r="BI238" s="23">
        <f t="shared" ref="BI238" si="2115">BI159-BH159</f>
        <v>0</v>
      </c>
      <c r="BJ238" s="23">
        <f t="shared" ref="BJ238" si="2116">BJ159-BI159</f>
        <v>0</v>
      </c>
      <c r="BK238" s="23">
        <f t="shared" ref="BK238" si="2117">BK159-BJ159</f>
        <v>0</v>
      </c>
      <c r="BL238" s="23">
        <f t="shared" ref="BL238" si="2118">BL159-BK159</f>
        <v>0</v>
      </c>
      <c r="BM238" s="23">
        <f t="shared" ref="BM238" si="2119">BM159-BL159</f>
        <v>0</v>
      </c>
      <c r="BN238" s="23">
        <f t="shared" ref="BN238" si="2120">BN159-BM159</f>
        <v>0</v>
      </c>
      <c r="BO238" s="23">
        <f t="shared" ref="BO238" si="2121">BO159-BN159</f>
        <v>0</v>
      </c>
      <c r="BP238" s="23">
        <f t="shared" ref="BP238" si="2122">BP159-BO159</f>
        <v>0</v>
      </c>
      <c r="BQ238" s="23">
        <f t="shared" ref="BQ238" si="2123">BQ159-BP159</f>
        <v>0</v>
      </c>
      <c r="BR238" s="23">
        <f t="shared" ref="BR238" si="2124">BR159-BQ159</f>
        <v>0</v>
      </c>
      <c r="BS238" s="23">
        <f t="shared" ref="BS238" si="2125">BS159-BR159</f>
        <v>0</v>
      </c>
      <c r="BT238" s="23">
        <f t="shared" ref="BT238" si="2126">BT159-BS159</f>
        <v>0</v>
      </c>
      <c r="BU238" s="23">
        <f t="shared" ref="BU238" si="2127">BU159-BT159</f>
        <v>0</v>
      </c>
      <c r="BV238" s="23">
        <f t="shared" ref="BV238" si="2128">BV159-BU159</f>
        <v>0</v>
      </c>
      <c r="BW238" s="23">
        <f t="shared" ref="BW238" si="2129">BW159-BV159</f>
        <v>0</v>
      </c>
      <c r="BX238" s="23">
        <f t="shared" ref="BX238" si="2130">BX159-BW159</f>
        <v>0</v>
      </c>
      <c r="BY238" s="23">
        <f t="shared" ref="BY238" si="2131">BY159-BX159</f>
        <v>0</v>
      </c>
      <c r="BZ238" s="23">
        <f t="shared" ref="BZ238" si="2132">BZ159-BY159</f>
        <v>0</v>
      </c>
      <c r="CA238" s="23">
        <f t="shared" ref="CA238" si="2133">CA159-BZ159</f>
        <v>0</v>
      </c>
      <c r="CB238" s="23">
        <f t="shared" ref="CB238" si="2134">CB159-CA159</f>
        <v>0</v>
      </c>
      <c r="CC238" s="23">
        <f t="shared" ref="CC238" si="2135">CC159-CB159</f>
        <v>0</v>
      </c>
      <c r="CD238" s="23">
        <f t="shared" ref="CD238" si="2136">CD159-CC159</f>
        <v>0</v>
      </c>
      <c r="CE238" s="23">
        <f t="shared" ref="CE238" si="2137">CE159-CD159</f>
        <v>0</v>
      </c>
      <c r="CF238" s="23">
        <f t="shared" ref="CF238" si="2138">CF159-CE159</f>
        <v>0</v>
      </c>
      <c r="CG238" s="23">
        <f t="shared" ref="CG238" si="2139">CG159-CF159</f>
        <v>0</v>
      </c>
      <c r="CH238" s="23">
        <f t="shared" ref="CH238:CL238" si="2140">CH159-CG159</f>
        <v>9006</v>
      </c>
      <c r="CI238" s="23">
        <f t="shared" si="2140"/>
        <v>0</v>
      </c>
      <c r="CJ238" s="23">
        <f t="shared" si="2140"/>
        <v>-3384</v>
      </c>
      <c r="CK238" s="23">
        <f t="shared" ref="CK238" si="2141">CK159-CJ159</f>
        <v>0</v>
      </c>
      <c r="CL238" s="23">
        <f t="shared" si="2140"/>
        <v>-2693</v>
      </c>
      <c r="CM238" s="24">
        <f t="shared" ref="CM238" si="2142">CM159-CL159</f>
        <v>0</v>
      </c>
      <c r="CN238" s="24">
        <f t="shared" ref="CN238" si="2143">CN159-CM159</f>
        <v>0</v>
      </c>
      <c r="CO238" s="24">
        <f t="shared" ref="CO238" si="2144">CO159-CN159</f>
        <v>0</v>
      </c>
      <c r="CP238" s="24">
        <f t="shared" ref="CP238" si="2145">CP159-CO159</f>
        <v>0</v>
      </c>
      <c r="CQ238" s="24">
        <f t="shared" ref="CQ238" si="2146">CQ159-CP159</f>
        <v>0</v>
      </c>
      <c r="CR238" s="24">
        <f t="shared" ref="CR238" si="2147">CR159-CQ159</f>
        <v>0</v>
      </c>
      <c r="CS238" s="24">
        <f t="shared" ref="CS238" si="2148">CS159-CR159</f>
        <v>0</v>
      </c>
      <c r="CT238" s="24">
        <f t="shared" ref="CT238" si="2149">CT159-CS159</f>
        <v>0</v>
      </c>
      <c r="CU238" s="24">
        <f t="shared" ref="CU238" si="2150">CU159-CT159</f>
        <v>0</v>
      </c>
      <c r="CV238" s="24">
        <f t="shared" ref="CV238" si="2151">CV159-CU159</f>
        <v>0</v>
      </c>
      <c r="CW238" s="24">
        <f t="shared" ref="CW238" si="2152">CW159-CV159</f>
        <v>0</v>
      </c>
      <c r="CX238" s="24">
        <f t="shared" ref="CX238" si="2153">CX159-CW159</f>
        <v>0</v>
      </c>
      <c r="CY238" s="24">
        <f t="shared" ref="CY238" si="2154">CY159-CX159</f>
        <v>0</v>
      </c>
      <c r="CZ238" s="24">
        <f t="shared" ref="CZ238" si="2155">CZ159-CY159</f>
        <v>0</v>
      </c>
      <c r="DA238" s="24">
        <f t="shared" ref="DA238" si="2156">DA159-CZ159</f>
        <v>0</v>
      </c>
      <c r="DB238" s="24">
        <f t="shared" ref="DB238" si="2157">DB159-DA159</f>
        <v>0</v>
      </c>
      <c r="DE238" s="123"/>
      <c r="DF238" s="23">
        <v>0</v>
      </c>
    </row>
    <row r="239" spans="1:110" s="23" customFormat="1" x14ac:dyDescent="0.2">
      <c r="A239" s="23" t="s">
        <v>27</v>
      </c>
      <c r="C239" s="23" t="e">
        <f t="shared" ref="C239:AE239" si="2158">C150-C73-B150+C152-B152</f>
        <v>#REF!</v>
      </c>
      <c r="D239" s="23" t="e">
        <f t="shared" si="2158"/>
        <v>#REF!</v>
      </c>
      <c r="E239" s="23">
        <f t="shared" si="2158"/>
        <v>866.03000000000156</v>
      </c>
      <c r="F239" s="23">
        <f t="shared" si="2158"/>
        <v>-3273.8900000000012</v>
      </c>
      <c r="G239" s="23">
        <f t="shared" si="2158"/>
        <v>-2438.2599999999993</v>
      </c>
      <c r="H239" s="23">
        <f t="shared" si="2158"/>
        <v>-3887.5600000000013</v>
      </c>
      <c r="I239" s="23">
        <f t="shared" si="2158"/>
        <v>-4516.9799999999959</v>
      </c>
      <c r="J239" s="23">
        <f t="shared" si="2158"/>
        <v>1687.5599999999968</v>
      </c>
      <c r="K239" s="23">
        <f t="shared" si="2158"/>
        <v>-1213.799999999992</v>
      </c>
      <c r="L239" s="23">
        <f t="shared" si="2158"/>
        <v>832.36999999999534</v>
      </c>
      <c r="M239" s="23">
        <f t="shared" si="2158"/>
        <v>-5284.1516154584915</v>
      </c>
      <c r="N239" s="23">
        <f t="shared" si="2158"/>
        <v>-3574.3718954585038</v>
      </c>
      <c r="O239" s="23">
        <f t="shared" si="2158"/>
        <v>-764.63261599999532</v>
      </c>
      <c r="P239" s="23">
        <f t="shared" si="2158"/>
        <v>364.16132623999874</v>
      </c>
      <c r="Q239" s="23">
        <f t="shared" si="2158"/>
        <v>3502.0000000000018</v>
      </c>
      <c r="R239" s="23">
        <f t="shared" si="2158"/>
        <v>-4990.0400000000045</v>
      </c>
      <c r="S239" s="23">
        <f t="shared" si="2158"/>
        <v>-1205.5400000000118</v>
      </c>
      <c r="T239" s="23">
        <f t="shared" si="2158"/>
        <v>-466.83999999999651</v>
      </c>
      <c r="U239" s="23">
        <f t="shared" si="2158"/>
        <v>3072.2499999999891</v>
      </c>
      <c r="V239" s="23">
        <f t="shared" si="2158"/>
        <v>2591.690000000006</v>
      </c>
      <c r="W239" s="23">
        <f t="shared" si="2158"/>
        <v>2627.4099999999889</v>
      </c>
      <c r="X239" s="23">
        <f t="shared" si="2158"/>
        <v>-202.42999999998938</v>
      </c>
      <c r="Y239" s="23">
        <f t="shared" si="2158"/>
        <v>-228.84999999999854</v>
      </c>
      <c r="Z239" s="23">
        <f t="shared" si="2158"/>
        <v>-2153</v>
      </c>
      <c r="AA239" s="23">
        <f t="shared" si="2158"/>
        <v>-5420</v>
      </c>
      <c r="AB239" s="24">
        <f t="shared" si="2158"/>
        <v>-8732.3863474206337</v>
      </c>
      <c r="AC239" s="24">
        <f t="shared" si="2158"/>
        <v>12045.623993393612</v>
      </c>
      <c r="AD239" s="24">
        <f t="shared" si="2158"/>
        <v>13491.848997575329</v>
      </c>
      <c r="AE239" s="24">
        <f t="shared" si="2158"/>
        <v>15346.105034296539</v>
      </c>
      <c r="AI239" s="23">
        <f t="shared" ref="AI239:BN239" si="2159">AI150-AI73-AH150+AI152-AH152</f>
        <v>-205.34000000000043</v>
      </c>
      <c r="AJ239" s="23">
        <f t="shared" si="2159"/>
        <v>-867.01999999999987</v>
      </c>
      <c r="AK239" s="23">
        <f t="shared" si="2159"/>
        <v>0</v>
      </c>
      <c r="AL239" s="23">
        <f t="shared" si="2159"/>
        <v>770.57999999999834</v>
      </c>
      <c r="AM239" s="23">
        <f t="shared" si="2159"/>
        <v>0</v>
      </c>
      <c r="AN239" s="23">
        <f t="shared" si="2159"/>
        <v>100.27000000000339</v>
      </c>
      <c r="AO239" s="23">
        <f t="shared" si="2159"/>
        <v>0</v>
      </c>
      <c r="AP239" s="23">
        <f t="shared" si="2159"/>
        <v>-434.79000000000212</v>
      </c>
      <c r="AQ239" s="23">
        <f t="shared" si="2159"/>
        <v>0</v>
      </c>
      <c r="AR239" s="23">
        <f t="shared" si="2159"/>
        <v>1451.9300000000021</v>
      </c>
      <c r="AS239" s="23">
        <f t="shared" si="2159"/>
        <v>0</v>
      </c>
      <c r="AT239" s="23">
        <f t="shared" si="2159"/>
        <v>3286.9699999999993</v>
      </c>
      <c r="AU239" s="23">
        <f t="shared" si="2159"/>
        <v>0</v>
      </c>
      <c r="AV239" s="23">
        <f t="shared" si="2159"/>
        <v>-1.0500000000006935</v>
      </c>
      <c r="AW239" s="23">
        <f t="shared" si="2159"/>
        <v>0</v>
      </c>
      <c r="AX239" s="23">
        <f t="shared" si="2159"/>
        <v>-261.13000000000068</v>
      </c>
      <c r="AY239" s="23">
        <f t="shared" si="2159"/>
        <v>0</v>
      </c>
      <c r="AZ239" s="23">
        <f t="shared" si="2159"/>
        <v>605.01000000000181</v>
      </c>
      <c r="BA239" s="23">
        <f t="shared" si="2159"/>
        <v>0</v>
      </c>
      <c r="BB239" s="23">
        <f t="shared" si="2159"/>
        <v>1851.8499999999983</v>
      </c>
      <c r="BC239" s="23">
        <f t="shared" si="2159"/>
        <v>0</v>
      </c>
      <c r="BD239" s="23">
        <f t="shared" si="2159"/>
        <v>746.48999999999842</v>
      </c>
      <c r="BE239" s="23">
        <f t="shared" si="2159"/>
        <v>0</v>
      </c>
      <c r="BF239" s="23">
        <f t="shared" si="2159"/>
        <v>288.34999999999741</v>
      </c>
      <c r="BG239" s="23">
        <f t="shared" si="2159"/>
        <v>0</v>
      </c>
      <c r="BH239" s="23">
        <f t="shared" si="2159"/>
        <v>-1296.7899999999945</v>
      </c>
      <c r="BI239" s="23">
        <f t="shared" si="2159"/>
        <v>0</v>
      </c>
      <c r="BJ239" s="23">
        <f t="shared" si="2159"/>
        <v>-723.81000000000097</v>
      </c>
      <c r="BK239" s="23">
        <f t="shared" si="2159"/>
        <v>0</v>
      </c>
      <c r="BL239" s="23">
        <f t="shared" si="2159"/>
        <v>1379.0700000000011</v>
      </c>
      <c r="BM239" s="23">
        <f t="shared" si="2159"/>
        <v>0</v>
      </c>
      <c r="BN239" s="23">
        <f t="shared" si="2159"/>
        <v>5910.56</v>
      </c>
      <c r="BO239" s="23">
        <f t="shared" ref="BO239:CT239" si="2160">BO150-BO73-BN150+BO152-BN152</f>
        <v>0</v>
      </c>
      <c r="BP239" s="23">
        <f t="shared" si="2160"/>
        <v>3403.0899999999992</v>
      </c>
      <c r="BQ239" s="23">
        <f t="shared" si="2160"/>
        <v>0</v>
      </c>
      <c r="BR239" s="23">
        <f t="shared" si="2160"/>
        <v>-1007.680000000001</v>
      </c>
      <c r="BS239" s="23">
        <f t="shared" si="2160"/>
        <v>0</v>
      </c>
      <c r="BT239" s="23">
        <f t="shared" si="2160"/>
        <v>1896.4099999999985</v>
      </c>
      <c r="BU239" s="23">
        <f t="shared" si="2160"/>
        <v>0</v>
      </c>
      <c r="BV239" s="23">
        <f t="shared" si="2160"/>
        <v>222.14</v>
      </c>
      <c r="BW239" s="23">
        <f t="shared" si="2160"/>
        <v>0</v>
      </c>
      <c r="BX239" s="23">
        <f t="shared" si="2160"/>
        <v>473.61999999999443</v>
      </c>
      <c r="BY239" s="23">
        <f t="shared" si="2160"/>
        <v>0</v>
      </c>
      <c r="BZ239" s="23">
        <f t="shared" si="2160"/>
        <v>-3180.2699999999991</v>
      </c>
      <c r="CA239" s="23">
        <f t="shared" si="2160"/>
        <v>0</v>
      </c>
      <c r="CB239" s="23">
        <f t="shared" si="2160"/>
        <v>-1205.6200000000044</v>
      </c>
      <c r="CC239" s="23">
        <f t="shared" si="2160"/>
        <v>0</v>
      </c>
      <c r="CD239" s="23">
        <f t="shared" si="2160"/>
        <v>-6696.4799999999941</v>
      </c>
      <c r="CE239" s="23">
        <f t="shared" si="2160"/>
        <v>0</v>
      </c>
      <c r="CF239" s="23">
        <f t="shared" si="2160"/>
        <v>-2833</v>
      </c>
      <c r="CG239" s="23">
        <f t="shared" si="2160"/>
        <v>0</v>
      </c>
      <c r="CH239" s="23">
        <f t="shared" si="2160"/>
        <v>32740.5</v>
      </c>
      <c r="CI239" s="23">
        <f t="shared" si="2160"/>
        <v>0</v>
      </c>
      <c r="CJ239" s="23">
        <f t="shared" si="2160"/>
        <v>-23388</v>
      </c>
      <c r="CK239" s="23">
        <f t="shared" si="2160"/>
        <v>0</v>
      </c>
      <c r="CL239" s="23">
        <f t="shared" si="2160"/>
        <v>-12</v>
      </c>
      <c r="CM239" s="24">
        <f t="shared" si="2160"/>
        <v>0</v>
      </c>
      <c r="CN239" s="24">
        <f t="shared" si="2160"/>
        <v>0</v>
      </c>
      <c r="CO239" s="24">
        <f t="shared" si="2160"/>
        <v>0</v>
      </c>
      <c r="CP239" s="24">
        <f t="shared" si="2160"/>
        <v>0</v>
      </c>
      <c r="CQ239" s="24">
        <f t="shared" si="2160"/>
        <v>0</v>
      </c>
      <c r="CR239" s="24">
        <f t="shared" si="2160"/>
        <v>0</v>
      </c>
      <c r="CS239" s="24">
        <f t="shared" si="2160"/>
        <v>0</v>
      </c>
      <c r="CT239" s="24">
        <f t="shared" si="2160"/>
        <v>0</v>
      </c>
      <c r="CU239" s="24">
        <f t="shared" ref="CU239:DB239" si="2161">CU150-CU73-CT150+CU152-CT152</f>
        <v>0</v>
      </c>
      <c r="CV239" s="24">
        <f t="shared" si="2161"/>
        <v>0</v>
      </c>
      <c r="CW239" s="24">
        <f t="shared" si="2161"/>
        <v>0</v>
      </c>
      <c r="CX239" s="24">
        <f t="shared" si="2161"/>
        <v>-7.2759576141834259E-12</v>
      </c>
      <c r="CY239" s="24">
        <f t="shared" si="2161"/>
        <v>0</v>
      </c>
      <c r="CZ239" s="24">
        <f t="shared" si="2161"/>
        <v>0</v>
      </c>
      <c r="DA239" s="24">
        <f t="shared" si="2161"/>
        <v>0</v>
      </c>
      <c r="DB239" s="24">
        <f t="shared" si="2161"/>
        <v>0</v>
      </c>
      <c r="DE239" s="123"/>
      <c r="DF239" s="23">
        <v>0</v>
      </c>
    </row>
    <row r="240" spans="1:110" s="23" customFormat="1" x14ac:dyDescent="0.2">
      <c r="AB240" s="24"/>
      <c r="AC240" s="24"/>
      <c r="AD240" s="24"/>
      <c r="AE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E240" s="123"/>
    </row>
    <row r="241" spans="1:110" s="23" customFormat="1" x14ac:dyDescent="0.2">
      <c r="A241" s="23" t="s">
        <v>444</v>
      </c>
      <c r="C241" s="23">
        <f t="shared" ref="C241" si="2162">B193</f>
        <v>0</v>
      </c>
      <c r="D241" s="23">
        <f t="shared" ref="D241" si="2163">C193</f>
        <v>0</v>
      </c>
      <c r="E241" s="23">
        <f>D193</f>
        <v>0</v>
      </c>
      <c r="F241" s="23">
        <f t="shared" ref="F241" si="2164">E193</f>
        <v>2389.7200000000003</v>
      </c>
      <c r="G241" s="23">
        <f t="shared" ref="G241" si="2165">F193</f>
        <v>3074.4900000000002</v>
      </c>
      <c r="H241" s="23">
        <f t="shared" ref="H241" si="2166">G193</f>
        <v>1345.0499999999997</v>
      </c>
      <c r="I241" s="23">
        <f t="shared" ref="I241" si="2167">H193</f>
        <v>956.45</v>
      </c>
      <c r="J241" s="23">
        <f>I193</f>
        <v>3250.8199999999997</v>
      </c>
      <c r="K241" s="23">
        <f>J193</f>
        <v>1581.8000000000002</v>
      </c>
      <c r="L241" s="23">
        <f t="shared" ref="L241" si="2168">K193</f>
        <v>2210.1899999999987</v>
      </c>
      <c r="M241" s="23">
        <f t="shared" ref="M241" si="2169">L193</f>
        <v>2514.92</v>
      </c>
      <c r="N241" s="23">
        <f t="shared" ref="N241" si="2170">M193</f>
        <v>4431.2199999999993</v>
      </c>
      <c r="O241" s="23">
        <f t="shared" ref="O241" si="2171">N193</f>
        <v>2225.54</v>
      </c>
      <c r="P241" s="23">
        <f t="shared" ref="P241" si="2172">O193</f>
        <v>327</v>
      </c>
      <c r="Q241" s="23">
        <f t="shared" ref="Q241" si="2173">P193</f>
        <v>964.97</v>
      </c>
      <c r="R241" s="23">
        <f t="shared" ref="R241" si="2174">Q193</f>
        <v>2534.2600000000002</v>
      </c>
      <c r="S241" s="23">
        <f t="shared" ref="S241" si="2175">R193</f>
        <v>2315.1800000000012</v>
      </c>
      <c r="T241" s="23">
        <f t="shared" ref="T241" si="2176">S193</f>
        <v>2251.7499999999986</v>
      </c>
      <c r="U241" s="23">
        <f t="shared" ref="U241" si="2177">T193</f>
        <v>2866.7399999999989</v>
      </c>
      <c r="V241" s="23">
        <f t="shared" ref="V241" si="2178">U193</f>
        <v>4841.119999999999</v>
      </c>
      <c r="W241" s="23">
        <f t="shared" ref="W241:AA241" si="2179">V193</f>
        <v>6704.869999999999</v>
      </c>
      <c r="X241" s="23">
        <f t="shared" si="2179"/>
        <v>7748.51</v>
      </c>
      <c r="Y241" s="23">
        <f t="shared" si="2179"/>
        <v>4557.6100000000006</v>
      </c>
      <c r="Z241" s="23">
        <f t="shared" si="2179"/>
        <v>7145</v>
      </c>
      <c r="AA241" s="23">
        <f t="shared" si="2179"/>
        <v>4458</v>
      </c>
      <c r="AB241" s="24">
        <f t="shared" ref="AB241" si="2180">AA193</f>
        <v>4458</v>
      </c>
      <c r="AC241" s="24">
        <f t="shared" ref="AC241" si="2181">AB193</f>
        <v>16171.16923712982</v>
      </c>
      <c r="AD241" s="24">
        <f t="shared" ref="AD241" si="2182">AC193</f>
        <v>24602.291987764344</v>
      </c>
      <c r="AE241" s="24">
        <f t="shared" ref="AE241" si="2183">AD193</f>
        <v>35292.836997647559</v>
      </c>
      <c r="AI241" s="23">
        <f t="shared" ref="AI241" si="2184">AH193</f>
        <v>0</v>
      </c>
      <c r="AJ241" s="23">
        <f t="shared" ref="AJ241" si="2185">AI193</f>
        <v>0</v>
      </c>
      <c r="AK241" s="23">
        <f t="shared" ref="AK241" si="2186">AJ193</f>
        <v>0</v>
      </c>
      <c r="AL241" s="23">
        <f t="shared" ref="AL241" si="2187">AK193</f>
        <v>-458.48999999999978</v>
      </c>
      <c r="AM241" s="23">
        <f t="shared" ref="AM241" si="2188">AL193</f>
        <v>0</v>
      </c>
      <c r="AN241" s="23">
        <f t="shared" ref="AN241" si="2189">AM193</f>
        <v>703.25999999999681</v>
      </c>
      <c r="AO241" s="23">
        <f t="shared" ref="AO241" si="2190">AN193</f>
        <v>0</v>
      </c>
      <c r="AP241" s="23">
        <f t="shared" ref="AP241" si="2191">AO193</f>
        <v>1251.4000000000024</v>
      </c>
      <c r="AQ241" s="23">
        <f t="shared" ref="AQ241" si="2192">AP193</f>
        <v>0</v>
      </c>
      <c r="AR241" s="23">
        <f t="shared" ref="AR241" si="2193">AQ193</f>
        <v>393.69999999999948</v>
      </c>
      <c r="AS241" s="23">
        <f t="shared" ref="AS241" si="2194">AR193</f>
        <v>0</v>
      </c>
      <c r="AT241" s="23">
        <f t="shared" ref="AT241" si="2195">AS193</f>
        <v>-2122.7200000000007</v>
      </c>
      <c r="AU241" s="23">
        <f t="shared" ref="AU241" si="2196">AT193</f>
        <v>0</v>
      </c>
      <c r="AV241" s="23">
        <f t="shared" ref="AV241" si="2197">AU193</f>
        <v>289.8399999999998</v>
      </c>
      <c r="AW241" s="23">
        <f t="shared" ref="AW241" si="2198">AV193</f>
        <v>0</v>
      </c>
      <c r="AX241" s="23">
        <f t="shared" ref="AX241" si="2199">AW193</f>
        <v>-136.82000000000016</v>
      </c>
      <c r="AY241" s="23">
        <f t="shared" ref="AY241" si="2200">AX193</f>
        <v>0</v>
      </c>
      <c r="AZ241" s="23">
        <f t="shared" ref="AZ241" si="2201">AY193</f>
        <v>25.749999999998749</v>
      </c>
      <c r="BA241" s="23">
        <f t="shared" ref="BA241" si="2202">AZ193</f>
        <v>0</v>
      </c>
      <c r="BB241" s="23">
        <f t="shared" ref="BB241" si="2203">BA193</f>
        <v>-1045.9400000000007</v>
      </c>
      <c r="BC241" s="23">
        <f t="shared" ref="BC241" si="2204">BB193</f>
        <v>0</v>
      </c>
      <c r="BD241" s="23">
        <f t="shared" ref="BD241" si="2205">BC193</f>
        <v>-463.14000000000163</v>
      </c>
      <c r="BE241" s="23">
        <f t="shared" ref="BE241" si="2206">BD193</f>
        <v>0</v>
      </c>
      <c r="BF241" s="23">
        <f t="shared" ref="BF241" si="2207">BE193</f>
        <v>211.58999999999901</v>
      </c>
      <c r="BG241" s="23">
        <f t="shared" ref="BG241" si="2208">BF193</f>
        <v>0</v>
      </c>
      <c r="BH241" s="23">
        <f t="shared" ref="BH241" si="2209">BG193</f>
        <v>1187.6499999999974</v>
      </c>
      <c r="BI241" s="23">
        <f t="shared" ref="BI241" si="2210">BH193</f>
        <v>0</v>
      </c>
      <c r="BJ241" s="23">
        <f t="shared" ref="BJ241" si="2211">BI193</f>
        <v>617.62000000000205</v>
      </c>
      <c r="BK241" s="23">
        <f t="shared" ref="BK241" si="2212">BJ193</f>
        <v>0</v>
      </c>
      <c r="BL241" s="23">
        <f t="shared" ref="BL241" si="2213">BK193</f>
        <v>-97.100000000000591</v>
      </c>
      <c r="BM241" s="23">
        <f t="shared" ref="BM241" si="2214">BL193</f>
        <v>0</v>
      </c>
      <c r="BN241" s="23">
        <f t="shared" ref="BN241" si="2215">BM193</f>
        <v>-1039.5099999999984</v>
      </c>
      <c r="BO241" s="23">
        <f t="shared" ref="BO241" si="2216">BN193</f>
        <v>0</v>
      </c>
      <c r="BP241" s="23">
        <f t="shared" ref="BP241" si="2217">BO193</f>
        <v>-2190.64</v>
      </c>
      <c r="BQ241" s="23">
        <f t="shared" ref="BQ241" si="2218">BP193</f>
        <v>0</v>
      </c>
      <c r="BR241" s="23">
        <f t="shared" ref="BR241" si="2219">BQ193</f>
        <v>-638.04</v>
      </c>
      <c r="BS241" s="23">
        <f t="shared" ref="BS241" si="2220">BR193</f>
        <v>0</v>
      </c>
      <c r="BT241" s="23">
        <f t="shared" ref="BT241" si="2221">BS193</f>
        <v>-1320.7300000000005</v>
      </c>
      <c r="BU241" s="23">
        <f t="shared" ref="BU241" si="2222">BT193</f>
        <v>0</v>
      </c>
      <c r="BV241" s="23">
        <f t="shared" ref="BV241" si="2223">BU193</f>
        <v>-635.48999999999967</v>
      </c>
      <c r="BW241" s="23">
        <f t="shared" ref="BW241" si="2224">BV193</f>
        <v>0</v>
      </c>
      <c r="BX241" s="23">
        <f t="shared" ref="BX241" si="2225">BW193</f>
        <v>-181.02999999999756</v>
      </c>
      <c r="BY241" s="23">
        <f t="shared" ref="BY241" si="2226">BX193</f>
        <v>0</v>
      </c>
      <c r="BZ241" s="23">
        <f t="shared" ref="BZ241" si="2227">BY193</f>
        <v>484.71</v>
      </c>
      <c r="CA241" s="23">
        <f t="shared" ref="CA241" si="2228">BZ193</f>
        <v>0</v>
      </c>
      <c r="CB241" s="23">
        <f t="shared" ref="CB241" si="2229">CA193</f>
        <v>-63.999999999997328</v>
      </c>
      <c r="CC241" s="23">
        <f t="shared" ref="CC241" si="2230">CB193</f>
        <v>0</v>
      </c>
      <c r="CD241" s="23">
        <f t="shared" ref="CD241" si="2231">CC193</f>
        <v>4570.0499999999965</v>
      </c>
      <c r="CE241" s="23">
        <f t="shared" ref="CE241" si="2232">CD193</f>
        <v>0</v>
      </c>
      <c r="CF241" s="23">
        <f t="shared" ref="CF241" si="2233">CE193</f>
        <v>2190</v>
      </c>
      <c r="CG241" s="23">
        <f t="shared" ref="CG241" si="2234">CF193</f>
        <v>0</v>
      </c>
      <c r="CH241" s="23">
        <f t="shared" ref="CH241:CL241" si="2235">CG193</f>
        <v>429.89999999999964</v>
      </c>
      <c r="CI241" s="23">
        <f t="shared" si="2235"/>
        <v>4458</v>
      </c>
      <c r="CJ241" s="23">
        <f t="shared" si="2235"/>
        <v>4355.2969648482449</v>
      </c>
      <c r="CK241" s="23">
        <f t="shared" ref="CK241" si="2236">CJ193</f>
        <v>1083</v>
      </c>
      <c r="CL241" s="23">
        <f t="shared" si="2235"/>
        <v>3521.2852737085595</v>
      </c>
      <c r="CM241" s="24">
        <f t="shared" ref="CM241" si="2237">CL193</f>
        <v>8052</v>
      </c>
      <c r="CN241" s="24">
        <f t="shared" ref="CN241" si="2238">CM193</f>
        <v>5204.0863709586556</v>
      </c>
      <c r="CO241" s="24">
        <f t="shared" ref="CO241" si="2239">CN193</f>
        <v>7773.5237624817255</v>
      </c>
      <c r="CP241" s="24">
        <f t="shared" ref="CP241" si="2240">CO193</f>
        <v>11999.175439199056</v>
      </c>
      <c r="CQ241" s="24">
        <f t="shared" ref="CQ241" si="2241">CP193</f>
        <v>16171.16923712982</v>
      </c>
      <c r="CR241" s="24">
        <f t="shared" ref="CR241" si="2242">CQ193</f>
        <v>12891.534028603108</v>
      </c>
      <c r="CS241" s="24">
        <f t="shared" ref="CS241" si="2243">CR193</f>
        <v>15672.371137851296</v>
      </c>
      <c r="CT241" s="24">
        <f t="shared" ref="CT241" si="2244">CS193</f>
        <v>20175.143487725043</v>
      </c>
      <c r="CU241" s="24">
        <f t="shared" ref="CU241" si="2245">CT193</f>
        <v>24602.291987764344</v>
      </c>
      <c r="CV241" s="24">
        <f t="shared" ref="CV241" si="2246">CU193</f>
        <v>21683.631548511548</v>
      </c>
      <c r="CW241" s="24">
        <f t="shared" ref="CW241" si="2247">CV193</f>
        <v>24927.095404373726</v>
      </c>
      <c r="CX241" s="24">
        <f t="shared" ref="CX241" si="2248">CW193</f>
        <v>30102.103066542375</v>
      </c>
      <c r="CY241" s="24">
        <f t="shared" ref="CY241" si="2249">CX193</f>
        <v>35292.836997647559</v>
      </c>
      <c r="CZ241" s="24">
        <f t="shared" ref="CZ241" si="2250">CY193</f>
        <v>31869.296122080883</v>
      </c>
      <c r="DA241" s="24">
        <f t="shared" ref="DA241" si="2251">CZ193</f>
        <v>35493.909938822129</v>
      </c>
      <c r="DB241" s="24">
        <f t="shared" ref="DB241" si="2252">DA193</f>
        <v>41276.730186785564</v>
      </c>
      <c r="DE241" s="123"/>
      <c r="DF241" s="23">
        <v>3521.2852737085595</v>
      </c>
    </row>
    <row r="242" spans="1:110" s="23" customFormat="1" x14ac:dyDescent="0.2">
      <c r="A242" s="23" t="s">
        <v>445</v>
      </c>
      <c r="C242" s="23" t="e">
        <f t="shared" ref="C242:W242" si="2253">C241+C237+C233+C231</f>
        <v>#REF!</v>
      </c>
      <c r="D242" s="23" t="e">
        <f t="shared" si="2253"/>
        <v>#REF!</v>
      </c>
      <c r="E242" s="23">
        <f t="shared" si="2253"/>
        <v>2389.7199999999989</v>
      </c>
      <c r="F242" s="23">
        <f t="shared" si="2253"/>
        <v>3074.4900000000034</v>
      </c>
      <c r="G242" s="23">
        <f t="shared" si="2253"/>
        <v>1345.0499999999965</v>
      </c>
      <c r="H242" s="23">
        <f t="shared" si="2253"/>
        <v>956.45000000000346</v>
      </c>
      <c r="I242" s="23">
        <f t="shared" si="2253"/>
        <v>3250.8199999999979</v>
      </c>
      <c r="J242" s="23">
        <f>J241+J237+J233+J231</f>
        <v>1581.8000000000011</v>
      </c>
      <c r="K242" s="23">
        <f>K241+K237+K233+K231</f>
        <v>2210.1899999999951</v>
      </c>
      <c r="L242" s="23">
        <f>L241+L237+L233+L231</f>
        <v>2514.9099999999962</v>
      </c>
      <c r="M242" s="23">
        <f>M241+M237+M233+M231</f>
        <v>4431.2300000000032</v>
      </c>
      <c r="N242" s="23">
        <f t="shared" si="2253"/>
        <v>2225.54</v>
      </c>
      <c r="O242" s="23">
        <f t="shared" si="2253"/>
        <v>326.99999999999909</v>
      </c>
      <c r="P242" s="23">
        <f t="shared" si="2253"/>
        <v>964.97000000000298</v>
      </c>
      <c r="Q242" s="23">
        <f t="shared" si="2253"/>
        <v>2534.2599999999829</v>
      </c>
      <c r="R242" s="23">
        <f t="shared" si="2253"/>
        <v>2315.1800000000057</v>
      </c>
      <c r="S242" s="23">
        <f t="shared" si="2253"/>
        <v>2251.7800000000143</v>
      </c>
      <c r="T242" s="23">
        <f t="shared" si="2253"/>
        <v>2866.7099999999923</v>
      </c>
      <c r="U242" s="23">
        <f t="shared" si="2253"/>
        <v>4841.119999999999</v>
      </c>
      <c r="V242" s="23">
        <f t="shared" si="2253"/>
        <v>6704.8699999999908</v>
      </c>
      <c r="W242" s="23">
        <f t="shared" si="2253"/>
        <v>7748.5000000000073</v>
      </c>
      <c r="X242" s="23">
        <f t="shared" ref="X242:Y242" si="2254">X241+X237+X233+X231</f>
        <v>4557.6200000000008</v>
      </c>
      <c r="Y242" s="23">
        <f t="shared" si="2254"/>
        <v>7145.0000000000018</v>
      </c>
      <c r="Z242" s="23">
        <f t="shared" ref="Z242:AA242" si="2255">Z241+Z237+Z233+Z231</f>
        <v>4458</v>
      </c>
      <c r="AA242" s="23">
        <f t="shared" si="2255"/>
        <v>6670.9000000000015</v>
      </c>
      <c r="AB242" s="24">
        <f t="shared" ref="AA242:AD242" si="2256">AB241+AB237+AB233+AB231</f>
        <v>13958.269237129818</v>
      </c>
      <c r="AC242" s="24">
        <f t="shared" si="2256"/>
        <v>24602.291987764344</v>
      </c>
      <c r="AD242" s="24">
        <f t="shared" si="2256"/>
        <v>35292.836997647566</v>
      </c>
      <c r="AE242" s="24">
        <f t="shared" ref="AE242" si="2257">AE241+AE237+AE233+AE231</f>
        <v>47017.096970951119</v>
      </c>
      <c r="AI242" s="23">
        <f t="shared" ref="AI242:AL242" si="2258">AI241+AI237+AI233+AI231</f>
        <v>0</v>
      </c>
      <c r="AJ242" s="23">
        <f t="shared" si="2258"/>
        <v>0</v>
      </c>
      <c r="AK242" s="23">
        <f t="shared" si="2258"/>
        <v>-458.48999999999978</v>
      </c>
      <c r="AL242" s="23">
        <f t="shared" si="2258"/>
        <v>0</v>
      </c>
      <c r="AM242" s="23">
        <f t="shared" ref="AM242" si="2259">AM241+AM237+AM233+AM231</f>
        <v>703.25999999999681</v>
      </c>
      <c r="AN242" s="23">
        <f t="shared" ref="AN242:CD242" si="2260">AN241+AN237+AN233+AN231</f>
        <v>0</v>
      </c>
      <c r="AO242" s="23">
        <f t="shared" si="2260"/>
        <v>1251.4000000000024</v>
      </c>
      <c r="AP242" s="23">
        <f t="shared" si="2260"/>
        <v>0</v>
      </c>
      <c r="AQ242" s="23">
        <f t="shared" si="2260"/>
        <v>393.69999999999948</v>
      </c>
      <c r="AR242" s="23">
        <f t="shared" si="2260"/>
        <v>0</v>
      </c>
      <c r="AS242" s="23">
        <f t="shared" si="2260"/>
        <v>-2122.7200000000007</v>
      </c>
      <c r="AT242" s="23">
        <f t="shared" si="2260"/>
        <v>0</v>
      </c>
      <c r="AU242" s="23">
        <f t="shared" si="2260"/>
        <v>289.8399999999998</v>
      </c>
      <c r="AV242" s="23">
        <f t="shared" si="2260"/>
        <v>0</v>
      </c>
      <c r="AW242" s="23">
        <f t="shared" si="2260"/>
        <v>-136.82000000000016</v>
      </c>
      <c r="AX242" s="23">
        <f t="shared" si="2260"/>
        <v>0</v>
      </c>
      <c r="AY242" s="23">
        <f t="shared" si="2260"/>
        <v>25.749999999998749</v>
      </c>
      <c r="AZ242" s="23">
        <f t="shared" si="2260"/>
        <v>0</v>
      </c>
      <c r="BA242" s="23">
        <f t="shared" si="2260"/>
        <v>-1045.9400000000007</v>
      </c>
      <c r="BB242" s="23">
        <f t="shared" si="2260"/>
        <v>0</v>
      </c>
      <c r="BC242" s="23">
        <f t="shared" si="2260"/>
        <v>-463.14000000000163</v>
      </c>
      <c r="BD242" s="23">
        <f t="shared" si="2260"/>
        <v>0</v>
      </c>
      <c r="BE242" s="23">
        <f t="shared" si="2260"/>
        <v>211.58999999999901</v>
      </c>
      <c r="BF242" s="23">
        <f t="shared" si="2260"/>
        <v>0</v>
      </c>
      <c r="BG242" s="23">
        <f t="shared" si="2260"/>
        <v>1187.6499999999974</v>
      </c>
      <c r="BH242" s="23">
        <f t="shared" si="2260"/>
        <v>0</v>
      </c>
      <c r="BI242" s="23">
        <f t="shared" si="2260"/>
        <v>617.62000000000205</v>
      </c>
      <c r="BJ242" s="23">
        <f t="shared" si="2260"/>
        <v>0</v>
      </c>
      <c r="BK242" s="23">
        <f t="shared" si="2260"/>
        <v>-97.100000000000591</v>
      </c>
      <c r="BL242" s="23">
        <f t="shared" si="2260"/>
        <v>0</v>
      </c>
      <c r="BM242" s="23">
        <f t="shared" si="2260"/>
        <v>-1039.5099999999984</v>
      </c>
      <c r="BN242" s="23">
        <f t="shared" si="2260"/>
        <v>0</v>
      </c>
      <c r="BO242" s="23">
        <f t="shared" si="2260"/>
        <v>-2190.64</v>
      </c>
      <c r="BP242" s="23">
        <f t="shared" si="2260"/>
        <v>0</v>
      </c>
      <c r="BQ242" s="23">
        <f t="shared" si="2260"/>
        <v>-638.04</v>
      </c>
      <c r="BR242" s="23">
        <f t="shared" si="2260"/>
        <v>0</v>
      </c>
      <c r="BS242" s="23">
        <f t="shared" si="2260"/>
        <v>-1320.7300000000005</v>
      </c>
      <c r="BT242" s="23">
        <f t="shared" si="2260"/>
        <v>0</v>
      </c>
      <c r="BU242" s="23">
        <f t="shared" si="2260"/>
        <v>-635.48999999999967</v>
      </c>
      <c r="BV242" s="23">
        <f t="shared" si="2260"/>
        <v>0</v>
      </c>
      <c r="BW242" s="23">
        <f t="shared" si="2260"/>
        <v>-181.02999999999756</v>
      </c>
      <c r="BX242" s="23">
        <f t="shared" si="2260"/>
        <v>0</v>
      </c>
      <c r="BY242" s="23">
        <f t="shared" si="2260"/>
        <v>484.71</v>
      </c>
      <c r="BZ242" s="23">
        <f t="shared" si="2260"/>
        <v>0</v>
      </c>
      <c r="CA242" s="23">
        <f t="shared" si="2260"/>
        <v>-63.999999999997328</v>
      </c>
      <c r="CB242" s="23">
        <f t="shared" si="2260"/>
        <v>0</v>
      </c>
      <c r="CC242" s="23">
        <f t="shared" si="2260"/>
        <v>4570.0499999999965</v>
      </c>
      <c r="CD242" s="23">
        <f t="shared" si="2260"/>
        <v>0</v>
      </c>
      <c r="CE242" s="23">
        <f t="shared" ref="CE242:CF242" si="2261">CE241+CE237+CE233+CE231</f>
        <v>2190</v>
      </c>
      <c r="CF242" s="23">
        <f t="shared" si="2261"/>
        <v>0</v>
      </c>
      <c r="CG242" s="23">
        <f t="shared" ref="CG242:CH242" si="2262">CG241+CG237+CG233+CG231</f>
        <v>429.89999999999964</v>
      </c>
      <c r="CH242" s="23">
        <f t="shared" si="2262"/>
        <v>4458</v>
      </c>
      <c r="CI242" s="23">
        <f t="shared" ref="CI242:CJ242" si="2263">CI241+CI237+CI233+CI231</f>
        <v>4355.2969648482449</v>
      </c>
      <c r="CJ242" s="23">
        <f t="shared" si="2263"/>
        <v>1083.0000000000018</v>
      </c>
      <c r="CK242" s="23">
        <f t="shared" ref="CK242:DB242" si="2264">CK241+CK237+CK233+CK231</f>
        <v>3521.2852737085595</v>
      </c>
      <c r="CL242" s="23">
        <f t="shared" si="2264"/>
        <v>8052</v>
      </c>
      <c r="CM242" s="24">
        <f t="shared" si="2264"/>
        <v>5204.0863709586556</v>
      </c>
      <c r="CN242" s="24">
        <f t="shared" si="2264"/>
        <v>7773.5237624817255</v>
      </c>
      <c r="CO242" s="24">
        <f t="shared" si="2264"/>
        <v>11999.175439199056</v>
      </c>
      <c r="CP242" s="24">
        <f t="shared" si="2264"/>
        <v>16171.16923712982</v>
      </c>
      <c r="CQ242" s="24">
        <f t="shared" si="2264"/>
        <v>12891.534028603108</v>
      </c>
      <c r="CR242" s="24">
        <f t="shared" si="2264"/>
        <v>15672.371137851296</v>
      </c>
      <c r="CS242" s="24">
        <f t="shared" si="2264"/>
        <v>20175.143487725043</v>
      </c>
      <c r="CT242" s="24">
        <f t="shared" si="2264"/>
        <v>24602.291987764344</v>
      </c>
      <c r="CU242" s="24">
        <f t="shared" si="2264"/>
        <v>21683.631548511548</v>
      </c>
      <c r="CV242" s="24">
        <f t="shared" si="2264"/>
        <v>24927.095404373726</v>
      </c>
      <c r="CW242" s="24">
        <f t="shared" si="2264"/>
        <v>30102.103066542375</v>
      </c>
      <c r="CX242" s="24">
        <f t="shared" si="2264"/>
        <v>35292.836997647559</v>
      </c>
      <c r="CY242" s="24">
        <f t="shared" si="2264"/>
        <v>31869.296122080883</v>
      </c>
      <c r="CZ242" s="24">
        <f t="shared" si="2264"/>
        <v>35493.909938822129</v>
      </c>
      <c r="DA242" s="24">
        <f t="shared" si="2264"/>
        <v>41276.730186785564</v>
      </c>
      <c r="DB242" s="24">
        <f t="shared" si="2264"/>
        <v>47017.096970951119</v>
      </c>
      <c r="DE242" s="123"/>
      <c r="DF242" s="23">
        <v>7599.2136432307443</v>
      </c>
    </row>
    <row r="243" spans="1:110" s="28" customFormat="1" x14ac:dyDescent="0.2">
      <c r="A243" s="28" t="s">
        <v>446</v>
      </c>
      <c r="C243" s="28" t="e">
        <f t="shared" ref="C243:W243" si="2265">C242-C193</f>
        <v>#REF!</v>
      </c>
      <c r="D243" s="28" t="e">
        <f t="shared" si="2265"/>
        <v>#REF!</v>
      </c>
      <c r="E243" s="28">
        <f t="shared" si="2265"/>
        <v>0</v>
      </c>
      <c r="F243" s="28">
        <f t="shared" si="2265"/>
        <v>0</v>
      </c>
      <c r="G243" s="28">
        <f t="shared" si="2265"/>
        <v>-3.1832314562052488E-12</v>
      </c>
      <c r="H243" s="28">
        <f t="shared" si="2265"/>
        <v>3.4106051316484809E-12</v>
      </c>
      <c r="I243" s="28">
        <f t="shared" si="2265"/>
        <v>0</v>
      </c>
      <c r="J243" s="28">
        <f>J242-J193</f>
        <v>0</v>
      </c>
      <c r="K243" s="28">
        <f t="shared" si="2265"/>
        <v>-3.637978807091713E-12</v>
      </c>
      <c r="L243" s="28">
        <f t="shared" si="2265"/>
        <v>-1.0000000003856258E-2</v>
      </c>
      <c r="M243" s="28">
        <f t="shared" si="2265"/>
        <v>1.0000000003856258E-2</v>
      </c>
      <c r="N243" s="28">
        <f t="shared" si="2265"/>
        <v>0</v>
      </c>
      <c r="O243" s="28">
        <f t="shared" si="2265"/>
        <v>-9.0949470177292824E-13</v>
      </c>
      <c r="P243" s="28">
        <f t="shared" si="2265"/>
        <v>2.9558577807620168E-12</v>
      </c>
      <c r="Q243" s="28">
        <f t="shared" si="2265"/>
        <v>-1.7280399333685637E-11</v>
      </c>
      <c r="R243" s="28">
        <f t="shared" si="2265"/>
        <v>4.5474735088646412E-12</v>
      </c>
      <c r="S243" s="28">
        <f t="shared" si="2265"/>
        <v>3.0000000015661499E-2</v>
      </c>
      <c r="T243" s="28">
        <f t="shared" si="2265"/>
        <v>-3.0000000006566552E-2</v>
      </c>
      <c r="U243" s="28">
        <f t="shared" si="2265"/>
        <v>0</v>
      </c>
      <c r="V243" s="28">
        <f t="shared" si="2265"/>
        <v>-8.1854523159563541E-12</v>
      </c>
      <c r="W243" s="28">
        <f t="shared" si="2265"/>
        <v>-9.9999999929423211E-3</v>
      </c>
      <c r="X243" s="28">
        <f t="shared" ref="X243:Y243" si="2266">X242-X193</f>
        <v>1.0000000000218279E-2</v>
      </c>
      <c r="Y243" s="28">
        <f t="shared" si="2266"/>
        <v>0</v>
      </c>
      <c r="Z243" s="28">
        <f t="shared" ref="Z243:AA243" si="2267">Z242-Z193</f>
        <v>0</v>
      </c>
      <c r="AA243" s="28">
        <f t="shared" si="2267"/>
        <v>2212.9000000000015</v>
      </c>
      <c r="AB243" s="30">
        <f t="shared" ref="AA243:AD243" si="2268">AB242-AB193</f>
        <v>-2212.9000000000015</v>
      </c>
      <c r="AC243" s="30">
        <f t="shared" si="2268"/>
        <v>0</v>
      </c>
      <c r="AD243" s="30">
        <f t="shared" si="2268"/>
        <v>0</v>
      </c>
      <c r="AE243" s="30">
        <f t="shared" ref="AE243" si="2269">AE242-AE193</f>
        <v>0</v>
      </c>
      <c r="AI243" s="28">
        <f t="shared" ref="AI243:AL243" si="2270">AI242-AI193</f>
        <v>0</v>
      </c>
      <c r="AJ243" s="28">
        <f t="shared" si="2270"/>
        <v>0</v>
      </c>
      <c r="AK243" s="28">
        <f t="shared" si="2270"/>
        <v>0</v>
      </c>
      <c r="AL243" s="28">
        <f t="shared" si="2270"/>
        <v>0</v>
      </c>
      <c r="AM243" s="28">
        <f t="shared" ref="AM243" si="2271">AM242-AM193</f>
        <v>0</v>
      </c>
      <c r="AN243" s="28">
        <f t="shared" ref="AN243:CD243" si="2272">AN242-AN193</f>
        <v>0</v>
      </c>
      <c r="AO243" s="28">
        <f t="shared" si="2272"/>
        <v>0</v>
      </c>
      <c r="AP243" s="28">
        <f t="shared" si="2272"/>
        <v>0</v>
      </c>
      <c r="AQ243" s="28">
        <f t="shared" si="2272"/>
        <v>0</v>
      </c>
      <c r="AR243" s="28">
        <f t="shared" si="2272"/>
        <v>0</v>
      </c>
      <c r="AS243" s="28">
        <f t="shared" si="2272"/>
        <v>0</v>
      </c>
      <c r="AT243" s="28">
        <f t="shared" si="2272"/>
        <v>0</v>
      </c>
      <c r="AU243" s="28">
        <f t="shared" si="2272"/>
        <v>0</v>
      </c>
      <c r="AV243" s="28">
        <f t="shared" si="2272"/>
        <v>0</v>
      </c>
      <c r="AW243" s="28">
        <f t="shared" si="2272"/>
        <v>0</v>
      </c>
      <c r="AX243" s="28">
        <f t="shared" si="2272"/>
        <v>0</v>
      </c>
      <c r="AY243" s="28">
        <f t="shared" si="2272"/>
        <v>0</v>
      </c>
      <c r="AZ243" s="28">
        <f t="shared" si="2272"/>
        <v>0</v>
      </c>
      <c r="BA243" s="28">
        <f t="shared" si="2272"/>
        <v>0</v>
      </c>
      <c r="BB243" s="28">
        <f t="shared" si="2272"/>
        <v>0</v>
      </c>
      <c r="BC243" s="28">
        <f t="shared" si="2272"/>
        <v>0</v>
      </c>
      <c r="BD243" s="28">
        <f t="shared" si="2272"/>
        <v>0</v>
      </c>
      <c r="BE243" s="28">
        <f t="shared" si="2272"/>
        <v>0</v>
      </c>
      <c r="BF243" s="28">
        <f t="shared" si="2272"/>
        <v>0</v>
      </c>
      <c r="BG243" s="28">
        <f t="shared" si="2272"/>
        <v>0</v>
      </c>
      <c r="BH243" s="28">
        <f t="shared" si="2272"/>
        <v>0</v>
      </c>
      <c r="BI243" s="28">
        <f t="shared" si="2272"/>
        <v>0</v>
      </c>
      <c r="BJ243" s="28">
        <f t="shared" si="2272"/>
        <v>0</v>
      </c>
      <c r="BK243" s="28">
        <f t="shared" si="2272"/>
        <v>0</v>
      </c>
      <c r="BL243" s="28">
        <f t="shared" si="2272"/>
        <v>0</v>
      </c>
      <c r="BM243" s="28">
        <f t="shared" si="2272"/>
        <v>0</v>
      </c>
      <c r="BN243" s="28">
        <f t="shared" si="2272"/>
        <v>0</v>
      </c>
      <c r="BO243" s="28">
        <f t="shared" si="2272"/>
        <v>0</v>
      </c>
      <c r="BP243" s="28">
        <f t="shared" si="2272"/>
        <v>0</v>
      </c>
      <c r="BQ243" s="28">
        <f t="shared" si="2272"/>
        <v>0</v>
      </c>
      <c r="BR243" s="28">
        <f t="shared" si="2272"/>
        <v>0</v>
      </c>
      <c r="BS243" s="28">
        <f t="shared" si="2272"/>
        <v>0</v>
      </c>
      <c r="BT243" s="28">
        <f t="shared" si="2272"/>
        <v>0</v>
      </c>
      <c r="BU243" s="28">
        <f t="shared" si="2272"/>
        <v>0</v>
      </c>
      <c r="BV243" s="28">
        <f t="shared" si="2272"/>
        <v>0</v>
      </c>
      <c r="BW243" s="28">
        <f t="shared" si="2272"/>
        <v>0</v>
      </c>
      <c r="BX243" s="28">
        <f t="shared" si="2272"/>
        <v>0</v>
      </c>
      <c r="BY243" s="28">
        <f t="shared" si="2272"/>
        <v>0</v>
      </c>
      <c r="BZ243" s="28">
        <f t="shared" si="2272"/>
        <v>0</v>
      </c>
      <c r="CA243" s="28">
        <f t="shared" si="2272"/>
        <v>0</v>
      </c>
      <c r="CB243" s="28">
        <f t="shared" si="2272"/>
        <v>0</v>
      </c>
      <c r="CC243" s="28">
        <f t="shared" si="2272"/>
        <v>0</v>
      </c>
      <c r="CD243" s="28">
        <f t="shared" si="2272"/>
        <v>0</v>
      </c>
      <c r="CE243" s="28">
        <f t="shared" ref="CE243:CF243" si="2273">CE242-CE193</f>
        <v>0</v>
      </c>
      <c r="CF243" s="28">
        <f t="shared" si="2273"/>
        <v>0</v>
      </c>
      <c r="CG243" s="28">
        <f t="shared" ref="CG243:CH243" si="2274">CG242-CG193</f>
        <v>0</v>
      </c>
      <c r="CH243" s="28">
        <f t="shared" si="2274"/>
        <v>0</v>
      </c>
      <c r="CI243" s="28">
        <f t="shared" ref="CI243:CJ243" si="2275">CI242-CI193</f>
        <v>0</v>
      </c>
      <c r="CJ243" s="28">
        <f t="shared" si="2275"/>
        <v>1.8189894035458565E-12</v>
      </c>
      <c r="CK243" s="28">
        <f t="shared" ref="CK243:DB243" si="2276">CK242-CK193</f>
        <v>0</v>
      </c>
      <c r="CL243" s="28">
        <f t="shared" si="2276"/>
        <v>0</v>
      </c>
      <c r="CM243" s="30">
        <f t="shared" si="2276"/>
        <v>0</v>
      </c>
      <c r="CN243" s="30">
        <f t="shared" si="2276"/>
        <v>0</v>
      </c>
      <c r="CO243" s="30">
        <f t="shared" si="2276"/>
        <v>0</v>
      </c>
      <c r="CP243" s="30">
        <f t="shared" si="2276"/>
        <v>0</v>
      </c>
      <c r="CQ243" s="30">
        <f t="shared" si="2276"/>
        <v>0</v>
      </c>
      <c r="CR243" s="30">
        <f t="shared" si="2276"/>
        <v>0</v>
      </c>
      <c r="CS243" s="30">
        <f t="shared" si="2276"/>
        <v>0</v>
      </c>
      <c r="CT243" s="30">
        <f t="shared" si="2276"/>
        <v>0</v>
      </c>
      <c r="CU243" s="30">
        <f t="shared" si="2276"/>
        <v>0</v>
      </c>
      <c r="CV243" s="30">
        <f t="shared" si="2276"/>
        <v>0</v>
      </c>
      <c r="CW243" s="30">
        <f t="shared" si="2276"/>
        <v>0</v>
      </c>
      <c r="CX243" s="30">
        <f t="shared" si="2276"/>
        <v>0</v>
      </c>
      <c r="CY243" s="30">
        <f t="shared" si="2276"/>
        <v>0</v>
      </c>
      <c r="CZ243" s="30">
        <f t="shared" si="2276"/>
        <v>0</v>
      </c>
      <c r="DA243" s="30">
        <f t="shared" si="2276"/>
        <v>0</v>
      </c>
      <c r="DB243" s="30">
        <f t="shared" si="2276"/>
        <v>0</v>
      </c>
      <c r="DE243" s="139"/>
      <c r="DF243" s="28">
        <v>0</v>
      </c>
    </row>
    <row r="244" spans="1:110" s="23" customFormat="1" x14ac:dyDescent="0.2">
      <c r="AB244" s="24"/>
      <c r="AC244" s="24"/>
      <c r="AD244" s="24"/>
      <c r="AE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E244" s="123"/>
    </row>
    <row r="245" spans="1:110" s="22" customFormat="1" x14ac:dyDescent="0.2">
      <c r="A245" s="22" t="s">
        <v>96</v>
      </c>
      <c r="C245" s="22" t="e">
        <f t="shared" ref="C245:W245" si="2277">C231+C233</f>
        <v>#REF!</v>
      </c>
      <c r="D245" s="22" t="e">
        <f t="shared" si="2277"/>
        <v>#REF!</v>
      </c>
      <c r="E245" s="22">
        <f t="shared" si="2277"/>
        <v>263.91999999999734</v>
      </c>
      <c r="F245" s="22">
        <f t="shared" si="2277"/>
        <v>2723.0100000000039</v>
      </c>
      <c r="G245" s="22">
        <f t="shared" si="2277"/>
        <v>267.39999999999554</v>
      </c>
      <c r="H245" s="22">
        <f t="shared" si="2277"/>
        <v>2426.6600000000044</v>
      </c>
      <c r="I245" s="22">
        <f t="shared" si="2277"/>
        <v>4539.9699999999939</v>
      </c>
      <c r="J245" s="22">
        <f>J231+J233</f>
        <v>-10405.739999999996</v>
      </c>
      <c r="K245" s="22">
        <f t="shared" si="2277"/>
        <v>-1260.9800000000123</v>
      </c>
      <c r="L245" s="22">
        <f t="shared" si="2277"/>
        <v>1267.0100000000057</v>
      </c>
      <c r="M245" s="22">
        <f t="shared" si="2277"/>
        <v>5958.0816154584918</v>
      </c>
      <c r="N245" s="22">
        <f t="shared" si="2277"/>
        <v>-976.73810454149407</v>
      </c>
      <c r="O245" s="22">
        <f t="shared" si="2277"/>
        <v>2576.5626159999956</v>
      </c>
      <c r="P245" s="22">
        <f t="shared" si="2277"/>
        <v>-6345.0313262399995</v>
      </c>
      <c r="Q245" s="22">
        <f t="shared" si="2277"/>
        <v>4946.979999999985</v>
      </c>
      <c r="R245" s="22">
        <f t="shared" si="2277"/>
        <v>181.03000000001157</v>
      </c>
      <c r="S245" s="22">
        <f t="shared" si="2277"/>
        <v>3730.9700000000194</v>
      </c>
      <c r="T245" s="22">
        <f t="shared" si="2277"/>
        <v>-199.95000000000618</v>
      </c>
      <c r="U245" s="22">
        <f t="shared" si="2277"/>
        <v>-4458.2099999999919</v>
      </c>
      <c r="V245" s="22">
        <f t="shared" si="2277"/>
        <v>1300.659999999988</v>
      </c>
      <c r="W245" s="22">
        <f t="shared" si="2277"/>
        <v>-6243.5799999999799</v>
      </c>
      <c r="X245" s="22">
        <f t="shared" ref="X245:Y245" si="2278">X231+X233</f>
        <v>1261.9199999999869</v>
      </c>
      <c r="Y245" s="22">
        <f t="shared" si="2278"/>
        <v>7904.9300000000021</v>
      </c>
      <c r="Z245" s="22">
        <f t="shared" ref="Z245:AA245" si="2279">Z231+Z233</f>
        <v>4650</v>
      </c>
      <c r="AA245" s="22">
        <f t="shared" si="2279"/>
        <v>5599.9000000000015</v>
      </c>
      <c r="AB245" s="21">
        <f t="shared" ref="AA245:AD245" si="2280">AB231+AB233</f>
        <v>26342.655584550452</v>
      </c>
      <c r="AC245" s="21">
        <f t="shared" si="2280"/>
        <v>-3614.5012427590864</v>
      </c>
      <c r="AD245" s="21">
        <f t="shared" si="2280"/>
        <v>-2801.303987692113</v>
      </c>
      <c r="AE245" s="21">
        <f t="shared" ref="AE245" si="2281">AE231+AE233</f>
        <v>-3621.8450609929787</v>
      </c>
      <c r="AI245" s="22">
        <f t="shared" ref="AI245:AL245" si="2282">AI231+AI233</f>
        <v>205.34000000000049</v>
      </c>
      <c r="AJ245" s="22">
        <f t="shared" si="2282"/>
        <v>867.01999999999987</v>
      </c>
      <c r="AK245" s="22">
        <f t="shared" si="2282"/>
        <v>-458.48999999999978</v>
      </c>
      <c r="AL245" s="22">
        <f t="shared" si="2282"/>
        <v>-312.08999999999861</v>
      </c>
      <c r="AM245" s="22">
        <f t="shared" ref="AM245" si="2283">AM231+AM233</f>
        <v>703.25999999999681</v>
      </c>
      <c r="AN245" s="22">
        <f t="shared" ref="AN245:CD245" si="2284">AN231+AN233</f>
        <v>-803.5300000000002</v>
      </c>
      <c r="AO245" s="22">
        <f t="shared" si="2284"/>
        <v>1251.4000000000024</v>
      </c>
      <c r="AP245" s="22">
        <f t="shared" si="2284"/>
        <v>-816.61</v>
      </c>
      <c r="AQ245" s="22">
        <f t="shared" si="2284"/>
        <v>393.69999999999948</v>
      </c>
      <c r="AR245" s="22">
        <f t="shared" si="2284"/>
        <v>-1845.6300000000015</v>
      </c>
      <c r="AS245" s="22">
        <f t="shared" si="2284"/>
        <v>-2122.7200000000007</v>
      </c>
      <c r="AT245" s="22">
        <f t="shared" si="2284"/>
        <v>-1164.2499999999989</v>
      </c>
      <c r="AU245" s="22">
        <f t="shared" si="2284"/>
        <v>289.8399999999998</v>
      </c>
      <c r="AV245" s="22">
        <f t="shared" si="2284"/>
        <v>-288.78999999999911</v>
      </c>
      <c r="AW245" s="22">
        <f t="shared" si="2284"/>
        <v>-136.82000000000016</v>
      </c>
      <c r="AX245" s="22">
        <f t="shared" si="2284"/>
        <v>397.95000000000084</v>
      </c>
      <c r="AY245" s="22">
        <f t="shared" si="2284"/>
        <v>25.749999999998749</v>
      </c>
      <c r="AZ245" s="22">
        <f t="shared" si="2284"/>
        <v>-630.76000000000056</v>
      </c>
      <c r="BA245" s="22">
        <f t="shared" si="2284"/>
        <v>-1045.9400000000007</v>
      </c>
      <c r="BB245" s="22">
        <f t="shared" si="2284"/>
        <v>-805.90999999999758</v>
      </c>
      <c r="BC245" s="22">
        <f t="shared" si="2284"/>
        <v>-463.14000000000163</v>
      </c>
      <c r="BD245" s="22">
        <f t="shared" si="2284"/>
        <v>-283.34999999999684</v>
      </c>
      <c r="BE245" s="22">
        <f t="shared" si="2284"/>
        <v>211.58999999999901</v>
      </c>
      <c r="BF245" s="22">
        <f t="shared" si="2284"/>
        <v>-499.93999999999642</v>
      </c>
      <c r="BG245" s="22">
        <f t="shared" si="2284"/>
        <v>1187.6499999999974</v>
      </c>
      <c r="BH245" s="22">
        <f t="shared" si="2284"/>
        <v>109.13999999999703</v>
      </c>
      <c r="BI245" s="22">
        <f t="shared" si="2284"/>
        <v>617.62000000000205</v>
      </c>
      <c r="BJ245" s="22">
        <f t="shared" si="2284"/>
        <v>106.18999999999903</v>
      </c>
      <c r="BK245" s="22">
        <f t="shared" si="2284"/>
        <v>-97.100000000000591</v>
      </c>
      <c r="BL245" s="22">
        <f t="shared" si="2284"/>
        <v>-1281.9700000000005</v>
      </c>
      <c r="BM245" s="22">
        <f t="shared" si="2284"/>
        <v>-1039.5099999999984</v>
      </c>
      <c r="BN245" s="22">
        <f t="shared" si="2284"/>
        <v>-4871.050000000002</v>
      </c>
      <c r="BO245" s="22">
        <f t="shared" si="2284"/>
        <v>-2190.64</v>
      </c>
      <c r="BP245" s="22">
        <f t="shared" si="2284"/>
        <v>-1212.4499999999991</v>
      </c>
      <c r="BQ245" s="22">
        <f t="shared" si="2284"/>
        <v>-638.04</v>
      </c>
      <c r="BR245" s="22">
        <f t="shared" si="2284"/>
        <v>1645.7200000000009</v>
      </c>
      <c r="BS245" s="22">
        <f t="shared" si="2284"/>
        <v>-1320.7300000000005</v>
      </c>
      <c r="BT245" s="22">
        <f t="shared" si="2284"/>
        <v>-575.67999999999813</v>
      </c>
      <c r="BU245" s="22">
        <f t="shared" si="2284"/>
        <v>-635.48999999999967</v>
      </c>
      <c r="BV245" s="22">
        <f t="shared" si="2284"/>
        <v>413.34999999999968</v>
      </c>
      <c r="BW245" s="22">
        <f t="shared" si="2284"/>
        <v>-181.02999999999756</v>
      </c>
      <c r="BX245" s="22">
        <f t="shared" si="2284"/>
        <v>-292.58999999999685</v>
      </c>
      <c r="BY245" s="22">
        <f t="shared" si="2284"/>
        <v>484.71</v>
      </c>
      <c r="BZ245" s="22">
        <f t="shared" si="2284"/>
        <v>2695.559999999999</v>
      </c>
      <c r="CA245" s="22">
        <f t="shared" si="2284"/>
        <v>-63.999999999997328</v>
      </c>
      <c r="CB245" s="22">
        <f t="shared" si="2284"/>
        <v>1269.6200000000017</v>
      </c>
      <c r="CC245" s="22">
        <f t="shared" si="2284"/>
        <v>4570.0499999999965</v>
      </c>
      <c r="CD245" s="22">
        <f t="shared" si="2284"/>
        <v>2126.429999999998</v>
      </c>
      <c r="CE245" s="22">
        <f t="shared" ref="CE245:CF245" si="2285">CE231+CE233</f>
        <v>2190</v>
      </c>
      <c r="CF245" s="22">
        <f t="shared" si="2285"/>
        <v>643</v>
      </c>
      <c r="CG245" s="22">
        <f t="shared" ref="CG245:CH245" si="2286">CG231+CG233</f>
        <v>429.89999999999964</v>
      </c>
      <c r="CH245" s="22">
        <f t="shared" si="2286"/>
        <v>-37718.400000000001</v>
      </c>
      <c r="CI245" s="22">
        <f t="shared" ref="CI245:CJ245" si="2287">CI231+CI233</f>
        <v>-102.7030351517551</v>
      </c>
      <c r="CJ245" s="22">
        <f t="shared" si="2287"/>
        <v>23499.703035151753</v>
      </c>
      <c r="CK245" s="22">
        <f t="shared" ref="CK245:DB245" si="2288">CK231+CK233</f>
        <v>2438.2852737085595</v>
      </c>
      <c r="CL245" s="22">
        <f t="shared" si="2288"/>
        <v>7235.7147262914405</v>
      </c>
      <c r="CM245" s="21">
        <f t="shared" si="2288"/>
        <v>-2847.9136290413444</v>
      </c>
      <c r="CN245" s="21">
        <f t="shared" si="2288"/>
        <v>2569.4373915230694</v>
      </c>
      <c r="CO245" s="21">
        <f t="shared" si="2288"/>
        <v>4225.6516767173307</v>
      </c>
      <c r="CP245" s="21">
        <f t="shared" si="2288"/>
        <v>4171.9937979307633</v>
      </c>
      <c r="CQ245" s="21">
        <f t="shared" si="2288"/>
        <v>-3279.6352085267117</v>
      </c>
      <c r="CR245" s="21">
        <f t="shared" si="2288"/>
        <v>2780.8371092481889</v>
      </c>
      <c r="CS245" s="21">
        <f t="shared" si="2288"/>
        <v>4502.7723498737469</v>
      </c>
      <c r="CT245" s="21">
        <f t="shared" si="2288"/>
        <v>4427.1485000393013</v>
      </c>
      <c r="CU245" s="21">
        <f t="shared" si="2288"/>
        <v>-2918.6604392527943</v>
      </c>
      <c r="CV245" s="21">
        <f t="shared" si="2288"/>
        <v>3243.4638558621764</v>
      </c>
      <c r="CW245" s="21">
        <f t="shared" si="2288"/>
        <v>5175.0076621686476</v>
      </c>
      <c r="CX245" s="21">
        <f t="shared" si="2288"/>
        <v>5190.7339311051874</v>
      </c>
      <c r="CY245" s="21">
        <f t="shared" si="2288"/>
        <v>-3423.5408755666745</v>
      </c>
      <c r="CZ245" s="21">
        <f t="shared" si="2288"/>
        <v>3624.6138167412464</v>
      </c>
      <c r="DA245" s="21">
        <f t="shared" si="2288"/>
        <v>5782.8202479634319</v>
      </c>
      <c r="DB245" s="21">
        <f t="shared" si="2288"/>
        <v>5740.3667841655551</v>
      </c>
      <c r="DE245" s="127"/>
      <c r="DF245" s="22">
        <v>4077.9283695221848</v>
      </c>
    </row>
    <row r="246" spans="1:110" x14ac:dyDescent="0.2">
      <c r="A246" s="152" t="s">
        <v>499</v>
      </c>
      <c r="AA246" s="2"/>
      <c r="CL246" s="2"/>
    </row>
    <row r="247" spans="1:110" x14ac:dyDescent="0.2">
      <c r="AA247" s="2"/>
      <c r="CL247" s="2"/>
    </row>
    <row r="248" spans="1:110" s="7" customFormat="1" hidden="1" outlineLevel="1" x14ac:dyDescent="0.2">
      <c r="A248" s="61" t="s">
        <v>97</v>
      </c>
      <c r="AB248" s="77"/>
      <c r="AC248" s="77"/>
      <c r="AD248" s="77"/>
      <c r="AE248" s="77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E248" s="138"/>
    </row>
    <row r="249" spans="1:110" s="62" customFormat="1" hidden="1" outlineLevel="1" x14ac:dyDescent="0.2">
      <c r="A249" s="62" t="s">
        <v>98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2" customFormat="1" hidden="1" outlineLevel="1" x14ac:dyDescent="0.2">
      <c r="A250" s="62" t="s">
        <v>99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hidden="1" outlineLevel="1" x14ac:dyDescent="0.2">
      <c r="A251" s="62" t="s">
        <v>100</v>
      </c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2" customFormat="1" hidden="1" outlineLevel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11" customFormat="1" collapsed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83" customFormat="1" x14ac:dyDescent="0.2">
      <c r="A256" s="82" t="s">
        <v>101</v>
      </c>
      <c r="AB256" s="72"/>
      <c r="AC256" s="72"/>
      <c r="AD256" s="72"/>
      <c r="AE256" s="72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6" customFormat="1" x14ac:dyDescent="0.2">
      <c r="A257" s="66" t="s">
        <v>473</v>
      </c>
      <c r="AB257" s="50"/>
      <c r="AC257" s="50"/>
      <c r="AD257" s="50"/>
      <c r="AE257" s="50"/>
      <c r="AL257" s="66">
        <f t="shared" ref="AL257:BQ257" si="2289">SUM(AI32:AL32)</f>
        <v>44765.63</v>
      </c>
      <c r="AM257" s="66">
        <f t="shared" si="2289"/>
        <v>43283.72</v>
      </c>
      <c r="AN257" s="66">
        <f t="shared" si="2289"/>
        <v>39670.83</v>
      </c>
      <c r="AO257" s="66">
        <f t="shared" si="2289"/>
        <v>36810.410000000003</v>
      </c>
      <c r="AP257" s="66">
        <f t="shared" si="2289"/>
        <v>34288.11</v>
      </c>
      <c r="AQ257" s="66">
        <f t="shared" si="2289"/>
        <v>32888.370000000003</v>
      </c>
      <c r="AR257" s="66">
        <f t="shared" si="2289"/>
        <v>32772</v>
      </c>
      <c r="AS257" s="66">
        <f t="shared" si="2289"/>
        <v>34058.409999999996</v>
      </c>
      <c r="AT257" s="66">
        <f t="shared" si="2289"/>
        <v>36297.199999999997</v>
      </c>
      <c r="AU257" s="66">
        <f t="shared" si="2289"/>
        <v>37916.639999999999</v>
      </c>
      <c r="AV257" s="66">
        <f t="shared" si="2289"/>
        <v>39858.25</v>
      </c>
      <c r="AW257" s="66">
        <f t="shared" si="2289"/>
        <v>40843.960000000006</v>
      </c>
      <c r="AX257" s="66">
        <f t="shared" si="2289"/>
        <v>42859.360000000001</v>
      </c>
      <c r="AY257" s="66">
        <f t="shared" si="2289"/>
        <v>43824.880000000005</v>
      </c>
      <c r="AZ257" s="66">
        <f t="shared" si="2289"/>
        <v>43413.36</v>
      </c>
      <c r="BA257" s="66">
        <f t="shared" si="2289"/>
        <v>43576.99</v>
      </c>
      <c r="BB257" s="66">
        <f t="shared" si="2289"/>
        <v>44351.45</v>
      </c>
      <c r="BC257" s="66">
        <f t="shared" si="2289"/>
        <v>43149.55</v>
      </c>
      <c r="BD257" s="66">
        <f t="shared" si="2289"/>
        <v>46665.45</v>
      </c>
      <c r="BE257" s="66">
        <f t="shared" si="2289"/>
        <v>52422.42</v>
      </c>
      <c r="BF257" s="66">
        <f t="shared" si="2289"/>
        <v>58021.74</v>
      </c>
      <c r="BG257" s="66">
        <f t="shared" si="2289"/>
        <v>65608.91</v>
      </c>
      <c r="BH257" s="66">
        <f t="shared" si="2289"/>
        <v>69569.53</v>
      </c>
      <c r="BI257" s="66">
        <f t="shared" si="2289"/>
        <v>69814.81</v>
      </c>
      <c r="BJ257" s="66">
        <f t="shared" si="2289"/>
        <v>69202.759999999995</v>
      </c>
      <c r="BK257" s="66">
        <f t="shared" si="2289"/>
        <v>65879.680000000008</v>
      </c>
      <c r="BL257" s="66">
        <f t="shared" si="2289"/>
        <v>58121.47</v>
      </c>
      <c r="BM257" s="66">
        <f t="shared" si="2289"/>
        <v>52756.710000000006</v>
      </c>
      <c r="BN257" s="66">
        <f t="shared" si="2289"/>
        <v>43928.17</v>
      </c>
      <c r="BO257" s="66">
        <f t="shared" si="2289"/>
        <v>33263.129999999997</v>
      </c>
      <c r="BP257" s="66">
        <f t="shared" si="2289"/>
        <v>32930.75</v>
      </c>
      <c r="BQ257" s="66">
        <f t="shared" si="2289"/>
        <v>36718.439999999995</v>
      </c>
      <c r="BR257" s="66">
        <f t="shared" ref="BR257:CW257" si="2290">SUM(BO32:BR32)</f>
        <v>47031.47</v>
      </c>
      <c r="BS257" s="66">
        <f t="shared" si="2290"/>
        <v>56248.790000000008</v>
      </c>
      <c r="BT257" s="66">
        <f t="shared" si="2290"/>
        <v>57576.710000000006</v>
      </c>
      <c r="BU257" s="66">
        <f t="shared" si="2290"/>
        <v>55298.89</v>
      </c>
      <c r="BV257" s="66">
        <f t="shared" si="2290"/>
        <v>52591.259999999995</v>
      </c>
      <c r="BW257" s="66">
        <f t="shared" si="2290"/>
        <v>55561.510000000009</v>
      </c>
      <c r="BX257" s="66">
        <f t="shared" si="2290"/>
        <v>59512.270000000004</v>
      </c>
      <c r="BY257" s="66">
        <f t="shared" si="2290"/>
        <v>62953.47</v>
      </c>
      <c r="BZ257" s="66">
        <f t="shared" si="2290"/>
        <v>65757.33</v>
      </c>
      <c r="CA257" s="66">
        <f t="shared" si="2290"/>
        <v>66715.460000000006</v>
      </c>
      <c r="CB257" s="66">
        <f t="shared" si="2290"/>
        <v>70310.38</v>
      </c>
      <c r="CC257" s="66">
        <f t="shared" si="2290"/>
        <v>73184.959999999992</v>
      </c>
      <c r="CD257" s="66">
        <f t="shared" si="2290"/>
        <v>73303.070000000007</v>
      </c>
      <c r="CE257" s="66">
        <f t="shared" si="2290"/>
        <v>74332.5</v>
      </c>
      <c r="CF257" s="66">
        <f t="shared" si="2290"/>
        <v>71308.800000000003</v>
      </c>
      <c r="CG257" s="66">
        <f t="shared" si="2290"/>
        <v>69680.239999999991</v>
      </c>
      <c r="CH257" s="66">
        <f t="shared" si="2290"/>
        <v>69419</v>
      </c>
      <c r="CI257" s="66">
        <f t="shared" si="2290"/>
        <v>68239</v>
      </c>
      <c r="CJ257" s="66">
        <f t="shared" si="2290"/>
        <v>69869</v>
      </c>
      <c r="CK257" s="66">
        <f t="shared" si="2290"/>
        <v>73460</v>
      </c>
      <c r="CL257" s="66">
        <f t="shared" si="2290"/>
        <v>78177</v>
      </c>
      <c r="CM257" s="50">
        <f t="shared" si="2290"/>
        <v>79954.214141649165</v>
      </c>
      <c r="CN257" s="50">
        <f t="shared" si="2290"/>
        <v>82136.970852159255</v>
      </c>
      <c r="CO257" s="50">
        <f t="shared" si="2290"/>
        <v>84936.934551859522</v>
      </c>
      <c r="CP257" s="50">
        <f t="shared" si="2290"/>
        <v>87366.163651030249</v>
      </c>
      <c r="CQ257" s="50">
        <f t="shared" si="2290"/>
        <v>89038.26699815059</v>
      </c>
      <c r="CR257" s="50">
        <f t="shared" si="2290"/>
        <v>90840.408515850722</v>
      </c>
      <c r="CS257" s="50">
        <f t="shared" si="2290"/>
        <v>92821.727364580613</v>
      </c>
      <c r="CT257" s="50">
        <f t="shared" si="2290"/>
        <v>94717.369000015446</v>
      </c>
      <c r="CU257" s="50">
        <f t="shared" si="2290"/>
        <v>96776.914500972125</v>
      </c>
      <c r="CV257" s="50">
        <f t="shared" si="2290"/>
        <v>99151.867805999485</v>
      </c>
      <c r="CW257" s="50">
        <f t="shared" si="2290"/>
        <v>102120.15809225272</v>
      </c>
      <c r="CX257" s="50">
        <f t="shared" ref="CX257:DB257" si="2291">SUM(CU32:CX32)</f>
        <v>105678.2994552767</v>
      </c>
      <c r="CY257" s="50">
        <f t="shared" si="2291"/>
        <v>108104.08519145299</v>
      </c>
      <c r="CZ257" s="50">
        <f t="shared" si="2291"/>
        <v>110878.12455321722</v>
      </c>
      <c r="DA257" s="50">
        <f t="shared" si="2291"/>
        <v>114256.68688042226</v>
      </c>
      <c r="DB257" s="50">
        <f t="shared" si="2291"/>
        <v>118074.8077757274</v>
      </c>
      <c r="DE257" s="138"/>
      <c r="DF257" s="66">
        <v>77758.636705281649</v>
      </c>
    </row>
    <row r="258" spans="1:110" s="66" customFormat="1" x14ac:dyDescent="0.2">
      <c r="A258" s="66" t="s">
        <v>474</v>
      </c>
      <c r="AB258" s="50"/>
      <c r="AC258" s="50"/>
      <c r="AD258" s="50"/>
      <c r="AE258" s="50"/>
      <c r="AL258" s="66">
        <f t="shared" ref="AL258:BQ258" si="2292">SUM(AI52:AL52)</f>
        <v>1717.9500000000021</v>
      </c>
      <c r="AM258" s="66">
        <f t="shared" si="2292"/>
        <v>1123.3299999999986</v>
      </c>
      <c r="AN258" s="66">
        <f t="shared" si="2292"/>
        <v>551.16999999999825</v>
      </c>
      <c r="AO258" s="66">
        <f t="shared" si="2292"/>
        <v>-53.170000000000073</v>
      </c>
      <c r="AP258" s="66">
        <f t="shared" si="2292"/>
        <v>-910.59000000000151</v>
      </c>
      <c r="AQ258" s="66">
        <f t="shared" si="2292"/>
        <v>-1309.9899999999989</v>
      </c>
      <c r="AR258" s="66">
        <f t="shared" si="2292"/>
        <v>-1653.56</v>
      </c>
      <c r="AS258" s="66">
        <f t="shared" si="2292"/>
        <v>-1756.0900000000024</v>
      </c>
      <c r="AT258" s="66">
        <f t="shared" si="2292"/>
        <v>-959.04000000000133</v>
      </c>
      <c r="AU258" s="66">
        <f t="shared" si="2292"/>
        <v>-194.13000000000102</v>
      </c>
      <c r="AV258" s="66">
        <f t="shared" si="2292"/>
        <v>845.33000000000129</v>
      </c>
      <c r="AW258" s="66">
        <f t="shared" si="2292"/>
        <v>1904.3700000000017</v>
      </c>
      <c r="AX258" s="66">
        <f t="shared" si="2292"/>
        <v>2961.3400000000015</v>
      </c>
      <c r="AY258" s="66">
        <f t="shared" si="2292"/>
        <v>3044.1500000000005</v>
      </c>
      <c r="AZ258" s="66">
        <f t="shared" si="2292"/>
        <v>2532.849999999999</v>
      </c>
      <c r="BA258" s="66">
        <f t="shared" si="2292"/>
        <v>2097.4499999999985</v>
      </c>
      <c r="BB258" s="66">
        <f t="shared" si="2292"/>
        <v>1280.75</v>
      </c>
      <c r="BC258" s="66">
        <f t="shared" si="2292"/>
        <v>668.09999999999945</v>
      </c>
      <c r="BD258" s="66">
        <f t="shared" si="2292"/>
        <v>1209.7500000000032</v>
      </c>
      <c r="BE258" s="66">
        <f t="shared" si="2292"/>
        <v>2309.2600000000029</v>
      </c>
      <c r="BF258" s="66">
        <f t="shared" si="2292"/>
        <v>2513.2600000000043</v>
      </c>
      <c r="BG258" s="66">
        <f t="shared" si="2292"/>
        <v>3908.4100000000035</v>
      </c>
      <c r="BH258" s="66">
        <f t="shared" si="2292"/>
        <v>4498.9399999999969</v>
      </c>
      <c r="BI258" s="66">
        <f t="shared" si="2292"/>
        <v>4646.7000000000007</v>
      </c>
      <c r="BJ258" s="66">
        <f t="shared" si="2292"/>
        <v>5154.769999999995</v>
      </c>
      <c r="BK258" s="66">
        <f t="shared" si="2292"/>
        <v>4557.2099999999973</v>
      </c>
      <c r="BL258" s="66">
        <f t="shared" si="2292"/>
        <v>2645.43</v>
      </c>
      <c r="BM258" s="66">
        <f t="shared" si="2292"/>
        <v>1283.5199999999995</v>
      </c>
      <c r="BN258" s="66">
        <f t="shared" si="2292"/>
        <v>-550.54000000000133</v>
      </c>
      <c r="BO258" s="66">
        <f t="shared" si="2292"/>
        <v>-2131.0800000000008</v>
      </c>
      <c r="BP258" s="66">
        <f t="shared" si="2292"/>
        <v>-1515.6799999999994</v>
      </c>
      <c r="BQ258" s="66">
        <f t="shared" si="2292"/>
        <v>-613.38000000000102</v>
      </c>
      <c r="BR258" s="66">
        <f t="shared" ref="BR258:CW258" si="2293">SUM(BO52:BR52)</f>
        <v>1494.2500000000018</v>
      </c>
      <c r="BS258" s="66">
        <f t="shared" si="2293"/>
        <v>2425.7900000000013</v>
      </c>
      <c r="BT258" s="66">
        <f t="shared" si="2293"/>
        <v>2565.4700000000021</v>
      </c>
      <c r="BU258" s="66">
        <f t="shared" si="2293"/>
        <v>2016.9800000000023</v>
      </c>
      <c r="BV258" s="66">
        <f t="shared" si="2293"/>
        <v>1748.670000000001</v>
      </c>
      <c r="BW258" s="66">
        <f t="shared" si="2293"/>
        <v>2351.0400000000041</v>
      </c>
      <c r="BX258" s="66">
        <f t="shared" si="2293"/>
        <v>2760.9400000000055</v>
      </c>
      <c r="BY258" s="66">
        <f t="shared" si="2293"/>
        <v>3825.7000000000053</v>
      </c>
      <c r="BZ258" s="66">
        <f t="shared" si="2293"/>
        <v>4789.3300000000036</v>
      </c>
      <c r="CA258" s="66">
        <f t="shared" si="2293"/>
        <v>5425.8400000000047</v>
      </c>
      <c r="CB258" s="66">
        <f t="shared" si="2293"/>
        <v>6754.5600000000031</v>
      </c>
      <c r="CC258" s="66">
        <f t="shared" si="2293"/>
        <v>7521.92</v>
      </c>
      <c r="CD258" s="66">
        <f t="shared" si="2293"/>
        <v>7870.09</v>
      </c>
      <c r="CE258" s="66">
        <f t="shared" si="2293"/>
        <v>8457.7599999999984</v>
      </c>
      <c r="CF258" s="66">
        <f t="shared" si="2293"/>
        <v>8130.7499999999964</v>
      </c>
      <c r="CG258" s="66">
        <f t="shared" si="2293"/>
        <v>7038.3299999999981</v>
      </c>
      <c r="CH258" s="66">
        <f t="shared" si="2293"/>
        <v>5997.4999999999982</v>
      </c>
      <c r="CI258" s="66">
        <f t="shared" si="2293"/>
        <v>5971.4999999999982</v>
      </c>
      <c r="CJ258" s="66">
        <f t="shared" si="2293"/>
        <v>6395.4999999999982</v>
      </c>
      <c r="CK258" s="66">
        <f t="shared" si="2293"/>
        <v>7960.5999999999985</v>
      </c>
      <c r="CL258" s="66">
        <f t="shared" si="2293"/>
        <v>9880</v>
      </c>
      <c r="CM258" s="50">
        <f t="shared" si="2293"/>
        <v>10180.071055736431</v>
      </c>
      <c r="CN258" s="50">
        <f t="shared" si="2293"/>
        <v>10551.678688144817</v>
      </c>
      <c r="CO258" s="50">
        <f t="shared" si="2293"/>
        <v>10946.14835319054</v>
      </c>
      <c r="CP258" s="50">
        <f t="shared" si="2293"/>
        <v>11127.065907240532</v>
      </c>
      <c r="CQ258" s="50">
        <f t="shared" si="2293"/>
        <v>11405.633617050898</v>
      </c>
      <c r="CR258" s="50">
        <f t="shared" si="2293"/>
        <v>11702.605656322412</v>
      </c>
      <c r="CS258" s="50">
        <f t="shared" si="2293"/>
        <v>12024.097496127331</v>
      </c>
      <c r="CT258" s="50">
        <f t="shared" si="2293"/>
        <v>12351.724916190269</v>
      </c>
      <c r="CU258" s="50">
        <f t="shared" si="2293"/>
        <v>12682.448198020254</v>
      </c>
      <c r="CV258" s="50">
        <f t="shared" si="2293"/>
        <v>13060.11516728021</v>
      </c>
      <c r="CW258" s="50">
        <f t="shared" si="2293"/>
        <v>13477.791225009929</v>
      </c>
      <c r="CX258" s="50">
        <f t="shared" ref="CX258:DB258" si="2294">SUM(CU52:CX52)</f>
        <v>13966.252278154665</v>
      </c>
      <c r="CY258" s="50">
        <f t="shared" si="2294"/>
        <v>14288.764860984817</v>
      </c>
      <c r="CZ258" s="50">
        <f t="shared" si="2294"/>
        <v>14640.283372559727</v>
      </c>
      <c r="DA258" s="50">
        <f t="shared" si="2294"/>
        <v>15094.417328146439</v>
      </c>
      <c r="DB258" s="50">
        <f t="shared" si="2294"/>
        <v>15601.83359957151</v>
      </c>
      <c r="DE258" s="138"/>
      <c r="DF258" s="66">
        <v>9566.8536733856854</v>
      </c>
    </row>
    <row r="259" spans="1:110" s="66" customFormat="1" x14ac:dyDescent="0.2">
      <c r="A259" s="66" t="s">
        <v>475</v>
      </c>
      <c r="AB259" s="50"/>
      <c r="AC259" s="50"/>
      <c r="AD259" s="50"/>
      <c r="AE259" s="50"/>
      <c r="AL259" s="66">
        <f t="shared" ref="AL259:BQ259" si="2295">SUM(AI65:AL65)</f>
        <v>727.65000000000202</v>
      </c>
      <c r="AM259" s="66">
        <f t="shared" si="2295"/>
        <v>1218.8099999999984</v>
      </c>
      <c r="AN259" s="66">
        <f t="shared" si="2295"/>
        <v>-424.56000000000176</v>
      </c>
      <c r="AO259" s="66">
        <f t="shared" si="2295"/>
        <v>-631.82000000000005</v>
      </c>
      <c r="AP259" s="66">
        <f t="shared" si="2295"/>
        <v>-1073.5200000000013</v>
      </c>
      <c r="AQ259" s="66">
        <f t="shared" si="2295"/>
        <v>-1512.4899999999989</v>
      </c>
      <c r="AR259" s="66">
        <f t="shared" si="2295"/>
        <v>-2809.45</v>
      </c>
      <c r="AS259" s="66">
        <f t="shared" si="2295"/>
        <v>-3730.6600000000026</v>
      </c>
      <c r="AT259" s="66">
        <f t="shared" si="2295"/>
        <v>-4038.7600000000011</v>
      </c>
      <c r="AU259" s="66">
        <f t="shared" si="2295"/>
        <v>-4461.3100000000013</v>
      </c>
      <c r="AV259" s="66">
        <f t="shared" si="2295"/>
        <v>-2626.5499999999984</v>
      </c>
      <c r="AW259" s="66">
        <f t="shared" si="2295"/>
        <v>-1002.1199999999982</v>
      </c>
      <c r="AX259" s="66">
        <f t="shared" si="2295"/>
        <v>446.3400000000014</v>
      </c>
      <c r="AY259" s="66">
        <f t="shared" si="2295"/>
        <v>554.98000000000047</v>
      </c>
      <c r="AZ259" s="66">
        <f t="shared" si="2295"/>
        <v>-162.57000000000107</v>
      </c>
      <c r="BA259" s="66">
        <f t="shared" si="2295"/>
        <v>-1209.2300000000016</v>
      </c>
      <c r="BB259" s="66">
        <f t="shared" si="2295"/>
        <v>-2370.6000000000004</v>
      </c>
      <c r="BC259" s="66">
        <f t="shared" si="2295"/>
        <v>-2946.1000000000008</v>
      </c>
      <c r="BD259" s="66">
        <f t="shared" si="2295"/>
        <v>-2455.3799999999969</v>
      </c>
      <c r="BE259" s="66">
        <f t="shared" si="2295"/>
        <v>-1381.3599999999969</v>
      </c>
      <c r="BF259" s="66">
        <f t="shared" si="2295"/>
        <v>-51.109999999995921</v>
      </c>
      <c r="BG259" s="66">
        <f t="shared" si="2295"/>
        <v>1802.5400000000031</v>
      </c>
      <c r="BH259" s="66">
        <f t="shared" si="2295"/>
        <v>2516.6499999999974</v>
      </c>
      <c r="BI259" s="66">
        <f t="shared" si="2295"/>
        <v>2886.1600000000003</v>
      </c>
      <c r="BJ259" s="66">
        <f t="shared" si="2295"/>
        <v>2438.8899999999953</v>
      </c>
      <c r="BK259" s="66">
        <f t="shared" si="2295"/>
        <v>929.84999999999741</v>
      </c>
      <c r="BL259" s="66">
        <f t="shared" si="2295"/>
        <v>-996.55000000000018</v>
      </c>
      <c r="BM259" s="66">
        <f t="shared" si="2295"/>
        <v>-2487.8000000000006</v>
      </c>
      <c r="BN259" s="66">
        <f t="shared" si="2295"/>
        <v>-4678.0700000000015</v>
      </c>
      <c r="BO259" s="66">
        <f t="shared" si="2295"/>
        <v>-6672.5800000000008</v>
      </c>
      <c r="BP259" s="66">
        <f t="shared" si="2295"/>
        <v>-6451.0599999999995</v>
      </c>
      <c r="BQ259" s="66">
        <f t="shared" si="2295"/>
        <v>-5987.3200000000015</v>
      </c>
      <c r="BR259" s="66">
        <f t="shared" ref="BR259:CW259" si="2296">SUM(BO65:BR65)</f>
        <v>-3785.8199999999983</v>
      </c>
      <c r="BS259" s="66">
        <f t="shared" si="2296"/>
        <v>-2916.8099999999986</v>
      </c>
      <c r="BT259" s="66">
        <f t="shared" si="2296"/>
        <v>-2240.239999999998</v>
      </c>
      <c r="BU259" s="66">
        <f t="shared" si="2296"/>
        <v>-2256.8199999999974</v>
      </c>
      <c r="BV259" s="66">
        <f t="shared" si="2296"/>
        <v>-2056.5499999999984</v>
      </c>
      <c r="BW259" s="66">
        <f t="shared" si="2296"/>
        <v>-895.26999999999578</v>
      </c>
      <c r="BX259" s="66">
        <f t="shared" si="2296"/>
        <v>-560.66999999999439</v>
      </c>
      <c r="BY259" s="66">
        <f t="shared" si="2296"/>
        <v>592.43000000000529</v>
      </c>
      <c r="BZ259" s="66">
        <f t="shared" si="2296"/>
        <v>3269.2300000000041</v>
      </c>
      <c r="CA259" s="66">
        <f t="shared" si="2296"/>
        <v>3993.6800000000044</v>
      </c>
      <c r="CB259" s="66">
        <f t="shared" si="2296"/>
        <v>5615.5300000000025</v>
      </c>
      <c r="CC259" s="66">
        <f t="shared" si="2296"/>
        <v>6123.02</v>
      </c>
      <c r="CD259" s="66">
        <f t="shared" si="2296"/>
        <v>5348.6399999999994</v>
      </c>
      <c r="CE259" s="66">
        <f t="shared" si="2296"/>
        <v>6953.7299999999977</v>
      </c>
      <c r="CF259" s="66">
        <f t="shared" si="2296"/>
        <v>6210.0099999999957</v>
      </c>
      <c r="CG259" s="66">
        <f t="shared" si="2296"/>
        <v>5610.9199999999983</v>
      </c>
      <c r="CH259" s="66">
        <f t="shared" si="2296"/>
        <v>3934.4999999999982</v>
      </c>
      <c r="CI259" s="66">
        <f t="shared" si="2296"/>
        <v>3019.4999999999982</v>
      </c>
      <c r="CJ259" s="66">
        <f t="shared" si="2296"/>
        <v>3676.4999999999982</v>
      </c>
      <c r="CK259" s="66">
        <f t="shared" si="2296"/>
        <v>5322.5999999999985</v>
      </c>
      <c r="CL259" s="66">
        <f t="shared" si="2296"/>
        <v>6961</v>
      </c>
      <c r="CM259" s="50">
        <f t="shared" si="2296"/>
        <v>6840.3440839705354</v>
      </c>
      <c r="CN259" s="50">
        <f t="shared" si="2296"/>
        <v>6987.2731771320123</v>
      </c>
      <c r="CO259" s="50">
        <f t="shared" si="2296"/>
        <v>6739.8015213057024</v>
      </c>
      <c r="CP259" s="50">
        <f t="shared" si="2296"/>
        <v>6581.7759763817558</v>
      </c>
      <c r="CQ259" s="50">
        <f t="shared" si="2296"/>
        <v>6740.0755250070197</v>
      </c>
      <c r="CR259" s="50">
        <f t="shared" si="2296"/>
        <v>6875.5045934738482</v>
      </c>
      <c r="CS259" s="50">
        <f t="shared" si="2296"/>
        <v>7048.2515514296247</v>
      </c>
      <c r="CT259" s="50">
        <f t="shared" si="2296"/>
        <v>7352.2933332309194</v>
      </c>
      <c r="CU259" s="50">
        <f t="shared" si="2296"/>
        <v>7617.7820785033673</v>
      </c>
      <c r="CV259" s="50">
        <f t="shared" si="2296"/>
        <v>7897.2924927637787</v>
      </c>
      <c r="CW259" s="50">
        <f t="shared" si="2296"/>
        <v>8225.6354299494669</v>
      </c>
      <c r="CX259" s="50">
        <f t="shared" ref="CX259:DB259" si="2297">SUM(CU65:CX65)</f>
        <v>8647.367685535999</v>
      </c>
      <c r="CY259" s="50">
        <f t="shared" si="2297"/>
        <v>8797.0591337612914</v>
      </c>
      <c r="CZ259" s="50">
        <f t="shared" si="2297"/>
        <v>8976.1773838436784</v>
      </c>
      <c r="DA259" s="50">
        <f t="shared" si="2297"/>
        <v>9233.7105486255459</v>
      </c>
      <c r="DB259" s="50">
        <f t="shared" si="2297"/>
        <v>9528.5254036041715</v>
      </c>
      <c r="DE259" s="138"/>
      <c r="DF259" s="66">
        <v>7029.4231106233237</v>
      </c>
    </row>
    <row r="260" spans="1:110" s="93" customFormat="1" x14ac:dyDescent="0.2"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11" customFormat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2" customFormat="1" hidden="1" outlineLevel="1" x14ac:dyDescent="0.2">
      <c r="A262" s="61" t="s">
        <v>338</v>
      </c>
      <c r="AB262" s="63"/>
      <c r="AC262" s="63"/>
      <c r="AD262" s="63"/>
      <c r="AE262" s="63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64" customFormat="1" hidden="1" outlineLevel="1" x14ac:dyDescent="0.2">
      <c r="A263" s="64" t="s">
        <v>476</v>
      </c>
      <c r="B263" s="64">
        <f t="shared" ref="B263:Z263" si="2298">B29-B269</f>
        <v>0</v>
      </c>
      <c r="C263" s="64">
        <f t="shared" si="2298"/>
        <v>0</v>
      </c>
      <c r="D263" s="64">
        <f t="shared" si="2298"/>
        <v>0</v>
      </c>
      <c r="E263" s="64">
        <f t="shared" si="2298"/>
        <v>15018.59</v>
      </c>
      <c r="F263" s="64">
        <f t="shared" si="2298"/>
        <v>19940.72</v>
      </c>
      <c r="G263" s="64">
        <f t="shared" si="2298"/>
        <v>22912.09</v>
      </c>
      <c r="H263" s="64">
        <f t="shared" si="2298"/>
        <v>30710.670000000002</v>
      </c>
      <c r="I263" s="64">
        <f t="shared" si="2298"/>
        <v>31933.409999999996</v>
      </c>
      <c r="J263" s="64">
        <f t="shared" si="2298"/>
        <v>27426.120000000003</v>
      </c>
      <c r="K263" s="64">
        <f t="shared" si="2298"/>
        <v>37134.35</v>
      </c>
      <c r="L263" s="64">
        <f t="shared" si="2298"/>
        <v>50611.05</v>
      </c>
      <c r="M263" s="64">
        <f t="shared" si="2298"/>
        <v>57401.681615458496</v>
      </c>
      <c r="N263" s="64">
        <f t="shared" si="2298"/>
        <v>47412.781895458502</v>
      </c>
      <c r="O263" s="64">
        <f t="shared" si="2298"/>
        <v>35981.229615999997</v>
      </c>
      <c r="P263" s="64">
        <f t="shared" si="2298"/>
        <v>37656.598673760003</v>
      </c>
      <c r="Q263" s="64">
        <f t="shared" si="2298"/>
        <v>47383.61</v>
      </c>
      <c r="R263" s="64">
        <f t="shared" si="2298"/>
        <v>49054.490000000005</v>
      </c>
      <c r="S263" s="64">
        <f t="shared" si="2298"/>
        <v>58689.810000000012</v>
      </c>
      <c r="T263" s="64">
        <f t="shared" si="2298"/>
        <v>69202.759999999995</v>
      </c>
      <c r="U263" s="64">
        <f t="shared" si="2298"/>
        <v>43928.170000000006</v>
      </c>
      <c r="V263" s="64">
        <f t="shared" si="2298"/>
        <v>47031.469999999994</v>
      </c>
      <c r="W263" s="64">
        <f t="shared" si="2298"/>
        <v>46880.970000000008</v>
      </c>
      <c r="X263" s="64">
        <f t="shared" si="2298"/>
        <v>65298.839999999989</v>
      </c>
      <c r="Y263" s="64">
        <f t="shared" si="2298"/>
        <v>72746</v>
      </c>
      <c r="Z263" s="64">
        <f t="shared" si="2298"/>
        <v>68869</v>
      </c>
      <c r="AA263" s="64">
        <f t="shared" ref="AA263" si="2299">AA29-AA269</f>
        <v>68869</v>
      </c>
      <c r="AB263" s="30"/>
      <c r="AC263" s="30"/>
      <c r="AD263" s="30"/>
      <c r="AE263" s="30"/>
      <c r="AI263" s="64">
        <f t="shared" ref="AI263:BN263" si="2300">AI29-AI269</f>
        <v>11581.7</v>
      </c>
      <c r="AJ263" s="64">
        <f t="shared" si="2300"/>
        <v>13714.36</v>
      </c>
      <c r="AK263" s="64">
        <f t="shared" si="2300"/>
        <v>11584.57</v>
      </c>
      <c r="AL263" s="64">
        <f t="shared" si="2300"/>
        <v>12046.42</v>
      </c>
      <c r="AM263" s="64">
        <f t="shared" si="2300"/>
        <v>10013.049999999999</v>
      </c>
      <c r="AN263" s="64">
        <f t="shared" si="2300"/>
        <v>9657.43</v>
      </c>
      <c r="AO263" s="64">
        <f t="shared" si="2300"/>
        <v>8458.27</v>
      </c>
      <c r="AP263" s="64">
        <f t="shared" si="2300"/>
        <v>9248.11</v>
      </c>
      <c r="AQ263" s="64">
        <f t="shared" si="2300"/>
        <v>8256.4599999999991</v>
      </c>
      <c r="AR263" s="64">
        <f t="shared" si="2300"/>
        <v>9377.2199999999993</v>
      </c>
      <c r="AS263" s="64">
        <f t="shared" si="2300"/>
        <v>9681.92</v>
      </c>
      <c r="AT263" s="64">
        <f t="shared" si="2300"/>
        <v>11804.5</v>
      </c>
      <c r="AU263" s="64">
        <f t="shared" si="2300"/>
        <v>10262.76</v>
      </c>
      <c r="AV263" s="64">
        <f t="shared" si="2300"/>
        <v>11601</v>
      </c>
      <c r="AW263" s="64">
        <f t="shared" si="2300"/>
        <v>10892.22</v>
      </c>
      <c r="AX263" s="64">
        <f t="shared" si="2300"/>
        <v>14147.98</v>
      </c>
      <c r="AY263" s="64">
        <f t="shared" si="2300"/>
        <v>11434.91</v>
      </c>
      <c r="AZ263" s="64">
        <f t="shared" si="2300"/>
        <v>11365.86</v>
      </c>
      <c r="BA263" s="64">
        <f t="shared" si="2300"/>
        <v>11207.2</v>
      </c>
      <c r="BB263" s="64">
        <f t="shared" si="2300"/>
        <v>15080.560000000001</v>
      </c>
      <c r="BC263" s="64">
        <f t="shared" si="2300"/>
        <v>10366.189999999999</v>
      </c>
      <c r="BD263" s="64">
        <f t="shared" si="2300"/>
        <v>13310.37</v>
      </c>
      <c r="BE263" s="64">
        <f t="shared" si="2300"/>
        <v>15962.39</v>
      </c>
      <c r="BF263" s="64">
        <f t="shared" si="2300"/>
        <v>19173.46</v>
      </c>
      <c r="BG263" s="64">
        <f t="shared" si="2300"/>
        <v>16674.989999999998</v>
      </c>
      <c r="BH263" s="64">
        <f t="shared" si="2300"/>
        <v>17758.689999999999</v>
      </c>
      <c r="BI263" s="64">
        <f t="shared" si="2300"/>
        <v>16207.670000000002</v>
      </c>
      <c r="BJ263" s="64">
        <f t="shared" si="2300"/>
        <v>18561.41</v>
      </c>
      <c r="BK263" s="64">
        <f t="shared" si="2300"/>
        <v>13351.91</v>
      </c>
      <c r="BL263" s="64">
        <f t="shared" si="2300"/>
        <v>10000.48</v>
      </c>
      <c r="BM263" s="64">
        <f t="shared" si="2300"/>
        <v>10842.91</v>
      </c>
      <c r="BN263" s="64">
        <f t="shared" si="2300"/>
        <v>9732.869999999999</v>
      </c>
      <c r="BO263" s="64">
        <f t="shared" ref="BO263:CT263" si="2301">BO29-BO269</f>
        <v>2686.87</v>
      </c>
      <c r="BP263" s="64">
        <f t="shared" si="2301"/>
        <v>9668.1</v>
      </c>
      <c r="BQ263" s="64">
        <f t="shared" si="2301"/>
        <v>14630.6</v>
      </c>
      <c r="BR263" s="64">
        <f t="shared" si="2301"/>
        <v>20045.900000000001</v>
      </c>
      <c r="BS263" s="64">
        <f t="shared" si="2301"/>
        <v>11904.19</v>
      </c>
      <c r="BT263" s="64">
        <f t="shared" si="2301"/>
        <v>10996.02</v>
      </c>
      <c r="BU263" s="64">
        <f t="shared" si="2301"/>
        <v>12352.78</v>
      </c>
      <c r="BV263" s="64">
        <f t="shared" si="2301"/>
        <v>17338.27</v>
      </c>
      <c r="BW263" s="64">
        <f t="shared" si="2301"/>
        <v>14874.440000000002</v>
      </c>
      <c r="BX263" s="64">
        <f t="shared" si="2301"/>
        <v>14946.780000000002</v>
      </c>
      <c r="BY263" s="64">
        <f t="shared" si="2301"/>
        <v>15793.98</v>
      </c>
      <c r="BZ263" s="64">
        <f t="shared" si="2301"/>
        <v>20142.129999999997</v>
      </c>
      <c r="CA263" s="64">
        <f t="shared" si="2301"/>
        <v>15832.570000000002</v>
      </c>
      <c r="CB263" s="64">
        <f t="shared" si="2301"/>
        <v>18541.7</v>
      </c>
      <c r="CC263" s="64">
        <f t="shared" si="2301"/>
        <v>18668.560000000001</v>
      </c>
      <c r="CD263" s="64">
        <f t="shared" si="2301"/>
        <v>20260.239999999998</v>
      </c>
      <c r="CE263" s="64">
        <f t="shared" si="2301"/>
        <v>16862</v>
      </c>
      <c r="CF263" s="64">
        <f t="shared" si="2301"/>
        <v>15518</v>
      </c>
      <c r="CG263" s="64">
        <f t="shared" si="2301"/>
        <v>17040</v>
      </c>
      <c r="CH263" s="64">
        <f t="shared" si="2301"/>
        <v>19999</v>
      </c>
      <c r="CI263" s="64">
        <f t="shared" si="2301"/>
        <v>15682</v>
      </c>
      <c r="CJ263" s="64">
        <f t="shared" si="2301"/>
        <v>16861</v>
      </c>
      <c r="CK263" s="64">
        <f t="shared" si="2301"/>
        <v>20404</v>
      </c>
      <c r="CL263" s="64">
        <f t="shared" ref="CL263" si="2302">CL29-CL269</f>
        <v>24452</v>
      </c>
      <c r="CM263" s="30">
        <f t="shared" si="2301"/>
        <v>17459.214141649172</v>
      </c>
      <c r="CN263" s="30">
        <f t="shared" si="2301"/>
        <v>19330.756710510082</v>
      </c>
      <c r="CO263" s="30">
        <f t="shared" si="2301"/>
        <v>23430.963699700271</v>
      </c>
      <c r="CP263" s="30">
        <f t="shared" si="2301"/>
        <v>27145.229099170723</v>
      </c>
      <c r="CQ263" s="30">
        <f t="shared" si="2301"/>
        <v>19131.317488769502</v>
      </c>
      <c r="CR263" s="30">
        <f t="shared" si="2301"/>
        <v>21132.898228210222</v>
      </c>
      <c r="CS263" s="30">
        <f t="shared" si="2301"/>
        <v>25412.282548430176</v>
      </c>
      <c r="CT263" s="30">
        <f t="shared" si="2301"/>
        <v>29040.870734605542</v>
      </c>
      <c r="CU263" s="30">
        <f t="shared" ref="CU263:DB263" si="2303">CU29-CU269</f>
        <v>21190.862989726185</v>
      </c>
      <c r="CV263" s="30">
        <f t="shared" si="2303"/>
        <v>23507.851533237579</v>
      </c>
      <c r="CW263" s="30">
        <f t="shared" si="2303"/>
        <v>28380.572834683411</v>
      </c>
      <c r="CX263" s="30">
        <f t="shared" si="2303"/>
        <v>32599.012097629529</v>
      </c>
      <c r="CY263" s="30">
        <f t="shared" si="2303"/>
        <v>23616.64872590248</v>
      </c>
      <c r="CZ263" s="30">
        <f t="shared" si="2303"/>
        <v>26281.890895001809</v>
      </c>
      <c r="DA263" s="30">
        <f t="shared" si="2303"/>
        <v>31759.135161888429</v>
      </c>
      <c r="DB263" s="30">
        <f t="shared" si="2303"/>
        <v>36417.132992934683</v>
      </c>
      <c r="DE263" s="139"/>
      <c r="DF263" s="64">
        <v>24297.636705281653</v>
      </c>
    </row>
    <row r="264" spans="1:110" s="64" customFormat="1" hidden="1" outlineLevel="1" x14ac:dyDescent="0.2">
      <c r="A264" s="64" t="s">
        <v>477</v>
      </c>
      <c r="B264" s="64" t="e">
        <f t="shared" ref="B264:Z264" si="2304">B52-B270</f>
        <v>#REF!</v>
      </c>
      <c r="C264" s="64" t="e">
        <f t="shared" si="2304"/>
        <v>#REF!</v>
      </c>
      <c r="D264" s="64" t="e">
        <f t="shared" si="2304"/>
        <v>#REF!</v>
      </c>
      <c r="E264" s="64">
        <f t="shared" si="2304"/>
        <v>3729.4099999999985</v>
      </c>
      <c r="F264" s="64">
        <f t="shared" si="2304"/>
        <v>4760.2800000000007</v>
      </c>
      <c r="G264" s="64">
        <f t="shared" si="2304"/>
        <v>4969.5399999999991</v>
      </c>
      <c r="H264" s="64">
        <f t="shared" si="2304"/>
        <v>6715.9700000000021</v>
      </c>
      <c r="I264" s="64">
        <f t="shared" si="2304"/>
        <v>6270.1499999999978</v>
      </c>
      <c r="J264" s="64">
        <f t="shared" si="2304"/>
        <v>3753.6200000000026</v>
      </c>
      <c r="K264" s="64">
        <f t="shared" si="2304"/>
        <v>5794.8199999999933</v>
      </c>
      <c r="L264" s="64">
        <f t="shared" si="2304"/>
        <v>7468.7700000000023</v>
      </c>
      <c r="M264" s="64">
        <f t="shared" si="2304"/>
        <v>7573.8316154584918</v>
      </c>
      <c r="N264" s="64">
        <f t="shared" si="2304"/>
        <v>4757.7218954585042</v>
      </c>
      <c r="O264" s="64">
        <f t="shared" si="2304"/>
        <v>1163.452615999995</v>
      </c>
      <c r="P264" s="64">
        <f t="shared" si="2304"/>
        <v>521.72867376000249</v>
      </c>
      <c r="Q264" s="64">
        <f t="shared" si="2304"/>
        <v>7906.519999999995</v>
      </c>
      <c r="R264" s="64">
        <f t="shared" si="2304"/>
        <v>6677.7300000000032</v>
      </c>
      <c r="S264" s="64">
        <f t="shared" si="2304"/>
        <v>3639.4800000000159</v>
      </c>
      <c r="T264" s="64">
        <f t="shared" si="2304"/>
        <v>5592.6499999999942</v>
      </c>
      <c r="U264" s="64">
        <f t="shared" si="2304"/>
        <v>30.230000000014115</v>
      </c>
      <c r="V264" s="64">
        <f t="shared" si="2304"/>
        <v>1966.3799999999937</v>
      </c>
      <c r="W264" s="64">
        <f t="shared" si="2304"/>
        <v>1635.7400000000125</v>
      </c>
      <c r="X264" s="64">
        <f t="shared" si="2304"/>
        <v>4810.8099999999868</v>
      </c>
      <c r="Y264" s="64">
        <f t="shared" si="2304"/>
        <v>7870</v>
      </c>
      <c r="Z264" s="64">
        <f t="shared" si="2304"/>
        <v>8082</v>
      </c>
      <c r="AA264" s="64">
        <f t="shared" ref="AA264" si="2305">AA52-AA270</f>
        <v>8082</v>
      </c>
      <c r="AB264" s="30"/>
      <c r="AC264" s="30"/>
      <c r="AD264" s="30"/>
      <c r="AE264" s="30"/>
      <c r="AI264" s="64">
        <f t="shared" ref="AI264:BN264" si="2306">AI52-AI270</f>
        <v>699.8100000000004</v>
      </c>
      <c r="AJ264" s="64">
        <f t="shared" si="2306"/>
        <v>653.48</v>
      </c>
      <c r="AK264" s="64">
        <f t="shared" si="2306"/>
        <v>145.26000000000022</v>
      </c>
      <c r="AL264" s="64">
        <f t="shared" si="2306"/>
        <v>219.40000000000146</v>
      </c>
      <c r="AM264" s="64">
        <f t="shared" si="2306"/>
        <v>105.18999999999687</v>
      </c>
      <c r="AN264" s="64">
        <f t="shared" si="2306"/>
        <v>81.319999999999709</v>
      </c>
      <c r="AO264" s="64">
        <f t="shared" si="2306"/>
        <v>-459.07999999999811</v>
      </c>
      <c r="AP264" s="64">
        <f t="shared" si="2306"/>
        <v>-638.02</v>
      </c>
      <c r="AQ264" s="64">
        <f t="shared" si="2306"/>
        <v>-294.21000000000049</v>
      </c>
      <c r="AR264" s="64">
        <f t="shared" si="2306"/>
        <v>-262.25000000000136</v>
      </c>
      <c r="AS264" s="64">
        <f t="shared" si="2306"/>
        <v>-561.61000000000058</v>
      </c>
      <c r="AT264" s="64">
        <f t="shared" si="2306"/>
        <v>159.03000000000111</v>
      </c>
      <c r="AU264" s="64">
        <f t="shared" si="2306"/>
        <v>470.69999999999982</v>
      </c>
      <c r="AV264" s="64">
        <f t="shared" si="2306"/>
        <v>777.21000000000095</v>
      </c>
      <c r="AW264" s="64">
        <f t="shared" si="2306"/>
        <v>497.42999999999984</v>
      </c>
      <c r="AX264" s="64">
        <f t="shared" si="2306"/>
        <v>1216.0000000000009</v>
      </c>
      <c r="AY264" s="64">
        <f t="shared" si="2306"/>
        <v>553.50999999999885</v>
      </c>
      <c r="AZ264" s="64">
        <f t="shared" si="2306"/>
        <v>265.9099999999994</v>
      </c>
      <c r="BA264" s="64">
        <f t="shared" si="2306"/>
        <v>62.029999999999291</v>
      </c>
      <c r="BB264" s="64">
        <f t="shared" si="2306"/>
        <v>399.30000000000246</v>
      </c>
      <c r="BC264" s="64">
        <f t="shared" si="2306"/>
        <v>-59.140000000001692</v>
      </c>
      <c r="BD264" s="64">
        <f t="shared" si="2306"/>
        <v>807.56000000000313</v>
      </c>
      <c r="BE264" s="64">
        <f t="shared" si="2306"/>
        <v>1161.5399999999991</v>
      </c>
      <c r="BF264" s="64">
        <f t="shared" si="2306"/>
        <v>603.30000000000382</v>
      </c>
      <c r="BG264" s="64">
        <f t="shared" si="2306"/>
        <v>1336.0099999999975</v>
      </c>
      <c r="BH264" s="64">
        <f t="shared" si="2306"/>
        <v>1398.089999999997</v>
      </c>
      <c r="BI264" s="64">
        <f t="shared" si="2306"/>
        <v>1309.300000000002</v>
      </c>
      <c r="BJ264" s="64">
        <f t="shared" si="2306"/>
        <v>1111.369999999999</v>
      </c>
      <c r="BK264" s="64">
        <f t="shared" si="2306"/>
        <v>738.44999999999936</v>
      </c>
      <c r="BL264" s="64">
        <f t="shared" si="2306"/>
        <v>-513.69000000000051</v>
      </c>
      <c r="BM264" s="64">
        <f t="shared" si="2306"/>
        <v>-52.609999999998308</v>
      </c>
      <c r="BN264" s="64">
        <f t="shared" si="2306"/>
        <v>-722.69000000000187</v>
      </c>
      <c r="BO264" s="64">
        <f t="shared" ref="BO264:CT264" si="2307">BO52-BO270</f>
        <v>-842.09000000000015</v>
      </c>
      <c r="BP264" s="64">
        <f t="shared" si="2307"/>
        <v>101.71000000000095</v>
      </c>
      <c r="BQ264" s="64">
        <f t="shared" si="2307"/>
        <v>849.69</v>
      </c>
      <c r="BR264" s="64">
        <f t="shared" si="2307"/>
        <v>1384.940000000001</v>
      </c>
      <c r="BS264" s="64">
        <f t="shared" si="2307"/>
        <v>89.449999999999363</v>
      </c>
      <c r="BT264" s="64">
        <f t="shared" si="2307"/>
        <v>241.39000000000169</v>
      </c>
      <c r="BU264" s="64">
        <f t="shared" si="2307"/>
        <v>301.20000000000027</v>
      </c>
      <c r="BV264" s="64">
        <f t="shared" si="2307"/>
        <v>1116.6299999999997</v>
      </c>
      <c r="BW264" s="64">
        <f t="shared" si="2307"/>
        <v>691.82000000000244</v>
      </c>
      <c r="BX264" s="64">
        <f t="shared" si="2307"/>
        <v>651.29000000000315</v>
      </c>
      <c r="BY264" s="64">
        <f t="shared" si="2307"/>
        <v>1365.96</v>
      </c>
      <c r="BZ264" s="64">
        <f t="shared" si="2307"/>
        <v>2080.2599999999984</v>
      </c>
      <c r="CA264" s="64">
        <f t="shared" si="2307"/>
        <v>1328.3300000000027</v>
      </c>
      <c r="CB264" s="64">
        <f t="shared" si="2307"/>
        <v>1980.0100000000016</v>
      </c>
      <c r="CC264" s="64">
        <f t="shared" si="2307"/>
        <v>2133.3199999999979</v>
      </c>
      <c r="CD264" s="64">
        <f t="shared" si="2307"/>
        <v>2428.429999999998</v>
      </c>
      <c r="CE264" s="64">
        <f t="shared" si="2307"/>
        <v>1916</v>
      </c>
      <c r="CF264" s="64">
        <f t="shared" si="2307"/>
        <v>1653</v>
      </c>
      <c r="CG264" s="64">
        <f t="shared" si="2307"/>
        <v>1040.8999999999996</v>
      </c>
      <c r="CH264" s="64">
        <f t="shared" si="2307"/>
        <v>1387.5999999999985</v>
      </c>
      <c r="CI264" s="64">
        <f t="shared" si="2307"/>
        <v>1890</v>
      </c>
      <c r="CJ264" s="64">
        <f t="shared" si="2307"/>
        <v>2077</v>
      </c>
      <c r="CK264" s="64">
        <f t="shared" si="2307"/>
        <v>2606</v>
      </c>
      <c r="CL264" s="64">
        <f t="shared" ref="CL264" si="2308">CL52-CL270</f>
        <v>3307</v>
      </c>
      <c r="CM264" s="30">
        <f t="shared" si="2307"/>
        <v>2190.0710557364305</v>
      </c>
      <c r="CN264" s="30">
        <f t="shared" si="2307"/>
        <v>2448.6076324083851</v>
      </c>
      <c r="CO264" s="30">
        <f t="shared" si="2307"/>
        <v>3000.4696650457236</v>
      </c>
      <c r="CP264" s="30">
        <f t="shared" si="2307"/>
        <v>3487.9175540499928</v>
      </c>
      <c r="CQ264" s="30">
        <f t="shared" si="2307"/>
        <v>2468.6387655467965</v>
      </c>
      <c r="CR264" s="30">
        <f t="shared" si="2307"/>
        <v>2745.5796716799</v>
      </c>
      <c r="CS264" s="30">
        <f t="shared" si="2307"/>
        <v>3321.9615048506412</v>
      </c>
      <c r="CT264" s="30">
        <f t="shared" si="2307"/>
        <v>3815.5449741129314</v>
      </c>
      <c r="CU264" s="30">
        <f t="shared" ref="CU264:DB264" si="2309">CU52-CU270</f>
        <v>2799.3620473767796</v>
      </c>
      <c r="CV264" s="30">
        <f t="shared" si="2309"/>
        <v>3123.2466409398567</v>
      </c>
      <c r="CW264" s="30">
        <f t="shared" si="2309"/>
        <v>3739.6375625803603</v>
      </c>
      <c r="CX264" s="30">
        <f t="shared" si="2309"/>
        <v>4304.0060272576675</v>
      </c>
      <c r="CY264" s="30">
        <f t="shared" si="2309"/>
        <v>3121.8746302069321</v>
      </c>
      <c r="CZ264" s="30">
        <f t="shared" si="2309"/>
        <v>3474.7651525147676</v>
      </c>
      <c r="DA264" s="30">
        <f t="shared" si="2309"/>
        <v>4193.7715181670719</v>
      </c>
      <c r="DB264" s="30">
        <f t="shared" si="2309"/>
        <v>4811.4222986827372</v>
      </c>
      <c r="DE264" s="139"/>
      <c r="DF264" s="64">
        <v>2993.8536733856863</v>
      </c>
    </row>
    <row r="265" spans="1:110" s="89" customFormat="1" hidden="1" outlineLevel="1" x14ac:dyDescent="0.2">
      <c r="A265" s="86" t="s">
        <v>478</v>
      </c>
      <c r="B265" s="86" t="e">
        <f>+B264/B263</f>
        <v>#REF!</v>
      </c>
      <c r="C265" s="86" t="e">
        <f t="shared" ref="C265" si="2310">+C264/C263</f>
        <v>#REF!</v>
      </c>
      <c r="D265" s="86" t="e">
        <f t="shared" ref="D265" si="2311">+D264/D263</f>
        <v>#REF!</v>
      </c>
      <c r="E265" s="86">
        <f t="shared" ref="E265" si="2312">+E264/E263</f>
        <v>0.24831958259730097</v>
      </c>
      <c r="F265" s="86">
        <f t="shared" ref="F265" si="2313">+F264/F263</f>
        <v>0.23872157073566053</v>
      </c>
      <c r="G265" s="86">
        <f t="shared" ref="G265" si="2314">+G264/G263</f>
        <v>0.21689597064257338</v>
      </c>
      <c r="H265" s="86">
        <f t="shared" ref="H265" si="2315">+H264/H263</f>
        <v>0.2186852322010559</v>
      </c>
      <c r="I265" s="86">
        <f t="shared" ref="I265" si="2316">+I264/I263</f>
        <v>0.19635078120376115</v>
      </c>
      <c r="J265" s="86">
        <f t="shared" ref="J265" si="2317">+J264/J263</f>
        <v>0.13686296129383238</v>
      </c>
      <c r="K265" s="86">
        <f t="shared" ref="K265" si="2318">+K264/K263</f>
        <v>0.1560501260961884</v>
      </c>
      <c r="L265" s="86">
        <f t="shared" ref="L265" si="2319">+L264/L263</f>
        <v>0.14757192352262999</v>
      </c>
      <c r="M265" s="86">
        <f t="shared" ref="M265" si="2320">+M264/M263</f>
        <v>0.13194442048225344</v>
      </c>
      <c r="N265" s="86">
        <f t="shared" ref="N265" si="2321">+N264/N263</f>
        <v>0.10034682010325635</v>
      </c>
      <c r="O265" s="86">
        <f t="shared" ref="O265" si="2322">+O264/O263</f>
        <v>3.2334987670422338E-2</v>
      </c>
      <c r="P265" s="86">
        <f t="shared" ref="P265" si="2323">+P264/P263</f>
        <v>1.3854907031833313E-2</v>
      </c>
      <c r="Q265" s="86">
        <f t="shared" ref="Q265" si="2324">+Q264/Q263</f>
        <v>0.16686191702151851</v>
      </c>
      <c r="R265" s="86">
        <f t="shared" ref="R265" si="2325">+R264/R263</f>
        <v>0.13612882327387366</v>
      </c>
      <c r="S265" s="86">
        <f t="shared" ref="S265" si="2326">+S264/S263</f>
        <v>6.2012127829345759E-2</v>
      </c>
      <c r="T265" s="86">
        <f t="shared" ref="T265" si="2327">+T264/T263</f>
        <v>8.0815418344586179E-2</v>
      </c>
      <c r="U265" s="86">
        <f t="shared" ref="U265" si="2328">+U264/U263</f>
        <v>6.8816889025912333E-4</v>
      </c>
      <c r="V265" s="86">
        <f t="shared" ref="V265" si="2329">+V264/V263</f>
        <v>4.1809877513928312E-2</v>
      </c>
      <c r="W265" s="86">
        <f t="shared" ref="W265" si="2330">+W264/W263</f>
        <v>3.4891342905234518E-2</v>
      </c>
      <c r="X265" s="86">
        <f t="shared" ref="X265:Y265" si="2331">+X264/X263</f>
        <v>7.3673743668340619E-2</v>
      </c>
      <c r="Y265" s="86">
        <f t="shared" si="2331"/>
        <v>0.10818464245456795</v>
      </c>
      <c r="Z265" s="86">
        <f t="shared" ref="Z265:AA265" si="2332">+Z264/Z263</f>
        <v>0.11735323585357708</v>
      </c>
      <c r="AA265" s="86">
        <f t="shared" si="2332"/>
        <v>0.11735323585357708</v>
      </c>
      <c r="AB265" s="87"/>
      <c r="AC265" s="87"/>
      <c r="AD265" s="87"/>
      <c r="AE265" s="87"/>
      <c r="AF265" s="86"/>
      <c r="AG265" s="86"/>
      <c r="AH265" s="86"/>
      <c r="AI265" s="86">
        <f t="shared" ref="AI265" si="2333">+AI264/AI263</f>
        <v>6.0423771985114477E-2</v>
      </c>
      <c r="AJ265" s="86">
        <f t="shared" ref="AJ265" si="2334">+AJ264/AJ263</f>
        <v>4.7649325232821657E-2</v>
      </c>
      <c r="AK265" s="86">
        <f t="shared" ref="AK265" si="2335">+AK264/AK263</f>
        <v>1.2539092948637733E-2</v>
      </c>
      <c r="AL265" s="86">
        <f t="shared" ref="AL265" si="2336">+AL264/AL263</f>
        <v>1.8212879843140239E-2</v>
      </c>
      <c r="AM265" s="86">
        <f t="shared" ref="AM265" si="2337">+AM264/AM263</f>
        <v>1.0505290595772205E-2</v>
      </c>
      <c r="AN265" s="86">
        <f t="shared" ref="AN265" si="2338">+AN264/AN263</f>
        <v>8.4204596875151784E-3</v>
      </c>
      <c r="AO265" s="86">
        <f t="shared" ref="AO265" si="2339">+AO264/AO263</f>
        <v>-5.4275874380931101E-2</v>
      </c>
      <c r="AP265" s="86">
        <f t="shared" ref="AP265" si="2340">+AP264/AP263</f>
        <v>-6.898923131320886E-2</v>
      </c>
      <c r="AQ265" s="86">
        <f t="shared" ref="AQ265" si="2341">+AQ264/AQ263</f>
        <v>-3.5633915745973521E-2</v>
      </c>
      <c r="AR265" s="86">
        <f t="shared" ref="AR265" si="2342">+AR264/AR263</f>
        <v>-2.7966710816212201E-2</v>
      </c>
      <c r="AS265" s="86">
        <f t="shared" ref="AS265" si="2343">+AS264/AS263</f>
        <v>-5.8006056649920736E-2</v>
      </c>
      <c r="AT265" s="86">
        <f t="shared" ref="AT265" si="2344">+AT264/AT263</f>
        <v>1.3471981024185786E-2</v>
      </c>
      <c r="AU265" s="86">
        <f t="shared" ref="AU265" si="2345">+AU264/AU263</f>
        <v>4.5864855068227239E-2</v>
      </c>
      <c r="AV265" s="86">
        <f t="shared" ref="AV265" si="2346">+AV264/AV263</f>
        <v>6.6995086630462969E-2</v>
      </c>
      <c r="AW265" s="86">
        <f t="shared" ref="AW265" si="2347">+AW264/AW263</f>
        <v>4.5668376143706231E-2</v>
      </c>
      <c r="AX265" s="86">
        <f t="shared" ref="AX265" si="2348">+AX264/AX263</f>
        <v>8.5948665463196933E-2</v>
      </c>
      <c r="AY265" s="86">
        <f t="shared" ref="AY265" si="2349">+AY264/AY263</f>
        <v>4.8405278222565712E-2</v>
      </c>
      <c r="AZ265" s="86">
        <f t="shared" ref="AZ265" si="2350">+AZ264/AZ263</f>
        <v>2.3395501968174814E-2</v>
      </c>
      <c r="BA265" s="86">
        <f t="shared" ref="BA265" si="2351">+BA264/BA263</f>
        <v>5.5348347490898073E-3</v>
      </c>
      <c r="BB265" s="86">
        <f t="shared" ref="BB265" si="2352">+BB264/BB263</f>
        <v>2.6477796580498498E-2</v>
      </c>
      <c r="BC265" s="86">
        <f t="shared" ref="BC265" si="2353">+BC264/BC263</f>
        <v>-5.705085474991458E-3</v>
      </c>
      <c r="BD265" s="86">
        <f t="shared" ref="BD265" si="2354">+BD264/BD263</f>
        <v>6.0671491476195105E-2</v>
      </c>
      <c r="BE265" s="86">
        <f t="shared" ref="BE265" si="2355">+BE264/BE263</f>
        <v>7.2767298631345248E-2</v>
      </c>
      <c r="BF265" s="86">
        <f t="shared" ref="BF265" si="2356">+BF264/BF263</f>
        <v>3.1465369317796782E-2</v>
      </c>
      <c r="BG265" s="86">
        <f t="shared" ref="BG265" si="2357">+BG264/BG263</f>
        <v>8.0120587778463301E-2</v>
      </c>
      <c r="BH265" s="86">
        <f t="shared" ref="BH265" si="2358">+BH264/BH263</f>
        <v>7.8727090793295956E-2</v>
      </c>
      <c r="BI265" s="86">
        <f t="shared" ref="BI265" si="2359">+BI264/BI263</f>
        <v>8.0782740517298404E-2</v>
      </c>
      <c r="BJ265" s="86">
        <f t="shared" ref="BJ265" si="2360">+BJ264/BJ263</f>
        <v>5.9875300421681273E-2</v>
      </c>
      <c r="BK265" s="86">
        <f t="shared" ref="BK265" si="2361">+BK264/BK263</f>
        <v>5.5306693948655991E-2</v>
      </c>
      <c r="BL265" s="86">
        <f t="shared" ref="BL265" si="2362">+BL264/BL263</f>
        <v>-5.136653440634855E-2</v>
      </c>
      <c r="BM265" s="86">
        <f t="shared" ref="BM265" si="2363">+BM264/BM263</f>
        <v>-4.8520185079465117E-3</v>
      </c>
      <c r="BN265" s="86">
        <f t="shared" ref="BN265" si="2364">+BN264/BN263</f>
        <v>-7.4252507225515393E-2</v>
      </c>
      <c r="BO265" s="86">
        <f t="shared" ref="BO265" si="2365">+BO264/BO263</f>
        <v>-0.31340928292027531</v>
      </c>
      <c r="BP265" s="86">
        <f t="shared" ref="BP265" si="2366">+BP264/BP263</f>
        <v>1.0520164251507633E-2</v>
      </c>
      <c r="BQ265" s="86">
        <f t="shared" ref="BQ265" si="2367">+BQ264/BQ263</f>
        <v>5.8076223804902058E-2</v>
      </c>
      <c r="BR265" s="86">
        <f t="shared" ref="BR265" si="2368">+BR264/BR263</f>
        <v>6.9088442025551408E-2</v>
      </c>
      <c r="BS265" s="86">
        <f t="shared" ref="BS265" si="2369">+BS264/BS263</f>
        <v>7.5141609802934391E-3</v>
      </c>
      <c r="BT265" s="86">
        <f t="shared" ref="BT265" si="2370">+BT264/BT263</f>
        <v>2.195248826393565E-2</v>
      </c>
      <c r="BU265" s="86">
        <f t="shared" ref="BU265" si="2371">+BU264/BU263</f>
        <v>2.4383175285239457E-2</v>
      </c>
      <c r="BV265" s="86">
        <f t="shared" ref="BV265" si="2372">+BV264/BV263</f>
        <v>6.4402619177115109E-2</v>
      </c>
      <c r="BW265" s="86">
        <f t="shared" ref="BW265" si="2373">+BW264/BW263</f>
        <v>4.6510658552523815E-2</v>
      </c>
      <c r="BX265" s="86">
        <f t="shared" ref="BX265" si="2374">+BX264/BX263</f>
        <v>4.3573933649923464E-2</v>
      </c>
      <c r="BY265" s="86">
        <f t="shared" ref="BY265" si="2375">+BY264/BY263</f>
        <v>8.6486116862247525E-2</v>
      </c>
      <c r="BZ265" s="86">
        <f t="shared" ref="BZ265" si="2376">+BZ264/BZ263</f>
        <v>0.10327904744930147</v>
      </c>
      <c r="CA265" s="86">
        <f t="shared" ref="CA265" si="2377">+CA264/CA263</f>
        <v>8.3898571110059994E-2</v>
      </c>
      <c r="CB265" s="86">
        <f t="shared" ref="CB265:CC265" si="2378">+CB264/CB263</f>
        <v>0.10678686420339027</v>
      </c>
      <c r="CC265" s="86">
        <f t="shared" si="2378"/>
        <v>0.11427340941133102</v>
      </c>
      <c r="CD265" s="86">
        <f t="shared" ref="CD265" si="2379">+CD264/CD263</f>
        <v>0.11986185751007877</v>
      </c>
      <c r="CE265" s="86">
        <f t="shared" ref="CE265:CF265" si="2380">+CE264/CE263</f>
        <v>0.1136282765982683</v>
      </c>
      <c r="CF265" s="86">
        <f t="shared" si="2380"/>
        <v>0.10652145895089574</v>
      </c>
      <c r="CG265" s="86">
        <f t="shared" ref="CG265:CH265" si="2381">+CG264/CG263</f>
        <v>6.1085680751173689E-2</v>
      </c>
      <c r="CH265" s="86">
        <f t="shared" si="2381"/>
        <v>6.9383469173458598E-2</v>
      </c>
      <c r="CI265" s="86">
        <f t="shared" ref="CI265:CJ265" si="2382">+CI264/CI263</f>
        <v>0.12052034179313863</v>
      </c>
      <c r="CJ265" s="86">
        <f t="shared" si="2382"/>
        <v>0.12318367831089497</v>
      </c>
      <c r="CK265" s="86">
        <f t="shared" ref="CK265:DB265" si="2383">+CK264/CK263</f>
        <v>0.12772005489119781</v>
      </c>
      <c r="CL265" s="86">
        <f t="shared" si="2383"/>
        <v>0.13524456077212499</v>
      </c>
      <c r="CM265" s="47">
        <f t="shared" si="2383"/>
        <v>0.12543926879916026</v>
      </c>
      <c r="CN265" s="47">
        <f t="shared" si="2383"/>
        <v>0.12666900055066563</v>
      </c>
      <c r="CO265" s="47">
        <f t="shared" si="2383"/>
        <v>0.12805575150475376</v>
      </c>
      <c r="CP265" s="47">
        <f t="shared" si="2383"/>
        <v>0.12849099712172063</v>
      </c>
      <c r="CQ265" s="47">
        <f t="shared" si="2383"/>
        <v>0.12903652699276674</v>
      </c>
      <c r="CR265" s="47">
        <f t="shared" si="2383"/>
        <v>0.12991969402544307</v>
      </c>
      <c r="CS265" s="47">
        <f t="shared" si="2383"/>
        <v>0.13072267312153951</v>
      </c>
      <c r="CT265" s="47">
        <f t="shared" si="2383"/>
        <v>0.13138535028725121</v>
      </c>
      <c r="CU265" s="47">
        <f t="shared" si="2383"/>
        <v>0.13210231450856788</v>
      </c>
      <c r="CV265" s="47">
        <f t="shared" si="2383"/>
        <v>0.13285972291104192</v>
      </c>
      <c r="CW265" s="47">
        <f t="shared" si="2383"/>
        <v>0.13176751520710017</v>
      </c>
      <c r="CX265" s="47">
        <f t="shared" si="2383"/>
        <v>0.13202872572849034</v>
      </c>
      <c r="CY265" s="47">
        <f t="shared" si="2383"/>
        <v>0.13218956958880007</v>
      </c>
      <c r="CZ265" s="47">
        <f t="shared" si="2383"/>
        <v>0.13221138335885815</v>
      </c>
      <c r="DA265" s="47">
        <f t="shared" si="2383"/>
        <v>0.1320492984708122</v>
      </c>
      <c r="DB265" s="47">
        <f t="shared" si="2383"/>
        <v>0.13211974428674012</v>
      </c>
      <c r="DE265" s="131"/>
      <c r="DF265" s="89">
        <v>0.12321583821915087</v>
      </c>
    </row>
    <row r="266" spans="1:110" s="64" customFormat="1" hidden="1" outlineLevel="1" x14ac:dyDescent="0.2">
      <c r="A266" s="64" t="s">
        <v>479</v>
      </c>
      <c r="B266" s="64" t="e">
        <f t="shared" ref="B266:Z266" si="2384">B65-B272</f>
        <v>#REF!</v>
      </c>
      <c r="C266" s="64" t="e">
        <f t="shared" si="2384"/>
        <v>#REF!</v>
      </c>
      <c r="D266" s="64" t="e">
        <f t="shared" si="2384"/>
        <v>#REF!</v>
      </c>
      <c r="E266" s="64">
        <f t="shared" si="2384"/>
        <v>2739.4799999999987</v>
      </c>
      <c r="F266" s="64">
        <f t="shared" si="2384"/>
        <v>3834.5700000000015</v>
      </c>
      <c r="G266" s="64">
        <f t="shared" si="2384"/>
        <v>3715.6899999999987</v>
      </c>
      <c r="H266" s="64">
        <f t="shared" si="2384"/>
        <v>5194.6800000000021</v>
      </c>
      <c r="I266" s="64">
        <f t="shared" si="2384"/>
        <v>4999.6099999999969</v>
      </c>
      <c r="J266" s="64">
        <f t="shared" si="2384"/>
        <v>2197.3800000000028</v>
      </c>
      <c r="K266" s="64">
        <f t="shared" si="2384"/>
        <v>3067.8599999999933</v>
      </c>
      <c r="L266" s="64">
        <f t="shared" si="2384"/>
        <v>4362.5800000000017</v>
      </c>
      <c r="M266" s="64">
        <f t="shared" si="2384"/>
        <v>5223.7516154584919</v>
      </c>
      <c r="N266" s="64">
        <f t="shared" si="2384"/>
        <v>3767.421895458504</v>
      </c>
      <c r="O266" s="64">
        <f t="shared" si="2384"/>
        <v>1346.3026159999949</v>
      </c>
      <c r="P266" s="64">
        <f t="shared" si="2384"/>
        <v>-4274.4713262399982</v>
      </c>
      <c r="Q266" s="64">
        <f t="shared" si="2384"/>
        <v>5392.4099999999953</v>
      </c>
      <c r="R266" s="64">
        <f t="shared" si="2384"/>
        <v>2976.3300000000036</v>
      </c>
      <c r="S266" s="64">
        <f t="shared" si="2384"/>
        <v>1197.7100000000157</v>
      </c>
      <c r="T266" s="64">
        <f t="shared" si="2384"/>
        <v>2876.7699999999936</v>
      </c>
      <c r="U266" s="64">
        <f t="shared" si="2384"/>
        <v>-4097.2999999999856</v>
      </c>
      <c r="V266" s="64">
        <f t="shared" si="2384"/>
        <v>-3313.7800000000061</v>
      </c>
      <c r="W266" s="64">
        <f t="shared" si="2384"/>
        <v>-1685.8299999999876</v>
      </c>
      <c r="X266" s="64">
        <f t="shared" si="2384"/>
        <v>3290.7099999999873</v>
      </c>
      <c r="Y266" s="64">
        <f t="shared" si="2384"/>
        <v>5348</v>
      </c>
      <c r="Z266" s="64">
        <f t="shared" si="2384"/>
        <v>5848</v>
      </c>
      <c r="AA266" s="64">
        <f t="shared" ref="AA266" si="2385">AA65-AA272</f>
        <v>5848</v>
      </c>
      <c r="AB266" s="30"/>
      <c r="AC266" s="30"/>
      <c r="AD266" s="30"/>
      <c r="AE266" s="30"/>
      <c r="AI266" s="64">
        <f t="shared" ref="AI266:BN266" si="2386">AI65-AI272</f>
        <v>366.29000000000042</v>
      </c>
      <c r="AJ266" s="64">
        <f t="shared" si="2386"/>
        <v>1121.8699999999999</v>
      </c>
      <c r="AK266" s="64">
        <f t="shared" si="2386"/>
        <v>-450.3399999999998</v>
      </c>
      <c r="AL266" s="64">
        <f t="shared" si="2386"/>
        <v>-310.16999999999859</v>
      </c>
      <c r="AM266" s="64">
        <f t="shared" si="2386"/>
        <v>857.44999999999686</v>
      </c>
      <c r="AN266" s="64">
        <f t="shared" si="2386"/>
        <v>-521.50000000000023</v>
      </c>
      <c r="AO266" s="64">
        <f t="shared" si="2386"/>
        <v>-657.59999999999809</v>
      </c>
      <c r="AP266" s="64">
        <f t="shared" si="2386"/>
        <v>-751.87</v>
      </c>
      <c r="AQ266" s="64">
        <f t="shared" si="2386"/>
        <v>418.47999999999951</v>
      </c>
      <c r="AR266" s="64">
        <f t="shared" si="2386"/>
        <v>-1818.4600000000014</v>
      </c>
      <c r="AS266" s="64">
        <f t="shared" si="2386"/>
        <v>-1578.8100000000006</v>
      </c>
      <c r="AT266" s="64">
        <f t="shared" si="2386"/>
        <v>-1059.9699999999987</v>
      </c>
      <c r="AU266" s="64">
        <f t="shared" si="2386"/>
        <v>-4.0700000000001992</v>
      </c>
      <c r="AV266" s="64">
        <f t="shared" si="2386"/>
        <v>16.300000000000928</v>
      </c>
      <c r="AW266" s="64">
        <f t="shared" si="2386"/>
        <v>45.619999999999827</v>
      </c>
      <c r="AX266" s="64">
        <f t="shared" si="2386"/>
        <v>388.49000000000086</v>
      </c>
      <c r="AY266" s="64">
        <f t="shared" si="2386"/>
        <v>104.5699999999988</v>
      </c>
      <c r="AZ266" s="64">
        <f t="shared" si="2386"/>
        <v>-701.25000000000057</v>
      </c>
      <c r="BA266" s="64">
        <f t="shared" si="2386"/>
        <v>-1001.0400000000008</v>
      </c>
      <c r="BB266" s="64">
        <f t="shared" si="2386"/>
        <v>-772.87999999999761</v>
      </c>
      <c r="BC266" s="64">
        <f t="shared" si="2386"/>
        <v>-470.93000000000166</v>
      </c>
      <c r="BD266" s="64">
        <f t="shared" si="2386"/>
        <v>-210.52999999999685</v>
      </c>
      <c r="BE266" s="64">
        <f t="shared" si="2386"/>
        <v>72.979999999999009</v>
      </c>
      <c r="BF266" s="64">
        <f t="shared" si="2386"/>
        <v>557.37000000000353</v>
      </c>
      <c r="BG266" s="64">
        <f t="shared" si="2386"/>
        <v>1382.7199999999975</v>
      </c>
      <c r="BH266" s="64">
        <f t="shared" si="2386"/>
        <v>503.57999999999703</v>
      </c>
      <c r="BI266" s="64">
        <f t="shared" si="2386"/>
        <v>442.49000000000188</v>
      </c>
      <c r="BJ266" s="64">
        <f t="shared" si="2386"/>
        <v>110.09999999999906</v>
      </c>
      <c r="BK266" s="64">
        <f t="shared" si="2386"/>
        <v>-126.32000000000056</v>
      </c>
      <c r="BL266" s="64">
        <f t="shared" si="2386"/>
        <v>-1422.8200000000006</v>
      </c>
      <c r="BM266" s="64">
        <f t="shared" si="2386"/>
        <v>-1048.7599999999984</v>
      </c>
      <c r="BN266" s="64">
        <f t="shared" si="2386"/>
        <v>-2080.1700000000019</v>
      </c>
      <c r="BO266" s="64">
        <f t="shared" ref="BO266:CT266" si="2387">BO65-BO272</f>
        <v>-2120.83</v>
      </c>
      <c r="BP266" s="64">
        <f t="shared" si="2387"/>
        <v>-1201.2999999999993</v>
      </c>
      <c r="BQ266" s="64">
        <f t="shared" si="2387"/>
        <v>-585.02</v>
      </c>
      <c r="BR266" s="64">
        <f t="shared" si="2387"/>
        <v>121.33000000000087</v>
      </c>
      <c r="BS266" s="64">
        <f t="shared" si="2387"/>
        <v>-1251.8200000000004</v>
      </c>
      <c r="BT266" s="64">
        <f t="shared" si="2387"/>
        <v>-524.7299999999982</v>
      </c>
      <c r="BU266" s="64">
        <f t="shared" si="2387"/>
        <v>-601.59999999999968</v>
      </c>
      <c r="BV266" s="64">
        <f t="shared" si="2387"/>
        <v>321.59999999999968</v>
      </c>
      <c r="BW266" s="64">
        <f t="shared" si="2387"/>
        <v>-90.539999999997548</v>
      </c>
      <c r="BX266" s="64">
        <f t="shared" si="2387"/>
        <v>-190.12999999999687</v>
      </c>
      <c r="BY266" s="64">
        <f t="shared" si="2387"/>
        <v>551.5</v>
      </c>
      <c r="BZ266" s="64">
        <f t="shared" si="2387"/>
        <v>2998.3999999999987</v>
      </c>
      <c r="CA266" s="64">
        <f t="shared" si="2387"/>
        <v>633.9100000000027</v>
      </c>
      <c r="CB266" s="64">
        <f t="shared" si="2387"/>
        <v>1431.7200000000016</v>
      </c>
      <c r="CC266" s="64">
        <f t="shared" si="2387"/>
        <v>1058.9899999999977</v>
      </c>
      <c r="CD266" s="64">
        <f t="shared" si="2387"/>
        <v>2224.0199999999982</v>
      </c>
      <c r="CE266" s="64">
        <f t="shared" si="2387"/>
        <v>2239</v>
      </c>
      <c r="CF266" s="64">
        <f t="shared" si="2387"/>
        <v>688</v>
      </c>
      <c r="CG266" s="64">
        <f t="shared" si="2387"/>
        <v>459.89999999999964</v>
      </c>
      <c r="CH266" s="64">
        <f t="shared" si="2387"/>
        <v>547.59999999999854</v>
      </c>
      <c r="CI266" s="64">
        <f t="shared" si="2387"/>
        <v>1324</v>
      </c>
      <c r="CJ266" s="64">
        <f t="shared" si="2387"/>
        <v>1345</v>
      </c>
      <c r="CK266" s="64">
        <f t="shared" si="2387"/>
        <v>2106</v>
      </c>
      <c r="CL266" s="64">
        <f t="shared" ref="CL266" si="2388">CL65-CL272</f>
        <v>2186</v>
      </c>
      <c r="CM266" s="30">
        <f t="shared" si="2387"/>
        <v>1203.3440839705352</v>
      </c>
      <c r="CN266" s="30">
        <f t="shared" si="2387"/>
        <v>1491.9290931614767</v>
      </c>
      <c r="CO266" s="30">
        <f t="shared" si="2387"/>
        <v>1858.5283441736904</v>
      </c>
      <c r="CP266" s="30">
        <f t="shared" si="2387"/>
        <v>2027.9744550760536</v>
      </c>
      <c r="CQ266" s="30">
        <f t="shared" si="2387"/>
        <v>1361.6436325957989</v>
      </c>
      <c r="CR266" s="30">
        <f t="shared" si="2387"/>
        <v>1627.3581616283059</v>
      </c>
      <c r="CS266" s="30">
        <f t="shared" si="2387"/>
        <v>2031.2753021294661</v>
      </c>
      <c r="CT266" s="30">
        <f t="shared" si="2387"/>
        <v>2332.0162368773481</v>
      </c>
      <c r="CU266" s="30">
        <f t="shared" ref="CU266:DB266" si="2389">CU65-CU272</f>
        <v>1627.1323778682474</v>
      </c>
      <c r="CV266" s="30">
        <f t="shared" si="2389"/>
        <v>1906.8685758887175</v>
      </c>
      <c r="CW266" s="30">
        <f t="shared" si="2389"/>
        <v>2359.618239315153</v>
      </c>
      <c r="CX266" s="30">
        <f t="shared" si="2389"/>
        <v>2753.7484924638811</v>
      </c>
      <c r="CY266" s="30">
        <f t="shared" si="2389"/>
        <v>1776.8238260935395</v>
      </c>
      <c r="CZ266" s="30">
        <f t="shared" si="2389"/>
        <v>2085.9868259711052</v>
      </c>
      <c r="DA266" s="30">
        <f t="shared" si="2389"/>
        <v>2617.1514040970205</v>
      </c>
      <c r="DB266" s="30">
        <f t="shared" si="2389"/>
        <v>3048.5633474425067</v>
      </c>
      <c r="DE266" s="139"/>
      <c r="DF266" s="64">
        <v>2254.4231106233233</v>
      </c>
    </row>
    <row r="267" spans="1:110" s="64" customFormat="1" hidden="1" outlineLevel="1" x14ac:dyDescent="0.2">
      <c r="AB267" s="30"/>
      <c r="AC267" s="30"/>
      <c r="AD267" s="30"/>
      <c r="AE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</row>
    <row r="268" spans="1:110" s="64" customFormat="1" hidden="1" outlineLevel="1" x14ac:dyDescent="0.2">
      <c r="A268" s="65" t="s">
        <v>353</v>
      </c>
      <c r="AB268" s="30"/>
      <c r="AC268" s="30"/>
      <c r="AD268" s="30"/>
      <c r="AE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</row>
    <row r="269" spans="1:110" s="64" customFormat="1" hidden="1" outlineLevel="1" x14ac:dyDescent="0.2">
      <c r="A269" s="64" t="s">
        <v>480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</row>
    <row r="270" spans="1:110" s="64" customFormat="1" hidden="1" outlineLevel="1" x14ac:dyDescent="0.2">
      <c r="A270" s="64" t="s">
        <v>481</v>
      </c>
      <c r="AB270" s="30"/>
      <c r="AC270" s="30"/>
      <c r="AD270" s="30"/>
      <c r="AE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9"/>
    </row>
    <row r="271" spans="1:110" s="89" customFormat="1" hidden="1" outlineLevel="1" x14ac:dyDescent="0.2">
      <c r="A271" s="86" t="s">
        <v>482</v>
      </c>
      <c r="B271" s="86" t="e">
        <f>+B270/B269</f>
        <v>#DIV/0!</v>
      </c>
      <c r="C271" s="86" t="e">
        <f t="shared" ref="C271:X271" si="2390">+C270/C269</f>
        <v>#DIV/0!</v>
      </c>
      <c r="D271" s="86" t="e">
        <f t="shared" si="2390"/>
        <v>#DIV/0!</v>
      </c>
      <c r="E271" s="86" t="e">
        <f t="shared" si="2390"/>
        <v>#DIV/0!</v>
      </c>
      <c r="F271" s="86" t="e">
        <f t="shared" si="2390"/>
        <v>#DIV/0!</v>
      </c>
      <c r="G271" s="86" t="e">
        <f t="shared" si="2390"/>
        <v>#DIV/0!</v>
      </c>
      <c r="H271" s="86" t="e">
        <f t="shared" si="2390"/>
        <v>#DIV/0!</v>
      </c>
      <c r="I271" s="86" t="e">
        <f t="shared" si="2390"/>
        <v>#DIV/0!</v>
      </c>
      <c r="J271" s="86" t="e">
        <f t="shared" si="2390"/>
        <v>#DIV/0!</v>
      </c>
      <c r="K271" s="86" t="e">
        <f t="shared" si="2390"/>
        <v>#DIV/0!</v>
      </c>
      <c r="L271" s="86" t="e">
        <f t="shared" si="2390"/>
        <v>#DIV/0!</v>
      </c>
      <c r="M271" s="86" t="e">
        <f t="shared" si="2390"/>
        <v>#DIV/0!</v>
      </c>
      <c r="N271" s="86" t="e">
        <f t="shared" si="2390"/>
        <v>#DIV/0!</v>
      </c>
      <c r="O271" s="86" t="e">
        <f t="shared" si="2390"/>
        <v>#DIV/0!</v>
      </c>
      <c r="P271" s="86" t="e">
        <f t="shared" si="2390"/>
        <v>#DIV/0!</v>
      </c>
      <c r="Q271" s="86" t="e">
        <f t="shared" si="2390"/>
        <v>#DIV/0!</v>
      </c>
      <c r="R271" s="86" t="e">
        <f t="shared" si="2390"/>
        <v>#DIV/0!</v>
      </c>
      <c r="S271" s="86" t="e">
        <f t="shared" si="2390"/>
        <v>#DIV/0!</v>
      </c>
      <c r="T271" s="86" t="e">
        <f t="shared" si="2390"/>
        <v>#DIV/0!</v>
      </c>
      <c r="U271" s="86" t="e">
        <f t="shared" si="2390"/>
        <v>#DIV/0!</v>
      </c>
      <c r="V271" s="86" t="e">
        <f t="shared" si="2390"/>
        <v>#DIV/0!</v>
      </c>
      <c r="W271" s="86" t="e">
        <f t="shared" si="2390"/>
        <v>#DIV/0!</v>
      </c>
      <c r="X271" s="86" t="e">
        <f t="shared" si="2390"/>
        <v>#DIV/0!</v>
      </c>
      <c r="Y271" s="86" t="e">
        <f t="shared" ref="Y271:Z271" si="2391">+Y270/Y269</f>
        <v>#DIV/0!</v>
      </c>
      <c r="Z271" s="86" t="e">
        <f t="shared" si="2391"/>
        <v>#DIV/0!</v>
      </c>
      <c r="AA271" s="86" t="e">
        <f t="shared" ref="AA271" si="2392">+AA270/AA269</f>
        <v>#DIV/0!</v>
      </c>
      <c r="AB271" s="87"/>
      <c r="AC271" s="87"/>
      <c r="AD271" s="87"/>
      <c r="AE271" s="87"/>
      <c r="AF271" s="86"/>
      <c r="AG271" s="86"/>
      <c r="AH271" s="86"/>
      <c r="AI271" s="86" t="e">
        <f t="shared" ref="AI271" si="2393">+AI270/AI269</f>
        <v>#DIV/0!</v>
      </c>
      <c r="AJ271" s="86" t="e">
        <f t="shared" ref="AJ271" si="2394">+AJ270/AJ269</f>
        <v>#DIV/0!</v>
      </c>
      <c r="AK271" s="86" t="e">
        <f t="shared" ref="AK271" si="2395">+AK270/AK269</f>
        <v>#DIV/0!</v>
      </c>
      <c r="AL271" s="86" t="e">
        <f t="shared" ref="AL271" si="2396">+AL270/AL269</f>
        <v>#DIV/0!</v>
      </c>
      <c r="AM271" s="86" t="e">
        <f t="shared" ref="AM271" si="2397">+AM270/AM269</f>
        <v>#DIV/0!</v>
      </c>
      <c r="AN271" s="86" t="e">
        <f t="shared" ref="AN271" si="2398">+AN270/AN269</f>
        <v>#DIV/0!</v>
      </c>
      <c r="AO271" s="86" t="e">
        <f t="shared" ref="AO271" si="2399">+AO270/AO269</f>
        <v>#DIV/0!</v>
      </c>
      <c r="AP271" s="86" t="e">
        <f t="shared" ref="AP271" si="2400">+AP270/AP269</f>
        <v>#DIV/0!</v>
      </c>
      <c r="AQ271" s="86" t="e">
        <f t="shared" ref="AQ271" si="2401">+AQ270/AQ269</f>
        <v>#DIV/0!</v>
      </c>
      <c r="AR271" s="86" t="e">
        <f t="shared" ref="AR271" si="2402">+AR270/AR269</f>
        <v>#DIV/0!</v>
      </c>
      <c r="AS271" s="86" t="e">
        <f t="shared" ref="AS271" si="2403">+AS270/AS269</f>
        <v>#DIV/0!</v>
      </c>
      <c r="AT271" s="86" t="e">
        <f t="shared" ref="AT271" si="2404">+AT270/AT269</f>
        <v>#DIV/0!</v>
      </c>
      <c r="AU271" s="86" t="e">
        <f t="shared" ref="AU271" si="2405">+AU270/AU269</f>
        <v>#DIV/0!</v>
      </c>
      <c r="AV271" s="86" t="e">
        <f t="shared" ref="AV271" si="2406">+AV270/AV269</f>
        <v>#DIV/0!</v>
      </c>
      <c r="AW271" s="86" t="e">
        <f t="shared" ref="AW271" si="2407">+AW270/AW269</f>
        <v>#DIV/0!</v>
      </c>
      <c r="AX271" s="86" t="e">
        <f t="shared" ref="AX271" si="2408">+AX270/AX269</f>
        <v>#DIV/0!</v>
      </c>
      <c r="AY271" s="86" t="e">
        <f t="shared" ref="AY271" si="2409">+AY270/AY269</f>
        <v>#DIV/0!</v>
      </c>
      <c r="AZ271" s="86" t="e">
        <f t="shared" ref="AZ271" si="2410">+AZ270/AZ269</f>
        <v>#DIV/0!</v>
      </c>
      <c r="BA271" s="86" t="e">
        <f t="shared" ref="BA271" si="2411">+BA270/BA269</f>
        <v>#DIV/0!</v>
      </c>
      <c r="BB271" s="86" t="e">
        <f t="shared" ref="BB271" si="2412">+BB270/BB269</f>
        <v>#DIV/0!</v>
      </c>
      <c r="BC271" s="86" t="e">
        <f t="shared" ref="BC271" si="2413">+BC270/BC269</f>
        <v>#DIV/0!</v>
      </c>
      <c r="BD271" s="86" t="e">
        <f t="shared" ref="BD271" si="2414">+BD270/BD269</f>
        <v>#DIV/0!</v>
      </c>
      <c r="BE271" s="86" t="e">
        <f t="shared" ref="BE271" si="2415">+BE270/BE269</f>
        <v>#DIV/0!</v>
      </c>
      <c r="BF271" s="86" t="e">
        <f t="shared" ref="BF271" si="2416">+BF270/BF269</f>
        <v>#DIV/0!</v>
      </c>
      <c r="BG271" s="86" t="e">
        <f t="shared" ref="BG271" si="2417">+BG270/BG269</f>
        <v>#DIV/0!</v>
      </c>
      <c r="BH271" s="86" t="e">
        <f t="shared" ref="BH271" si="2418">+BH270/BH269</f>
        <v>#DIV/0!</v>
      </c>
      <c r="BI271" s="86" t="e">
        <f t="shared" ref="BI271" si="2419">+BI270/BI269</f>
        <v>#DIV/0!</v>
      </c>
      <c r="BJ271" s="86" t="e">
        <f t="shared" ref="BJ271" si="2420">+BJ270/BJ269</f>
        <v>#DIV/0!</v>
      </c>
      <c r="BK271" s="86" t="e">
        <f t="shared" ref="BK271" si="2421">+BK270/BK269</f>
        <v>#DIV/0!</v>
      </c>
      <c r="BL271" s="86" t="e">
        <f t="shared" ref="BL271" si="2422">+BL270/BL269</f>
        <v>#DIV/0!</v>
      </c>
      <c r="BM271" s="86" t="e">
        <f t="shared" ref="BM271" si="2423">+BM270/BM269</f>
        <v>#DIV/0!</v>
      </c>
      <c r="BN271" s="86" t="e">
        <f t="shared" ref="BN271" si="2424">+BN270/BN269</f>
        <v>#DIV/0!</v>
      </c>
      <c r="BO271" s="86" t="e">
        <f t="shared" ref="BO271" si="2425">+BO270/BO269</f>
        <v>#DIV/0!</v>
      </c>
      <c r="BP271" s="86" t="e">
        <f t="shared" ref="BP271" si="2426">+BP270/BP269</f>
        <v>#DIV/0!</v>
      </c>
      <c r="BQ271" s="86" t="e">
        <f t="shared" ref="BQ271" si="2427">+BQ270/BQ269</f>
        <v>#DIV/0!</v>
      </c>
      <c r="BR271" s="86" t="e">
        <f t="shared" ref="BR271" si="2428">+BR270/BR269</f>
        <v>#DIV/0!</v>
      </c>
      <c r="BS271" s="86" t="e">
        <f t="shared" ref="BS271" si="2429">+BS270/BS269</f>
        <v>#DIV/0!</v>
      </c>
      <c r="BT271" s="86" t="e">
        <f t="shared" ref="BT271" si="2430">+BT270/BT269</f>
        <v>#DIV/0!</v>
      </c>
      <c r="BU271" s="86" t="e">
        <f t="shared" ref="BU271" si="2431">+BU270/BU269</f>
        <v>#DIV/0!</v>
      </c>
      <c r="BV271" s="86" t="e">
        <f t="shared" ref="BV271" si="2432">+BV270/BV269</f>
        <v>#DIV/0!</v>
      </c>
      <c r="BW271" s="86" t="e">
        <f t="shared" ref="BW271" si="2433">+BW270/BW269</f>
        <v>#DIV/0!</v>
      </c>
      <c r="BX271" s="86" t="e">
        <f t="shared" ref="BX271" si="2434">+BX270/BX269</f>
        <v>#DIV/0!</v>
      </c>
      <c r="BY271" s="86" t="e">
        <f t="shared" ref="BY271" si="2435">+BY270/BY269</f>
        <v>#DIV/0!</v>
      </c>
      <c r="BZ271" s="86" t="e">
        <f t="shared" ref="BZ271" si="2436">+BZ270/BZ269</f>
        <v>#DIV/0!</v>
      </c>
      <c r="CA271" s="86" t="e">
        <f t="shared" ref="CA271" si="2437">+CA270/CA269</f>
        <v>#DIV/0!</v>
      </c>
      <c r="CB271" s="86" t="e">
        <f t="shared" ref="CB271:CC271" si="2438">+CB270/CB269</f>
        <v>#DIV/0!</v>
      </c>
      <c r="CC271" s="86" t="e">
        <f t="shared" si="2438"/>
        <v>#DIV/0!</v>
      </c>
      <c r="CD271" s="86" t="e">
        <f t="shared" ref="CD271" si="2439">+CD270/CD269</f>
        <v>#DIV/0!</v>
      </c>
      <c r="CE271" s="86" t="e">
        <f t="shared" ref="CE271:CF271" si="2440">+CE270/CE269</f>
        <v>#DIV/0!</v>
      </c>
      <c r="CF271" s="86" t="e">
        <f t="shared" si="2440"/>
        <v>#DIV/0!</v>
      </c>
      <c r="CG271" s="86" t="e">
        <f t="shared" ref="CG271:CH271" si="2441">+CG270/CG269</f>
        <v>#DIV/0!</v>
      </c>
      <c r="CH271" s="86" t="e">
        <f t="shared" si="2441"/>
        <v>#DIV/0!</v>
      </c>
      <c r="CI271" s="86" t="e">
        <f t="shared" ref="CI271:CJ271" si="2442">+CI270/CI269</f>
        <v>#DIV/0!</v>
      </c>
      <c r="CJ271" s="86" t="e">
        <f t="shared" si="2442"/>
        <v>#DIV/0!</v>
      </c>
      <c r="CK271" s="86" t="e">
        <f t="shared" ref="CK271:DB271" si="2443">+CK270/CK269</f>
        <v>#DIV/0!</v>
      </c>
      <c r="CL271" s="86" t="e">
        <f t="shared" si="2443"/>
        <v>#DIV/0!</v>
      </c>
      <c r="CM271" s="47" t="e">
        <f t="shared" si="2443"/>
        <v>#DIV/0!</v>
      </c>
      <c r="CN271" s="47" t="e">
        <f t="shared" si="2443"/>
        <v>#DIV/0!</v>
      </c>
      <c r="CO271" s="47" t="e">
        <f t="shared" si="2443"/>
        <v>#DIV/0!</v>
      </c>
      <c r="CP271" s="47" t="e">
        <f t="shared" si="2443"/>
        <v>#DIV/0!</v>
      </c>
      <c r="CQ271" s="47" t="e">
        <f t="shared" si="2443"/>
        <v>#DIV/0!</v>
      </c>
      <c r="CR271" s="47" t="e">
        <f t="shared" si="2443"/>
        <v>#DIV/0!</v>
      </c>
      <c r="CS271" s="47" t="e">
        <f t="shared" si="2443"/>
        <v>#DIV/0!</v>
      </c>
      <c r="CT271" s="47" t="e">
        <f t="shared" si="2443"/>
        <v>#DIV/0!</v>
      </c>
      <c r="CU271" s="47" t="e">
        <f t="shared" si="2443"/>
        <v>#DIV/0!</v>
      </c>
      <c r="CV271" s="47" t="e">
        <f t="shared" si="2443"/>
        <v>#DIV/0!</v>
      </c>
      <c r="CW271" s="47" t="e">
        <f t="shared" si="2443"/>
        <v>#DIV/0!</v>
      </c>
      <c r="CX271" s="47" t="e">
        <f t="shared" si="2443"/>
        <v>#DIV/0!</v>
      </c>
      <c r="CY271" s="47" t="e">
        <f t="shared" si="2443"/>
        <v>#DIV/0!</v>
      </c>
      <c r="CZ271" s="47" t="e">
        <f t="shared" si="2443"/>
        <v>#DIV/0!</v>
      </c>
      <c r="DA271" s="47" t="e">
        <f t="shared" si="2443"/>
        <v>#DIV/0!</v>
      </c>
      <c r="DB271" s="47" t="e">
        <f t="shared" si="2443"/>
        <v>#DIV/0!</v>
      </c>
      <c r="DE271" s="131"/>
    </row>
    <row r="272" spans="1:110" s="64" customFormat="1" hidden="1" outlineLevel="1" x14ac:dyDescent="0.2">
      <c r="A272" s="64" t="s">
        <v>483</v>
      </c>
      <c r="AB272" s="30"/>
      <c r="AC272" s="30"/>
      <c r="AD272" s="30"/>
      <c r="AE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9"/>
    </row>
    <row r="273" spans="1:110" s="62" customFormat="1" hidden="1" outlineLevel="1" x14ac:dyDescent="0.2"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9"/>
    </row>
    <row r="274" spans="1:110" s="11" customFormat="1" collapsed="1" x14ac:dyDescent="0.2">
      <c r="AB274" s="63"/>
      <c r="AC274" s="63"/>
      <c r="AD274" s="63"/>
      <c r="AE274" s="6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10" s="62" customFormat="1" x14ac:dyDescent="0.2">
      <c r="A275" s="154" t="s">
        <v>500</v>
      </c>
      <c r="AB275" s="63"/>
      <c r="AC275" s="63"/>
      <c r="AD275" s="63"/>
      <c r="AE275" s="63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9"/>
    </row>
    <row r="276" spans="1:110" s="84" customFormat="1" x14ac:dyDescent="0.2">
      <c r="A276" s="84" t="s">
        <v>433</v>
      </c>
      <c r="B276" s="84" t="e">
        <f>B29/B197</f>
        <v>#DIV/0!</v>
      </c>
      <c r="C276" s="84" t="e">
        <f>C29/C197</f>
        <v>#DIV/0!</v>
      </c>
      <c r="D276" s="84" t="e">
        <f>D29/D197</f>
        <v>#DIV/0!</v>
      </c>
      <c r="F276" s="84">
        <f t="shared" ref="F276:AE276" si="2444">F29/F197</f>
        <v>3.0182069712917436</v>
      </c>
      <c r="G276" s="84">
        <f t="shared" si="2444"/>
        <v>2.7038391958375763</v>
      </c>
      <c r="H276" s="84">
        <f t="shared" si="2444"/>
        <v>2.8229598791788502</v>
      </c>
      <c r="I276" s="84">
        <f t="shared" si="2444"/>
        <v>2.2615697428190606</v>
      </c>
      <c r="J276" s="84">
        <f t="shared" si="2444"/>
        <v>1.0730165263227494</v>
      </c>
      <c r="K276" s="84">
        <f t="shared" si="2444"/>
        <v>1.182685888926541</v>
      </c>
      <c r="L276" s="84">
        <f t="shared" si="2444"/>
        <v>1.4605731353621056</v>
      </c>
      <c r="M276" s="84">
        <f t="shared" si="2444"/>
        <v>1.6284982711318696</v>
      </c>
      <c r="N276" s="84">
        <f t="shared" si="2444"/>
        <v>1.2690502112762589</v>
      </c>
      <c r="O276" s="84">
        <f t="shared" si="2444"/>
        <v>1.0679400862752126</v>
      </c>
      <c r="P276" s="84">
        <f t="shared" si="2444"/>
        <v>1.0461049675794847</v>
      </c>
      <c r="Q276" s="84">
        <f t="shared" si="2444"/>
        <v>1.2629927342135934</v>
      </c>
      <c r="R276" s="84">
        <f t="shared" si="2444"/>
        <v>1.2261409315618532</v>
      </c>
      <c r="S276" s="84">
        <f t="shared" si="2444"/>
        <v>1.6111742668090168</v>
      </c>
      <c r="T276" s="84">
        <f t="shared" si="2444"/>
        <v>1.7431359831134137</v>
      </c>
      <c r="U276" s="84">
        <f t="shared" si="2444"/>
        <v>1.1181771298941696</v>
      </c>
      <c r="V276" s="84">
        <f t="shared" si="2444"/>
        <v>1.2401100164428751</v>
      </c>
      <c r="W276" s="84">
        <f t="shared" si="2444"/>
        <v>1.0783870901702037</v>
      </c>
      <c r="X276" s="84">
        <f t="shared" si="2444"/>
        <v>1.5640987684838796</v>
      </c>
      <c r="Y276" s="84">
        <f t="shared" si="2444"/>
        <v>1.6408995556357566</v>
      </c>
      <c r="Z276" s="84">
        <f t="shared" si="2444"/>
        <v>1.6224321522804372</v>
      </c>
      <c r="AA276" s="84">
        <f t="shared" ref="AA276" si="2445">AA29/AA197</f>
        <v>1.6281048980971677</v>
      </c>
      <c r="AB276" s="50">
        <f t="shared" si="2444"/>
        <v>3.8134883440631695</v>
      </c>
      <c r="AC276" s="50">
        <f t="shared" si="2444"/>
        <v>3.1299039081219973</v>
      </c>
      <c r="AD276" s="50">
        <f t="shared" si="2444"/>
        <v>2.7160069026044491</v>
      </c>
      <c r="AE276" s="50">
        <f t="shared" si="2444"/>
        <v>2.4376501803215307</v>
      </c>
      <c r="AL276" s="84" t="e">
        <f t="shared" ref="AL276:BQ276" si="2446">SUM(AI29:AL29)/AL197</f>
        <v>#DIV/0!</v>
      </c>
      <c r="AM276" s="84">
        <f t="shared" si="2446"/>
        <v>67.341239370929969</v>
      </c>
      <c r="AN276" s="84" t="e">
        <f t="shared" si="2446"/>
        <v>#DIV/0!</v>
      </c>
      <c r="AO276" s="84">
        <f t="shared" si="2446"/>
        <v>32.104179319162476</v>
      </c>
      <c r="AP276" s="84" t="e">
        <f t="shared" si="2446"/>
        <v>#DIV/0!</v>
      </c>
      <c r="AQ276" s="84">
        <f t="shared" si="2446"/>
        <v>90.475666751333634</v>
      </c>
      <c r="AR276" s="84" t="e">
        <f t="shared" si="2446"/>
        <v>#DIV/0!</v>
      </c>
      <c r="AS276" s="84">
        <f t="shared" si="2446"/>
        <v>-17.224933104695857</v>
      </c>
      <c r="AT276" s="84" t="e">
        <f t="shared" si="2446"/>
        <v>#DIV/0!</v>
      </c>
      <c r="AU276" s="84">
        <f t="shared" si="2446"/>
        <v>141.89345845984002</v>
      </c>
      <c r="AV276" s="84" t="e">
        <f t="shared" si="2446"/>
        <v>#DIV/0!</v>
      </c>
      <c r="AW276" s="84">
        <f t="shared" si="2446"/>
        <v>-325.68688788188825</v>
      </c>
      <c r="AX276" s="84" t="e">
        <f t="shared" si="2446"/>
        <v>#DIV/0!</v>
      </c>
      <c r="AY276" s="84">
        <f t="shared" si="2446"/>
        <v>1867.0333980583432</v>
      </c>
      <c r="AZ276" s="84" t="e">
        <f t="shared" si="2446"/>
        <v>#DIV/0!</v>
      </c>
      <c r="BA276" s="84">
        <f t="shared" si="2446"/>
        <v>-46.040834082260901</v>
      </c>
      <c r="BB276" s="84" t="e">
        <f t="shared" si="2446"/>
        <v>#DIV/0!</v>
      </c>
      <c r="BC276" s="84">
        <f t="shared" si="2446"/>
        <v>-103.68314116681744</v>
      </c>
      <c r="BD276" s="84" t="e">
        <f t="shared" si="2446"/>
        <v>#DIV/0!</v>
      </c>
      <c r="BE276" s="84">
        <f t="shared" si="2446"/>
        <v>258.61104021929327</v>
      </c>
      <c r="BF276" s="84" t="e">
        <f t="shared" si="2446"/>
        <v>#DIV/0!</v>
      </c>
      <c r="BG276" s="84">
        <f t="shared" si="2446"/>
        <v>54.831987538416321</v>
      </c>
      <c r="BH276" s="84" t="e">
        <f t="shared" si="2446"/>
        <v>#DIV/0!</v>
      </c>
      <c r="BI276" s="84">
        <f t="shared" si="2446"/>
        <v>113.0384540656063</v>
      </c>
      <c r="BJ276" s="84" t="e">
        <f t="shared" si="2446"/>
        <v>#DIV/0!</v>
      </c>
      <c r="BK276" s="84">
        <f t="shared" si="2446"/>
        <v>-678.47250257466123</v>
      </c>
      <c r="BL276" s="84" t="e">
        <f t="shared" si="2446"/>
        <v>#DIV/0!</v>
      </c>
      <c r="BM276" s="84">
        <f t="shared" si="2446"/>
        <v>-50.751517541918872</v>
      </c>
      <c r="BN276" s="84" t="e">
        <f t="shared" si="2446"/>
        <v>#DIV/0!</v>
      </c>
      <c r="BO276" s="84">
        <f t="shared" si="2446"/>
        <v>-15.184206441953036</v>
      </c>
      <c r="BP276" s="84" t="e">
        <f t="shared" si="2446"/>
        <v>#DIV/0!</v>
      </c>
      <c r="BQ276" s="84">
        <f t="shared" si="2446"/>
        <v>-57.548805717509872</v>
      </c>
      <c r="BR276" s="84" t="e">
        <f t="shared" ref="BR276:CW276" si="2447">SUM(BO29:BR29)/BR197</f>
        <v>#DIV/0!</v>
      </c>
      <c r="BS276" s="84">
        <f t="shared" si="2447"/>
        <v>-42.589166597260594</v>
      </c>
      <c r="BT276" s="84" t="e">
        <f t="shared" si="2447"/>
        <v>#DIV/0!</v>
      </c>
      <c r="BU276" s="84">
        <f t="shared" si="2447"/>
        <v>-87.017718610835772</v>
      </c>
      <c r="BV276" s="84" t="e">
        <f t="shared" si="2447"/>
        <v>#DIV/0!</v>
      </c>
      <c r="BW276" s="84">
        <f t="shared" si="2447"/>
        <v>-306.91879798928773</v>
      </c>
      <c r="BX276" s="84" t="e">
        <f t="shared" si="2447"/>
        <v>#DIV/0!</v>
      </c>
      <c r="BY276" s="84">
        <f t="shared" si="2447"/>
        <v>129.87862845825339</v>
      </c>
      <c r="BZ276" s="84" t="e">
        <f t="shared" si="2447"/>
        <v>#DIV/0!</v>
      </c>
      <c r="CA276" s="84">
        <f t="shared" si="2447"/>
        <v>-1042.4290625000435</v>
      </c>
      <c r="CB276" s="84" t="e">
        <f t="shared" si="2447"/>
        <v>#DIV/0!</v>
      </c>
      <c r="CC276" s="84">
        <f t="shared" si="2447"/>
        <v>16.014039233706423</v>
      </c>
      <c r="CD276" s="84" t="e">
        <f t="shared" si="2447"/>
        <v>#DIV/0!</v>
      </c>
      <c r="CE276" s="84">
        <f t="shared" si="2447"/>
        <v>33.94178082191781</v>
      </c>
      <c r="CF276" s="84" t="e">
        <f t="shared" si="2447"/>
        <v>#DIV/0!</v>
      </c>
      <c r="CG276" s="84">
        <f t="shared" si="2447"/>
        <v>162.08476389858117</v>
      </c>
      <c r="CH276" s="84">
        <f t="shared" si="2447"/>
        <v>1.6353891820580475</v>
      </c>
      <c r="CI276" s="84">
        <f t="shared" si="2447"/>
        <v>1.5558722269089582</v>
      </c>
      <c r="CJ276" s="84">
        <f t="shared" si="2447"/>
        <v>4.3310095854599773</v>
      </c>
      <c r="CK276" s="84">
        <f t="shared" si="2447"/>
        <v>4.3872015396644013</v>
      </c>
      <c r="CL276" s="84">
        <f t="shared" si="2447"/>
        <v>4.7402621264086235</v>
      </c>
      <c r="CM276" s="50">
        <f t="shared" si="2447"/>
        <v>4.5162660525294518</v>
      </c>
      <c r="CN276" s="50">
        <f t="shared" si="2447"/>
        <v>4.2918991958916068</v>
      </c>
      <c r="CO276" s="50">
        <f t="shared" si="2447"/>
        <v>4.054867319060941</v>
      </c>
      <c r="CP276" s="50">
        <f t="shared" si="2447"/>
        <v>3.8134883440631695</v>
      </c>
      <c r="CQ276" s="50">
        <f t="shared" si="2447"/>
        <v>3.6684408424638235</v>
      </c>
      <c r="CR276" s="50">
        <f t="shared" si="2447"/>
        <v>3.5075172010221718</v>
      </c>
      <c r="CS276" s="50">
        <f t="shared" si="2447"/>
        <v>3.3233638018107112</v>
      </c>
      <c r="CT276" s="50">
        <f t="shared" si="2447"/>
        <v>3.1299039081219973</v>
      </c>
      <c r="CU276" s="50">
        <f t="shared" si="2447"/>
        <v>3.0347863659115952</v>
      </c>
      <c r="CV276" s="50">
        <f t="shared" si="2447"/>
        <v>2.9338283129759821</v>
      </c>
      <c r="CW276" s="50">
        <f t="shared" si="2447"/>
        <v>2.8244561871548832</v>
      </c>
      <c r="CX276" s="50">
        <f t="shared" ref="CX276:DB276" si="2448">SUM(CU29:CX29)/CX197</f>
        <v>2.7160069026044491</v>
      </c>
      <c r="CY276" s="50">
        <f t="shared" si="2448"/>
        <v>2.6570169636972905</v>
      </c>
      <c r="CZ276" s="50">
        <f t="shared" si="2448"/>
        <v>2.5922912788624779</v>
      </c>
      <c r="DA276" s="50">
        <f t="shared" si="2448"/>
        <v>2.5172548936208887</v>
      </c>
      <c r="DB276" s="50">
        <f t="shared" si="2448"/>
        <v>2.4376501803215307</v>
      </c>
      <c r="DE276" s="138"/>
      <c r="DF276" s="84">
        <v>4.0910389144248995</v>
      </c>
    </row>
    <row r="277" spans="1:110" s="88" customFormat="1" x14ac:dyDescent="0.2">
      <c r="A277" s="88" t="s">
        <v>102</v>
      </c>
      <c r="B277" s="88" t="e">
        <f>B193/B150</f>
        <v>#DIV/0!</v>
      </c>
      <c r="C277" s="88" t="e">
        <f>C193/C150</f>
        <v>#DIV/0!</v>
      </c>
      <c r="D277" s="88" t="e">
        <f>D193/D150</f>
        <v>#DIV/0!</v>
      </c>
      <c r="F277" s="88">
        <f t="shared" ref="F277:AE277" si="2449">F193/F150</f>
        <v>0.74779818990657665</v>
      </c>
      <c r="G277" s="88">
        <f t="shared" si="2449"/>
        <v>0.24291728296734552</v>
      </c>
      <c r="H277" s="88">
        <f t="shared" si="2449"/>
        <v>0.13922631827941337</v>
      </c>
      <c r="I277" s="88">
        <f t="shared" si="2449"/>
        <v>0.41467185407232593</v>
      </c>
      <c r="J277" s="88">
        <f t="shared" si="2449"/>
        <v>0.12933610789728664</v>
      </c>
      <c r="K277" s="88">
        <f t="shared" si="2449"/>
        <v>0.14768597311009934</v>
      </c>
      <c r="L277" s="88">
        <f t="shared" si="2449"/>
        <v>0.12566243448107009</v>
      </c>
      <c r="M277" s="88">
        <f t="shared" si="2449"/>
        <v>0.22879480536110192</v>
      </c>
      <c r="N277" s="88">
        <f t="shared" si="2449"/>
        <v>0.11630826283365839</v>
      </c>
      <c r="O277" s="88">
        <f t="shared" si="2449"/>
        <v>1.7051987703796023E-2</v>
      </c>
      <c r="P277" s="88">
        <f t="shared" si="2449"/>
        <v>6.492609969056537E-2</v>
      </c>
      <c r="Q277" s="88">
        <f t="shared" si="2449"/>
        <v>0.10894303001644295</v>
      </c>
      <c r="R277" s="88">
        <f t="shared" si="2449"/>
        <v>0.10939954948846108</v>
      </c>
      <c r="S277" s="88">
        <f t="shared" si="2449"/>
        <v>0.11163314821590217</v>
      </c>
      <c r="T277" s="88">
        <f t="shared" si="2449"/>
        <v>0.12935023025256034</v>
      </c>
      <c r="U277" s="88">
        <f t="shared" si="2449"/>
        <v>0.2632810609294825</v>
      </c>
      <c r="V277" s="88">
        <f t="shared" si="2449"/>
        <v>0.35185141454357866</v>
      </c>
      <c r="W277" s="88">
        <f t="shared" si="2449"/>
        <v>0.3885104153348225</v>
      </c>
      <c r="X277" s="88">
        <f t="shared" si="2449"/>
        <v>0.20283223964556954</v>
      </c>
      <c r="Y277" s="88">
        <f t="shared" si="2449"/>
        <v>0.23703679129482799</v>
      </c>
      <c r="Z277" s="88">
        <f t="shared" si="2449"/>
        <v>0.13330542431672746</v>
      </c>
      <c r="AA277" s="88">
        <f t="shared" ref="AA277" si="2450">AA193/AA150</f>
        <v>0.1331779888868973</v>
      </c>
      <c r="AB277" s="42">
        <f t="shared" si="2449"/>
        <v>0.80933639695700132</v>
      </c>
      <c r="AC277" s="42">
        <f t="shared" si="2449"/>
        <v>0.90009254756881796</v>
      </c>
      <c r="AD277" s="42">
        <f t="shared" si="2449"/>
        <v>0.98088961516521256</v>
      </c>
      <c r="AE277" s="42">
        <f t="shared" si="2449"/>
        <v>1.0331392871361005</v>
      </c>
      <c r="AL277" s="88" t="e">
        <f t="shared" ref="AL277:BQ277" si="2451">AL193/AL150</f>
        <v>#DIV/0!</v>
      </c>
      <c r="AM277" s="88">
        <f t="shared" si="2451"/>
        <v>1</v>
      </c>
      <c r="AN277" s="88" t="e">
        <f t="shared" si="2451"/>
        <v>#DIV/0!</v>
      </c>
      <c r="AO277" s="88">
        <f t="shared" si="2451"/>
        <v>1.0000000000000002</v>
      </c>
      <c r="AP277" s="88" t="e">
        <f t="shared" si="2451"/>
        <v>#DIV/0!</v>
      </c>
      <c r="AQ277" s="88">
        <f t="shared" si="2451"/>
        <v>1</v>
      </c>
      <c r="AR277" s="88" t="e">
        <f t="shared" si="2451"/>
        <v>#DIV/0!</v>
      </c>
      <c r="AS277" s="88">
        <f t="shared" si="2451"/>
        <v>1</v>
      </c>
      <c r="AT277" s="88" t="e">
        <f t="shared" si="2451"/>
        <v>#DIV/0!</v>
      </c>
      <c r="AU277" s="88">
        <f t="shared" si="2451"/>
        <v>1</v>
      </c>
      <c r="AV277" s="88" t="e">
        <f t="shared" si="2451"/>
        <v>#DIV/0!</v>
      </c>
      <c r="AW277" s="88">
        <f t="shared" si="2451"/>
        <v>1</v>
      </c>
      <c r="AX277" s="88" t="e">
        <f t="shared" si="2451"/>
        <v>#DIV/0!</v>
      </c>
      <c r="AY277" s="88">
        <f t="shared" si="2451"/>
        <v>0.99999999999999833</v>
      </c>
      <c r="AZ277" s="88" t="e">
        <f t="shared" si="2451"/>
        <v>#DIV/0!</v>
      </c>
      <c r="BA277" s="88">
        <f t="shared" si="2451"/>
        <v>1</v>
      </c>
      <c r="BB277" s="88" t="e">
        <f t="shared" si="2451"/>
        <v>#DIV/0!</v>
      </c>
      <c r="BC277" s="88">
        <f t="shared" si="2451"/>
        <v>1</v>
      </c>
      <c r="BD277" s="88" t="e">
        <f t="shared" si="2451"/>
        <v>#DIV/0!</v>
      </c>
      <c r="BE277" s="88">
        <f t="shared" si="2451"/>
        <v>1</v>
      </c>
      <c r="BF277" s="88" t="e">
        <f t="shared" si="2451"/>
        <v>#DIV/0!</v>
      </c>
      <c r="BG277" s="88">
        <f t="shared" si="2451"/>
        <v>0.99999999999999978</v>
      </c>
      <c r="BH277" s="88" t="e">
        <f t="shared" si="2451"/>
        <v>#DIV/0!</v>
      </c>
      <c r="BI277" s="88">
        <f t="shared" si="2451"/>
        <v>1.0000000000000002</v>
      </c>
      <c r="BJ277" s="88" t="e">
        <f t="shared" si="2451"/>
        <v>#DIV/0!</v>
      </c>
      <c r="BK277" s="88">
        <f t="shared" si="2451"/>
        <v>1.0000000000000002</v>
      </c>
      <c r="BL277" s="88" t="e">
        <f t="shared" si="2451"/>
        <v>#DIV/0!</v>
      </c>
      <c r="BM277" s="88">
        <f t="shared" si="2451"/>
        <v>1</v>
      </c>
      <c r="BN277" s="88" t="e">
        <f t="shared" si="2451"/>
        <v>#DIV/0!</v>
      </c>
      <c r="BO277" s="88">
        <f t="shared" si="2451"/>
        <v>1</v>
      </c>
      <c r="BP277" s="88" t="e">
        <f t="shared" si="2451"/>
        <v>#DIV/0!</v>
      </c>
      <c r="BQ277" s="88">
        <f t="shared" si="2451"/>
        <v>1</v>
      </c>
      <c r="BR277" s="88" t="e">
        <f t="shared" ref="BR277:DB277" si="2452">BR193/BR150</f>
        <v>#DIV/0!</v>
      </c>
      <c r="BS277" s="88">
        <f t="shared" si="2452"/>
        <v>1</v>
      </c>
      <c r="BT277" s="88" t="e">
        <f t="shared" si="2452"/>
        <v>#DIV/0!</v>
      </c>
      <c r="BU277" s="88">
        <f t="shared" si="2452"/>
        <v>1</v>
      </c>
      <c r="BV277" s="88" t="e">
        <f t="shared" si="2452"/>
        <v>#DIV/0!</v>
      </c>
      <c r="BW277" s="88">
        <f t="shared" si="2452"/>
        <v>1</v>
      </c>
      <c r="BX277" s="88" t="e">
        <f t="shared" si="2452"/>
        <v>#DIV/0!</v>
      </c>
      <c r="BY277" s="88">
        <f t="shared" si="2452"/>
        <v>1</v>
      </c>
      <c r="BZ277" s="88" t="e">
        <f t="shared" si="2452"/>
        <v>#DIV/0!</v>
      </c>
      <c r="CA277" s="88">
        <f t="shared" si="2452"/>
        <v>0.99999999999999967</v>
      </c>
      <c r="CB277" s="88" t="e">
        <f t="shared" si="2452"/>
        <v>#DIV/0!</v>
      </c>
      <c r="CC277" s="88">
        <f t="shared" si="2452"/>
        <v>1</v>
      </c>
      <c r="CD277" s="88" t="e">
        <f t="shared" si="2452"/>
        <v>#DIV/0!</v>
      </c>
      <c r="CE277" s="88">
        <f t="shared" si="2452"/>
        <v>1</v>
      </c>
      <c r="CF277" s="88" t="e">
        <f t="shared" si="2452"/>
        <v>#DIV/0!</v>
      </c>
      <c r="CG277" s="88">
        <f t="shared" si="2452"/>
        <v>1</v>
      </c>
      <c r="CH277" s="88">
        <f t="shared" si="2452"/>
        <v>0.13330542431672746</v>
      </c>
      <c r="CI277" s="88">
        <f t="shared" si="2452"/>
        <v>0.12496189610215032</v>
      </c>
      <c r="CJ277" s="88">
        <f t="shared" si="2452"/>
        <v>0.10369590195327461</v>
      </c>
      <c r="CK277" s="88">
        <f t="shared" si="2452"/>
        <v>0.31997140151826986</v>
      </c>
      <c r="CL277" s="88">
        <f t="shared" ref="CL277" si="2453">CL193/CL150</f>
        <v>0.60094036868423018</v>
      </c>
      <c r="CM277" s="42">
        <f t="shared" si="2452"/>
        <v>0.35638705272472998</v>
      </c>
      <c r="CN277" s="42">
        <f t="shared" si="2452"/>
        <v>0.48299936734806703</v>
      </c>
      <c r="CO277" s="42">
        <f t="shared" si="2452"/>
        <v>0.66837342489186946</v>
      </c>
      <c r="CP277" s="42">
        <f t="shared" si="2452"/>
        <v>0.80933639695700132</v>
      </c>
      <c r="CQ277" s="42">
        <f t="shared" si="2452"/>
        <v>0.60403338819092312</v>
      </c>
      <c r="CR277" s="42">
        <f t="shared" si="2452"/>
        <v>0.68230399503068051</v>
      </c>
      <c r="CS277" s="42">
        <f t="shared" si="2452"/>
        <v>0.8069717475111825</v>
      </c>
      <c r="CT277" s="42">
        <f t="shared" si="2452"/>
        <v>0.90009254756881796</v>
      </c>
      <c r="CU277" s="42">
        <f t="shared" si="2452"/>
        <v>0.74873896882717739</v>
      </c>
      <c r="CV277" s="42">
        <f t="shared" si="2452"/>
        <v>0.80756272596285361</v>
      </c>
      <c r="CW277" s="42">
        <f t="shared" si="2452"/>
        <v>0.90596157556026247</v>
      </c>
      <c r="CX277" s="42">
        <f t="shared" si="2452"/>
        <v>0.98088961516521256</v>
      </c>
      <c r="CY277" s="42">
        <f t="shared" si="2452"/>
        <v>0.84405741912695198</v>
      </c>
      <c r="CZ277" s="42">
        <f t="shared" si="2452"/>
        <v>0.8908387753201793</v>
      </c>
      <c r="DA277" s="42">
        <f t="shared" si="2452"/>
        <v>0.97212299245952916</v>
      </c>
      <c r="DB277" s="42">
        <f t="shared" si="2452"/>
        <v>1.0331392871361005</v>
      </c>
      <c r="DE277" s="125"/>
      <c r="DF277" s="88">
        <v>0.57311796899688094</v>
      </c>
    </row>
    <row r="278" spans="1:110" s="89" customFormat="1" x14ac:dyDescent="0.2">
      <c r="A278" s="89" t="s">
        <v>103</v>
      </c>
      <c r="C278" s="89" t="e">
        <f t="shared" ref="C278:AA278" si="2454">C159/B159-1</f>
        <v>#DIV/0!</v>
      </c>
      <c r="D278" s="89" t="e">
        <f t="shared" si="2454"/>
        <v>#DIV/0!</v>
      </c>
      <c r="F278" s="89">
        <f t="shared" si="2454"/>
        <v>0.98085364788810669</v>
      </c>
      <c r="G278" s="89">
        <f t="shared" si="2454"/>
        <v>0.17689206626539833</v>
      </c>
      <c r="H278" s="89">
        <f t="shared" si="2454"/>
        <v>0.36512033341959382</v>
      </c>
      <c r="I278" s="89">
        <f t="shared" si="2454"/>
        <v>0.56655043226228075</v>
      </c>
      <c r="J278" s="89">
        <f t="shared" si="2454"/>
        <v>1.1223847706877774</v>
      </c>
      <c r="K278" s="89">
        <f>K159/J159-1</f>
        <v>0.23280153762130817</v>
      </c>
      <c r="L278" s="89">
        <f t="shared" si="2454"/>
        <v>-0.10921173137952356</v>
      </c>
      <c r="M278" s="89">
        <f t="shared" si="2454"/>
        <v>8.4872514976237046E-2</v>
      </c>
      <c r="N278" s="89">
        <f t="shared" si="2454"/>
        <v>0.14769180199451259</v>
      </c>
      <c r="O278" s="89">
        <f t="shared" si="2454"/>
        <v>-0.20358114781081982</v>
      </c>
      <c r="P278" s="89">
        <f t="shared" si="2454"/>
        <v>0.4559833502462538</v>
      </c>
      <c r="Q278" s="89">
        <f t="shared" si="2454"/>
        <v>-0.32552141369721466</v>
      </c>
      <c r="R278" s="89">
        <f t="shared" si="2454"/>
        <v>0.32199460107136746</v>
      </c>
      <c r="S278" s="89">
        <f t="shared" si="2454"/>
        <v>-0.13737774355637999</v>
      </c>
      <c r="T278" s="89">
        <f t="shared" si="2454"/>
        <v>7.8848877137854823E-2</v>
      </c>
      <c r="U278" s="89">
        <f t="shared" si="2454"/>
        <v>0.1916085104344798</v>
      </c>
      <c r="V278" s="89">
        <f t="shared" si="2454"/>
        <v>-9.7072093950244742E-2</v>
      </c>
      <c r="W278" s="89">
        <f t="shared" si="2454"/>
        <v>0.24695178986786437</v>
      </c>
      <c r="X278" s="89">
        <f t="shared" si="2454"/>
        <v>-0.18064377385081509</v>
      </c>
      <c r="Y278" s="89">
        <f t="shared" si="2454"/>
        <v>-0.26395413796269362</v>
      </c>
      <c r="Z278" s="89">
        <f t="shared" si="2454"/>
        <v>-0.36532769556025368</v>
      </c>
      <c r="AA278" s="89">
        <f t="shared" si="2454"/>
        <v>0.22573839662447259</v>
      </c>
      <c r="AB278" s="47">
        <f t="shared" ref="AB278" si="2455">AB159/AA159-1</f>
        <v>-0.73466799528942839</v>
      </c>
      <c r="AC278" s="47">
        <f t="shared" ref="AC278" si="2456">AC159/AB159-1</f>
        <v>0</v>
      </c>
      <c r="AD278" s="47">
        <f t="shared" ref="AD278" si="2457">AD159/AC159-1</f>
        <v>0</v>
      </c>
      <c r="AE278" s="47">
        <f t="shared" ref="AE278" si="2458">AE159/AD159-1</f>
        <v>0</v>
      </c>
      <c r="AL278" s="89" t="e">
        <f t="shared" ref="AL278:BX278" si="2459">AL159/AK159-1</f>
        <v>#DIV/0!</v>
      </c>
      <c r="AM278" s="89" t="e">
        <f t="shared" si="2459"/>
        <v>#DIV/0!</v>
      </c>
      <c r="AN278" s="89" t="e">
        <f t="shared" si="2459"/>
        <v>#DIV/0!</v>
      </c>
      <c r="AO278" s="89" t="e">
        <f t="shared" si="2459"/>
        <v>#DIV/0!</v>
      </c>
      <c r="AP278" s="89" t="e">
        <f t="shared" si="2459"/>
        <v>#DIV/0!</v>
      </c>
      <c r="AQ278" s="89" t="e">
        <f t="shared" si="2459"/>
        <v>#DIV/0!</v>
      </c>
      <c r="AR278" s="89" t="e">
        <f t="shared" si="2459"/>
        <v>#DIV/0!</v>
      </c>
      <c r="AS278" s="89" t="e">
        <f t="shared" si="2459"/>
        <v>#DIV/0!</v>
      </c>
      <c r="AT278" s="89" t="e">
        <f t="shared" si="2459"/>
        <v>#DIV/0!</v>
      </c>
      <c r="AU278" s="89" t="e">
        <f t="shared" si="2459"/>
        <v>#DIV/0!</v>
      </c>
      <c r="AV278" s="89" t="e">
        <f t="shared" si="2459"/>
        <v>#DIV/0!</v>
      </c>
      <c r="AW278" s="89" t="e">
        <f t="shared" si="2459"/>
        <v>#DIV/0!</v>
      </c>
      <c r="AX278" s="89" t="e">
        <f t="shared" si="2459"/>
        <v>#DIV/0!</v>
      </c>
      <c r="AY278" s="89" t="e">
        <f t="shared" si="2459"/>
        <v>#DIV/0!</v>
      </c>
      <c r="AZ278" s="89" t="e">
        <f t="shared" si="2459"/>
        <v>#DIV/0!</v>
      </c>
      <c r="BA278" s="89" t="e">
        <f t="shared" si="2459"/>
        <v>#DIV/0!</v>
      </c>
      <c r="BB278" s="89" t="e">
        <f t="shared" si="2459"/>
        <v>#DIV/0!</v>
      </c>
      <c r="BC278" s="89" t="e">
        <f t="shared" si="2459"/>
        <v>#DIV/0!</v>
      </c>
      <c r="BD278" s="89" t="e">
        <f t="shared" si="2459"/>
        <v>#DIV/0!</v>
      </c>
      <c r="BE278" s="89" t="e">
        <f t="shared" si="2459"/>
        <v>#DIV/0!</v>
      </c>
      <c r="BF278" s="89" t="e">
        <f t="shared" si="2459"/>
        <v>#DIV/0!</v>
      </c>
      <c r="BG278" s="89" t="e">
        <f t="shared" si="2459"/>
        <v>#DIV/0!</v>
      </c>
      <c r="BH278" s="89" t="e">
        <f t="shared" si="2459"/>
        <v>#DIV/0!</v>
      </c>
      <c r="BI278" s="89" t="e">
        <f t="shared" si="2459"/>
        <v>#DIV/0!</v>
      </c>
      <c r="BJ278" s="89" t="e">
        <f t="shared" si="2459"/>
        <v>#DIV/0!</v>
      </c>
      <c r="BK278" s="89" t="e">
        <f t="shared" si="2459"/>
        <v>#DIV/0!</v>
      </c>
      <c r="BL278" s="89" t="e">
        <f t="shared" si="2459"/>
        <v>#DIV/0!</v>
      </c>
      <c r="BM278" s="89" t="e">
        <f t="shared" si="2459"/>
        <v>#DIV/0!</v>
      </c>
      <c r="BN278" s="89" t="e">
        <f t="shared" si="2459"/>
        <v>#DIV/0!</v>
      </c>
      <c r="BO278" s="89" t="e">
        <f t="shared" si="2459"/>
        <v>#DIV/0!</v>
      </c>
      <c r="BP278" s="89" t="e">
        <f t="shared" si="2459"/>
        <v>#DIV/0!</v>
      </c>
      <c r="BQ278" s="89" t="e">
        <f t="shared" si="2459"/>
        <v>#DIV/0!</v>
      </c>
      <c r="BR278" s="89" t="e">
        <f t="shared" si="2459"/>
        <v>#DIV/0!</v>
      </c>
      <c r="BS278" s="89" t="e">
        <f t="shared" si="2459"/>
        <v>#DIV/0!</v>
      </c>
      <c r="BT278" s="89" t="e">
        <f t="shared" si="2459"/>
        <v>#DIV/0!</v>
      </c>
      <c r="BU278" s="89" t="e">
        <f t="shared" si="2459"/>
        <v>#DIV/0!</v>
      </c>
      <c r="BV278" s="89" t="e">
        <f t="shared" si="2459"/>
        <v>#DIV/0!</v>
      </c>
      <c r="BW278" s="89" t="e">
        <f t="shared" si="2459"/>
        <v>#DIV/0!</v>
      </c>
      <c r="BX278" s="89" t="e">
        <f t="shared" si="2459"/>
        <v>#DIV/0!</v>
      </c>
      <c r="BY278" s="89" t="e">
        <f t="shared" ref="BY278" si="2460">BY159/BX159-1</f>
        <v>#DIV/0!</v>
      </c>
      <c r="BZ278" s="89" t="e">
        <f t="shared" ref="BZ278" si="2461">BZ159/BY159-1</f>
        <v>#DIV/0!</v>
      </c>
      <c r="CA278" s="89" t="e">
        <f t="shared" ref="CA278" si="2462">CA159/BZ159-1</f>
        <v>#DIV/0!</v>
      </c>
      <c r="CB278" s="89" t="e">
        <f t="shared" ref="CB278" si="2463">CB159/CA159-1</f>
        <v>#DIV/0!</v>
      </c>
      <c r="CC278" s="89" t="e">
        <f t="shared" ref="CC278:CD278" si="2464">CC159/CB159-1</f>
        <v>#DIV/0!</v>
      </c>
      <c r="CD278" s="89" t="e">
        <f t="shared" si="2464"/>
        <v>#DIV/0!</v>
      </c>
      <c r="CE278" s="89" t="e">
        <f t="shared" ref="CE278" si="2465">CE159/CD159-1</f>
        <v>#DIV/0!</v>
      </c>
      <c r="CF278" s="89" t="e">
        <f t="shared" ref="CF278" si="2466">CF159/CE159-1</f>
        <v>#DIV/0!</v>
      </c>
      <c r="CG278" s="89" t="e">
        <f t="shared" ref="CG278" si="2467">CG159/CF159-1</f>
        <v>#DIV/0!</v>
      </c>
      <c r="CH278" s="89" t="e">
        <f t="shared" ref="CH278:CL278" si="2468">CH159/CG159-1</f>
        <v>#DIV/0!</v>
      </c>
      <c r="CI278" s="89">
        <f t="shared" si="2468"/>
        <v>0</v>
      </c>
      <c r="CJ278" s="89">
        <f t="shared" si="2468"/>
        <v>-0.37574950033311127</v>
      </c>
      <c r="CK278" s="89">
        <f t="shared" ref="CK278" si="2469">CK159/CJ159-1</f>
        <v>0</v>
      </c>
      <c r="CL278" s="89">
        <f t="shared" si="2468"/>
        <v>-0.47901102810387763</v>
      </c>
      <c r="CM278" s="47">
        <f t="shared" ref="CM278" si="2470">CM159/CL159-1</f>
        <v>0</v>
      </c>
      <c r="CN278" s="47">
        <f t="shared" ref="CN278" si="2471">CN159/CM159-1</f>
        <v>0</v>
      </c>
      <c r="CO278" s="47">
        <f t="shared" ref="CO278" si="2472">CO159/CN159-1</f>
        <v>0</v>
      </c>
      <c r="CP278" s="47">
        <f t="shared" ref="CP278" si="2473">CP159/CO159-1</f>
        <v>0</v>
      </c>
      <c r="CQ278" s="47">
        <f t="shared" ref="CQ278" si="2474">CQ159/CP159-1</f>
        <v>0</v>
      </c>
      <c r="CR278" s="47">
        <f t="shared" ref="CR278" si="2475">CR159/CQ159-1</f>
        <v>0</v>
      </c>
      <c r="CS278" s="47">
        <f t="shared" ref="CS278" si="2476">CS159/CR159-1</f>
        <v>0</v>
      </c>
      <c r="CT278" s="47">
        <f t="shared" ref="CT278" si="2477">CT159/CS159-1</f>
        <v>0</v>
      </c>
      <c r="CU278" s="47">
        <f t="shared" ref="CU278" si="2478">CU159/CT159-1</f>
        <v>0</v>
      </c>
      <c r="CV278" s="47">
        <f t="shared" ref="CV278" si="2479">CV159/CU159-1</f>
        <v>0</v>
      </c>
      <c r="CW278" s="47">
        <f t="shared" ref="CW278" si="2480">CW159/CV159-1</f>
        <v>0</v>
      </c>
      <c r="CX278" s="47">
        <f t="shared" ref="CX278" si="2481">CX159/CW159-1</f>
        <v>0</v>
      </c>
      <c r="CY278" s="47">
        <f t="shared" ref="CY278" si="2482">CY159/CX159-1</f>
        <v>0</v>
      </c>
      <c r="CZ278" s="47">
        <f t="shared" ref="CZ278" si="2483">CZ159/CY159-1</f>
        <v>0</v>
      </c>
      <c r="DA278" s="47">
        <f t="shared" ref="DA278" si="2484">DA159/CZ159-1</f>
        <v>0</v>
      </c>
      <c r="DB278" s="47">
        <f t="shared" ref="DB278" si="2485">DB159/DA159-1</f>
        <v>0</v>
      </c>
      <c r="DE278" s="131"/>
      <c r="DF278" s="89">
        <v>0</v>
      </c>
    </row>
    <row r="279" spans="1:110" s="89" customFormat="1" x14ac:dyDescent="0.2">
      <c r="A279" s="89" t="s">
        <v>104</v>
      </c>
      <c r="C279" s="89" t="e">
        <f>C52/B52-1</f>
        <v>#REF!</v>
      </c>
      <c r="D279" s="89" t="e">
        <f>D52/C52-1</f>
        <v>#REF!</v>
      </c>
      <c r="F279" s="89">
        <f t="shared" ref="F279:AE279" si="2486">F52/E52-1</f>
        <v>0.27641637685317577</v>
      </c>
      <c r="G279" s="89">
        <f t="shared" si="2486"/>
        <v>4.3959599015183537E-2</v>
      </c>
      <c r="H279" s="89">
        <f t="shared" si="2486"/>
        <v>0.35142689262990201</v>
      </c>
      <c r="I279" s="89">
        <f t="shared" si="2486"/>
        <v>-6.6382071391028252E-2</v>
      </c>
      <c r="J279" s="89">
        <f t="shared" si="2486"/>
        <v>-0.40135084487611872</v>
      </c>
      <c r="K279" s="89">
        <f t="shared" si="2486"/>
        <v>0.54379505650545057</v>
      </c>
      <c r="L279" s="89">
        <f t="shared" si="2486"/>
        <v>0.28887005981204084</v>
      </c>
      <c r="M279" s="89">
        <f t="shared" si="2486"/>
        <v>1.4066789505968069E-2</v>
      </c>
      <c r="N279" s="89">
        <f t="shared" si="2486"/>
        <v>-0.37182100989044908</v>
      </c>
      <c r="O279" s="89">
        <f t="shared" si="2486"/>
        <v>-0.75546014635479808</v>
      </c>
      <c r="P279" s="89">
        <f t="shared" si="2486"/>
        <v>-0.55156861002751423</v>
      </c>
      <c r="Q279" s="89">
        <f t="shared" si="2486"/>
        <v>14.154467058555861</v>
      </c>
      <c r="R279" s="89">
        <f t="shared" si="2486"/>
        <v>-0.15541477160621775</v>
      </c>
      <c r="S279" s="89">
        <f t="shared" si="2486"/>
        <v>-0.45498245661324821</v>
      </c>
      <c r="T279" s="89">
        <f t="shared" si="2486"/>
        <v>0.53666183081098673</v>
      </c>
      <c r="U279" s="89">
        <f t="shared" si="2486"/>
        <v>-0.99459469124654432</v>
      </c>
      <c r="V279" s="89">
        <f t="shared" si="2486"/>
        <v>64.047304002615803</v>
      </c>
      <c r="W279" s="89">
        <f t="shared" si="2486"/>
        <v>-0.1681465433944519</v>
      </c>
      <c r="X279" s="89">
        <f t="shared" si="2486"/>
        <v>1.941060315208988</v>
      </c>
      <c r="Y279" s="89">
        <f t="shared" si="2486"/>
        <v>0.63589915211783921</v>
      </c>
      <c r="Z279" s="89">
        <f t="shared" si="2486"/>
        <v>2.6937738246505694E-2</v>
      </c>
      <c r="AA279" s="89">
        <f t="shared" si="2486"/>
        <v>0</v>
      </c>
      <c r="AB279" s="47">
        <f t="shared" si="2486"/>
        <v>-1.026670099645983</v>
      </c>
      <c r="AC279" s="47">
        <f t="shared" si="2486"/>
        <v>-2.4201072821034453</v>
      </c>
      <c r="AD279" s="47">
        <f t="shared" si="2486"/>
        <v>0.54982636525561412</v>
      </c>
      <c r="AE279" s="47">
        <f t="shared" si="2486"/>
        <v>-0.46094688687085006</v>
      </c>
      <c r="AL279" s="89">
        <f t="shared" ref="AL279:BQ279" si="2487">AL52/AK52-1</f>
        <v>0.51039515351783793</v>
      </c>
      <c r="AM279" s="89">
        <f t="shared" si="2487"/>
        <v>-0.52055606198725535</v>
      </c>
      <c r="AN279" s="89">
        <f t="shared" si="2487"/>
        <v>-0.2269227112843224</v>
      </c>
      <c r="AO279" s="89">
        <f t="shared" si="2487"/>
        <v>-6.645351696999505</v>
      </c>
      <c r="AP279" s="89">
        <f t="shared" si="2487"/>
        <v>0.38977955911824225</v>
      </c>
      <c r="AQ279" s="89">
        <f t="shared" si="2487"/>
        <v>-0.53887025485094431</v>
      </c>
      <c r="AR279" s="89">
        <f t="shared" si="2487"/>
        <v>-0.10862989021446956</v>
      </c>
      <c r="AS279" s="89">
        <f t="shared" si="2487"/>
        <v>1.1415061963774935</v>
      </c>
      <c r="AT279" s="89">
        <f t="shared" si="2487"/>
        <v>-1.2831680347572174</v>
      </c>
      <c r="AU279" s="89">
        <f t="shared" si="2487"/>
        <v>1.959818902093923</v>
      </c>
      <c r="AV279" s="89">
        <f t="shared" si="2487"/>
        <v>0.65117909496494852</v>
      </c>
      <c r="AW279" s="89">
        <f t="shared" si="2487"/>
        <v>-0.35997992820473335</v>
      </c>
      <c r="AX279" s="89">
        <f t="shared" si="2487"/>
        <v>1.4445650644311789</v>
      </c>
      <c r="AY279" s="89">
        <f t="shared" si="2487"/>
        <v>-0.5448108552631592</v>
      </c>
      <c r="AZ279" s="89">
        <f t="shared" si="2487"/>
        <v>-0.51959314194865502</v>
      </c>
      <c r="BA279" s="89">
        <f t="shared" si="2487"/>
        <v>-0.76672558384416001</v>
      </c>
      <c r="BB279" s="89">
        <f t="shared" si="2487"/>
        <v>5.4372078026762374</v>
      </c>
      <c r="BC279" s="89">
        <f t="shared" si="2487"/>
        <v>-1.148109191084401</v>
      </c>
      <c r="BD279" s="89">
        <f t="shared" si="2487"/>
        <v>-14.655055799796754</v>
      </c>
      <c r="BE279" s="89">
        <f t="shared" si="2487"/>
        <v>0.43833275546088779</v>
      </c>
      <c r="BF279" s="89">
        <f t="shared" si="2487"/>
        <v>-0.48060333694921886</v>
      </c>
      <c r="BG279" s="89">
        <f t="shared" si="2487"/>
        <v>1.2145035637327846</v>
      </c>
      <c r="BH279" s="89">
        <f t="shared" si="2487"/>
        <v>4.6466718063487233E-2</v>
      </c>
      <c r="BI279" s="89">
        <f t="shared" si="2487"/>
        <v>-6.3508071726423254E-2</v>
      </c>
      <c r="BJ279" s="89">
        <f t="shared" si="2487"/>
        <v>-0.15117238218895801</v>
      </c>
      <c r="BK279" s="89">
        <f t="shared" si="2487"/>
        <v>-0.33554981689266394</v>
      </c>
      <c r="BL279" s="89">
        <f t="shared" si="2487"/>
        <v>-1.6956327442616304</v>
      </c>
      <c r="BM279" s="89">
        <f t="shared" si="2487"/>
        <v>-0.89758414608032422</v>
      </c>
      <c r="BN279" s="89">
        <f t="shared" si="2487"/>
        <v>12.736742064246819</v>
      </c>
      <c r="BO279" s="89">
        <f t="shared" si="2487"/>
        <v>0.16521606774688724</v>
      </c>
      <c r="BP279" s="89">
        <f t="shared" si="2487"/>
        <v>-1.1207828141885083</v>
      </c>
      <c r="BQ279" s="89">
        <f t="shared" si="2487"/>
        <v>7.3540458165371358</v>
      </c>
      <c r="BR279" s="89">
        <f t="shared" ref="BR279:DB279" si="2488">BR52/BQ52-1</f>
        <v>0.6299356235803657</v>
      </c>
      <c r="BS279" s="89">
        <f t="shared" si="2488"/>
        <v>-0.93541236443456088</v>
      </c>
      <c r="BT279" s="89">
        <f t="shared" si="2488"/>
        <v>1.6986025712689035</v>
      </c>
      <c r="BU279" s="89">
        <f t="shared" si="2488"/>
        <v>0.24777331289613547</v>
      </c>
      <c r="BV279" s="89">
        <f t="shared" si="2488"/>
        <v>2.7072709163346569</v>
      </c>
      <c r="BW279" s="89">
        <f t="shared" si="2488"/>
        <v>-0.38043935771025084</v>
      </c>
      <c r="BX279" s="89">
        <f t="shared" si="2488"/>
        <v>-5.8584602931397112E-2</v>
      </c>
      <c r="BY279" s="89">
        <f t="shared" si="2488"/>
        <v>1.0973145603340959</v>
      </c>
      <c r="BZ279" s="89">
        <f t="shared" si="2488"/>
        <v>0.52292892910480426</v>
      </c>
      <c r="CA279" s="89">
        <f t="shared" si="2488"/>
        <v>-0.36145962523915098</v>
      </c>
      <c r="CB279" s="89">
        <f t="shared" si="2488"/>
        <v>0.4906009801781166</v>
      </c>
      <c r="CC279" s="89">
        <f t="shared" si="2488"/>
        <v>7.7428901874231126E-2</v>
      </c>
      <c r="CD279" s="89">
        <f t="shared" si="2488"/>
        <v>0.13833367708548194</v>
      </c>
      <c r="CE279" s="89">
        <f t="shared" si="2488"/>
        <v>-0.21101287663222679</v>
      </c>
      <c r="CF279" s="89">
        <f t="shared" si="2488"/>
        <v>-0.13726513569937371</v>
      </c>
      <c r="CG279" s="89">
        <f t="shared" si="2488"/>
        <v>-0.37029643073200269</v>
      </c>
      <c r="CH279" s="89">
        <f t="shared" si="2488"/>
        <v>0.3330771447785561</v>
      </c>
      <c r="CI279" s="89">
        <f t="shared" si="2488"/>
        <v>0.36206399538772116</v>
      </c>
      <c r="CJ279" s="89">
        <f t="shared" si="2488"/>
        <v>9.8941798941798886E-2</v>
      </c>
      <c r="CK279" s="89">
        <f t="shared" si="2488"/>
        <v>0.25469427058257099</v>
      </c>
      <c r="CL279" s="89">
        <f t="shared" si="2488"/>
        <v>0.26899462778204142</v>
      </c>
      <c r="CM279" s="47">
        <f t="shared" si="2488"/>
        <v>-0.33774688365998473</v>
      </c>
      <c r="CN279" s="47">
        <f t="shared" si="2488"/>
        <v>0.1180494011802824</v>
      </c>
      <c r="CO279" s="47">
        <f t="shared" si="2488"/>
        <v>0.22537789449530621</v>
      </c>
      <c r="CP279" s="47">
        <f t="shared" si="2488"/>
        <v>0.16245719617926579</v>
      </c>
      <c r="CQ279" s="47">
        <f t="shared" si="2488"/>
        <v>-0.29223133078924457</v>
      </c>
      <c r="CR279" s="47">
        <f t="shared" si="2488"/>
        <v>0.11218364954734961</v>
      </c>
      <c r="CS279" s="47">
        <f t="shared" si="2488"/>
        <v>0.20993083504951748</v>
      </c>
      <c r="CT279" s="47">
        <f t="shared" si="2488"/>
        <v>0.14858193526372077</v>
      </c>
      <c r="CU279" s="47">
        <f t="shared" si="2488"/>
        <v>-0.26632707349292928</v>
      </c>
      <c r="CV279" s="47">
        <f t="shared" si="2488"/>
        <v>0.11569943011357964</v>
      </c>
      <c r="CW279" s="47">
        <f t="shared" si="2488"/>
        <v>0.19735582632533233</v>
      </c>
      <c r="CX279" s="47">
        <f t="shared" si="2488"/>
        <v>0.15091528396347886</v>
      </c>
      <c r="CY279" s="47">
        <f t="shared" si="2488"/>
        <v>-0.27465839721510332</v>
      </c>
      <c r="CZ279" s="47">
        <f t="shared" si="2488"/>
        <v>0.1130380185332569</v>
      </c>
      <c r="DA279" s="47">
        <f t="shared" si="2488"/>
        <v>0.2069222908868944</v>
      </c>
      <c r="DB279" s="47">
        <f t="shared" si="2488"/>
        <v>0.14727811895332232</v>
      </c>
      <c r="DE279" s="131"/>
      <c r="DF279" s="89">
        <v>0.14883103353249671</v>
      </c>
    </row>
    <row r="280" spans="1:110" s="101" customFormat="1" x14ac:dyDescent="0.2">
      <c r="A280" s="147" t="s">
        <v>105</v>
      </c>
      <c r="C280" s="101" t="e">
        <f>IF(C278&gt;C279,"RF",0)</f>
        <v>#DIV/0!</v>
      </c>
      <c r="D280" s="101" t="e">
        <f t="shared" ref="D280:U280" si="2489">IF(D278&gt;D279,"RF",0)</f>
        <v>#DIV/0!</v>
      </c>
      <c r="F280" s="101" t="str">
        <f t="shared" si="2489"/>
        <v>RF</v>
      </c>
      <c r="G280" s="101" t="str">
        <f t="shared" si="2489"/>
        <v>RF</v>
      </c>
      <c r="H280" s="101" t="str">
        <f t="shared" si="2489"/>
        <v>RF</v>
      </c>
      <c r="I280" s="101" t="str">
        <f t="shared" si="2489"/>
        <v>RF</v>
      </c>
      <c r="J280" s="101" t="str">
        <f t="shared" si="2489"/>
        <v>RF</v>
      </c>
      <c r="K280" s="101">
        <f t="shared" si="2489"/>
        <v>0</v>
      </c>
      <c r="L280" s="101">
        <f t="shared" si="2489"/>
        <v>0</v>
      </c>
      <c r="M280" s="101" t="str">
        <f t="shared" si="2489"/>
        <v>RF</v>
      </c>
      <c r="N280" s="101" t="str">
        <f t="shared" si="2489"/>
        <v>RF</v>
      </c>
      <c r="O280" s="101" t="str">
        <f t="shared" si="2489"/>
        <v>RF</v>
      </c>
      <c r="P280" s="101" t="str">
        <f t="shared" si="2489"/>
        <v>RF</v>
      </c>
      <c r="Q280" s="101">
        <f t="shared" si="2489"/>
        <v>0</v>
      </c>
      <c r="R280" s="101" t="str">
        <f t="shared" si="2489"/>
        <v>RF</v>
      </c>
      <c r="S280" s="101" t="str">
        <f t="shared" si="2489"/>
        <v>RF</v>
      </c>
      <c r="T280" s="101">
        <f t="shared" si="2489"/>
        <v>0</v>
      </c>
      <c r="U280" s="101" t="str">
        <f t="shared" si="2489"/>
        <v>RF</v>
      </c>
      <c r="V280" s="101">
        <f>IF(V278&gt;V279,"RF",0)</f>
        <v>0</v>
      </c>
      <c r="W280" s="101" t="str">
        <f t="shared" ref="W280" si="2490">IF(W278&gt;W279,"RF",0)</f>
        <v>RF</v>
      </c>
      <c r="X280" s="101">
        <f t="shared" ref="X280:Y280" si="2491">IF(X278&gt;X279,"RF",0)</f>
        <v>0</v>
      </c>
      <c r="Y280" s="101">
        <f t="shared" si="2491"/>
        <v>0</v>
      </c>
      <c r="Z280" s="101">
        <f t="shared" ref="Z280:AA280" si="2492">IF(Z278&gt;Z279,"RF",0)</f>
        <v>0</v>
      </c>
      <c r="AA280" s="101" t="str">
        <f t="shared" si="2492"/>
        <v>RF</v>
      </c>
      <c r="AB280" s="73" t="str">
        <f t="shared" ref="AA280:AD280" si="2493">IF(AB278&gt;AB279,"RF",0)</f>
        <v>RF</v>
      </c>
      <c r="AC280" s="73" t="str">
        <f t="shared" si="2493"/>
        <v>RF</v>
      </c>
      <c r="AD280" s="73">
        <f t="shared" si="2493"/>
        <v>0</v>
      </c>
      <c r="AE280" s="73" t="str">
        <f t="shared" ref="AE280" si="2494">IF(AE278&gt;AE279,"RF",0)</f>
        <v>RF</v>
      </c>
      <c r="AL280" s="101" t="e">
        <f t="shared" ref="AL280:BS280" si="2495">IF(AL278&gt;AL279,"RF",0)</f>
        <v>#DIV/0!</v>
      </c>
      <c r="AM280" s="101" t="e">
        <f t="shared" si="2495"/>
        <v>#DIV/0!</v>
      </c>
      <c r="AN280" s="101" t="e">
        <f t="shared" si="2495"/>
        <v>#DIV/0!</v>
      </c>
      <c r="AO280" s="101" t="e">
        <f t="shared" si="2495"/>
        <v>#DIV/0!</v>
      </c>
      <c r="AP280" s="101" t="e">
        <f t="shared" si="2495"/>
        <v>#DIV/0!</v>
      </c>
      <c r="AQ280" s="101" t="e">
        <f t="shared" si="2495"/>
        <v>#DIV/0!</v>
      </c>
      <c r="AR280" s="101" t="e">
        <f t="shared" si="2495"/>
        <v>#DIV/0!</v>
      </c>
      <c r="AS280" s="101" t="e">
        <f t="shared" si="2495"/>
        <v>#DIV/0!</v>
      </c>
      <c r="AT280" s="101" t="e">
        <f t="shared" si="2495"/>
        <v>#DIV/0!</v>
      </c>
      <c r="AU280" s="101" t="e">
        <f t="shared" si="2495"/>
        <v>#DIV/0!</v>
      </c>
      <c r="AV280" s="101" t="e">
        <f t="shared" si="2495"/>
        <v>#DIV/0!</v>
      </c>
      <c r="AW280" s="101" t="e">
        <f t="shared" si="2495"/>
        <v>#DIV/0!</v>
      </c>
      <c r="AX280" s="101" t="e">
        <f t="shared" si="2495"/>
        <v>#DIV/0!</v>
      </c>
      <c r="AY280" s="101" t="e">
        <f t="shared" si="2495"/>
        <v>#DIV/0!</v>
      </c>
      <c r="AZ280" s="101" t="e">
        <f t="shared" si="2495"/>
        <v>#DIV/0!</v>
      </c>
      <c r="BA280" s="101" t="e">
        <f t="shared" si="2495"/>
        <v>#DIV/0!</v>
      </c>
      <c r="BB280" s="101" t="e">
        <f t="shared" si="2495"/>
        <v>#DIV/0!</v>
      </c>
      <c r="BC280" s="101" t="e">
        <f t="shared" si="2495"/>
        <v>#DIV/0!</v>
      </c>
      <c r="BD280" s="101" t="e">
        <f t="shared" si="2495"/>
        <v>#DIV/0!</v>
      </c>
      <c r="BE280" s="101" t="e">
        <f t="shared" si="2495"/>
        <v>#DIV/0!</v>
      </c>
      <c r="BF280" s="101" t="e">
        <f t="shared" si="2495"/>
        <v>#DIV/0!</v>
      </c>
      <c r="BG280" s="101" t="e">
        <f t="shared" si="2495"/>
        <v>#DIV/0!</v>
      </c>
      <c r="BH280" s="101" t="e">
        <f t="shared" si="2495"/>
        <v>#DIV/0!</v>
      </c>
      <c r="BI280" s="101" t="e">
        <f t="shared" si="2495"/>
        <v>#DIV/0!</v>
      </c>
      <c r="BJ280" s="101" t="e">
        <f t="shared" si="2495"/>
        <v>#DIV/0!</v>
      </c>
      <c r="BK280" s="101" t="e">
        <f t="shared" si="2495"/>
        <v>#DIV/0!</v>
      </c>
      <c r="BL280" s="101" t="e">
        <f t="shared" si="2495"/>
        <v>#DIV/0!</v>
      </c>
      <c r="BM280" s="101" t="e">
        <f t="shared" si="2495"/>
        <v>#DIV/0!</v>
      </c>
      <c r="BN280" s="101" t="e">
        <f t="shared" si="2495"/>
        <v>#DIV/0!</v>
      </c>
      <c r="BO280" s="101" t="e">
        <f t="shared" si="2495"/>
        <v>#DIV/0!</v>
      </c>
      <c r="BP280" s="101" t="e">
        <f t="shared" si="2495"/>
        <v>#DIV/0!</v>
      </c>
      <c r="BQ280" s="101" t="e">
        <f t="shared" si="2495"/>
        <v>#DIV/0!</v>
      </c>
      <c r="BR280" s="101" t="e">
        <f t="shared" si="2495"/>
        <v>#DIV/0!</v>
      </c>
      <c r="BS280" s="101" t="e">
        <f t="shared" si="2495"/>
        <v>#DIV/0!</v>
      </c>
      <c r="BT280" s="101" t="e">
        <f t="shared" ref="BT280:BU280" si="2496">IF(BT278&gt;BT279,"RF",0)</f>
        <v>#DIV/0!</v>
      </c>
      <c r="BU280" s="101" t="e">
        <f t="shared" si="2496"/>
        <v>#DIV/0!</v>
      </c>
      <c r="BV280" s="101" t="e">
        <f t="shared" ref="BV280:BW280" si="2497">IF(BV278&gt;BV279,"RF",0)</f>
        <v>#DIV/0!</v>
      </c>
      <c r="BW280" s="101" t="e">
        <f t="shared" si="2497"/>
        <v>#DIV/0!</v>
      </c>
      <c r="BX280" s="101" t="e">
        <f t="shared" ref="BX280:CB280" si="2498">IF(BX278&gt;BX279,"RF",0)</f>
        <v>#DIV/0!</v>
      </c>
      <c r="BY280" s="101" t="e">
        <f t="shared" si="2498"/>
        <v>#DIV/0!</v>
      </c>
      <c r="BZ280" s="101" t="e">
        <f t="shared" si="2498"/>
        <v>#DIV/0!</v>
      </c>
      <c r="CA280" s="101" t="e">
        <f t="shared" si="2498"/>
        <v>#DIV/0!</v>
      </c>
      <c r="CB280" s="101" t="e">
        <f t="shared" si="2498"/>
        <v>#DIV/0!</v>
      </c>
      <c r="CC280" s="101" t="e">
        <f t="shared" ref="CC280:CD280" si="2499">IF(CC278&gt;CC279,"RF",0)</f>
        <v>#DIV/0!</v>
      </c>
      <c r="CD280" s="101" t="e">
        <f t="shared" si="2499"/>
        <v>#DIV/0!</v>
      </c>
      <c r="CE280" s="101" t="e">
        <f t="shared" ref="CE280:CF280" si="2500">IF(CE278&gt;CE279,"RF",0)</f>
        <v>#DIV/0!</v>
      </c>
      <c r="CF280" s="101" t="e">
        <f t="shared" si="2500"/>
        <v>#DIV/0!</v>
      </c>
      <c r="CG280" s="101" t="e">
        <f t="shared" ref="CG280:CH280" si="2501">IF(CG278&gt;CG279,"RF",0)</f>
        <v>#DIV/0!</v>
      </c>
      <c r="CH280" s="101" t="e">
        <f t="shared" si="2501"/>
        <v>#DIV/0!</v>
      </c>
      <c r="CI280" s="101">
        <f t="shared" ref="CI280:CJ280" si="2502">IF(CI278&gt;CI279,"RF",0)</f>
        <v>0</v>
      </c>
      <c r="CJ280" s="101">
        <f t="shared" si="2502"/>
        <v>0</v>
      </c>
      <c r="CK280" s="101">
        <f t="shared" ref="CK280:DB280" si="2503">IF(CK278&gt;CK279,"RF",0)</f>
        <v>0</v>
      </c>
      <c r="CL280" s="101">
        <f t="shared" si="2503"/>
        <v>0</v>
      </c>
      <c r="CM280" s="73" t="str">
        <f t="shared" si="2503"/>
        <v>RF</v>
      </c>
      <c r="CN280" s="73">
        <f t="shared" si="2503"/>
        <v>0</v>
      </c>
      <c r="CO280" s="73">
        <f t="shared" si="2503"/>
        <v>0</v>
      </c>
      <c r="CP280" s="73">
        <f t="shared" si="2503"/>
        <v>0</v>
      </c>
      <c r="CQ280" s="73" t="str">
        <f t="shared" si="2503"/>
        <v>RF</v>
      </c>
      <c r="CR280" s="73">
        <f t="shared" si="2503"/>
        <v>0</v>
      </c>
      <c r="CS280" s="73">
        <f t="shared" si="2503"/>
        <v>0</v>
      </c>
      <c r="CT280" s="73">
        <f t="shared" si="2503"/>
        <v>0</v>
      </c>
      <c r="CU280" s="73" t="str">
        <f t="shared" si="2503"/>
        <v>RF</v>
      </c>
      <c r="CV280" s="73">
        <f t="shared" si="2503"/>
        <v>0</v>
      </c>
      <c r="CW280" s="73">
        <f t="shared" si="2503"/>
        <v>0</v>
      </c>
      <c r="CX280" s="73">
        <f t="shared" si="2503"/>
        <v>0</v>
      </c>
      <c r="CY280" s="73" t="str">
        <f t="shared" si="2503"/>
        <v>RF</v>
      </c>
      <c r="CZ280" s="73">
        <f t="shared" si="2503"/>
        <v>0</v>
      </c>
      <c r="DA280" s="73">
        <f t="shared" si="2503"/>
        <v>0</v>
      </c>
      <c r="DB280" s="73">
        <f t="shared" si="2503"/>
        <v>0</v>
      </c>
      <c r="DE280" s="142"/>
      <c r="DF280" s="101">
        <v>0</v>
      </c>
    </row>
    <row r="281" spans="1:110" s="86" customFormat="1" x14ac:dyDescent="0.2">
      <c r="A281" s="86" t="s">
        <v>434</v>
      </c>
      <c r="B281" s="86" t="e">
        <f>B60/B29</f>
        <v>#DIV/0!</v>
      </c>
      <c r="C281" s="86" t="e">
        <f>C60/C29</f>
        <v>#DIV/0!</v>
      </c>
      <c r="D281" s="86" t="e">
        <f>D60/D29</f>
        <v>#DIV/0!</v>
      </c>
      <c r="F281" s="86">
        <f t="shared" ref="F281:AE281" si="2504">F60/F29</f>
        <v>7.7304129439659149E-3</v>
      </c>
      <c r="G281" s="86">
        <f t="shared" si="2504"/>
        <v>9.8790638479510154E-3</v>
      </c>
      <c r="H281" s="86">
        <f t="shared" si="2504"/>
        <v>1.0194176812163331E-2</v>
      </c>
      <c r="I281" s="86">
        <f t="shared" si="2504"/>
        <v>8.8424631130843839E-3</v>
      </c>
      <c r="J281" s="86">
        <f t="shared" si="2504"/>
        <v>2.456344535792886E-2</v>
      </c>
      <c r="K281" s="86">
        <f t="shared" si="2504"/>
        <v>2.9725577531315349E-2</v>
      </c>
      <c r="L281" s="86">
        <f t="shared" si="2504"/>
        <v>2.7339879334651221E-2</v>
      </c>
      <c r="M281" s="86">
        <f t="shared" si="2504"/>
        <v>2.1229691634536033E-2</v>
      </c>
      <c r="N281" s="86">
        <f t="shared" si="2504"/>
        <v>2.9269744244493034E-2</v>
      </c>
      <c r="O281" s="86">
        <f t="shared" si="2504"/>
        <v>3.7172715170502031E-2</v>
      </c>
      <c r="P281" s="86">
        <f t="shared" si="2504"/>
        <v>4.2799404533661614E-2</v>
      </c>
      <c r="Q281" s="86">
        <f t="shared" si="2504"/>
        <v>3.3598115466508358E-2</v>
      </c>
      <c r="R281" s="86">
        <f t="shared" si="2504"/>
        <v>3.1985043570935096E-2</v>
      </c>
      <c r="S281" s="86">
        <f t="shared" si="2504"/>
        <v>2.9722876935536161E-2</v>
      </c>
      <c r="T281" s="86">
        <f t="shared" si="2504"/>
        <v>2.5917607910435948E-2</v>
      </c>
      <c r="U281" s="86">
        <f t="shared" si="2504"/>
        <v>4.4914231573953564E-2</v>
      </c>
      <c r="V281" s="86">
        <f t="shared" si="2504"/>
        <v>5.0150250459957996E-2</v>
      </c>
      <c r="W281" s="86">
        <f t="shared" si="2504"/>
        <v>4.5257809298741035E-2</v>
      </c>
      <c r="X281" s="86">
        <f t="shared" si="2504"/>
        <v>3.1355993460220735E-2</v>
      </c>
      <c r="Y281" s="86">
        <f t="shared" si="2504"/>
        <v>2.3451461248728451E-2</v>
      </c>
      <c r="Z281" s="86">
        <f t="shared" si="2504"/>
        <v>1.6291800374624285E-2</v>
      </c>
      <c r="AA281" s="86">
        <f t="shared" ref="AA281" si="2505">AA60/AA29</f>
        <v>1.6291800374624285E-2</v>
      </c>
      <c r="AB281" s="87">
        <f t="shared" si="2504"/>
        <v>1.0977652110256817E-2</v>
      </c>
      <c r="AC281" s="87">
        <f t="shared" si="2504"/>
        <v>1.1793809176829147E-2</v>
      </c>
      <c r="AD281" s="87">
        <f t="shared" si="2504"/>
        <v>1.017417454319774E-2</v>
      </c>
      <c r="AE281" s="87">
        <f t="shared" si="2504"/>
        <v>1.3437254811861662E-2</v>
      </c>
      <c r="AL281" s="86">
        <f t="shared" ref="AL281:BQ281" si="2506">AL60/AL29</f>
        <v>2.7721929004633741E-2</v>
      </c>
      <c r="AM281" s="86">
        <f t="shared" si="2506"/>
        <v>3.1809488617354352E-2</v>
      </c>
      <c r="AN281" s="86">
        <f t="shared" si="2506"/>
        <v>3.5201911895814932E-2</v>
      </c>
      <c r="AO281" s="86">
        <f t="shared" si="2506"/>
        <v>4.2146916568045235E-2</v>
      </c>
      <c r="AP281" s="86">
        <f t="shared" si="2506"/>
        <v>3.4939030785749732E-2</v>
      </c>
      <c r="AQ281" s="86">
        <f t="shared" si="2506"/>
        <v>4.162558772161435E-2</v>
      </c>
      <c r="AR281" s="86">
        <f t="shared" si="2506"/>
        <v>3.7024832519659344E-2</v>
      </c>
      <c r="AS281" s="86">
        <f t="shared" si="2506"/>
        <v>4.3215601864093074E-2</v>
      </c>
      <c r="AT281" s="86">
        <f t="shared" si="2506"/>
        <v>3.9892413909949596E-2</v>
      </c>
      <c r="AU281" s="86">
        <f t="shared" si="2506"/>
        <v>4.2384309873757159E-2</v>
      </c>
      <c r="AV281" s="86">
        <f t="shared" si="2506"/>
        <v>3.1648995776226187E-2</v>
      </c>
      <c r="AW281" s="86">
        <f t="shared" si="2506"/>
        <v>3.2790376984673464E-2</v>
      </c>
      <c r="AX281" s="86">
        <f t="shared" si="2506"/>
        <v>3.0646777843904217E-2</v>
      </c>
      <c r="AY281" s="86">
        <f t="shared" si="2506"/>
        <v>3.0531941222099693E-2</v>
      </c>
      <c r="AZ281" s="86">
        <f t="shared" si="2506"/>
        <v>3.2797342216075158E-2</v>
      </c>
      <c r="BA281" s="86">
        <f t="shared" si="2506"/>
        <v>3.69164465700621E-2</v>
      </c>
      <c r="BB281" s="86">
        <f t="shared" si="2506"/>
        <v>2.9791997114165521E-2</v>
      </c>
      <c r="BC281" s="86">
        <f t="shared" si="2506"/>
        <v>3.4990676420169807E-2</v>
      </c>
      <c r="BD281" s="86">
        <f t="shared" si="2506"/>
        <v>3.2996828788380783E-2</v>
      </c>
      <c r="BE281" s="86">
        <f t="shared" si="2506"/>
        <v>3.1078052847975778E-2</v>
      </c>
      <c r="BF281" s="86">
        <f t="shared" si="2506"/>
        <v>2.3283747430041319E-2</v>
      </c>
      <c r="BG281" s="86">
        <f t="shared" si="2506"/>
        <v>2.9579028233300296E-2</v>
      </c>
      <c r="BH281" s="86">
        <f t="shared" si="2506"/>
        <v>2.4952290962903235E-2</v>
      </c>
      <c r="BI281" s="86">
        <f t="shared" si="2506"/>
        <v>2.8880153655645752E-2</v>
      </c>
      <c r="BJ281" s="86">
        <f t="shared" si="2506"/>
        <v>2.0965002119989806E-2</v>
      </c>
      <c r="BK281" s="86">
        <f t="shared" si="2506"/>
        <v>3.2915889936346185E-2</v>
      </c>
      <c r="BL281" s="86">
        <f t="shared" si="2506"/>
        <v>4.9789610098715263E-2</v>
      </c>
      <c r="BM281" s="86">
        <f t="shared" si="2506"/>
        <v>4.4133908701630829E-2</v>
      </c>
      <c r="BN281" s="86">
        <f t="shared" si="2506"/>
        <v>5.7233888873477197E-2</v>
      </c>
      <c r="BO281" s="86">
        <f t="shared" si="2506"/>
        <v>0.20574125283322228</v>
      </c>
      <c r="BP281" s="86">
        <f t="shared" si="2506"/>
        <v>6.564578355623131E-2</v>
      </c>
      <c r="BQ281" s="86">
        <f t="shared" si="2506"/>
        <v>4.48525692726204E-2</v>
      </c>
      <c r="BR281" s="86">
        <f t="shared" ref="BR281:DB281" si="2507">BR60/BR29</f>
        <v>2.5684055093560278E-2</v>
      </c>
      <c r="BS281" s="86">
        <f t="shared" si="2507"/>
        <v>5.2174906482507416E-2</v>
      </c>
      <c r="BT281" s="86">
        <f t="shared" si="2507"/>
        <v>4.8284743025203657E-2</v>
      </c>
      <c r="BU281" s="86">
        <f t="shared" si="2507"/>
        <v>4.3354613293525822E-2</v>
      </c>
      <c r="BV281" s="86">
        <f t="shared" si="2507"/>
        <v>2.8362114559295708E-2</v>
      </c>
      <c r="BW281" s="86">
        <f t="shared" si="2507"/>
        <v>3.5550918219442201E-2</v>
      </c>
      <c r="BX281" s="86">
        <f t="shared" si="2507"/>
        <v>3.6753735587196704E-2</v>
      </c>
      <c r="BY281" s="86">
        <f t="shared" si="2507"/>
        <v>3.1874802931243423E-2</v>
      </c>
      <c r="BZ281" s="86">
        <f t="shared" si="2507"/>
        <v>2.3132111648569445E-2</v>
      </c>
      <c r="CA281" s="86">
        <f t="shared" si="2507"/>
        <v>2.6005885336366736E-2</v>
      </c>
      <c r="CB281" s="86">
        <f t="shared" si="2507"/>
        <v>2.5428089118042035E-2</v>
      </c>
      <c r="CC281" s="86">
        <f t="shared" si="2507"/>
        <v>2.2066511825229153E-2</v>
      </c>
      <c r="CD281" s="86">
        <f t="shared" si="2507"/>
        <v>2.0264814237146253E-2</v>
      </c>
      <c r="CE281" s="86">
        <f t="shared" si="2507"/>
        <v>2.0400901435179693E-2</v>
      </c>
      <c r="CF281" s="86">
        <f t="shared" si="2507"/>
        <v>1.3597113030029643E-2</v>
      </c>
      <c r="CG281" s="86">
        <f t="shared" si="2507"/>
        <v>1.5551643192488264E-2</v>
      </c>
      <c r="CH281" s="86">
        <f t="shared" si="2507"/>
        <v>1.2600630031501575E-2</v>
      </c>
      <c r="CI281" s="86">
        <f t="shared" si="2507"/>
        <v>1.1095523530161969E-2</v>
      </c>
      <c r="CJ281" s="86">
        <f t="shared" si="2507"/>
        <v>1.1031374177095071E-2</v>
      </c>
      <c r="CK281" s="86">
        <f t="shared" si="2507"/>
        <v>7.0084297196628112E-3</v>
      </c>
      <c r="CL281" s="86">
        <f t="shared" ref="CL281" si="2508">CL60/CL29</f>
        <v>5.1529527237035829E-3</v>
      </c>
      <c r="CM281" s="87">
        <f t="shared" si="2507"/>
        <v>1.320420255629123E-2</v>
      </c>
      <c r="CN281" s="87">
        <f t="shared" si="2507"/>
        <v>5.2961654955533304E-3</v>
      </c>
      <c r="CO281" s="87">
        <f t="shared" si="2507"/>
        <v>9.3040803658650337E-3</v>
      </c>
      <c r="CP281" s="87">
        <f t="shared" si="2507"/>
        <v>1.5036082151777699E-2</v>
      </c>
      <c r="CQ281" s="87">
        <f t="shared" si="2507"/>
        <v>1.4535619626979086E-2</v>
      </c>
      <c r="CR281" s="87">
        <f t="shared" si="2507"/>
        <v>9.899882748755558E-3</v>
      </c>
      <c r="CS281" s="87">
        <f t="shared" si="2507"/>
        <v>1.0530765718698052E-2</v>
      </c>
      <c r="CT281" s="87">
        <f t="shared" si="2507"/>
        <v>1.2471010823055654E-2</v>
      </c>
      <c r="CU281" s="87">
        <f t="shared" si="2507"/>
        <v>1.2273190760530357E-2</v>
      </c>
      <c r="CV281" s="87">
        <f t="shared" si="2507"/>
        <v>9.5736345052177211E-3</v>
      </c>
      <c r="CW281" s="87">
        <f t="shared" si="2507"/>
        <v>9.301332513270583E-3</v>
      </c>
      <c r="CX281" s="87">
        <f t="shared" si="2507"/>
        <v>1.0002672345467168E-2</v>
      </c>
      <c r="CY281" s="87">
        <f t="shared" si="2507"/>
        <v>1.644458739591681E-2</v>
      </c>
      <c r="CZ281" s="87">
        <f t="shared" si="2507"/>
        <v>1.3213796330423688E-2</v>
      </c>
      <c r="DA281" s="87">
        <f t="shared" si="2507"/>
        <v>1.2304457198658475E-2</v>
      </c>
      <c r="DB281" s="87">
        <f t="shared" si="2507"/>
        <v>1.2636161180802049E-2</v>
      </c>
      <c r="DE281" s="141"/>
      <c r="DF281" s="86">
        <v>-2.4571551136745606E-3</v>
      </c>
    </row>
    <row r="282" spans="1:110" s="86" customFormat="1" x14ac:dyDescent="0.2">
      <c r="A282" s="86" t="s">
        <v>435</v>
      </c>
      <c r="B282" s="86" t="e">
        <f>B56/B29</f>
        <v>#DIV/0!</v>
      </c>
      <c r="C282" s="86" t="e">
        <f>C56/C29</f>
        <v>#DIV/0!</v>
      </c>
      <c r="D282" s="86" t="e">
        <f>D56/D29</f>
        <v>#DIV/0!</v>
      </c>
      <c r="F282" s="86">
        <f t="shared" ref="F282:AE282" si="2509">F56/F29</f>
        <v>2.2574912039284439E-2</v>
      </c>
      <c r="G282" s="86">
        <f t="shared" si="2509"/>
        <v>2.2736467952072462E-2</v>
      </c>
      <c r="H282" s="86">
        <f t="shared" si="2509"/>
        <v>1.9090759009816455E-2</v>
      </c>
      <c r="I282" s="86">
        <f t="shared" si="2509"/>
        <v>2.0427195216545936E-2</v>
      </c>
      <c r="J282" s="86">
        <f t="shared" si="2509"/>
        <v>3.1887120744749892E-2</v>
      </c>
      <c r="K282" s="86">
        <f t="shared" si="2509"/>
        <v>2.784133827574739E-2</v>
      </c>
      <c r="L282" s="86">
        <f t="shared" si="2509"/>
        <v>2.6886816218987749E-2</v>
      </c>
      <c r="M282" s="86">
        <f t="shared" si="2509"/>
        <v>2.7991166021298211E-2</v>
      </c>
      <c r="N282" s="86">
        <f t="shared" si="2509"/>
        <v>3.8336075786645697E-2</v>
      </c>
      <c r="O282" s="86">
        <f t="shared" si="2509"/>
        <v>5.7538333795001464E-2</v>
      </c>
      <c r="P282" s="86">
        <f t="shared" si="2509"/>
        <v>6.9130513420851913E-2</v>
      </c>
      <c r="Q282" s="86">
        <f t="shared" si="2509"/>
        <v>4.9156659866143593E-2</v>
      </c>
      <c r="R282" s="86">
        <f t="shared" si="2509"/>
        <v>6.1913190821064487E-2</v>
      </c>
      <c r="S282" s="86">
        <f t="shared" si="2509"/>
        <v>5.2852275377957426E-2</v>
      </c>
      <c r="T282" s="86">
        <f t="shared" si="2509"/>
        <v>4.4776248808573539E-2</v>
      </c>
      <c r="U282" s="86">
        <f t="shared" si="2509"/>
        <v>7.6836572067536607E-2</v>
      </c>
      <c r="V282" s="86">
        <f t="shared" si="2509"/>
        <v>7.8279713562004333E-2</v>
      </c>
      <c r="W282" s="86">
        <f t="shared" si="2509"/>
        <v>3.7554043783650376E-2</v>
      </c>
      <c r="X282" s="86">
        <f t="shared" si="2509"/>
        <v>2.7058061062034185E-2</v>
      </c>
      <c r="Y282" s="86">
        <f t="shared" si="2509"/>
        <v>2.7726610397822562E-2</v>
      </c>
      <c r="Z282" s="86">
        <f t="shared" si="2509"/>
        <v>2.9156804948525461E-2</v>
      </c>
      <c r="AA282" s="86">
        <f t="shared" ref="AA282" si="2510">AA56/AA29</f>
        <v>2.9156804948525461E-2</v>
      </c>
      <c r="AB282" s="87">
        <f t="shared" si="2509"/>
        <v>2.1738313205740507E-2</v>
      </c>
      <c r="AC282" s="87">
        <f t="shared" si="2509"/>
        <v>2.0081671064294735E-2</v>
      </c>
      <c r="AD282" s="87">
        <f t="shared" si="2509"/>
        <v>1.8022353343611647E-2</v>
      </c>
      <c r="AE282" s="87">
        <f t="shared" si="2509"/>
        <v>1.6148360820064558E-2</v>
      </c>
      <c r="AL282" s="86">
        <f t="shared" ref="AL282:BQ282" si="2511">AL56/AL29</f>
        <v>3.8080193119615621E-2</v>
      </c>
      <c r="AM282" s="86">
        <f t="shared" si="2511"/>
        <v>4.9912863712854721E-2</v>
      </c>
      <c r="AN282" s="86">
        <f t="shared" si="2511"/>
        <v>5.3746182990712842E-2</v>
      </c>
      <c r="AO282" s="86">
        <f t="shared" si="2511"/>
        <v>6.0553753900029192E-2</v>
      </c>
      <c r="AP282" s="86">
        <f t="shared" si="2511"/>
        <v>5.8313536495565033E-2</v>
      </c>
      <c r="AQ282" s="86">
        <f t="shared" si="2511"/>
        <v>6.5502648834972865E-2</v>
      </c>
      <c r="AR282" s="86">
        <f t="shared" si="2511"/>
        <v>6.5421308234210149E-2</v>
      </c>
      <c r="AS282" s="86">
        <f t="shared" si="2511"/>
        <v>6.4615282919090425E-2</v>
      </c>
      <c r="AT282" s="86">
        <f t="shared" si="2511"/>
        <v>6.9747130331653182E-2</v>
      </c>
      <c r="AU282" s="86">
        <f t="shared" si="2511"/>
        <v>5.6544243458874606E-2</v>
      </c>
      <c r="AV282" s="86">
        <f t="shared" si="2511"/>
        <v>5.1026635634859069E-2</v>
      </c>
      <c r="AW282" s="86">
        <f t="shared" si="2511"/>
        <v>5.4257075233515306E-2</v>
      </c>
      <c r="AX282" s="86">
        <f t="shared" si="2511"/>
        <v>4.0004297433273162E-2</v>
      </c>
      <c r="AY282" s="86">
        <f t="shared" si="2511"/>
        <v>6.2286454375242134E-2</v>
      </c>
      <c r="AZ282" s="86">
        <f t="shared" si="2511"/>
        <v>6.3221788760375361E-2</v>
      </c>
      <c r="BA282" s="86">
        <f t="shared" si="2511"/>
        <v>6.5043900349775141E-2</v>
      </c>
      <c r="BB282" s="86">
        <f t="shared" si="2511"/>
        <v>5.4324905706419388E-2</v>
      </c>
      <c r="BC282" s="86">
        <f t="shared" si="2511"/>
        <v>6.6546146655617935E-2</v>
      </c>
      <c r="BD282" s="86">
        <f t="shared" si="2511"/>
        <v>5.7653543815836823E-2</v>
      </c>
      <c r="BE282" s="86">
        <f t="shared" si="2511"/>
        <v>4.9397364680351753E-2</v>
      </c>
      <c r="BF282" s="86">
        <f t="shared" si="2511"/>
        <v>4.4653912230760651E-2</v>
      </c>
      <c r="BG282" s="86">
        <f t="shared" si="2511"/>
        <v>4.2287881432012855E-2</v>
      </c>
      <c r="BH282" s="86">
        <f t="shared" si="2511"/>
        <v>4.2460902239973786E-2</v>
      </c>
      <c r="BI282" s="86">
        <f t="shared" si="2511"/>
        <v>4.7312784626044331E-2</v>
      </c>
      <c r="BJ282" s="86">
        <f t="shared" si="2511"/>
        <v>4.7012053502400952E-2</v>
      </c>
      <c r="BK282" s="86">
        <f t="shared" si="2511"/>
        <v>5.81976661017038E-2</v>
      </c>
      <c r="BL282" s="86">
        <f t="shared" si="2511"/>
        <v>7.606134905524535E-2</v>
      </c>
      <c r="BM282" s="86">
        <f t="shared" si="2511"/>
        <v>7.8711342250373753E-2</v>
      </c>
      <c r="BN282" s="86">
        <f t="shared" si="2511"/>
        <v>0.10111405988161765</v>
      </c>
      <c r="BO282" s="86">
        <f t="shared" si="2511"/>
        <v>0.32003409171266195</v>
      </c>
      <c r="BP282" s="86">
        <f t="shared" si="2511"/>
        <v>9.4115700085849338E-2</v>
      </c>
      <c r="BQ282" s="86">
        <f t="shared" si="2511"/>
        <v>6.4771096195644737E-2</v>
      </c>
      <c r="BR282" s="86">
        <f t="shared" ref="BR282:DB282" si="2512">BR56/BR29</f>
        <v>4.8097615971345764E-2</v>
      </c>
      <c r="BS282" s="86">
        <f t="shared" si="2512"/>
        <v>8.0592631670025422E-2</v>
      </c>
      <c r="BT282" s="86">
        <f t="shared" si="2512"/>
        <v>3.9348782559507897E-2</v>
      </c>
      <c r="BU282" s="86">
        <f t="shared" si="2512"/>
        <v>3.660309663087985E-2</v>
      </c>
      <c r="BV282" s="86">
        <f t="shared" si="2512"/>
        <v>2.640747894686148E-2</v>
      </c>
      <c r="BW282" s="86">
        <f t="shared" si="2512"/>
        <v>2.8436700810248988E-2</v>
      </c>
      <c r="BX282" s="86">
        <f t="shared" si="2512"/>
        <v>2.9847900350443369E-2</v>
      </c>
      <c r="BY282" s="86">
        <f t="shared" si="2512"/>
        <v>2.7236959904976453E-2</v>
      </c>
      <c r="BZ282" s="86">
        <f t="shared" si="2512"/>
        <v>2.3213533027539791E-2</v>
      </c>
      <c r="CA282" s="86">
        <f t="shared" si="2512"/>
        <v>3.1322141635880971E-2</v>
      </c>
      <c r="CB282" s="86">
        <f t="shared" si="2512"/>
        <v>2.7451636042002622E-2</v>
      </c>
      <c r="CC282" s="86">
        <f t="shared" si="2512"/>
        <v>2.7486319244762313E-2</v>
      </c>
      <c r="CD282" s="86">
        <f t="shared" si="2512"/>
        <v>2.4619649125577982E-2</v>
      </c>
      <c r="CE282" s="86">
        <f t="shared" si="2512"/>
        <v>2.8288459257502077E-2</v>
      </c>
      <c r="CF282" s="86">
        <f t="shared" si="2512"/>
        <v>3.118958628689264E-2</v>
      </c>
      <c r="CG282" s="86">
        <f t="shared" si="2512"/>
        <v>2.9166666666666667E-2</v>
      </c>
      <c r="CH282" s="86">
        <f t="shared" si="2512"/>
        <v>2.7101355067753387E-2</v>
      </c>
      <c r="CI282" s="86">
        <f t="shared" si="2512"/>
        <v>2.6973600306083409E-2</v>
      </c>
      <c r="CJ282" s="86">
        <f t="shared" si="2512"/>
        <v>2.4435086886898761E-2</v>
      </c>
      <c r="CK282" s="86">
        <f t="shared" si="2512"/>
        <v>2.0437169182513232E-2</v>
      </c>
      <c r="CL282" s="86">
        <f t="shared" ref="CL282" si="2513">CL56/CL29</f>
        <v>1.8362506134467528E-2</v>
      </c>
      <c r="CM282" s="87">
        <f t="shared" si="2512"/>
        <v>2.7177799642887423E-2</v>
      </c>
      <c r="CN282" s="87">
        <f t="shared" si="2512"/>
        <v>2.455696600517648E-2</v>
      </c>
      <c r="CO282" s="87">
        <f t="shared" si="2512"/>
        <v>2.0268011645054866E-2</v>
      </c>
      <c r="CP282" s="87">
        <f t="shared" si="2512"/>
        <v>1.7501647266107125E-2</v>
      </c>
      <c r="CQ282" s="87">
        <f t="shared" si="2512"/>
        <v>2.4842331737410742E-2</v>
      </c>
      <c r="CR282" s="87">
        <f t="shared" si="2512"/>
        <v>2.2497634965298146E-2</v>
      </c>
      <c r="CS282" s="87">
        <f t="shared" si="2512"/>
        <v>1.8715656491690661E-2</v>
      </c>
      <c r="CT282" s="87">
        <f t="shared" si="2512"/>
        <v>1.6382729571320677E-2</v>
      </c>
      <c r="CU282" s="87">
        <f t="shared" si="2512"/>
        <v>2.2458924790962332E-2</v>
      </c>
      <c r="CV282" s="87">
        <f t="shared" si="2512"/>
        <v>2.0251683415230579E-2</v>
      </c>
      <c r="CW282" s="87">
        <f t="shared" si="2512"/>
        <v>1.6779705267014642E-2</v>
      </c>
      <c r="CX282" s="87">
        <f t="shared" si="2512"/>
        <v>1.4612603580382426E-2</v>
      </c>
      <c r="CY282" s="87">
        <f t="shared" si="2512"/>
        <v>2.017602695540599E-2</v>
      </c>
      <c r="CZ282" s="87">
        <f t="shared" si="2512"/>
        <v>1.8134879923743429E-2</v>
      </c>
      <c r="DA282" s="87">
        <f t="shared" si="2512"/>
        <v>1.5011208626246173E-2</v>
      </c>
      <c r="DB282" s="87">
        <f t="shared" si="2512"/>
        <v>1.3094455273854833E-2</v>
      </c>
      <c r="DE282" s="141"/>
      <c r="DF282" s="86">
        <v>1.6596556203008251E-2</v>
      </c>
    </row>
    <row r="283" spans="1:110" s="85" customFormat="1" x14ac:dyDescent="0.2">
      <c r="A283" s="154" t="s">
        <v>501</v>
      </c>
      <c r="AB283" s="58"/>
      <c r="AC283" s="58"/>
      <c r="AD283" s="58"/>
      <c r="AE283" s="58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E283" s="14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4D7C-70D0-4068-A6A7-7271A251D390}">
  <dimension ref="A1:DC252"/>
  <sheetViews>
    <sheetView workbookViewId="0">
      <pane xSplit="1" ySplit="3" topLeftCell="B156" activePane="bottomRight" state="frozen"/>
      <selection pane="topRight" activeCell="B1" sqref="B1"/>
      <selection pane="bottomLeft" activeCell="A4" sqref="A4"/>
      <selection pane="bottomRight" activeCell="B174" sqref="B174"/>
    </sheetView>
  </sheetViews>
  <sheetFormatPr defaultRowHeight="15" x14ac:dyDescent="0.25"/>
  <cols>
    <col min="1" max="1" width="12.28515625" customWidth="1"/>
    <col min="2" max="5" width="10.5703125" customWidth="1"/>
    <col min="8" max="11" width="9.28515625" style="56"/>
    <col min="12" max="12" width="2.7109375" customWidth="1"/>
    <col min="14" max="17" width="9.28515625" style="179"/>
    <col min="18" max="18" width="9.7109375" customWidth="1"/>
    <col min="24" max="24" width="2.7109375" customWidth="1"/>
  </cols>
  <sheetData>
    <row r="1" spans="1:29" x14ac:dyDescent="0.25">
      <c r="A1" s="173" t="s">
        <v>515</v>
      </c>
    </row>
    <row r="3" spans="1:29" x14ac:dyDescent="0.25">
      <c r="A3" s="178" t="s">
        <v>516</v>
      </c>
      <c r="B3" s="178" t="s">
        <v>517</v>
      </c>
      <c r="C3" s="178" t="s">
        <v>518</v>
      </c>
      <c r="D3" s="178" t="s">
        <v>545</v>
      </c>
      <c r="E3" s="178" t="s">
        <v>519</v>
      </c>
      <c r="G3" s="178" t="s">
        <v>520</v>
      </c>
      <c r="H3" s="182" t="s">
        <v>517</v>
      </c>
      <c r="I3" s="182" t="s">
        <v>518</v>
      </c>
      <c r="J3" s="182" t="s">
        <v>545</v>
      </c>
      <c r="K3" s="182" t="s">
        <v>519</v>
      </c>
      <c r="M3" s="178" t="s">
        <v>521</v>
      </c>
      <c r="N3" s="180" t="s">
        <v>517</v>
      </c>
      <c r="O3" s="180" t="s">
        <v>518</v>
      </c>
      <c r="P3" s="182" t="s">
        <v>545</v>
      </c>
      <c r="Q3" s="180" t="s">
        <v>519</v>
      </c>
      <c r="S3" s="178" t="s">
        <v>522</v>
      </c>
      <c r="T3" s="178" t="s">
        <v>517</v>
      </c>
      <c r="U3" s="178" t="s">
        <v>518</v>
      </c>
      <c r="V3" s="182" t="s">
        <v>545</v>
      </c>
      <c r="W3" s="178" t="s">
        <v>519</v>
      </c>
      <c r="Y3" s="178" t="s">
        <v>523</v>
      </c>
      <c r="Z3" s="178" t="s">
        <v>517</v>
      </c>
      <c r="AA3" s="178" t="s">
        <v>518</v>
      </c>
      <c r="AB3" s="182" t="s">
        <v>545</v>
      </c>
      <c r="AC3" s="178" t="s">
        <v>519</v>
      </c>
    </row>
    <row r="4" spans="1:29" x14ac:dyDescent="0.25">
      <c r="A4" s="175">
        <v>41000</v>
      </c>
      <c r="B4">
        <v>9829</v>
      </c>
      <c r="C4">
        <v>24818</v>
      </c>
      <c r="D4">
        <v>2213</v>
      </c>
      <c r="E4">
        <f>+C4+B4+D4</f>
        <v>36860</v>
      </c>
    </row>
    <row r="5" spans="1:29" x14ac:dyDescent="0.25">
      <c r="A5" s="175">
        <f>+EOMONTH(A4,1)</f>
        <v>41060</v>
      </c>
      <c r="B5">
        <v>12451</v>
      </c>
      <c r="C5">
        <v>27174</v>
      </c>
      <c r="D5">
        <v>3752</v>
      </c>
      <c r="E5">
        <f t="shared" ref="E5:E68" si="0">+C5+B5+D5</f>
        <v>43377</v>
      </c>
    </row>
    <row r="6" spans="1:29" x14ac:dyDescent="0.25">
      <c r="A6" s="175">
        <f t="shared" ref="A6:A69" si="1">+EOMONTH(A5,1)</f>
        <v>41090</v>
      </c>
      <c r="B6">
        <v>12663</v>
      </c>
      <c r="C6">
        <v>28363</v>
      </c>
      <c r="D6">
        <v>5371</v>
      </c>
      <c r="E6">
        <f t="shared" si="0"/>
        <v>46397</v>
      </c>
      <c r="H6" s="56">
        <f>+SUM(B4:B6)</f>
        <v>34943</v>
      </c>
      <c r="I6" s="56">
        <f t="shared" ref="I6:J6" si="2">+SUM(C4:C6)</f>
        <v>80355</v>
      </c>
      <c r="J6" s="56">
        <f t="shared" si="2"/>
        <v>11336</v>
      </c>
      <c r="K6" s="56">
        <f t="shared" ref="K6:K69" si="3">+H6+I6+J6</f>
        <v>126634</v>
      </c>
    </row>
    <row r="7" spans="1:29" x14ac:dyDescent="0.25">
      <c r="A7" s="175">
        <f t="shared" si="1"/>
        <v>41121</v>
      </c>
      <c r="B7">
        <v>12786</v>
      </c>
      <c r="C7">
        <v>29601</v>
      </c>
      <c r="D7">
        <v>4196</v>
      </c>
      <c r="E7">
        <f t="shared" si="0"/>
        <v>46583</v>
      </c>
      <c r="H7" s="56">
        <f t="shared" ref="H7:H70" si="4">+SUM(B5:B7)</f>
        <v>37900</v>
      </c>
      <c r="I7" s="56">
        <f t="shared" ref="I7:J70" si="5">+SUM(C5:C7)</f>
        <v>85138</v>
      </c>
      <c r="J7" s="56">
        <f t="shared" si="5"/>
        <v>13319</v>
      </c>
      <c r="K7" s="56">
        <f t="shared" si="3"/>
        <v>136357</v>
      </c>
    </row>
    <row r="8" spans="1:29" x14ac:dyDescent="0.25">
      <c r="A8" s="175">
        <f t="shared" si="1"/>
        <v>41152</v>
      </c>
      <c r="B8">
        <v>14681</v>
      </c>
      <c r="C8">
        <v>30461</v>
      </c>
      <c r="D8">
        <v>3603</v>
      </c>
      <c r="E8">
        <f t="shared" si="0"/>
        <v>48745</v>
      </c>
      <c r="H8" s="56">
        <f t="shared" si="4"/>
        <v>40130</v>
      </c>
      <c r="I8" s="56">
        <f t="shared" si="5"/>
        <v>88425</v>
      </c>
      <c r="J8" s="56">
        <f t="shared" si="5"/>
        <v>13170</v>
      </c>
      <c r="K8" s="56">
        <f t="shared" si="3"/>
        <v>141725</v>
      </c>
    </row>
    <row r="9" spans="1:29" x14ac:dyDescent="0.25">
      <c r="A9" s="175">
        <f t="shared" si="1"/>
        <v>41182</v>
      </c>
      <c r="B9">
        <v>15287</v>
      </c>
      <c r="C9">
        <v>33393</v>
      </c>
      <c r="D9">
        <v>4659</v>
      </c>
      <c r="E9">
        <f t="shared" si="0"/>
        <v>53339</v>
      </c>
      <c r="H9" s="56">
        <f t="shared" si="4"/>
        <v>42754</v>
      </c>
      <c r="I9" s="56">
        <f t="shared" si="5"/>
        <v>93455</v>
      </c>
      <c r="J9" s="56">
        <f t="shared" si="5"/>
        <v>12458</v>
      </c>
      <c r="K9" s="56">
        <f t="shared" si="3"/>
        <v>148667</v>
      </c>
    </row>
    <row r="10" spans="1:29" x14ac:dyDescent="0.25">
      <c r="A10" s="175">
        <f t="shared" si="1"/>
        <v>41213</v>
      </c>
      <c r="B10">
        <v>12120</v>
      </c>
      <c r="C10">
        <v>34905</v>
      </c>
      <c r="D10">
        <v>3378</v>
      </c>
      <c r="E10">
        <f t="shared" si="0"/>
        <v>50403</v>
      </c>
      <c r="H10" s="56">
        <f t="shared" si="4"/>
        <v>42088</v>
      </c>
      <c r="I10" s="56">
        <f t="shared" si="5"/>
        <v>98759</v>
      </c>
      <c r="J10" s="56">
        <f t="shared" si="5"/>
        <v>11640</v>
      </c>
      <c r="K10" s="56">
        <f t="shared" si="3"/>
        <v>152487</v>
      </c>
    </row>
    <row r="11" spans="1:29" x14ac:dyDescent="0.25">
      <c r="A11" s="175">
        <f t="shared" si="1"/>
        <v>41243</v>
      </c>
      <c r="B11">
        <v>9495</v>
      </c>
      <c r="C11">
        <v>34828</v>
      </c>
      <c r="D11">
        <v>3300</v>
      </c>
      <c r="E11">
        <f t="shared" si="0"/>
        <v>47623</v>
      </c>
      <c r="H11" s="56">
        <f t="shared" si="4"/>
        <v>36902</v>
      </c>
      <c r="I11" s="56">
        <f t="shared" si="5"/>
        <v>103126</v>
      </c>
      <c r="J11" s="56">
        <f t="shared" si="5"/>
        <v>11337</v>
      </c>
      <c r="K11" s="56">
        <f t="shared" si="3"/>
        <v>151365</v>
      </c>
    </row>
    <row r="12" spans="1:29" x14ac:dyDescent="0.25">
      <c r="A12" s="175">
        <f t="shared" si="1"/>
        <v>41274</v>
      </c>
      <c r="B12">
        <v>9866</v>
      </c>
      <c r="C12">
        <v>37649</v>
      </c>
      <c r="D12">
        <v>3424</v>
      </c>
      <c r="E12">
        <f t="shared" si="0"/>
        <v>50939</v>
      </c>
      <c r="H12" s="56">
        <f t="shared" si="4"/>
        <v>31481</v>
      </c>
      <c r="I12" s="56">
        <f t="shared" si="5"/>
        <v>107382</v>
      </c>
      <c r="J12" s="56">
        <f t="shared" si="5"/>
        <v>10102</v>
      </c>
      <c r="K12" s="56">
        <f t="shared" si="3"/>
        <v>148965</v>
      </c>
    </row>
    <row r="13" spans="1:29" x14ac:dyDescent="0.25">
      <c r="A13" s="175">
        <f t="shared" si="1"/>
        <v>41305</v>
      </c>
      <c r="B13">
        <v>8722</v>
      </c>
      <c r="C13">
        <v>33849</v>
      </c>
      <c r="D13">
        <v>3381</v>
      </c>
      <c r="E13">
        <f t="shared" si="0"/>
        <v>45952</v>
      </c>
      <c r="H13" s="56">
        <f t="shared" si="4"/>
        <v>28083</v>
      </c>
      <c r="I13" s="56">
        <f t="shared" si="5"/>
        <v>106326</v>
      </c>
      <c r="J13" s="56">
        <f t="shared" si="5"/>
        <v>10105</v>
      </c>
      <c r="K13" s="56">
        <f t="shared" si="3"/>
        <v>144514</v>
      </c>
    </row>
    <row r="14" spans="1:29" x14ac:dyDescent="0.25">
      <c r="A14" s="175">
        <f t="shared" si="1"/>
        <v>41333</v>
      </c>
      <c r="B14">
        <v>10629</v>
      </c>
      <c r="C14">
        <v>36760</v>
      </c>
      <c r="D14">
        <v>3432</v>
      </c>
      <c r="E14">
        <f t="shared" si="0"/>
        <v>50821</v>
      </c>
      <c r="H14" s="56">
        <f t="shared" si="4"/>
        <v>29217</v>
      </c>
      <c r="I14" s="56">
        <f t="shared" si="5"/>
        <v>108258</v>
      </c>
      <c r="J14" s="56">
        <f t="shared" si="5"/>
        <v>10237</v>
      </c>
      <c r="K14" s="56">
        <f t="shared" si="3"/>
        <v>147712</v>
      </c>
    </row>
    <row r="15" spans="1:29" x14ac:dyDescent="0.25">
      <c r="A15" s="175">
        <f t="shared" si="1"/>
        <v>41364</v>
      </c>
      <c r="B15">
        <v>14852</v>
      </c>
      <c r="C15">
        <v>41961</v>
      </c>
      <c r="D15">
        <v>2859</v>
      </c>
      <c r="E15">
        <f t="shared" si="0"/>
        <v>59672</v>
      </c>
      <c r="H15" s="56">
        <f t="shared" si="4"/>
        <v>34203</v>
      </c>
      <c r="I15" s="56">
        <f t="shared" si="5"/>
        <v>112570</v>
      </c>
      <c r="J15" s="56">
        <f t="shared" si="5"/>
        <v>9672</v>
      </c>
      <c r="K15" s="56">
        <f t="shared" si="3"/>
        <v>156445</v>
      </c>
      <c r="T15">
        <f>+SUM(B4:B15)</f>
        <v>143381</v>
      </c>
      <c r="U15">
        <f>+SUM(C4:C15)</f>
        <v>393762</v>
      </c>
      <c r="V15">
        <f>+SUM(D4:D15)</f>
        <v>43568</v>
      </c>
      <c r="W15">
        <f>+SUM(E4:E15)</f>
        <v>580711</v>
      </c>
    </row>
    <row r="16" spans="1:29" x14ac:dyDescent="0.25">
      <c r="A16" s="175">
        <f t="shared" si="1"/>
        <v>41394</v>
      </c>
      <c r="B16">
        <v>10002</v>
      </c>
      <c r="C16">
        <v>26023</v>
      </c>
      <c r="D16">
        <v>2737</v>
      </c>
      <c r="E16">
        <f t="shared" si="0"/>
        <v>38762</v>
      </c>
      <c r="H16" s="56">
        <f t="shared" si="4"/>
        <v>35483</v>
      </c>
      <c r="I16" s="56">
        <f t="shared" si="5"/>
        <v>104744</v>
      </c>
      <c r="J16" s="56">
        <f t="shared" si="5"/>
        <v>9028</v>
      </c>
      <c r="K16" s="56">
        <f t="shared" si="3"/>
        <v>149255</v>
      </c>
      <c r="T16">
        <f t="shared" ref="T16:T47" si="6">+SUM(B5:B16)</f>
        <v>143554</v>
      </c>
      <c r="U16">
        <f t="shared" ref="U16:U47" si="7">+SUM(C5:C16)</f>
        <v>394967</v>
      </c>
      <c r="V16">
        <f t="shared" ref="V16:V47" si="8">+SUM(D5:D16)</f>
        <v>44092</v>
      </c>
      <c r="W16">
        <f t="shared" ref="W16" si="9">+SUM(E5:E16)</f>
        <v>582613</v>
      </c>
    </row>
    <row r="17" spans="1:29" x14ac:dyDescent="0.25">
      <c r="A17" s="175">
        <f t="shared" si="1"/>
        <v>41425</v>
      </c>
      <c r="B17">
        <v>10123</v>
      </c>
      <c r="C17">
        <v>24173</v>
      </c>
      <c r="D17">
        <v>3076</v>
      </c>
      <c r="E17">
        <f t="shared" si="0"/>
        <v>37372</v>
      </c>
      <c r="H17" s="56">
        <f t="shared" si="4"/>
        <v>34977</v>
      </c>
      <c r="I17" s="56">
        <f t="shared" si="5"/>
        <v>92157</v>
      </c>
      <c r="J17" s="56">
        <f t="shared" si="5"/>
        <v>8672</v>
      </c>
      <c r="K17" s="56">
        <f t="shared" si="3"/>
        <v>135806</v>
      </c>
      <c r="T17">
        <f t="shared" si="6"/>
        <v>141226</v>
      </c>
      <c r="U17">
        <f t="shared" si="7"/>
        <v>391966</v>
      </c>
      <c r="V17">
        <f t="shared" si="8"/>
        <v>43416</v>
      </c>
      <c r="W17">
        <f t="shared" ref="W17" si="10">+SUM(E6:E17)</f>
        <v>576608</v>
      </c>
    </row>
    <row r="18" spans="1:29" x14ac:dyDescent="0.25">
      <c r="A18" s="175">
        <f t="shared" si="1"/>
        <v>41455</v>
      </c>
      <c r="B18">
        <v>11130</v>
      </c>
      <c r="C18">
        <v>25778</v>
      </c>
      <c r="D18">
        <v>3455</v>
      </c>
      <c r="E18">
        <f t="shared" si="0"/>
        <v>40363</v>
      </c>
      <c r="H18" s="56">
        <f t="shared" si="4"/>
        <v>31255</v>
      </c>
      <c r="I18" s="56">
        <f t="shared" si="5"/>
        <v>75974</v>
      </c>
      <c r="J18" s="56">
        <f t="shared" si="5"/>
        <v>9268</v>
      </c>
      <c r="K18" s="56">
        <f t="shared" si="3"/>
        <v>116497</v>
      </c>
      <c r="N18" s="179">
        <f t="shared" ref="N18:N49" si="11">+H18/H6-1</f>
        <v>-0.10554331339610223</v>
      </c>
      <c r="O18" s="179">
        <f t="shared" ref="O18:P49" si="12">+I18/I6-1</f>
        <v>-5.45205649928443E-2</v>
      </c>
      <c r="P18" s="179">
        <f t="shared" si="12"/>
        <v>-0.18242766407904021</v>
      </c>
      <c r="Q18" s="179">
        <f t="shared" ref="Q18:Q49" si="13">+K18/K6-1</f>
        <v>-8.0049591736816361E-2</v>
      </c>
      <c r="T18">
        <f t="shared" si="6"/>
        <v>139693</v>
      </c>
      <c r="U18">
        <f t="shared" si="7"/>
        <v>389381</v>
      </c>
      <c r="V18">
        <f t="shared" si="8"/>
        <v>41500</v>
      </c>
      <c r="W18">
        <f t="shared" ref="W18" si="14">+SUM(E7:E18)</f>
        <v>570574</v>
      </c>
      <c r="Y18" s="179"/>
      <c r="Z18" s="179"/>
      <c r="AA18" s="179"/>
      <c r="AB18" s="179"/>
    </row>
    <row r="19" spans="1:29" x14ac:dyDescent="0.25">
      <c r="A19" s="175">
        <f t="shared" si="1"/>
        <v>41486</v>
      </c>
      <c r="B19">
        <v>9758</v>
      </c>
      <c r="C19">
        <v>26609</v>
      </c>
      <c r="D19">
        <v>3579</v>
      </c>
      <c r="E19">
        <f t="shared" si="0"/>
        <v>39946</v>
      </c>
      <c r="H19" s="56">
        <f t="shared" si="4"/>
        <v>31011</v>
      </c>
      <c r="I19" s="56">
        <f t="shared" si="5"/>
        <v>76560</v>
      </c>
      <c r="J19" s="56">
        <f t="shared" si="5"/>
        <v>10110</v>
      </c>
      <c r="K19" s="56">
        <f t="shared" si="3"/>
        <v>117681</v>
      </c>
      <c r="N19" s="179">
        <f t="shared" si="11"/>
        <v>-0.1817678100263852</v>
      </c>
      <c r="O19" s="179">
        <f t="shared" si="12"/>
        <v>-0.10075406986304591</v>
      </c>
      <c r="P19" s="179">
        <f t="shared" si="12"/>
        <v>-0.24093400405435839</v>
      </c>
      <c r="Q19" s="179">
        <f t="shared" si="13"/>
        <v>-0.13696399891461386</v>
      </c>
      <c r="T19">
        <f t="shared" si="6"/>
        <v>136665</v>
      </c>
      <c r="U19">
        <f t="shared" si="7"/>
        <v>386389</v>
      </c>
      <c r="V19">
        <f t="shared" si="8"/>
        <v>40883</v>
      </c>
      <c r="W19">
        <f t="shared" ref="W19" si="15">+SUM(E8:E19)</f>
        <v>563937</v>
      </c>
      <c r="Y19" s="179"/>
      <c r="Z19" s="179"/>
      <c r="AA19" s="179"/>
      <c r="AB19" s="179"/>
    </row>
    <row r="20" spans="1:29" x14ac:dyDescent="0.25">
      <c r="A20" s="175">
        <f t="shared" si="1"/>
        <v>41517</v>
      </c>
      <c r="B20">
        <v>8249</v>
      </c>
      <c r="C20">
        <v>24904</v>
      </c>
      <c r="D20">
        <v>3879</v>
      </c>
      <c r="E20">
        <f t="shared" si="0"/>
        <v>37032</v>
      </c>
      <c r="H20" s="56">
        <f t="shared" si="4"/>
        <v>29137</v>
      </c>
      <c r="I20" s="56">
        <f t="shared" si="5"/>
        <v>77291</v>
      </c>
      <c r="J20" s="56">
        <f t="shared" si="5"/>
        <v>10913</v>
      </c>
      <c r="K20" s="56">
        <f t="shared" si="3"/>
        <v>117341</v>
      </c>
      <c r="N20" s="179">
        <f t="shared" si="11"/>
        <v>-0.27393471218539744</v>
      </c>
      <c r="O20" s="179">
        <f t="shared" si="12"/>
        <v>-0.12591461690698336</v>
      </c>
      <c r="P20" s="179">
        <f t="shared" si="12"/>
        <v>-0.17137433561123772</v>
      </c>
      <c r="Q20" s="179">
        <f t="shared" si="13"/>
        <v>-0.17205150820250481</v>
      </c>
      <c r="T20">
        <f t="shared" si="6"/>
        <v>130233</v>
      </c>
      <c r="U20">
        <f t="shared" si="7"/>
        <v>380832</v>
      </c>
      <c r="V20">
        <f t="shared" si="8"/>
        <v>41159</v>
      </c>
      <c r="W20">
        <f t="shared" ref="W20" si="16">+SUM(E9:E20)</f>
        <v>552224</v>
      </c>
      <c r="Y20" s="179"/>
      <c r="Z20" s="179"/>
      <c r="AA20" s="179"/>
      <c r="AB20" s="179"/>
    </row>
    <row r="21" spans="1:29" x14ac:dyDescent="0.25">
      <c r="A21" s="175">
        <f t="shared" si="1"/>
        <v>41547</v>
      </c>
      <c r="B21">
        <v>8815</v>
      </c>
      <c r="C21">
        <v>24304</v>
      </c>
      <c r="D21">
        <v>4659</v>
      </c>
      <c r="E21">
        <f t="shared" si="0"/>
        <v>37778</v>
      </c>
      <c r="H21" s="56">
        <f t="shared" si="4"/>
        <v>26822</v>
      </c>
      <c r="I21" s="56">
        <f t="shared" si="5"/>
        <v>75817</v>
      </c>
      <c r="J21" s="56">
        <f t="shared" si="5"/>
        <v>12117</v>
      </c>
      <c r="K21" s="56">
        <f t="shared" si="3"/>
        <v>114756</v>
      </c>
      <c r="N21" s="179">
        <f t="shared" si="11"/>
        <v>-0.3726434953454647</v>
      </c>
      <c r="O21" s="179">
        <f t="shared" si="12"/>
        <v>-0.1887325450751699</v>
      </c>
      <c r="P21" s="179">
        <f t="shared" si="12"/>
        <v>-2.7371969818590469E-2</v>
      </c>
      <c r="Q21" s="179">
        <f t="shared" si="13"/>
        <v>-0.22810038542514477</v>
      </c>
      <c r="T21">
        <f t="shared" si="6"/>
        <v>123761</v>
      </c>
      <c r="U21">
        <f t="shared" si="7"/>
        <v>371743</v>
      </c>
      <c r="V21">
        <f t="shared" si="8"/>
        <v>41159</v>
      </c>
      <c r="W21">
        <f t="shared" ref="W21" si="17">+SUM(E10:E21)</f>
        <v>536663</v>
      </c>
      <c r="Y21" s="179"/>
      <c r="Z21" s="179"/>
      <c r="AA21" s="179"/>
      <c r="AB21" s="179"/>
    </row>
    <row r="22" spans="1:29" x14ac:dyDescent="0.25">
      <c r="A22" s="175">
        <f t="shared" si="1"/>
        <v>41578</v>
      </c>
      <c r="B22">
        <v>7935</v>
      </c>
      <c r="C22">
        <v>24858</v>
      </c>
      <c r="D22">
        <v>4188</v>
      </c>
      <c r="E22">
        <f t="shared" si="0"/>
        <v>36981</v>
      </c>
      <c r="H22" s="56">
        <f t="shared" si="4"/>
        <v>24999</v>
      </c>
      <c r="I22" s="56">
        <f t="shared" si="5"/>
        <v>74066</v>
      </c>
      <c r="J22" s="56">
        <f t="shared" si="5"/>
        <v>12726</v>
      </c>
      <c r="K22" s="56">
        <f t="shared" si="3"/>
        <v>111791</v>
      </c>
      <c r="N22" s="179">
        <f t="shared" si="11"/>
        <v>-0.40603022239118036</v>
      </c>
      <c r="O22" s="179">
        <f t="shared" si="12"/>
        <v>-0.25003290839315906</v>
      </c>
      <c r="P22" s="179">
        <f t="shared" si="12"/>
        <v>9.3298969072164839E-2</v>
      </c>
      <c r="Q22" s="179">
        <f t="shared" si="13"/>
        <v>-0.26688176697029908</v>
      </c>
      <c r="T22">
        <f t="shared" si="6"/>
        <v>119576</v>
      </c>
      <c r="U22">
        <f t="shared" si="7"/>
        <v>361696</v>
      </c>
      <c r="V22">
        <f t="shared" si="8"/>
        <v>41969</v>
      </c>
      <c r="W22">
        <f t="shared" ref="W22" si="18">+SUM(E11:E22)</f>
        <v>523241</v>
      </c>
      <c r="Y22" s="179"/>
      <c r="Z22" s="179"/>
      <c r="AA22" s="179"/>
      <c r="AB22" s="179"/>
    </row>
    <row r="23" spans="1:29" x14ac:dyDescent="0.25">
      <c r="A23" s="175">
        <f t="shared" si="1"/>
        <v>41608</v>
      </c>
      <c r="B23">
        <v>6823</v>
      </c>
      <c r="C23">
        <v>19993</v>
      </c>
      <c r="D23">
        <v>3300</v>
      </c>
      <c r="E23">
        <f t="shared" si="0"/>
        <v>30116</v>
      </c>
      <c r="H23" s="56">
        <f t="shared" si="4"/>
        <v>23573</v>
      </c>
      <c r="I23" s="56">
        <f t="shared" si="5"/>
        <v>69155</v>
      </c>
      <c r="J23" s="56">
        <f t="shared" si="5"/>
        <v>12147</v>
      </c>
      <c r="K23" s="56">
        <f t="shared" si="3"/>
        <v>104875</v>
      </c>
      <c r="N23" s="179">
        <f t="shared" si="11"/>
        <v>-0.36119993496287461</v>
      </c>
      <c r="O23" s="179">
        <f t="shared" si="12"/>
        <v>-0.32941256327211377</v>
      </c>
      <c r="P23" s="179">
        <f t="shared" si="12"/>
        <v>7.144747287642228E-2</v>
      </c>
      <c r="Q23" s="179">
        <f t="shared" si="13"/>
        <v>-0.30713837412876155</v>
      </c>
      <c r="T23">
        <f t="shared" si="6"/>
        <v>116904</v>
      </c>
      <c r="U23">
        <f t="shared" si="7"/>
        <v>346861</v>
      </c>
      <c r="V23">
        <f t="shared" si="8"/>
        <v>41969</v>
      </c>
      <c r="W23">
        <f t="shared" ref="W23" si="19">+SUM(E12:E23)</f>
        <v>505734</v>
      </c>
      <c r="Y23" s="179"/>
      <c r="Z23" s="179"/>
      <c r="AA23" s="179"/>
      <c r="AB23" s="179"/>
    </row>
    <row r="24" spans="1:29" x14ac:dyDescent="0.25">
      <c r="A24" s="175">
        <f t="shared" si="1"/>
        <v>41639</v>
      </c>
      <c r="B24">
        <v>7659</v>
      </c>
      <c r="C24">
        <v>18079</v>
      </c>
      <c r="D24">
        <v>2621</v>
      </c>
      <c r="E24">
        <f t="shared" si="0"/>
        <v>28359</v>
      </c>
      <c r="H24" s="56">
        <f t="shared" si="4"/>
        <v>22417</v>
      </c>
      <c r="I24" s="56">
        <f t="shared" si="5"/>
        <v>62930</v>
      </c>
      <c r="J24" s="56">
        <f t="shared" si="5"/>
        <v>10109</v>
      </c>
      <c r="K24" s="56">
        <f t="shared" si="3"/>
        <v>95456</v>
      </c>
      <c r="N24" s="179">
        <f t="shared" si="11"/>
        <v>-0.28791969759537495</v>
      </c>
      <c r="O24" s="179">
        <f t="shared" si="12"/>
        <v>-0.41396137155202917</v>
      </c>
      <c r="P24" s="179">
        <f t="shared" si="12"/>
        <v>6.9293209265497424E-4</v>
      </c>
      <c r="Q24" s="179">
        <f t="shared" si="13"/>
        <v>-0.35920518242540189</v>
      </c>
      <c r="T24">
        <f t="shared" si="6"/>
        <v>114697</v>
      </c>
      <c r="U24">
        <f t="shared" si="7"/>
        <v>327291</v>
      </c>
      <c r="V24">
        <f t="shared" si="8"/>
        <v>41166</v>
      </c>
      <c r="W24">
        <f t="shared" ref="W24" si="20">+SUM(E13:E24)</f>
        <v>483154</v>
      </c>
      <c r="Y24" s="179"/>
      <c r="Z24" s="179"/>
      <c r="AA24" s="179"/>
      <c r="AB24" s="179"/>
    </row>
    <row r="25" spans="1:29" x14ac:dyDescent="0.25">
      <c r="A25" s="175">
        <f t="shared" si="1"/>
        <v>41670</v>
      </c>
      <c r="B25">
        <v>8166</v>
      </c>
      <c r="C25">
        <v>17517</v>
      </c>
      <c r="D25">
        <v>3387</v>
      </c>
      <c r="E25">
        <f t="shared" si="0"/>
        <v>29070</v>
      </c>
      <c r="H25" s="56">
        <f t="shared" si="4"/>
        <v>22648</v>
      </c>
      <c r="I25" s="56">
        <f t="shared" si="5"/>
        <v>55589</v>
      </c>
      <c r="J25" s="56">
        <f t="shared" si="5"/>
        <v>9308</v>
      </c>
      <c r="K25" s="56">
        <f t="shared" si="3"/>
        <v>87545</v>
      </c>
      <c r="N25" s="179">
        <f t="shared" si="11"/>
        <v>-0.19353345440301961</v>
      </c>
      <c r="O25" s="179">
        <f t="shared" si="12"/>
        <v>-0.47718337941801625</v>
      </c>
      <c r="P25" s="179">
        <f t="shared" si="12"/>
        <v>-7.8871845620979708E-2</v>
      </c>
      <c r="Q25" s="179">
        <f t="shared" si="13"/>
        <v>-0.39421094150047742</v>
      </c>
      <c r="T25">
        <f t="shared" si="6"/>
        <v>114141</v>
      </c>
      <c r="U25">
        <f t="shared" si="7"/>
        <v>310959</v>
      </c>
      <c r="V25">
        <f t="shared" si="8"/>
        <v>41172</v>
      </c>
      <c r="W25">
        <f t="shared" ref="W25" si="21">+SUM(E14:E25)</f>
        <v>466272</v>
      </c>
      <c r="Y25" s="179"/>
      <c r="Z25" s="179"/>
      <c r="AA25" s="179"/>
      <c r="AB25" s="179"/>
    </row>
    <row r="26" spans="1:29" x14ac:dyDescent="0.25">
      <c r="A26" s="175">
        <f t="shared" si="1"/>
        <v>41698</v>
      </c>
      <c r="B26">
        <v>9109</v>
      </c>
      <c r="C26">
        <v>14881</v>
      </c>
      <c r="D26">
        <v>4197</v>
      </c>
      <c r="E26">
        <f t="shared" si="0"/>
        <v>28187</v>
      </c>
      <c r="H26" s="56">
        <f t="shared" si="4"/>
        <v>24934</v>
      </c>
      <c r="I26" s="56">
        <f t="shared" si="5"/>
        <v>50477</v>
      </c>
      <c r="J26" s="56">
        <f t="shared" si="5"/>
        <v>10205</v>
      </c>
      <c r="K26" s="56">
        <f t="shared" si="3"/>
        <v>85616</v>
      </c>
      <c r="N26" s="179">
        <f t="shared" si="11"/>
        <v>-0.14659273710511</v>
      </c>
      <c r="O26" s="179">
        <f t="shared" si="12"/>
        <v>-0.53373422749358013</v>
      </c>
      <c r="P26" s="179">
        <f t="shared" si="12"/>
        <v>-3.1259157956432526E-3</v>
      </c>
      <c r="Q26" s="179">
        <f t="shared" si="13"/>
        <v>-0.4203856152512998</v>
      </c>
      <c r="T26">
        <f t="shared" si="6"/>
        <v>112621</v>
      </c>
      <c r="U26">
        <f t="shared" si="7"/>
        <v>289080</v>
      </c>
      <c r="V26">
        <f t="shared" si="8"/>
        <v>41937</v>
      </c>
      <c r="W26">
        <f t="shared" ref="W26" si="22">+SUM(E15:E26)</f>
        <v>443638</v>
      </c>
      <c r="Y26" s="179"/>
      <c r="Z26" s="179"/>
      <c r="AA26" s="179"/>
      <c r="AB26" s="179"/>
    </row>
    <row r="27" spans="1:29" x14ac:dyDescent="0.25">
      <c r="A27" s="175">
        <f t="shared" si="1"/>
        <v>41729</v>
      </c>
      <c r="B27">
        <v>12418</v>
      </c>
      <c r="C27">
        <v>20938</v>
      </c>
      <c r="D27">
        <v>2859</v>
      </c>
      <c r="E27">
        <f t="shared" si="0"/>
        <v>36215</v>
      </c>
      <c r="H27" s="56">
        <f t="shared" si="4"/>
        <v>29693</v>
      </c>
      <c r="I27" s="56">
        <f t="shared" si="5"/>
        <v>53336</v>
      </c>
      <c r="J27" s="56">
        <f t="shared" si="5"/>
        <v>10443</v>
      </c>
      <c r="K27" s="56">
        <f t="shared" si="3"/>
        <v>93472</v>
      </c>
      <c r="N27" s="179">
        <f t="shared" si="11"/>
        <v>-0.13185977838201324</v>
      </c>
      <c r="O27" s="179">
        <f t="shared" si="12"/>
        <v>-0.52619703295727105</v>
      </c>
      <c r="P27" s="179">
        <f t="shared" si="12"/>
        <v>7.9714640198511155E-2</v>
      </c>
      <c r="Q27" s="179">
        <f t="shared" si="13"/>
        <v>-0.40252484898846241</v>
      </c>
      <c r="T27">
        <f t="shared" si="6"/>
        <v>110187</v>
      </c>
      <c r="U27">
        <f t="shared" si="7"/>
        <v>268057</v>
      </c>
      <c r="V27">
        <f t="shared" si="8"/>
        <v>41937</v>
      </c>
      <c r="W27">
        <f t="shared" ref="W27" si="23">+SUM(E16:E27)</f>
        <v>420181</v>
      </c>
      <c r="Z27" s="179">
        <f t="shared" ref="Z27:Z58" si="24">+T27/T15-1</f>
        <v>-0.23150905629058238</v>
      </c>
      <c r="AA27" s="179">
        <f t="shared" ref="AA27:AB58" si="25">+U27/U15-1</f>
        <v>-0.31924106439930722</v>
      </c>
      <c r="AB27" s="179">
        <f t="shared" si="25"/>
        <v>-3.7435732647814857E-2</v>
      </c>
      <c r="AC27" s="179">
        <f t="shared" ref="AC27:AC58" si="26">+W27/W15-1</f>
        <v>-0.27643698845036513</v>
      </c>
    </row>
    <row r="28" spans="1:29" x14ac:dyDescent="0.25">
      <c r="A28" s="175">
        <f t="shared" si="1"/>
        <v>41759</v>
      </c>
      <c r="B28">
        <v>8425</v>
      </c>
      <c r="C28">
        <v>14804</v>
      </c>
      <c r="D28">
        <v>2828</v>
      </c>
      <c r="E28">
        <f t="shared" si="0"/>
        <v>26057</v>
      </c>
      <c r="H28" s="56">
        <f t="shared" si="4"/>
        <v>29952</v>
      </c>
      <c r="I28" s="56">
        <f t="shared" si="5"/>
        <v>50623</v>
      </c>
      <c r="J28" s="56">
        <f t="shared" si="5"/>
        <v>9884</v>
      </c>
      <c r="K28" s="56">
        <f t="shared" si="3"/>
        <v>90459</v>
      </c>
      <c r="N28" s="179">
        <f t="shared" si="11"/>
        <v>-0.15587746244680556</v>
      </c>
      <c r="O28" s="179">
        <f t="shared" si="12"/>
        <v>-0.51669785381501565</v>
      </c>
      <c r="P28" s="179">
        <f t="shared" si="12"/>
        <v>9.4816127603012834E-2</v>
      </c>
      <c r="Q28" s="179">
        <f t="shared" si="13"/>
        <v>-0.39392985159626148</v>
      </c>
      <c r="T28">
        <f t="shared" si="6"/>
        <v>108610</v>
      </c>
      <c r="U28">
        <f t="shared" si="7"/>
        <v>256838</v>
      </c>
      <c r="V28">
        <f t="shared" si="8"/>
        <v>42028</v>
      </c>
      <c r="W28">
        <f t="shared" ref="W28" si="27">+SUM(E17:E28)</f>
        <v>407476</v>
      </c>
      <c r="Z28" s="179">
        <f t="shared" si="24"/>
        <v>-0.24342059434080554</v>
      </c>
      <c r="AA28" s="179">
        <f t="shared" si="25"/>
        <v>-0.34972288824129616</v>
      </c>
      <c r="AB28" s="179">
        <f t="shared" si="25"/>
        <v>-4.6811212918443257E-2</v>
      </c>
      <c r="AC28" s="179">
        <f t="shared" si="26"/>
        <v>-0.30060606268655177</v>
      </c>
    </row>
    <row r="29" spans="1:29" x14ac:dyDescent="0.25">
      <c r="A29" s="175">
        <f t="shared" si="1"/>
        <v>41790</v>
      </c>
      <c r="B29">
        <v>9113</v>
      </c>
      <c r="C29">
        <v>15991</v>
      </c>
      <c r="D29">
        <v>3005</v>
      </c>
      <c r="E29">
        <f t="shared" si="0"/>
        <v>28109</v>
      </c>
      <c r="H29" s="56">
        <f t="shared" si="4"/>
        <v>29956</v>
      </c>
      <c r="I29" s="56">
        <f t="shared" si="5"/>
        <v>51733</v>
      </c>
      <c r="J29" s="56">
        <f t="shared" si="5"/>
        <v>8692</v>
      </c>
      <c r="K29" s="56">
        <f t="shared" si="3"/>
        <v>90381</v>
      </c>
      <c r="N29" s="179">
        <f t="shared" si="11"/>
        <v>-0.14355147668467849</v>
      </c>
      <c r="O29" s="179">
        <f t="shared" si="12"/>
        <v>-0.43864275095760497</v>
      </c>
      <c r="P29" s="179">
        <f t="shared" si="12"/>
        <v>2.3062730627305683E-3</v>
      </c>
      <c r="Q29" s="179">
        <f t="shared" si="13"/>
        <v>-0.33448448522156604</v>
      </c>
      <c r="T29">
        <f t="shared" si="6"/>
        <v>107600</v>
      </c>
      <c r="U29">
        <f t="shared" si="7"/>
        <v>248656</v>
      </c>
      <c r="V29">
        <f t="shared" si="8"/>
        <v>41957</v>
      </c>
      <c r="W29">
        <f t="shared" ref="W29" si="28">+SUM(E18:E29)</f>
        <v>398213</v>
      </c>
      <c r="Z29" s="179">
        <f t="shared" si="24"/>
        <v>-0.23810063302791273</v>
      </c>
      <c r="AA29" s="179">
        <f t="shared" si="25"/>
        <v>-0.36561844649791053</v>
      </c>
      <c r="AB29" s="179">
        <f t="shared" si="25"/>
        <v>-3.3605122535470766E-2</v>
      </c>
      <c r="AC29" s="179">
        <f t="shared" si="26"/>
        <v>-0.30938696653532383</v>
      </c>
    </row>
    <row r="30" spans="1:29" x14ac:dyDescent="0.25">
      <c r="A30" s="175">
        <f t="shared" si="1"/>
        <v>41820</v>
      </c>
      <c r="B30">
        <v>9620</v>
      </c>
      <c r="C30">
        <v>17212</v>
      </c>
      <c r="D30">
        <v>3507</v>
      </c>
      <c r="E30">
        <f t="shared" si="0"/>
        <v>30339</v>
      </c>
      <c r="H30" s="56">
        <f t="shared" si="4"/>
        <v>27158</v>
      </c>
      <c r="I30" s="56">
        <f t="shared" si="5"/>
        <v>48007</v>
      </c>
      <c r="J30" s="56">
        <f t="shared" si="5"/>
        <v>9340</v>
      </c>
      <c r="K30" s="56">
        <f t="shared" si="3"/>
        <v>84505</v>
      </c>
      <c r="N30" s="179">
        <f t="shared" si="11"/>
        <v>-0.13108302671572547</v>
      </c>
      <c r="O30" s="179">
        <f t="shared" si="12"/>
        <v>-0.36811277542317111</v>
      </c>
      <c r="P30" s="179">
        <f t="shared" si="12"/>
        <v>7.7686663789382493E-3</v>
      </c>
      <c r="Q30" s="179">
        <f t="shared" si="13"/>
        <v>-0.27461651372996732</v>
      </c>
      <c r="T30">
        <f t="shared" si="6"/>
        <v>106090</v>
      </c>
      <c r="U30">
        <f t="shared" si="7"/>
        <v>240090</v>
      </c>
      <c r="V30">
        <f t="shared" si="8"/>
        <v>42009</v>
      </c>
      <c r="W30">
        <f t="shared" ref="W30" si="29">+SUM(E19:E30)</f>
        <v>388189</v>
      </c>
      <c r="Z30" s="179">
        <f t="shared" si="24"/>
        <v>-0.24054891798443734</v>
      </c>
      <c r="AA30" s="179">
        <f t="shared" si="25"/>
        <v>-0.38340596998826337</v>
      </c>
      <c r="AB30" s="179">
        <f t="shared" si="25"/>
        <v>1.2265060240963965E-2</v>
      </c>
      <c r="AC30" s="179">
        <f t="shared" si="26"/>
        <v>-0.3196517892508246</v>
      </c>
    </row>
    <row r="31" spans="1:29" x14ac:dyDescent="0.25">
      <c r="A31" s="175">
        <f t="shared" si="1"/>
        <v>41851</v>
      </c>
      <c r="B31">
        <v>9725</v>
      </c>
      <c r="C31">
        <v>16364</v>
      </c>
      <c r="D31">
        <v>3996</v>
      </c>
      <c r="E31">
        <f t="shared" si="0"/>
        <v>30085</v>
      </c>
      <c r="H31" s="56">
        <f t="shared" si="4"/>
        <v>28458</v>
      </c>
      <c r="I31" s="56">
        <f t="shared" si="5"/>
        <v>49567</v>
      </c>
      <c r="J31" s="56">
        <f t="shared" si="5"/>
        <v>10508</v>
      </c>
      <c r="K31" s="56">
        <f t="shared" si="3"/>
        <v>88533</v>
      </c>
      <c r="N31" s="179">
        <f t="shared" si="11"/>
        <v>-8.2325626390635565E-2</v>
      </c>
      <c r="O31" s="179">
        <f t="shared" si="12"/>
        <v>-0.35257314524555905</v>
      </c>
      <c r="P31" s="179">
        <f t="shared" si="12"/>
        <v>3.9366963402571731E-2</v>
      </c>
      <c r="Q31" s="179">
        <f t="shared" si="13"/>
        <v>-0.24768654243250821</v>
      </c>
      <c r="T31">
        <f t="shared" si="6"/>
        <v>106057</v>
      </c>
      <c r="U31">
        <f t="shared" si="7"/>
        <v>229845</v>
      </c>
      <c r="V31">
        <f t="shared" si="8"/>
        <v>42426</v>
      </c>
      <c r="W31">
        <f t="shared" ref="W31" si="30">+SUM(E20:E31)</f>
        <v>378328</v>
      </c>
      <c r="Z31" s="179">
        <f t="shared" si="24"/>
        <v>-0.22396370687447409</v>
      </c>
      <c r="AA31" s="179">
        <f t="shared" si="25"/>
        <v>-0.4051461092318881</v>
      </c>
      <c r="AB31" s="179">
        <f t="shared" si="25"/>
        <v>3.7741848690164614E-2</v>
      </c>
      <c r="AC31" s="179">
        <f t="shared" si="26"/>
        <v>-0.32913073623472122</v>
      </c>
    </row>
    <row r="32" spans="1:29" x14ac:dyDescent="0.25">
      <c r="A32" s="175">
        <f t="shared" si="1"/>
        <v>41882</v>
      </c>
      <c r="B32">
        <v>9141</v>
      </c>
      <c r="C32">
        <v>16287</v>
      </c>
      <c r="D32">
        <v>4117</v>
      </c>
      <c r="E32">
        <f t="shared" si="0"/>
        <v>29545</v>
      </c>
      <c r="H32" s="56">
        <f t="shared" si="4"/>
        <v>28486</v>
      </c>
      <c r="I32" s="56">
        <f t="shared" si="5"/>
        <v>49863</v>
      </c>
      <c r="J32" s="56">
        <f t="shared" si="5"/>
        <v>11620</v>
      </c>
      <c r="K32" s="56">
        <f t="shared" si="3"/>
        <v>89969</v>
      </c>
      <c r="N32" s="179">
        <f t="shared" si="11"/>
        <v>-2.2342725743899505E-2</v>
      </c>
      <c r="O32" s="179">
        <f t="shared" si="12"/>
        <v>-0.3548666727044546</v>
      </c>
      <c r="P32" s="179">
        <f t="shared" si="12"/>
        <v>6.4785118665811492E-2</v>
      </c>
      <c r="Q32" s="179">
        <f t="shared" si="13"/>
        <v>-0.23326884891044053</v>
      </c>
      <c r="T32">
        <f t="shared" si="6"/>
        <v>106949</v>
      </c>
      <c r="U32">
        <f t="shared" si="7"/>
        <v>221228</v>
      </c>
      <c r="V32">
        <f t="shared" si="8"/>
        <v>42664</v>
      </c>
      <c r="W32">
        <f t="shared" ref="W32" si="31">+SUM(E21:E32)</f>
        <v>370841</v>
      </c>
      <c r="Z32" s="179">
        <f t="shared" si="24"/>
        <v>-0.17878725054325706</v>
      </c>
      <c r="AA32" s="179">
        <f t="shared" si="25"/>
        <v>-0.41909293336694398</v>
      </c>
      <c r="AB32" s="179">
        <f t="shared" si="25"/>
        <v>3.6565514225321394E-2</v>
      </c>
      <c r="AC32" s="179">
        <f t="shared" si="26"/>
        <v>-0.32845910355218177</v>
      </c>
    </row>
    <row r="33" spans="1:29" x14ac:dyDescent="0.25">
      <c r="A33" s="175">
        <f t="shared" si="1"/>
        <v>41912</v>
      </c>
      <c r="B33">
        <v>10404</v>
      </c>
      <c r="C33">
        <v>18539</v>
      </c>
      <c r="D33">
        <v>4849</v>
      </c>
      <c r="E33">
        <f t="shared" si="0"/>
        <v>33792</v>
      </c>
      <c r="H33" s="56">
        <f t="shared" si="4"/>
        <v>29270</v>
      </c>
      <c r="I33" s="56">
        <f t="shared" si="5"/>
        <v>51190</v>
      </c>
      <c r="J33" s="56">
        <f t="shared" si="5"/>
        <v>12962</v>
      </c>
      <c r="K33" s="56">
        <f t="shared" si="3"/>
        <v>93422</v>
      </c>
      <c r="N33" s="179">
        <f t="shared" si="11"/>
        <v>9.1268361792558261E-2</v>
      </c>
      <c r="O33" s="179">
        <f t="shared" si="12"/>
        <v>-0.32482160992917153</v>
      </c>
      <c r="P33" s="179">
        <f t="shared" si="12"/>
        <v>6.9736733514896398E-2</v>
      </c>
      <c r="Q33" s="179">
        <f t="shared" si="13"/>
        <v>-0.18590749067586876</v>
      </c>
      <c r="T33">
        <f t="shared" si="6"/>
        <v>108538</v>
      </c>
      <c r="U33">
        <f t="shared" si="7"/>
        <v>215463</v>
      </c>
      <c r="V33">
        <f t="shared" si="8"/>
        <v>42854</v>
      </c>
      <c r="W33">
        <f t="shared" ref="W33" si="32">+SUM(E22:E33)</f>
        <v>366855</v>
      </c>
      <c r="Z33" s="179">
        <f t="shared" si="24"/>
        <v>-0.12300320779567064</v>
      </c>
      <c r="AA33" s="179">
        <f t="shared" si="25"/>
        <v>-0.42039796310892208</v>
      </c>
      <c r="AB33" s="179">
        <f t="shared" si="25"/>
        <v>4.1181758546126046E-2</v>
      </c>
      <c r="AC33" s="179">
        <f t="shared" si="26"/>
        <v>-0.31641458419902246</v>
      </c>
    </row>
    <row r="34" spans="1:29" x14ac:dyDescent="0.25">
      <c r="A34" s="175">
        <f t="shared" si="1"/>
        <v>41943</v>
      </c>
      <c r="B34">
        <v>10352</v>
      </c>
      <c r="C34">
        <v>16897</v>
      </c>
      <c r="D34">
        <v>3780</v>
      </c>
      <c r="E34">
        <f t="shared" si="0"/>
        <v>31029</v>
      </c>
      <c r="H34" s="56">
        <f t="shared" si="4"/>
        <v>29897</v>
      </c>
      <c r="I34" s="56">
        <f t="shared" si="5"/>
        <v>51723</v>
      </c>
      <c r="J34" s="56">
        <f t="shared" si="5"/>
        <v>12746</v>
      </c>
      <c r="K34" s="56">
        <f t="shared" si="3"/>
        <v>94366</v>
      </c>
      <c r="N34" s="179">
        <f t="shared" si="11"/>
        <v>0.19592783711348449</v>
      </c>
      <c r="O34" s="179">
        <f t="shared" si="12"/>
        <v>-0.30166338130856263</v>
      </c>
      <c r="P34" s="179">
        <f t="shared" si="12"/>
        <v>1.5715857300016012E-3</v>
      </c>
      <c r="Q34" s="179">
        <f t="shared" si="13"/>
        <v>-0.15587122398046349</v>
      </c>
      <c r="T34">
        <f t="shared" si="6"/>
        <v>110955</v>
      </c>
      <c r="U34">
        <f t="shared" si="7"/>
        <v>207502</v>
      </c>
      <c r="V34">
        <f t="shared" si="8"/>
        <v>42446</v>
      </c>
      <c r="W34">
        <f t="shared" ref="W34" si="33">+SUM(E23:E34)</f>
        <v>360903</v>
      </c>
      <c r="Z34" s="179">
        <f t="shared" si="24"/>
        <v>-7.2096407305813903E-2</v>
      </c>
      <c r="AA34" s="179">
        <f t="shared" si="25"/>
        <v>-0.42630828098734852</v>
      </c>
      <c r="AB34" s="179">
        <f t="shared" si="25"/>
        <v>1.1365531701970522E-2</v>
      </c>
      <c r="AC34" s="179">
        <f t="shared" si="26"/>
        <v>-0.31025473921195013</v>
      </c>
    </row>
    <row r="35" spans="1:29" x14ac:dyDescent="0.25">
      <c r="A35" s="175">
        <f t="shared" si="1"/>
        <v>41973</v>
      </c>
      <c r="B35">
        <v>9452</v>
      </c>
      <c r="C35">
        <v>15954</v>
      </c>
      <c r="D35">
        <v>3959</v>
      </c>
      <c r="E35">
        <f t="shared" si="0"/>
        <v>29365</v>
      </c>
      <c r="H35" s="56">
        <f t="shared" si="4"/>
        <v>30208</v>
      </c>
      <c r="I35" s="56">
        <f t="shared" si="5"/>
        <v>51390</v>
      </c>
      <c r="J35" s="56">
        <f t="shared" si="5"/>
        <v>12588</v>
      </c>
      <c r="K35" s="56">
        <f t="shared" si="3"/>
        <v>94186</v>
      </c>
      <c r="N35" s="179">
        <f t="shared" si="11"/>
        <v>0.28146608407924312</v>
      </c>
      <c r="O35" s="179">
        <f t="shared" si="12"/>
        <v>-0.25688670378136069</v>
      </c>
      <c r="P35" s="179">
        <f t="shared" si="12"/>
        <v>3.6305260558162411E-2</v>
      </c>
      <c r="Q35" s="179">
        <f t="shared" si="13"/>
        <v>-0.10192133492252686</v>
      </c>
      <c r="T35">
        <f t="shared" si="6"/>
        <v>113584</v>
      </c>
      <c r="U35">
        <f t="shared" si="7"/>
        <v>203463</v>
      </c>
      <c r="V35">
        <f t="shared" si="8"/>
        <v>43105</v>
      </c>
      <c r="W35">
        <f t="shared" ref="W35" si="34">+SUM(E24:E35)</f>
        <v>360152</v>
      </c>
      <c r="Z35" s="179">
        <f t="shared" si="24"/>
        <v>-2.8399370423595416E-2</v>
      </c>
      <c r="AA35" s="179">
        <f t="shared" si="25"/>
        <v>-0.4134163252715064</v>
      </c>
      <c r="AB35" s="179">
        <f t="shared" si="25"/>
        <v>2.7067597512449693E-2</v>
      </c>
      <c r="AC35" s="179">
        <f t="shared" si="26"/>
        <v>-0.2878627895296737</v>
      </c>
    </row>
    <row r="36" spans="1:29" x14ac:dyDescent="0.25">
      <c r="A36" s="175">
        <f t="shared" si="1"/>
        <v>42004</v>
      </c>
      <c r="B36">
        <v>12438</v>
      </c>
      <c r="C36">
        <v>13298</v>
      </c>
      <c r="D36">
        <v>3815</v>
      </c>
      <c r="E36">
        <f t="shared" si="0"/>
        <v>29551</v>
      </c>
      <c r="H36" s="56">
        <f t="shared" si="4"/>
        <v>32242</v>
      </c>
      <c r="I36" s="56">
        <f t="shared" si="5"/>
        <v>46149</v>
      </c>
      <c r="J36" s="56">
        <f t="shared" si="5"/>
        <v>11554</v>
      </c>
      <c r="K36" s="56">
        <f t="shared" si="3"/>
        <v>89945</v>
      </c>
      <c r="N36" s="179">
        <f t="shared" si="11"/>
        <v>0.43828344559932186</v>
      </c>
      <c r="O36" s="179">
        <f t="shared" si="12"/>
        <v>-0.26666136977594157</v>
      </c>
      <c r="P36" s="179">
        <f t="shared" si="12"/>
        <v>0.14294193293105151</v>
      </c>
      <c r="Q36" s="179">
        <f t="shared" si="13"/>
        <v>-5.7733405967147156E-2</v>
      </c>
      <c r="T36">
        <f t="shared" si="6"/>
        <v>118363</v>
      </c>
      <c r="U36">
        <f t="shared" si="7"/>
        <v>198682</v>
      </c>
      <c r="V36">
        <f t="shared" si="8"/>
        <v>44299</v>
      </c>
      <c r="W36">
        <f t="shared" ref="W36" si="35">+SUM(E25:E36)</f>
        <v>361344</v>
      </c>
      <c r="Z36" s="179">
        <f t="shared" si="24"/>
        <v>3.1962475042939253E-2</v>
      </c>
      <c r="AA36" s="179">
        <f t="shared" si="25"/>
        <v>-0.39295000473584674</v>
      </c>
      <c r="AB36" s="179">
        <f t="shared" si="25"/>
        <v>7.6106495651751427E-2</v>
      </c>
      <c r="AC36" s="179">
        <f t="shared" si="26"/>
        <v>-0.25211423272910916</v>
      </c>
    </row>
    <row r="37" spans="1:29" x14ac:dyDescent="0.25">
      <c r="A37" s="175">
        <f t="shared" si="1"/>
        <v>42035</v>
      </c>
      <c r="B37">
        <v>11273</v>
      </c>
      <c r="C37">
        <v>14301</v>
      </c>
      <c r="D37">
        <v>3714</v>
      </c>
      <c r="E37">
        <f t="shared" si="0"/>
        <v>29288</v>
      </c>
      <c r="H37" s="56">
        <f t="shared" si="4"/>
        <v>33163</v>
      </c>
      <c r="I37" s="56">
        <f t="shared" si="5"/>
        <v>43553</v>
      </c>
      <c r="J37" s="56">
        <f t="shared" si="5"/>
        <v>11488</v>
      </c>
      <c r="K37" s="56">
        <f t="shared" si="3"/>
        <v>88204</v>
      </c>
      <c r="N37" s="179">
        <f t="shared" si="11"/>
        <v>0.46427940657011657</v>
      </c>
      <c r="O37" s="179">
        <f t="shared" si="12"/>
        <v>-0.21651765637086473</v>
      </c>
      <c r="P37" s="179">
        <f t="shared" si="12"/>
        <v>0.23420713364847434</v>
      </c>
      <c r="Q37" s="179">
        <f t="shared" si="13"/>
        <v>7.5275572562683024E-3</v>
      </c>
      <c r="T37">
        <f t="shared" si="6"/>
        <v>121470</v>
      </c>
      <c r="U37">
        <f t="shared" si="7"/>
        <v>195466</v>
      </c>
      <c r="V37">
        <f t="shared" si="8"/>
        <v>44626</v>
      </c>
      <c r="W37">
        <f t="shared" ref="W37" si="36">+SUM(E26:E37)</f>
        <v>361562</v>
      </c>
      <c r="Z37" s="179">
        <f t="shared" si="24"/>
        <v>6.4210055983388914E-2</v>
      </c>
      <c r="AA37" s="179">
        <f t="shared" si="25"/>
        <v>-0.37140909251701992</v>
      </c>
      <c r="AB37" s="179">
        <f t="shared" si="25"/>
        <v>8.3891965413387837E-2</v>
      </c>
      <c r="AC37" s="179">
        <f t="shared" si="26"/>
        <v>-0.22456849221055519</v>
      </c>
    </row>
    <row r="38" spans="1:29" x14ac:dyDescent="0.25">
      <c r="A38" s="175">
        <f t="shared" si="1"/>
        <v>42063</v>
      </c>
      <c r="B38">
        <v>12190</v>
      </c>
      <c r="C38">
        <v>14357</v>
      </c>
      <c r="D38">
        <v>3726</v>
      </c>
      <c r="E38">
        <f t="shared" si="0"/>
        <v>30273</v>
      </c>
      <c r="H38" s="56">
        <f t="shared" si="4"/>
        <v>35901</v>
      </c>
      <c r="I38" s="56">
        <f t="shared" si="5"/>
        <v>41956</v>
      </c>
      <c r="J38" s="56">
        <f t="shared" si="5"/>
        <v>11255</v>
      </c>
      <c r="K38" s="56">
        <f t="shared" si="3"/>
        <v>89112</v>
      </c>
      <c r="N38" s="179">
        <f t="shared" si="11"/>
        <v>0.43984118071709322</v>
      </c>
      <c r="O38" s="179">
        <f t="shared" si="12"/>
        <v>-0.16880955682786214</v>
      </c>
      <c r="P38" s="179">
        <f t="shared" si="12"/>
        <v>0.1028907398334149</v>
      </c>
      <c r="Q38" s="179">
        <f t="shared" si="13"/>
        <v>4.0833489067463979E-2</v>
      </c>
      <c r="T38">
        <f t="shared" si="6"/>
        <v>124551</v>
      </c>
      <c r="U38">
        <f t="shared" si="7"/>
        <v>194942</v>
      </c>
      <c r="V38">
        <f t="shared" si="8"/>
        <v>44155</v>
      </c>
      <c r="W38">
        <f t="shared" ref="W38" si="37">+SUM(E27:E38)</f>
        <v>363648</v>
      </c>
      <c r="Z38" s="179">
        <f t="shared" si="24"/>
        <v>0.10593051029559319</v>
      </c>
      <c r="AA38" s="179">
        <f t="shared" si="25"/>
        <v>-0.32564687975646878</v>
      </c>
      <c r="AB38" s="179">
        <f t="shared" si="25"/>
        <v>5.2888857095166664E-2</v>
      </c>
      <c r="AC38" s="179">
        <f t="shared" si="26"/>
        <v>-0.18030466281066992</v>
      </c>
    </row>
    <row r="39" spans="1:29" x14ac:dyDescent="0.25">
      <c r="A39" s="175">
        <f t="shared" si="1"/>
        <v>42094</v>
      </c>
      <c r="B39">
        <v>14878</v>
      </c>
      <c r="C39">
        <v>17127</v>
      </c>
      <c r="D39">
        <v>5135</v>
      </c>
      <c r="E39">
        <f t="shared" si="0"/>
        <v>37140</v>
      </c>
      <c r="H39" s="56">
        <f t="shared" si="4"/>
        <v>38341</v>
      </c>
      <c r="I39" s="56">
        <f t="shared" si="5"/>
        <v>45785</v>
      </c>
      <c r="J39" s="56">
        <f t="shared" si="5"/>
        <v>12575</v>
      </c>
      <c r="K39" s="56">
        <f t="shared" si="3"/>
        <v>96701</v>
      </c>
      <c r="N39" s="179">
        <f t="shared" si="11"/>
        <v>0.29124709527498061</v>
      </c>
      <c r="O39" s="179">
        <f t="shared" si="12"/>
        <v>-0.14157417129143546</v>
      </c>
      <c r="P39" s="179">
        <f t="shared" si="12"/>
        <v>0.20415589390022015</v>
      </c>
      <c r="Q39" s="179">
        <f t="shared" si="13"/>
        <v>3.454510441629588E-2</v>
      </c>
      <c r="T39">
        <f t="shared" si="6"/>
        <v>127011</v>
      </c>
      <c r="U39">
        <f t="shared" si="7"/>
        <v>191131</v>
      </c>
      <c r="V39">
        <f t="shared" si="8"/>
        <v>46431</v>
      </c>
      <c r="W39">
        <f t="shared" ref="W39" si="38">+SUM(E28:E39)</f>
        <v>364573</v>
      </c>
      <c r="Z39" s="179">
        <f t="shared" si="24"/>
        <v>0.15268588853494514</v>
      </c>
      <c r="AA39" s="179">
        <f t="shared" si="25"/>
        <v>-0.28697627743353094</v>
      </c>
      <c r="AB39" s="179">
        <f t="shared" si="25"/>
        <v>0.10716074111166751</v>
      </c>
      <c r="AC39" s="179">
        <f t="shared" si="26"/>
        <v>-0.13234296648349164</v>
      </c>
    </row>
    <row r="40" spans="1:29" x14ac:dyDescent="0.25">
      <c r="A40" s="175">
        <f t="shared" si="1"/>
        <v>42124</v>
      </c>
      <c r="B40">
        <v>10179</v>
      </c>
      <c r="C40">
        <v>12010</v>
      </c>
      <c r="D40">
        <v>3400</v>
      </c>
      <c r="E40">
        <f t="shared" si="0"/>
        <v>25589</v>
      </c>
      <c r="H40" s="56">
        <f t="shared" si="4"/>
        <v>37247</v>
      </c>
      <c r="I40" s="56">
        <f t="shared" si="5"/>
        <v>43494</v>
      </c>
      <c r="J40" s="56">
        <f t="shared" si="5"/>
        <v>12261</v>
      </c>
      <c r="K40" s="56">
        <f t="shared" si="3"/>
        <v>93002</v>
      </c>
      <c r="N40" s="179">
        <f t="shared" si="11"/>
        <v>0.2435563568376069</v>
      </c>
      <c r="O40" s="179">
        <f t="shared" si="12"/>
        <v>-0.14082531655571573</v>
      </c>
      <c r="P40" s="179">
        <f t="shared" si="12"/>
        <v>0.24048968029138007</v>
      </c>
      <c r="Q40" s="179">
        <f t="shared" si="13"/>
        <v>2.8112183420113013E-2</v>
      </c>
      <c r="T40">
        <f t="shared" si="6"/>
        <v>128765</v>
      </c>
      <c r="U40">
        <f t="shared" si="7"/>
        <v>188337</v>
      </c>
      <c r="V40">
        <f t="shared" si="8"/>
        <v>47003</v>
      </c>
      <c r="W40">
        <f t="shared" ref="W40" si="39">+SUM(E29:E40)</f>
        <v>364105</v>
      </c>
      <c r="Z40" s="179">
        <f t="shared" si="24"/>
        <v>0.18557223091796327</v>
      </c>
      <c r="AA40" s="179">
        <f t="shared" si="25"/>
        <v>-0.26670897608609323</v>
      </c>
      <c r="AB40" s="179">
        <f t="shared" si="25"/>
        <v>0.11837346530884174</v>
      </c>
      <c r="AC40" s="179">
        <f t="shared" si="26"/>
        <v>-0.10643817059164218</v>
      </c>
    </row>
    <row r="41" spans="1:29" x14ac:dyDescent="0.25">
      <c r="A41" s="175">
        <f t="shared" si="1"/>
        <v>42155</v>
      </c>
      <c r="B41">
        <v>10788</v>
      </c>
      <c r="C41">
        <v>12892</v>
      </c>
      <c r="D41">
        <v>4200</v>
      </c>
      <c r="E41">
        <f t="shared" si="0"/>
        <v>27880</v>
      </c>
      <c r="H41" s="56">
        <f t="shared" si="4"/>
        <v>35845</v>
      </c>
      <c r="I41" s="56">
        <f t="shared" si="5"/>
        <v>42029</v>
      </c>
      <c r="J41" s="56">
        <f t="shared" si="5"/>
        <v>12735</v>
      </c>
      <c r="K41" s="56">
        <f t="shared" si="3"/>
        <v>90609</v>
      </c>
      <c r="N41" s="179">
        <f t="shared" si="11"/>
        <v>0.1965883295500066</v>
      </c>
      <c r="O41" s="179">
        <f t="shared" si="12"/>
        <v>-0.18757852821216636</v>
      </c>
      <c r="P41" s="179">
        <f t="shared" si="12"/>
        <v>0.46514035895075923</v>
      </c>
      <c r="Q41" s="179">
        <f t="shared" si="13"/>
        <v>2.5226540976532874E-3</v>
      </c>
      <c r="T41">
        <f t="shared" si="6"/>
        <v>130440</v>
      </c>
      <c r="U41">
        <f t="shared" si="7"/>
        <v>185238</v>
      </c>
      <c r="V41">
        <f t="shared" si="8"/>
        <v>48198</v>
      </c>
      <c r="W41">
        <f t="shared" ref="W41" si="40">+SUM(E30:E41)</f>
        <v>363876</v>
      </c>
      <c r="Z41" s="179">
        <f t="shared" si="24"/>
        <v>0.21226765799256508</v>
      </c>
      <c r="AA41" s="179">
        <f t="shared" si="25"/>
        <v>-0.2550431117688694</v>
      </c>
      <c r="AB41" s="179">
        <f t="shared" si="25"/>
        <v>0.14874752723025964</v>
      </c>
      <c r="AC41" s="179">
        <f t="shared" si="26"/>
        <v>-8.6227722349596858E-2</v>
      </c>
    </row>
    <row r="42" spans="1:29" x14ac:dyDescent="0.25">
      <c r="A42" s="175">
        <f t="shared" si="1"/>
        <v>42185</v>
      </c>
      <c r="B42">
        <v>11450</v>
      </c>
      <c r="C42">
        <v>14092</v>
      </c>
      <c r="D42">
        <v>4467</v>
      </c>
      <c r="E42">
        <f t="shared" si="0"/>
        <v>30009</v>
      </c>
      <c r="H42" s="56">
        <f t="shared" si="4"/>
        <v>32417</v>
      </c>
      <c r="I42" s="56">
        <f t="shared" si="5"/>
        <v>38994</v>
      </c>
      <c r="J42" s="56">
        <f t="shared" si="5"/>
        <v>12067</v>
      </c>
      <c r="K42" s="56">
        <f t="shared" si="3"/>
        <v>83478</v>
      </c>
      <c r="N42" s="179">
        <f t="shared" si="11"/>
        <v>0.19364459827675096</v>
      </c>
      <c r="O42" s="179">
        <f t="shared" si="12"/>
        <v>-0.18774345407961335</v>
      </c>
      <c r="P42" s="179">
        <f t="shared" si="12"/>
        <v>0.29197002141327633</v>
      </c>
      <c r="Q42" s="179">
        <f t="shared" si="13"/>
        <v>-1.2153127033903366E-2</v>
      </c>
      <c r="T42">
        <f t="shared" si="6"/>
        <v>132270</v>
      </c>
      <c r="U42">
        <f t="shared" si="7"/>
        <v>182118</v>
      </c>
      <c r="V42">
        <f t="shared" si="8"/>
        <v>49158</v>
      </c>
      <c r="W42">
        <f t="shared" ref="W42" si="41">+SUM(E31:E42)</f>
        <v>363546</v>
      </c>
      <c r="Z42" s="179">
        <f t="shared" si="24"/>
        <v>0.24677160901121686</v>
      </c>
      <c r="AA42" s="179">
        <f t="shared" si="25"/>
        <v>-0.2414594527052355</v>
      </c>
      <c r="AB42" s="179">
        <f t="shared" si="25"/>
        <v>0.17017781903877749</v>
      </c>
      <c r="AC42" s="179">
        <f t="shared" si="26"/>
        <v>-6.3481963682639142E-2</v>
      </c>
    </row>
    <row r="43" spans="1:29" x14ac:dyDescent="0.25">
      <c r="A43" s="175">
        <f t="shared" si="1"/>
        <v>42216</v>
      </c>
      <c r="B43">
        <v>11808</v>
      </c>
      <c r="C43">
        <v>12879</v>
      </c>
      <c r="D43">
        <v>4778</v>
      </c>
      <c r="E43">
        <f t="shared" si="0"/>
        <v>29465</v>
      </c>
      <c r="H43" s="56">
        <f t="shared" si="4"/>
        <v>34046</v>
      </c>
      <c r="I43" s="56">
        <f t="shared" si="5"/>
        <v>39863</v>
      </c>
      <c r="J43" s="56">
        <f t="shared" si="5"/>
        <v>13445</v>
      </c>
      <c r="K43" s="56">
        <f t="shared" si="3"/>
        <v>87354</v>
      </c>
      <c r="N43" s="179">
        <f t="shared" si="11"/>
        <v>0.19635954740319073</v>
      </c>
      <c r="O43" s="179">
        <f t="shared" si="12"/>
        <v>-0.1957754150947203</v>
      </c>
      <c r="P43" s="179">
        <f t="shared" si="12"/>
        <v>0.27950133231823382</v>
      </c>
      <c r="Q43" s="179">
        <f t="shared" si="13"/>
        <v>-1.3317068211853189E-2</v>
      </c>
      <c r="T43">
        <f t="shared" si="6"/>
        <v>134353</v>
      </c>
      <c r="U43">
        <f t="shared" si="7"/>
        <v>178633</v>
      </c>
      <c r="V43">
        <f t="shared" si="8"/>
        <v>49940</v>
      </c>
      <c r="W43">
        <f t="shared" ref="W43" si="42">+SUM(E32:E43)</f>
        <v>362926</v>
      </c>
      <c r="Z43" s="179">
        <f t="shared" si="24"/>
        <v>0.26679992834042077</v>
      </c>
      <c r="AA43" s="179">
        <f t="shared" si="25"/>
        <v>-0.22281102482107507</v>
      </c>
      <c r="AB43" s="179">
        <f t="shared" si="25"/>
        <v>0.17710837693866965</v>
      </c>
      <c r="AC43" s="179">
        <f t="shared" si="26"/>
        <v>-4.0710706054006063E-2</v>
      </c>
    </row>
    <row r="44" spans="1:29" x14ac:dyDescent="0.25">
      <c r="A44" s="175">
        <f t="shared" si="1"/>
        <v>42247</v>
      </c>
      <c r="B44">
        <v>12017</v>
      </c>
      <c r="C44">
        <v>12267</v>
      </c>
      <c r="D44">
        <v>4543</v>
      </c>
      <c r="E44">
        <f t="shared" si="0"/>
        <v>28827</v>
      </c>
      <c r="H44" s="56">
        <f t="shared" si="4"/>
        <v>35275</v>
      </c>
      <c r="I44" s="56">
        <f t="shared" si="5"/>
        <v>39238</v>
      </c>
      <c r="J44" s="56">
        <f t="shared" si="5"/>
        <v>13788</v>
      </c>
      <c r="K44" s="56">
        <f t="shared" si="3"/>
        <v>88301</v>
      </c>
      <c r="N44" s="179">
        <f t="shared" si="11"/>
        <v>0.23832759952257243</v>
      </c>
      <c r="O44" s="179">
        <f t="shared" si="12"/>
        <v>-0.21308384974831041</v>
      </c>
      <c r="P44" s="179">
        <f t="shared" si="12"/>
        <v>0.18657487091222036</v>
      </c>
      <c r="Q44" s="179">
        <f t="shared" si="13"/>
        <v>-1.8539719236625896E-2</v>
      </c>
      <c r="T44">
        <f t="shared" si="6"/>
        <v>137229</v>
      </c>
      <c r="U44">
        <f t="shared" si="7"/>
        <v>174613</v>
      </c>
      <c r="V44">
        <f t="shared" si="8"/>
        <v>50366</v>
      </c>
      <c r="W44">
        <f t="shared" ref="W44" si="43">+SUM(E33:E44)</f>
        <v>362208</v>
      </c>
      <c r="Z44" s="179">
        <f t="shared" si="24"/>
        <v>0.28312560192241154</v>
      </c>
      <c r="AA44" s="179">
        <f t="shared" si="25"/>
        <v>-0.21071021751315389</v>
      </c>
      <c r="AB44" s="179">
        <f t="shared" si="25"/>
        <v>0.18052690793174575</v>
      </c>
      <c r="AC44" s="179">
        <f t="shared" si="26"/>
        <v>-2.3279518715568104E-2</v>
      </c>
    </row>
    <row r="45" spans="1:29" x14ac:dyDescent="0.25">
      <c r="A45" s="175">
        <f t="shared" si="1"/>
        <v>42277</v>
      </c>
      <c r="B45">
        <v>15915</v>
      </c>
      <c r="C45">
        <v>13124</v>
      </c>
      <c r="D45">
        <v>3916</v>
      </c>
      <c r="E45">
        <f t="shared" si="0"/>
        <v>32955</v>
      </c>
      <c r="H45" s="56">
        <f t="shared" si="4"/>
        <v>39740</v>
      </c>
      <c r="I45" s="56">
        <f t="shared" si="5"/>
        <v>38270</v>
      </c>
      <c r="J45" s="56">
        <f t="shared" si="5"/>
        <v>13237</v>
      </c>
      <c r="K45" s="56">
        <f t="shared" si="3"/>
        <v>91247</v>
      </c>
      <c r="N45" s="179">
        <f t="shared" si="11"/>
        <v>0.35770413392552092</v>
      </c>
      <c r="O45" s="179">
        <f t="shared" si="12"/>
        <v>-0.2523930455167025</v>
      </c>
      <c r="P45" s="179">
        <f t="shared" si="12"/>
        <v>2.1215861749730003E-2</v>
      </c>
      <c r="Q45" s="179">
        <f t="shared" si="13"/>
        <v>-2.3281454047226591E-2</v>
      </c>
      <c r="T45">
        <f t="shared" si="6"/>
        <v>142740</v>
      </c>
      <c r="U45">
        <f t="shared" si="7"/>
        <v>169198</v>
      </c>
      <c r="V45">
        <f t="shared" si="8"/>
        <v>49433</v>
      </c>
      <c r="W45">
        <f t="shared" ref="W45" si="44">+SUM(E34:E45)</f>
        <v>361371</v>
      </c>
      <c r="Z45" s="179">
        <f t="shared" si="24"/>
        <v>0.31511544343916409</v>
      </c>
      <c r="AA45" s="179">
        <f t="shared" si="25"/>
        <v>-0.21472364164612945</v>
      </c>
      <c r="AB45" s="179">
        <f t="shared" si="25"/>
        <v>0.15352125822560314</v>
      </c>
      <c r="AC45" s="179">
        <f t="shared" si="26"/>
        <v>-1.4948685447929044E-2</v>
      </c>
    </row>
    <row r="46" spans="1:29" x14ac:dyDescent="0.25">
      <c r="A46" s="175">
        <f t="shared" si="1"/>
        <v>42308</v>
      </c>
      <c r="B46">
        <v>12504</v>
      </c>
      <c r="C46">
        <v>13615</v>
      </c>
      <c r="D46">
        <v>4069</v>
      </c>
      <c r="E46">
        <f t="shared" si="0"/>
        <v>30188</v>
      </c>
      <c r="H46" s="56">
        <f t="shared" si="4"/>
        <v>40436</v>
      </c>
      <c r="I46" s="56">
        <f t="shared" si="5"/>
        <v>39006</v>
      </c>
      <c r="J46" s="56">
        <f t="shared" si="5"/>
        <v>12528</v>
      </c>
      <c r="K46" s="56">
        <f t="shared" si="3"/>
        <v>91970</v>
      </c>
      <c r="N46" s="179">
        <f t="shared" si="11"/>
        <v>0.35251028531290762</v>
      </c>
      <c r="O46" s="179">
        <f t="shared" si="12"/>
        <v>-0.24586740908299987</v>
      </c>
      <c r="P46" s="179">
        <f t="shared" si="12"/>
        <v>-1.7103404989800675E-2</v>
      </c>
      <c r="Q46" s="179">
        <f t="shared" si="13"/>
        <v>-2.5390500815971828E-2</v>
      </c>
      <c r="T46">
        <f t="shared" si="6"/>
        <v>144892</v>
      </c>
      <c r="U46">
        <f t="shared" si="7"/>
        <v>165916</v>
      </c>
      <c r="V46">
        <f t="shared" si="8"/>
        <v>49722</v>
      </c>
      <c r="W46">
        <f t="shared" ref="W46" si="45">+SUM(E35:E46)</f>
        <v>360530</v>
      </c>
      <c r="Z46" s="179">
        <f t="shared" si="24"/>
        <v>0.30586273714568968</v>
      </c>
      <c r="AA46" s="179">
        <f t="shared" si="25"/>
        <v>-0.20041252614432636</v>
      </c>
      <c r="AB46" s="179">
        <f t="shared" si="25"/>
        <v>0.17141780144183194</v>
      </c>
      <c r="AC46" s="179">
        <f t="shared" si="26"/>
        <v>-1.0335187017009861E-3</v>
      </c>
    </row>
    <row r="47" spans="1:29" x14ac:dyDescent="0.25">
      <c r="A47" s="175">
        <f t="shared" si="1"/>
        <v>42338</v>
      </c>
      <c r="B47">
        <v>11524</v>
      </c>
      <c r="C47">
        <v>13304</v>
      </c>
      <c r="D47">
        <v>2900</v>
      </c>
      <c r="E47">
        <f t="shared" si="0"/>
        <v>27728</v>
      </c>
      <c r="H47" s="56">
        <f t="shared" si="4"/>
        <v>39943</v>
      </c>
      <c r="I47" s="56">
        <f t="shared" si="5"/>
        <v>40043</v>
      </c>
      <c r="J47" s="56">
        <f t="shared" si="5"/>
        <v>10885</v>
      </c>
      <c r="K47" s="56">
        <f t="shared" si="3"/>
        <v>90871</v>
      </c>
      <c r="N47" s="179">
        <f t="shared" si="11"/>
        <v>0.322265625</v>
      </c>
      <c r="O47" s="179">
        <f t="shared" si="12"/>
        <v>-0.22080171239540769</v>
      </c>
      <c r="P47" s="179">
        <f t="shared" si="12"/>
        <v>-0.13528757546870041</v>
      </c>
      <c r="Q47" s="179">
        <f t="shared" si="13"/>
        <v>-3.5196313677191893E-2</v>
      </c>
      <c r="T47">
        <f t="shared" si="6"/>
        <v>146964</v>
      </c>
      <c r="U47">
        <f t="shared" si="7"/>
        <v>163266</v>
      </c>
      <c r="V47">
        <f t="shared" si="8"/>
        <v>48663</v>
      </c>
      <c r="W47">
        <f t="shared" ref="W47" si="46">+SUM(E36:E47)</f>
        <v>358893</v>
      </c>
      <c r="Z47" s="179">
        <f t="shared" si="24"/>
        <v>0.29387941963656861</v>
      </c>
      <c r="AA47" s="179">
        <f t="shared" si="25"/>
        <v>-0.1975641762875805</v>
      </c>
      <c r="AB47" s="179">
        <f t="shared" si="25"/>
        <v>0.12894095812550743</v>
      </c>
      <c r="AC47" s="179">
        <f t="shared" si="26"/>
        <v>-3.4957462404762163E-3</v>
      </c>
    </row>
    <row r="48" spans="1:29" x14ac:dyDescent="0.25">
      <c r="A48" s="175">
        <f t="shared" si="1"/>
        <v>42369</v>
      </c>
      <c r="B48">
        <v>12673</v>
      </c>
      <c r="C48">
        <v>14674</v>
      </c>
      <c r="D48">
        <v>4311</v>
      </c>
      <c r="E48">
        <f t="shared" si="0"/>
        <v>31658</v>
      </c>
      <c r="H48" s="56">
        <f t="shared" si="4"/>
        <v>36701</v>
      </c>
      <c r="I48" s="56">
        <f t="shared" si="5"/>
        <v>41593</v>
      </c>
      <c r="J48" s="56">
        <f t="shared" si="5"/>
        <v>11280</v>
      </c>
      <c r="K48" s="56">
        <f t="shared" si="3"/>
        <v>89574</v>
      </c>
      <c r="N48" s="179">
        <f t="shared" si="11"/>
        <v>0.13829787234042556</v>
      </c>
      <c r="O48" s="179">
        <f t="shared" si="12"/>
        <v>-9.8723699321762171E-2</v>
      </c>
      <c r="P48" s="179">
        <f t="shared" si="12"/>
        <v>-2.3714730829150099E-2</v>
      </c>
      <c r="Q48" s="179">
        <f t="shared" si="13"/>
        <v>-4.1247428984378942E-3</v>
      </c>
      <c r="T48">
        <f t="shared" ref="T48:T79" si="47">+SUM(B37:B48)</f>
        <v>147199</v>
      </c>
      <c r="U48">
        <f t="shared" ref="U48:U79" si="48">+SUM(C37:C48)</f>
        <v>164642</v>
      </c>
      <c r="V48">
        <f t="shared" ref="V48:V79" si="49">+SUM(D37:D48)</f>
        <v>49159</v>
      </c>
      <c r="W48">
        <f t="shared" ref="W48" si="50">+SUM(E37:E48)</f>
        <v>361000</v>
      </c>
      <c r="Z48" s="179">
        <f t="shared" si="24"/>
        <v>0.24362342961905314</v>
      </c>
      <c r="AA48" s="179">
        <f t="shared" si="25"/>
        <v>-0.1713290584954853</v>
      </c>
      <c r="AB48" s="179">
        <f t="shared" si="25"/>
        <v>0.10970902277703787</v>
      </c>
      <c r="AC48" s="179">
        <f t="shared" si="26"/>
        <v>-9.5200141693230211E-4</v>
      </c>
    </row>
    <row r="49" spans="1:29" x14ac:dyDescent="0.25">
      <c r="A49" s="175">
        <f t="shared" si="1"/>
        <v>42400</v>
      </c>
      <c r="B49">
        <v>14693</v>
      </c>
      <c r="C49">
        <v>15977</v>
      </c>
      <c r="D49">
        <v>4816</v>
      </c>
      <c r="E49">
        <f t="shared" si="0"/>
        <v>35486</v>
      </c>
      <c r="H49" s="56">
        <f t="shared" si="4"/>
        <v>38890</v>
      </c>
      <c r="I49" s="56">
        <f t="shared" si="5"/>
        <v>43955</v>
      </c>
      <c r="J49" s="56">
        <f t="shared" si="5"/>
        <v>12027</v>
      </c>
      <c r="K49" s="56">
        <f t="shared" si="3"/>
        <v>94872</v>
      </c>
      <c r="N49" s="179">
        <f t="shared" si="11"/>
        <v>0.17269245846274472</v>
      </c>
      <c r="O49" s="179">
        <f t="shared" si="12"/>
        <v>9.2301334006841262E-3</v>
      </c>
      <c r="P49" s="179">
        <f t="shared" si="12"/>
        <v>4.6918523676880319E-2</v>
      </c>
      <c r="Q49" s="179">
        <f t="shared" si="13"/>
        <v>7.559747857240029E-2</v>
      </c>
      <c r="T49">
        <f t="shared" si="47"/>
        <v>150619</v>
      </c>
      <c r="U49">
        <f t="shared" si="48"/>
        <v>166318</v>
      </c>
      <c r="V49">
        <f t="shared" si="49"/>
        <v>50261</v>
      </c>
      <c r="W49">
        <f t="shared" ref="W49" si="51">+SUM(E38:E49)</f>
        <v>367198</v>
      </c>
      <c r="Z49" s="179">
        <f t="shared" si="24"/>
        <v>0.23996871655552821</v>
      </c>
      <c r="AA49" s="179">
        <f t="shared" si="25"/>
        <v>-0.14912056316699585</v>
      </c>
      <c r="AB49" s="179">
        <f t="shared" si="25"/>
        <v>0.12627168018643831</v>
      </c>
      <c r="AC49" s="179">
        <f t="shared" si="26"/>
        <v>1.5587921297038898E-2</v>
      </c>
    </row>
    <row r="50" spans="1:29" x14ac:dyDescent="0.25">
      <c r="A50" s="175">
        <f t="shared" si="1"/>
        <v>42429</v>
      </c>
      <c r="B50">
        <v>14872</v>
      </c>
      <c r="C50">
        <v>15698</v>
      </c>
      <c r="D50">
        <v>4322</v>
      </c>
      <c r="E50">
        <f t="shared" si="0"/>
        <v>34892</v>
      </c>
      <c r="H50" s="56">
        <f t="shared" si="4"/>
        <v>42238</v>
      </c>
      <c r="I50" s="56">
        <f t="shared" si="5"/>
        <v>46349</v>
      </c>
      <c r="J50" s="56">
        <f t="shared" si="5"/>
        <v>13449</v>
      </c>
      <c r="K50" s="56">
        <f t="shared" si="3"/>
        <v>102036</v>
      </c>
      <c r="N50" s="179">
        <f t="shared" ref="N50:N81" si="52">+H50/H38-1</f>
        <v>0.17651318904765878</v>
      </c>
      <c r="O50" s="179">
        <f t="shared" ref="O50:P81" si="53">+I50/I38-1</f>
        <v>0.10470492897321004</v>
      </c>
      <c r="P50" s="179">
        <f t="shared" si="53"/>
        <v>0.19493558418480683</v>
      </c>
      <c r="Q50" s="179">
        <f t="shared" ref="Q50:Q81" si="54">+K50/K38-1</f>
        <v>0.14503097225962835</v>
      </c>
      <c r="T50">
        <f t="shared" si="47"/>
        <v>153301</v>
      </c>
      <c r="U50">
        <f t="shared" si="48"/>
        <v>167659</v>
      </c>
      <c r="V50">
        <f t="shared" si="49"/>
        <v>50857</v>
      </c>
      <c r="W50">
        <f t="shared" ref="W50" si="55">+SUM(E39:E50)</f>
        <v>371817</v>
      </c>
      <c r="Z50" s="179">
        <f t="shared" si="24"/>
        <v>0.23082913826464657</v>
      </c>
      <c r="AA50" s="179">
        <f t="shared" si="25"/>
        <v>-0.1399544479896585</v>
      </c>
      <c r="AB50" s="179">
        <f t="shared" si="25"/>
        <v>0.1517834899784849</v>
      </c>
      <c r="AC50" s="179">
        <f t="shared" si="26"/>
        <v>2.246403115100315E-2</v>
      </c>
    </row>
    <row r="51" spans="1:29" x14ac:dyDescent="0.25">
      <c r="A51" s="175">
        <f t="shared" si="1"/>
        <v>42460</v>
      </c>
      <c r="B51">
        <v>18538</v>
      </c>
      <c r="C51">
        <v>19709</v>
      </c>
      <c r="D51">
        <v>5874</v>
      </c>
      <c r="E51">
        <f t="shared" si="0"/>
        <v>44121</v>
      </c>
      <c r="H51" s="56">
        <f t="shared" si="4"/>
        <v>48103</v>
      </c>
      <c r="I51" s="56">
        <f t="shared" si="5"/>
        <v>51384</v>
      </c>
      <c r="J51" s="56">
        <f t="shared" si="5"/>
        <v>15012</v>
      </c>
      <c r="K51" s="56">
        <f t="shared" si="3"/>
        <v>114499</v>
      </c>
      <c r="N51" s="179">
        <f t="shared" si="52"/>
        <v>0.25460994757570221</v>
      </c>
      <c r="O51" s="179">
        <f t="shared" si="53"/>
        <v>0.12228895926613514</v>
      </c>
      <c r="P51" s="179">
        <f t="shared" si="53"/>
        <v>0.19379721669980121</v>
      </c>
      <c r="Q51" s="179">
        <f t="shared" si="54"/>
        <v>0.18405187123194167</v>
      </c>
      <c r="T51">
        <f t="shared" si="47"/>
        <v>156961</v>
      </c>
      <c r="U51">
        <f t="shared" si="48"/>
        <v>170241</v>
      </c>
      <c r="V51">
        <f t="shared" si="49"/>
        <v>51596</v>
      </c>
      <c r="W51">
        <f t="shared" ref="W51" si="56">+SUM(E40:E51)</f>
        <v>378798</v>
      </c>
      <c r="Z51" s="179">
        <f t="shared" si="24"/>
        <v>0.23580634748171425</v>
      </c>
      <c r="AA51" s="179">
        <f t="shared" si="25"/>
        <v>-0.1092967650459632</v>
      </c>
      <c r="AB51" s="179">
        <f t="shared" si="25"/>
        <v>0.11124033512093212</v>
      </c>
      <c r="AC51" s="179">
        <f t="shared" si="26"/>
        <v>3.9018248745793072E-2</v>
      </c>
    </row>
    <row r="52" spans="1:29" x14ac:dyDescent="0.25">
      <c r="A52" s="175">
        <f t="shared" si="1"/>
        <v>42490</v>
      </c>
      <c r="B52">
        <v>11642</v>
      </c>
      <c r="C52">
        <v>13460</v>
      </c>
      <c r="D52">
        <v>3464</v>
      </c>
      <c r="E52">
        <f t="shared" si="0"/>
        <v>28566</v>
      </c>
      <c r="H52" s="56">
        <f t="shared" si="4"/>
        <v>45052</v>
      </c>
      <c r="I52" s="56">
        <f t="shared" si="5"/>
        <v>48867</v>
      </c>
      <c r="J52" s="56">
        <f t="shared" si="5"/>
        <v>13660</v>
      </c>
      <c r="K52" s="56">
        <f t="shared" si="3"/>
        <v>107579</v>
      </c>
      <c r="N52" s="179">
        <f t="shared" si="52"/>
        <v>0.20954707761698921</v>
      </c>
      <c r="O52" s="179">
        <f t="shared" si="53"/>
        <v>0.12353428059042626</v>
      </c>
      <c r="P52" s="179">
        <f t="shared" si="53"/>
        <v>0.11410162303237903</v>
      </c>
      <c r="Q52" s="179">
        <f t="shared" si="54"/>
        <v>0.15673856476204806</v>
      </c>
      <c r="T52">
        <f t="shared" si="47"/>
        <v>158424</v>
      </c>
      <c r="U52">
        <f t="shared" si="48"/>
        <v>171691</v>
      </c>
      <c r="V52">
        <f t="shared" si="49"/>
        <v>51660</v>
      </c>
      <c r="W52">
        <f t="shared" ref="W52" si="57">+SUM(E41:E52)</f>
        <v>381775</v>
      </c>
      <c r="Z52" s="179">
        <f t="shared" si="24"/>
        <v>0.23033432998097303</v>
      </c>
      <c r="AA52" s="179">
        <f t="shared" si="25"/>
        <v>-8.8384119955186691E-2</v>
      </c>
      <c r="AB52" s="179">
        <f t="shared" si="25"/>
        <v>9.9078782205391125E-2</v>
      </c>
      <c r="AC52" s="179">
        <f t="shared" si="26"/>
        <v>4.8529957017893199E-2</v>
      </c>
    </row>
    <row r="53" spans="1:29" x14ac:dyDescent="0.25">
      <c r="A53" s="175">
        <f t="shared" si="1"/>
        <v>42521</v>
      </c>
      <c r="B53">
        <v>13312</v>
      </c>
      <c r="C53">
        <v>13714</v>
      </c>
      <c r="D53">
        <v>4210</v>
      </c>
      <c r="E53">
        <f t="shared" si="0"/>
        <v>31236</v>
      </c>
      <c r="H53" s="56">
        <f t="shared" si="4"/>
        <v>43492</v>
      </c>
      <c r="I53" s="56">
        <f t="shared" si="5"/>
        <v>46883</v>
      </c>
      <c r="J53" s="56">
        <f t="shared" si="5"/>
        <v>13548</v>
      </c>
      <c r="K53" s="56">
        <f t="shared" si="3"/>
        <v>103923</v>
      </c>
      <c r="N53" s="179">
        <f t="shared" si="52"/>
        <v>0.21333519319291394</v>
      </c>
      <c r="O53" s="179">
        <f t="shared" si="53"/>
        <v>0.11549168431321233</v>
      </c>
      <c r="P53" s="179">
        <f t="shared" si="53"/>
        <v>6.3839811542991676E-2</v>
      </c>
      <c r="Q53" s="179">
        <f t="shared" si="54"/>
        <v>0.14693904579015338</v>
      </c>
      <c r="T53">
        <f t="shared" si="47"/>
        <v>160948</v>
      </c>
      <c r="U53">
        <f t="shared" si="48"/>
        <v>172513</v>
      </c>
      <c r="V53">
        <f t="shared" si="49"/>
        <v>51670</v>
      </c>
      <c r="W53">
        <f t="shared" ref="W53" si="58">+SUM(E42:E53)</f>
        <v>385131</v>
      </c>
      <c r="Z53" s="179">
        <f t="shared" si="24"/>
        <v>0.23388531125421652</v>
      </c>
      <c r="AA53" s="179">
        <f t="shared" si="25"/>
        <v>-6.8695408069618491E-2</v>
      </c>
      <c r="AB53" s="179">
        <f t="shared" si="25"/>
        <v>7.2036184074028009E-2</v>
      </c>
      <c r="AC53" s="179">
        <f t="shared" si="26"/>
        <v>5.8412755993800136E-2</v>
      </c>
    </row>
    <row r="54" spans="1:29" x14ac:dyDescent="0.25">
      <c r="A54" s="175">
        <f t="shared" si="1"/>
        <v>42551</v>
      </c>
      <c r="B54">
        <v>10147</v>
      </c>
      <c r="C54">
        <v>16017</v>
      </c>
      <c r="D54">
        <v>5478</v>
      </c>
      <c r="E54">
        <f t="shared" si="0"/>
        <v>31642</v>
      </c>
      <c r="H54" s="56">
        <f t="shared" si="4"/>
        <v>35101</v>
      </c>
      <c r="I54" s="56">
        <f t="shared" si="5"/>
        <v>43191</v>
      </c>
      <c r="J54" s="56">
        <f t="shared" si="5"/>
        <v>13152</v>
      </c>
      <c r="K54" s="56">
        <f t="shared" si="3"/>
        <v>91444</v>
      </c>
      <c r="N54" s="179">
        <f t="shared" si="52"/>
        <v>8.2796063793688424E-2</v>
      </c>
      <c r="O54" s="179">
        <f t="shared" si="53"/>
        <v>0.10763194337590409</v>
      </c>
      <c r="P54" s="179">
        <f t="shared" si="53"/>
        <v>8.991464324189935E-2</v>
      </c>
      <c r="Q54" s="179">
        <f t="shared" si="54"/>
        <v>9.5426339873978749E-2</v>
      </c>
      <c r="T54">
        <f t="shared" si="47"/>
        <v>159645</v>
      </c>
      <c r="U54">
        <f t="shared" si="48"/>
        <v>174438</v>
      </c>
      <c r="V54">
        <f t="shared" si="49"/>
        <v>52681</v>
      </c>
      <c r="W54">
        <f t="shared" ref="W54" si="59">+SUM(E43:E54)</f>
        <v>386764</v>
      </c>
      <c r="Z54" s="179">
        <f t="shared" si="24"/>
        <v>0.20696303016557049</v>
      </c>
      <c r="AA54" s="179">
        <f t="shared" si="25"/>
        <v>-4.2170460909959462E-2</v>
      </c>
      <c r="AB54" s="179">
        <f t="shared" si="25"/>
        <v>7.1666870092355284E-2</v>
      </c>
      <c r="AC54" s="179">
        <f t="shared" si="26"/>
        <v>6.3865370544580413E-2</v>
      </c>
    </row>
    <row r="55" spans="1:29" x14ac:dyDescent="0.25">
      <c r="A55" s="175">
        <f t="shared" si="1"/>
        <v>42582</v>
      </c>
      <c r="B55">
        <v>10698</v>
      </c>
      <c r="C55">
        <v>13544</v>
      </c>
      <c r="D55">
        <v>5054</v>
      </c>
      <c r="E55">
        <f t="shared" si="0"/>
        <v>29296</v>
      </c>
      <c r="H55" s="56">
        <f t="shared" si="4"/>
        <v>34157</v>
      </c>
      <c r="I55" s="56">
        <f t="shared" si="5"/>
        <v>43275</v>
      </c>
      <c r="J55" s="56">
        <f t="shared" si="5"/>
        <v>14742</v>
      </c>
      <c r="K55" s="56">
        <f t="shared" si="3"/>
        <v>92174</v>
      </c>
      <c r="N55" s="179">
        <f t="shared" si="52"/>
        <v>3.260294895141902E-3</v>
      </c>
      <c r="O55" s="179">
        <f t="shared" si="53"/>
        <v>8.5593156561222239E-2</v>
      </c>
      <c r="P55" s="179">
        <f t="shared" si="53"/>
        <v>9.6467088136853896E-2</v>
      </c>
      <c r="Q55" s="179">
        <f t="shared" si="54"/>
        <v>5.5177782356846894E-2</v>
      </c>
      <c r="T55">
        <f t="shared" si="47"/>
        <v>158535</v>
      </c>
      <c r="U55">
        <f t="shared" si="48"/>
        <v>175103</v>
      </c>
      <c r="V55">
        <f t="shared" si="49"/>
        <v>52957</v>
      </c>
      <c r="W55">
        <f t="shared" ref="W55" si="60">+SUM(E44:E55)</f>
        <v>386595</v>
      </c>
      <c r="Z55" s="179">
        <f t="shared" si="24"/>
        <v>0.1799885376582584</v>
      </c>
      <c r="AA55" s="179">
        <f t="shared" si="25"/>
        <v>-1.9761186342948989E-2</v>
      </c>
      <c r="AB55" s="179">
        <f t="shared" si="25"/>
        <v>6.0412494993992816E-2</v>
      </c>
      <c r="AC55" s="179">
        <f t="shared" si="26"/>
        <v>6.521715170585729E-2</v>
      </c>
    </row>
    <row r="56" spans="1:29" x14ac:dyDescent="0.25">
      <c r="A56" s="175">
        <f t="shared" si="1"/>
        <v>42613</v>
      </c>
      <c r="B56">
        <v>9969</v>
      </c>
      <c r="C56">
        <v>13495</v>
      </c>
      <c r="D56">
        <v>5753</v>
      </c>
      <c r="E56">
        <f t="shared" si="0"/>
        <v>29217</v>
      </c>
      <c r="H56" s="56">
        <f t="shared" si="4"/>
        <v>30814</v>
      </c>
      <c r="I56" s="56">
        <f t="shared" si="5"/>
        <v>43056</v>
      </c>
      <c r="J56" s="56">
        <f t="shared" si="5"/>
        <v>16285</v>
      </c>
      <c r="K56" s="56">
        <f t="shared" si="3"/>
        <v>90155</v>
      </c>
      <c r="N56" s="179">
        <f t="shared" si="52"/>
        <v>-0.1264635010630758</v>
      </c>
      <c r="O56" s="179">
        <f t="shared" si="53"/>
        <v>9.7303634232121849E-2</v>
      </c>
      <c r="P56" s="179">
        <f t="shared" si="53"/>
        <v>0.18109950681752252</v>
      </c>
      <c r="Q56" s="179">
        <f t="shared" si="54"/>
        <v>2.0996364707081439E-2</v>
      </c>
      <c r="T56">
        <f t="shared" si="47"/>
        <v>156487</v>
      </c>
      <c r="U56">
        <f t="shared" si="48"/>
        <v>176331</v>
      </c>
      <c r="V56">
        <f t="shared" si="49"/>
        <v>54167</v>
      </c>
      <c r="W56">
        <f t="shared" ref="W56" si="61">+SUM(E45:E56)</f>
        <v>386985</v>
      </c>
      <c r="Z56" s="179">
        <f t="shared" si="24"/>
        <v>0.14033476888995766</v>
      </c>
      <c r="AA56" s="179">
        <f t="shared" si="25"/>
        <v>9.8389008836683445E-3</v>
      </c>
      <c r="AB56" s="179">
        <f t="shared" si="25"/>
        <v>7.5467577333915736E-2</v>
      </c>
      <c r="AC56" s="179">
        <f t="shared" si="26"/>
        <v>6.8405446594222097E-2</v>
      </c>
    </row>
    <row r="57" spans="1:29" x14ac:dyDescent="0.25">
      <c r="A57" s="175">
        <f t="shared" si="1"/>
        <v>42643</v>
      </c>
      <c r="B57">
        <v>12726</v>
      </c>
      <c r="C57">
        <v>15634</v>
      </c>
      <c r="D57">
        <v>5307</v>
      </c>
      <c r="E57">
        <f t="shared" si="0"/>
        <v>33667</v>
      </c>
      <c r="H57" s="56">
        <f t="shared" si="4"/>
        <v>33393</v>
      </c>
      <c r="I57" s="56">
        <f t="shared" si="5"/>
        <v>42673</v>
      </c>
      <c r="J57" s="56">
        <f t="shared" si="5"/>
        <v>16114</v>
      </c>
      <c r="K57" s="56">
        <f t="shared" si="3"/>
        <v>92180</v>
      </c>
      <c r="N57" s="179">
        <f t="shared" si="52"/>
        <v>-0.15971313537996978</v>
      </c>
      <c r="O57" s="179">
        <f t="shared" si="53"/>
        <v>0.11505095374967333</v>
      </c>
      <c r="P57" s="179">
        <f t="shared" si="53"/>
        <v>0.2173453199365416</v>
      </c>
      <c r="Q57" s="179">
        <f t="shared" si="54"/>
        <v>1.0224993698422891E-2</v>
      </c>
      <c r="T57">
        <f t="shared" si="47"/>
        <v>153298</v>
      </c>
      <c r="U57">
        <f t="shared" si="48"/>
        <v>178841</v>
      </c>
      <c r="V57">
        <f t="shared" si="49"/>
        <v>55558</v>
      </c>
      <c r="W57">
        <f t="shared" ref="W57" si="62">+SUM(E46:E57)</f>
        <v>387697</v>
      </c>
      <c r="Z57" s="179">
        <f t="shared" si="24"/>
        <v>7.3966652655177212E-2</v>
      </c>
      <c r="AA57" s="179">
        <f t="shared" si="25"/>
        <v>5.6992399437345576E-2</v>
      </c>
      <c r="AB57" s="179">
        <f t="shared" si="25"/>
        <v>0.12390508364857489</v>
      </c>
      <c r="AC57" s="179">
        <f t="shared" si="26"/>
        <v>7.2850339401888897E-2</v>
      </c>
    </row>
    <row r="58" spans="1:29" x14ac:dyDescent="0.25">
      <c r="A58" s="175">
        <f t="shared" si="1"/>
        <v>42674</v>
      </c>
      <c r="B58">
        <v>13575</v>
      </c>
      <c r="C58">
        <v>16594</v>
      </c>
      <c r="D58">
        <v>5889</v>
      </c>
      <c r="E58">
        <f t="shared" si="0"/>
        <v>36058</v>
      </c>
      <c r="H58" s="56">
        <f t="shared" si="4"/>
        <v>36270</v>
      </c>
      <c r="I58" s="56">
        <f t="shared" si="5"/>
        <v>45723</v>
      </c>
      <c r="J58" s="56">
        <f t="shared" si="5"/>
        <v>16949</v>
      </c>
      <c r="K58" s="56">
        <f t="shared" si="3"/>
        <v>98942</v>
      </c>
      <c r="N58" s="179">
        <f t="shared" si="52"/>
        <v>-0.10302700563853995</v>
      </c>
      <c r="O58" s="179">
        <f t="shared" si="53"/>
        <v>0.17220427626519008</v>
      </c>
      <c r="P58" s="179">
        <f t="shared" si="53"/>
        <v>0.35288952745849289</v>
      </c>
      <c r="Q58" s="179">
        <f t="shared" si="54"/>
        <v>7.5807328476677149E-2</v>
      </c>
      <c r="T58">
        <f t="shared" si="47"/>
        <v>154369</v>
      </c>
      <c r="U58">
        <f t="shared" si="48"/>
        <v>181820</v>
      </c>
      <c r="V58">
        <f t="shared" si="49"/>
        <v>57378</v>
      </c>
      <c r="W58">
        <f t="shared" ref="W58" si="63">+SUM(E47:E58)</f>
        <v>393567</v>
      </c>
      <c r="Z58" s="179">
        <f t="shared" si="24"/>
        <v>6.5407337879247907E-2</v>
      </c>
      <c r="AA58" s="179">
        <f t="shared" si="25"/>
        <v>9.5855734226958145E-2</v>
      </c>
      <c r="AB58" s="179">
        <f t="shared" si="25"/>
        <v>0.15397610715578613</v>
      </c>
      <c r="AC58" s="179">
        <f t="shared" si="26"/>
        <v>9.1634538041217128E-2</v>
      </c>
    </row>
    <row r="59" spans="1:29" x14ac:dyDescent="0.25">
      <c r="A59" s="175">
        <f t="shared" si="1"/>
        <v>42704</v>
      </c>
      <c r="B59">
        <v>8871</v>
      </c>
      <c r="C59">
        <v>11667</v>
      </c>
      <c r="D59">
        <v>5292</v>
      </c>
      <c r="E59">
        <f t="shared" si="0"/>
        <v>25830</v>
      </c>
      <c r="H59" s="56">
        <f t="shared" si="4"/>
        <v>35172</v>
      </c>
      <c r="I59" s="56">
        <f t="shared" si="5"/>
        <v>43895</v>
      </c>
      <c r="J59" s="56">
        <f t="shared" si="5"/>
        <v>16488</v>
      </c>
      <c r="K59" s="56">
        <f t="shared" si="3"/>
        <v>95555</v>
      </c>
      <c r="N59" s="179">
        <f t="shared" si="52"/>
        <v>-0.1194452094234284</v>
      </c>
      <c r="O59" s="179">
        <f t="shared" si="53"/>
        <v>9.6196588667182725E-2</v>
      </c>
      <c r="P59" s="179">
        <f t="shared" si="53"/>
        <v>0.51474506201194314</v>
      </c>
      <c r="Q59" s="179">
        <f t="shared" si="54"/>
        <v>5.1545597605396676E-2</v>
      </c>
      <c r="T59">
        <f t="shared" si="47"/>
        <v>151716</v>
      </c>
      <c r="U59">
        <f t="shared" si="48"/>
        <v>180183</v>
      </c>
      <c r="V59">
        <f t="shared" si="49"/>
        <v>59770</v>
      </c>
      <c r="W59">
        <f t="shared" ref="W59" si="64">+SUM(E48:E59)</f>
        <v>391669</v>
      </c>
      <c r="Z59" s="179">
        <f t="shared" ref="Z59:Z90" si="65">+T59/T47-1</f>
        <v>3.2334449252878317E-2</v>
      </c>
      <c r="AA59" s="179">
        <f t="shared" ref="AA59:AB90" si="66">+U59/U47-1</f>
        <v>0.10361618463121536</v>
      </c>
      <c r="AB59" s="179">
        <f t="shared" si="66"/>
        <v>0.22824322380453332</v>
      </c>
      <c r="AC59" s="179">
        <f t="shared" ref="AC59:AC90" si="67">+W59/W47-1</f>
        <v>9.1325269648613983E-2</v>
      </c>
    </row>
    <row r="60" spans="1:29" x14ac:dyDescent="0.25">
      <c r="A60" s="175">
        <f t="shared" si="1"/>
        <v>42735</v>
      </c>
      <c r="B60">
        <v>11433</v>
      </c>
      <c r="C60">
        <v>13565</v>
      </c>
      <c r="D60">
        <v>4807</v>
      </c>
      <c r="E60">
        <f t="shared" si="0"/>
        <v>29805</v>
      </c>
      <c r="H60" s="56">
        <f t="shared" si="4"/>
        <v>33879</v>
      </c>
      <c r="I60" s="56">
        <f t="shared" si="5"/>
        <v>41826</v>
      </c>
      <c r="J60" s="56">
        <f t="shared" si="5"/>
        <v>15988</v>
      </c>
      <c r="K60" s="56">
        <f t="shared" si="3"/>
        <v>91693</v>
      </c>
      <c r="N60" s="179">
        <f t="shared" si="52"/>
        <v>-7.6891637830031834E-2</v>
      </c>
      <c r="O60" s="179">
        <f t="shared" si="53"/>
        <v>5.6019041665664737E-3</v>
      </c>
      <c r="P60" s="179">
        <f t="shared" si="53"/>
        <v>0.41737588652482271</v>
      </c>
      <c r="Q60" s="179">
        <f t="shared" si="54"/>
        <v>2.3656418157054437E-2</v>
      </c>
      <c r="T60">
        <f t="shared" si="47"/>
        <v>150476</v>
      </c>
      <c r="U60">
        <f t="shared" si="48"/>
        <v>179074</v>
      </c>
      <c r="V60">
        <f t="shared" si="49"/>
        <v>60266</v>
      </c>
      <c r="W60">
        <f t="shared" ref="W60" si="68">+SUM(E49:E60)</f>
        <v>389816</v>
      </c>
      <c r="Z60" s="179">
        <f t="shared" si="65"/>
        <v>2.2262379499860652E-2</v>
      </c>
      <c r="AA60" s="179">
        <f t="shared" si="66"/>
        <v>8.7656855480375606E-2</v>
      </c>
      <c r="AB60" s="179">
        <f t="shared" si="66"/>
        <v>0.22594031611708942</v>
      </c>
      <c r="AC60" s="179">
        <f t="shared" si="67"/>
        <v>7.9822714681440532E-2</v>
      </c>
    </row>
    <row r="61" spans="1:29" x14ac:dyDescent="0.25">
      <c r="A61" s="175">
        <f t="shared" si="1"/>
        <v>42766</v>
      </c>
      <c r="B61">
        <v>13849</v>
      </c>
      <c r="C61">
        <v>14672</v>
      </c>
      <c r="D61">
        <v>4650</v>
      </c>
      <c r="E61">
        <f t="shared" si="0"/>
        <v>33171</v>
      </c>
      <c r="H61" s="56">
        <f t="shared" si="4"/>
        <v>34153</v>
      </c>
      <c r="I61" s="56">
        <f t="shared" si="5"/>
        <v>39904</v>
      </c>
      <c r="J61" s="56">
        <f t="shared" si="5"/>
        <v>14749</v>
      </c>
      <c r="K61" s="56">
        <f t="shared" si="3"/>
        <v>88806</v>
      </c>
      <c r="N61" s="179">
        <f t="shared" si="52"/>
        <v>-0.12180509128310624</v>
      </c>
      <c r="O61" s="179">
        <f t="shared" si="53"/>
        <v>-9.2162438857922857E-2</v>
      </c>
      <c r="P61" s="179">
        <f t="shared" si="53"/>
        <v>0.22632410409911041</v>
      </c>
      <c r="Q61" s="179">
        <f t="shared" si="54"/>
        <v>-6.3938780672906703E-2</v>
      </c>
      <c r="T61">
        <f t="shared" si="47"/>
        <v>149632</v>
      </c>
      <c r="U61">
        <f t="shared" si="48"/>
        <v>177769</v>
      </c>
      <c r="V61">
        <f t="shared" si="49"/>
        <v>60100</v>
      </c>
      <c r="W61">
        <f t="shared" ref="W61" si="69">+SUM(E50:E61)</f>
        <v>387501</v>
      </c>
      <c r="Z61" s="179">
        <f t="shared" si="65"/>
        <v>-6.5529581261328795E-3</v>
      </c>
      <c r="AA61" s="179">
        <f t="shared" si="66"/>
        <v>6.8850034271696448E-2</v>
      </c>
      <c r="AB61" s="179">
        <f t="shared" si="66"/>
        <v>0.19575814249617007</v>
      </c>
      <c r="AC61" s="179">
        <f t="shared" si="67"/>
        <v>5.5291695488537629E-2</v>
      </c>
    </row>
    <row r="62" spans="1:29" x14ac:dyDescent="0.25">
      <c r="A62" s="175">
        <f t="shared" si="1"/>
        <v>42794</v>
      </c>
      <c r="B62">
        <v>15031</v>
      </c>
      <c r="C62">
        <v>15376</v>
      </c>
      <c r="D62">
        <v>4735</v>
      </c>
      <c r="E62">
        <f t="shared" si="0"/>
        <v>35142</v>
      </c>
      <c r="H62" s="56">
        <f t="shared" si="4"/>
        <v>40313</v>
      </c>
      <c r="I62" s="56">
        <f t="shared" si="5"/>
        <v>43613</v>
      </c>
      <c r="J62" s="56">
        <f t="shared" si="5"/>
        <v>14192</v>
      </c>
      <c r="K62" s="56">
        <f t="shared" si="3"/>
        <v>98118</v>
      </c>
      <c r="N62" s="179">
        <f t="shared" si="52"/>
        <v>-4.5575074577394736E-2</v>
      </c>
      <c r="O62" s="179">
        <f t="shared" si="53"/>
        <v>-5.9030399792875832E-2</v>
      </c>
      <c r="P62" s="179">
        <f t="shared" si="53"/>
        <v>5.5245743177931406E-2</v>
      </c>
      <c r="Q62" s="179">
        <f t="shared" si="54"/>
        <v>-3.839821239562502E-2</v>
      </c>
      <c r="T62">
        <f t="shared" si="47"/>
        <v>149791</v>
      </c>
      <c r="U62">
        <f t="shared" si="48"/>
        <v>177447</v>
      </c>
      <c r="V62">
        <f t="shared" si="49"/>
        <v>60513</v>
      </c>
      <c r="W62">
        <f t="shared" ref="W62" si="70">+SUM(E51:E62)</f>
        <v>387751</v>
      </c>
      <c r="Z62" s="179">
        <f t="shared" si="65"/>
        <v>-2.2896132445319961E-2</v>
      </c>
      <c r="AA62" s="179">
        <f t="shared" si="66"/>
        <v>5.8380403080061205E-2</v>
      </c>
      <c r="AB62" s="179">
        <f t="shared" si="66"/>
        <v>0.189865701869949</v>
      </c>
      <c r="AC62" s="179">
        <f t="shared" si="67"/>
        <v>4.2854414940683094E-2</v>
      </c>
    </row>
    <row r="63" spans="1:29" x14ac:dyDescent="0.25">
      <c r="A63" s="175">
        <f t="shared" si="1"/>
        <v>42825</v>
      </c>
      <c r="B63">
        <v>17648</v>
      </c>
      <c r="C63">
        <v>18228</v>
      </c>
      <c r="D63">
        <v>5523</v>
      </c>
      <c r="E63">
        <f t="shared" si="0"/>
        <v>41399</v>
      </c>
      <c r="H63" s="56">
        <f t="shared" si="4"/>
        <v>46528</v>
      </c>
      <c r="I63" s="56">
        <f t="shared" si="5"/>
        <v>48276</v>
      </c>
      <c r="J63" s="56">
        <f t="shared" si="5"/>
        <v>14908</v>
      </c>
      <c r="K63" s="56">
        <f t="shared" si="3"/>
        <v>109712</v>
      </c>
      <c r="N63" s="179">
        <f t="shared" si="52"/>
        <v>-3.2742240608693796E-2</v>
      </c>
      <c r="O63" s="179">
        <f t="shared" si="53"/>
        <v>-6.0485754320411034E-2</v>
      </c>
      <c r="P63" s="179">
        <f t="shared" si="53"/>
        <v>-6.9277911004529402E-3</v>
      </c>
      <c r="Q63" s="179">
        <f t="shared" si="54"/>
        <v>-4.1808225399348475E-2</v>
      </c>
      <c r="T63">
        <f t="shared" si="47"/>
        <v>148901</v>
      </c>
      <c r="U63">
        <f t="shared" si="48"/>
        <v>175966</v>
      </c>
      <c r="V63">
        <f t="shared" si="49"/>
        <v>60162</v>
      </c>
      <c r="W63">
        <f t="shared" ref="W63" si="71">+SUM(E52:E63)</f>
        <v>385029</v>
      </c>
      <c r="Z63" s="179">
        <f t="shared" si="65"/>
        <v>-5.1350335433642758E-2</v>
      </c>
      <c r="AA63" s="179">
        <f t="shared" si="66"/>
        <v>3.3628796823326867E-2</v>
      </c>
      <c r="AB63" s="179">
        <f t="shared" si="66"/>
        <v>0.16602062175362442</v>
      </c>
      <c r="AC63" s="179">
        <f t="shared" si="67"/>
        <v>1.6449400472019482E-2</v>
      </c>
    </row>
    <row r="64" spans="1:29" x14ac:dyDescent="0.25">
      <c r="A64" s="175">
        <f t="shared" si="1"/>
        <v>42855</v>
      </c>
      <c r="B64">
        <v>4653</v>
      </c>
      <c r="C64">
        <v>11364</v>
      </c>
      <c r="D64">
        <v>2031</v>
      </c>
      <c r="E64">
        <f t="shared" si="0"/>
        <v>18048</v>
      </c>
      <c r="H64" s="56">
        <f t="shared" si="4"/>
        <v>37332</v>
      </c>
      <c r="I64" s="56">
        <f t="shared" si="5"/>
        <v>44968</v>
      </c>
      <c r="J64" s="56">
        <f t="shared" si="5"/>
        <v>12289</v>
      </c>
      <c r="K64" s="56">
        <f t="shared" si="3"/>
        <v>94589</v>
      </c>
      <c r="N64" s="179">
        <f t="shared" si="52"/>
        <v>-0.17135754239545409</v>
      </c>
      <c r="O64" s="179">
        <f t="shared" si="53"/>
        <v>-7.9787995989113347E-2</v>
      </c>
      <c r="P64" s="179">
        <f t="shared" si="53"/>
        <v>-0.10036603221083451</v>
      </c>
      <c r="Q64" s="179">
        <f t="shared" si="54"/>
        <v>-0.12074847321503268</v>
      </c>
      <c r="T64">
        <f t="shared" si="47"/>
        <v>141912</v>
      </c>
      <c r="U64">
        <f t="shared" si="48"/>
        <v>173870</v>
      </c>
      <c r="V64">
        <f t="shared" si="49"/>
        <v>58729</v>
      </c>
      <c r="W64">
        <f t="shared" ref="W64" si="72">+SUM(E53:E64)</f>
        <v>374511</v>
      </c>
      <c r="Z64" s="179">
        <f t="shared" si="65"/>
        <v>-0.1042266323284351</v>
      </c>
      <c r="AA64" s="179">
        <f t="shared" si="66"/>
        <v>1.2691404907653858E-2</v>
      </c>
      <c r="AB64" s="179">
        <f t="shared" si="66"/>
        <v>0.13683701122725522</v>
      </c>
      <c r="AC64" s="179">
        <f t="shared" si="67"/>
        <v>-1.9026913758103614E-2</v>
      </c>
    </row>
    <row r="65" spans="1:29" x14ac:dyDescent="0.25">
      <c r="A65" s="175">
        <f t="shared" si="1"/>
        <v>42886</v>
      </c>
      <c r="B65">
        <v>8361</v>
      </c>
      <c r="C65">
        <v>15245</v>
      </c>
      <c r="D65">
        <v>3811</v>
      </c>
      <c r="E65">
        <f t="shared" si="0"/>
        <v>27417</v>
      </c>
      <c r="H65" s="56">
        <f t="shared" si="4"/>
        <v>30662</v>
      </c>
      <c r="I65" s="56">
        <f t="shared" si="5"/>
        <v>44837</v>
      </c>
      <c r="J65" s="56">
        <f t="shared" si="5"/>
        <v>11365</v>
      </c>
      <c r="K65" s="56">
        <f t="shared" si="3"/>
        <v>86864</v>
      </c>
      <c r="N65" s="179">
        <f t="shared" si="52"/>
        <v>-0.29499678101719862</v>
      </c>
      <c r="O65" s="179">
        <f t="shared" si="53"/>
        <v>-4.3640552012456535E-2</v>
      </c>
      <c r="P65" s="179">
        <f t="shared" si="53"/>
        <v>-0.161130794213168</v>
      </c>
      <c r="Q65" s="179">
        <f t="shared" si="54"/>
        <v>-0.1641503805702299</v>
      </c>
      <c r="T65">
        <f t="shared" si="47"/>
        <v>136961</v>
      </c>
      <c r="U65">
        <f t="shared" si="48"/>
        <v>175401</v>
      </c>
      <c r="V65">
        <f t="shared" si="49"/>
        <v>58330</v>
      </c>
      <c r="W65">
        <f t="shared" ref="W65" si="73">+SUM(E54:E65)</f>
        <v>370692</v>
      </c>
      <c r="Z65" s="179">
        <f t="shared" si="65"/>
        <v>-0.14903571339811617</v>
      </c>
      <c r="AA65" s="179">
        <f t="shared" si="66"/>
        <v>1.6740767362459552E-2</v>
      </c>
      <c r="AB65" s="179">
        <f t="shared" si="66"/>
        <v>0.12889491000580611</v>
      </c>
      <c r="AC65" s="179">
        <f t="shared" si="67"/>
        <v>-3.7491139378549088E-2</v>
      </c>
    </row>
    <row r="66" spans="1:29" x14ac:dyDescent="0.25">
      <c r="A66" s="175">
        <f t="shared" si="1"/>
        <v>42916</v>
      </c>
      <c r="B66">
        <v>9522</v>
      </c>
      <c r="C66">
        <v>16156</v>
      </c>
      <c r="D66">
        <v>3377</v>
      </c>
      <c r="E66">
        <f t="shared" si="0"/>
        <v>29055</v>
      </c>
      <c r="H66" s="56">
        <f t="shared" si="4"/>
        <v>22536</v>
      </c>
      <c r="I66" s="56">
        <f t="shared" si="5"/>
        <v>42765</v>
      </c>
      <c r="J66" s="56">
        <f t="shared" si="5"/>
        <v>9219</v>
      </c>
      <c r="K66" s="56">
        <f t="shared" si="3"/>
        <v>74520</v>
      </c>
      <c r="N66" s="179">
        <f t="shared" si="52"/>
        <v>-0.35796700948690918</v>
      </c>
      <c r="O66" s="179">
        <f t="shared" si="53"/>
        <v>-9.8631659373480396E-3</v>
      </c>
      <c r="P66" s="179">
        <f t="shared" si="53"/>
        <v>-0.29904197080291972</v>
      </c>
      <c r="Q66" s="179">
        <f t="shared" si="54"/>
        <v>-0.18507501859061282</v>
      </c>
      <c r="T66">
        <f t="shared" si="47"/>
        <v>136336</v>
      </c>
      <c r="U66">
        <f t="shared" si="48"/>
        <v>175540</v>
      </c>
      <c r="V66">
        <f t="shared" si="49"/>
        <v>56229</v>
      </c>
      <c r="W66">
        <f t="shared" ref="W66" si="74">+SUM(E55:E66)</f>
        <v>368105</v>
      </c>
      <c r="Z66" s="179">
        <f t="shared" si="65"/>
        <v>-0.14600519903535969</v>
      </c>
      <c r="AA66" s="179">
        <f t="shared" si="66"/>
        <v>6.3174308350244512E-3</v>
      </c>
      <c r="AB66" s="179">
        <f t="shared" si="66"/>
        <v>6.734875951481567E-2</v>
      </c>
      <c r="AC66" s="179">
        <f t="shared" si="67"/>
        <v>-4.8243890331054584E-2</v>
      </c>
    </row>
    <row r="67" spans="1:29" x14ac:dyDescent="0.25">
      <c r="A67" s="175">
        <f t="shared" si="1"/>
        <v>42947</v>
      </c>
      <c r="B67">
        <v>11344</v>
      </c>
      <c r="C67">
        <v>16498</v>
      </c>
      <c r="D67">
        <v>3330</v>
      </c>
      <c r="E67">
        <f t="shared" si="0"/>
        <v>31172</v>
      </c>
      <c r="H67" s="56">
        <f t="shared" si="4"/>
        <v>29227</v>
      </c>
      <c r="I67" s="56">
        <f t="shared" si="5"/>
        <v>47899</v>
      </c>
      <c r="J67" s="56">
        <f t="shared" si="5"/>
        <v>10518</v>
      </c>
      <c r="K67" s="56">
        <f t="shared" si="3"/>
        <v>87644</v>
      </c>
      <c r="N67" s="179">
        <f t="shared" si="52"/>
        <v>-0.14433351875164679</v>
      </c>
      <c r="O67" s="179">
        <f t="shared" si="53"/>
        <v>0.10685153090699018</v>
      </c>
      <c r="P67" s="179">
        <f t="shared" si="53"/>
        <v>-0.28652828652828655</v>
      </c>
      <c r="Q67" s="179">
        <f t="shared" si="54"/>
        <v>-4.9146180050773536E-2</v>
      </c>
      <c r="T67">
        <f t="shared" si="47"/>
        <v>136982</v>
      </c>
      <c r="U67">
        <f t="shared" si="48"/>
        <v>178494</v>
      </c>
      <c r="V67">
        <f t="shared" si="49"/>
        <v>54505</v>
      </c>
      <c r="W67">
        <f t="shared" ref="W67" si="75">+SUM(E56:E67)</f>
        <v>369981</v>
      </c>
      <c r="Z67" s="179">
        <f t="shared" si="65"/>
        <v>-0.13595105181821054</v>
      </c>
      <c r="AA67" s="179">
        <f t="shared" si="66"/>
        <v>1.9365744733099932E-2</v>
      </c>
      <c r="AB67" s="179">
        <f t="shared" si="66"/>
        <v>2.9231263100251148E-2</v>
      </c>
      <c r="AC67" s="179">
        <f t="shared" si="67"/>
        <v>-4.2975206611570282E-2</v>
      </c>
    </row>
    <row r="68" spans="1:29" x14ac:dyDescent="0.25">
      <c r="A68" s="175">
        <f t="shared" si="1"/>
        <v>42978</v>
      </c>
      <c r="B68">
        <v>13823</v>
      </c>
      <c r="C68">
        <v>17743</v>
      </c>
      <c r="D68">
        <v>2984</v>
      </c>
      <c r="E68">
        <f t="shared" si="0"/>
        <v>34550</v>
      </c>
      <c r="H68" s="56">
        <f t="shared" si="4"/>
        <v>34689</v>
      </c>
      <c r="I68" s="56">
        <f t="shared" si="5"/>
        <v>50397</v>
      </c>
      <c r="J68" s="56">
        <f t="shared" si="5"/>
        <v>9691</v>
      </c>
      <c r="K68" s="56">
        <f t="shared" si="3"/>
        <v>94777</v>
      </c>
      <c r="N68" s="179">
        <f t="shared" si="52"/>
        <v>0.12575452716297786</v>
      </c>
      <c r="O68" s="179">
        <f t="shared" si="53"/>
        <v>0.17049888517279821</v>
      </c>
      <c r="P68" s="179">
        <f t="shared" si="53"/>
        <v>-0.40491249616211233</v>
      </c>
      <c r="Q68" s="179">
        <f t="shared" si="54"/>
        <v>5.1267261937773867E-2</v>
      </c>
      <c r="T68">
        <f t="shared" si="47"/>
        <v>140836</v>
      </c>
      <c r="U68">
        <f t="shared" si="48"/>
        <v>182742</v>
      </c>
      <c r="V68">
        <f t="shared" si="49"/>
        <v>51736</v>
      </c>
      <c r="W68">
        <f t="shared" ref="W68" si="76">+SUM(E57:E68)</f>
        <v>375314</v>
      </c>
      <c r="Z68" s="179">
        <f t="shared" si="65"/>
        <v>-0.10001469770651872</v>
      </c>
      <c r="AA68" s="179">
        <f t="shared" si="66"/>
        <v>3.6357758987358935E-2</v>
      </c>
      <c r="AB68" s="179">
        <f t="shared" si="66"/>
        <v>-4.4879723817084161E-2</v>
      </c>
      <c r="AC68" s="179">
        <f t="shared" si="67"/>
        <v>-3.0158791684432251E-2</v>
      </c>
    </row>
    <row r="69" spans="1:29" x14ac:dyDescent="0.25">
      <c r="A69" s="175">
        <f t="shared" si="1"/>
        <v>43008</v>
      </c>
      <c r="B69">
        <v>15500</v>
      </c>
      <c r="C69">
        <v>21179</v>
      </c>
      <c r="D69">
        <v>3690</v>
      </c>
      <c r="E69">
        <f t="shared" ref="E69:E132" si="77">+C69+B69+D69</f>
        <v>40369</v>
      </c>
      <c r="H69" s="56">
        <f t="shared" si="4"/>
        <v>40667</v>
      </c>
      <c r="I69" s="56">
        <f t="shared" si="5"/>
        <v>55420</v>
      </c>
      <c r="J69" s="56">
        <f t="shared" si="5"/>
        <v>10004</v>
      </c>
      <c r="K69" s="56">
        <f t="shared" si="3"/>
        <v>106091</v>
      </c>
      <c r="N69" s="179">
        <f t="shared" si="52"/>
        <v>0.21783008414937255</v>
      </c>
      <c r="O69" s="179">
        <f t="shared" si="53"/>
        <v>0.29871347221896749</v>
      </c>
      <c r="P69" s="179">
        <f t="shared" si="53"/>
        <v>-0.3791733895991064</v>
      </c>
      <c r="Q69" s="179">
        <f t="shared" si="54"/>
        <v>0.15091126057713167</v>
      </c>
      <c r="T69">
        <f t="shared" si="47"/>
        <v>143610</v>
      </c>
      <c r="U69">
        <f t="shared" si="48"/>
        <v>188287</v>
      </c>
      <c r="V69">
        <f t="shared" si="49"/>
        <v>50119</v>
      </c>
      <c r="W69">
        <f t="shared" ref="W69" si="78">+SUM(E58:E69)</f>
        <v>382016</v>
      </c>
      <c r="Z69" s="179">
        <f t="shared" si="65"/>
        <v>-6.3197171522133333E-2</v>
      </c>
      <c r="AA69" s="179">
        <f t="shared" si="66"/>
        <v>5.2817866149261095E-2</v>
      </c>
      <c r="AB69" s="179">
        <f t="shared" si="66"/>
        <v>-9.7897692501529909E-2</v>
      </c>
      <c r="AC69" s="179">
        <f t="shared" si="67"/>
        <v>-1.4653195665687346E-2</v>
      </c>
    </row>
    <row r="70" spans="1:29" x14ac:dyDescent="0.25">
      <c r="A70" s="175">
        <f t="shared" ref="A70:A133" si="79">+EOMONTH(A69,1)</f>
        <v>43039</v>
      </c>
      <c r="B70">
        <v>13787</v>
      </c>
      <c r="C70">
        <v>18624</v>
      </c>
      <c r="D70">
        <v>4182</v>
      </c>
      <c r="E70">
        <f t="shared" si="77"/>
        <v>36593</v>
      </c>
      <c r="H70" s="56">
        <f t="shared" si="4"/>
        <v>43110</v>
      </c>
      <c r="I70" s="56">
        <f t="shared" si="5"/>
        <v>57546</v>
      </c>
      <c r="J70" s="56">
        <f t="shared" si="5"/>
        <v>10856</v>
      </c>
      <c r="K70" s="56">
        <f t="shared" ref="K70:K133" si="80">+H70+I70+J70</f>
        <v>111512</v>
      </c>
      <c r="N70" s="179">
        <f t="shared" si="52"/>
        <v>0.18858560794044665</v>
      </c>
      <c r="O70" s="179">
        <f t="shared" si="53"/>
        <v>0.2585788334098813</v>
      </c>
      <c r="P70" s="179">
        <f t="shared" si="53"/>
        <v>-0.35949023541211866</v>
      </c>
      <c r="Q70" s="179">
        <f t="shared" si="54"/>
        <v>0.12704412686220201</v>
      </c>
      <c r="T70">
        <f t="shared" si="47"/>
        <v>143822</v>
      </c>
      <c r="U70">
        <f t="shared" si="48"/>
        <v>190317</v>
      </c>
      <c r="V70">
        <f t="shared" si="49"/>
        <v>48412</v>
      </c>
      <c r="W70">
        <f t="shared" ref="W70" si="81">+SUM(E59:E70)</f>
        <v>382551</v>
      </c>
      <c r="Z70" s="179">
        <f t="shared" si="65"/>
        <v>-6.8323303253891687E-2</v>
      </c>
      <c r="AA70" s="179">
        <f t="shared" si="66"/>
        <v>4.6733032669673324E-2</v>
      </c>
      <c r="AB70" s="179">
        <f t="shared" si="66"/>
        <v>-0.15626198194429919</v>
      </c>
      <c r="AC70" s="179">
        <f t="shared" si="67"/>
        <v>-2.799015161332119E-2</v>
      </c>
    </row>
    <row r="71" spans="1:29" x14ac:dyDescent="0.25">
      <c r="A71" s="175">
        <f t="shared" si="79"/>
        <v>43069</v>
      </c>
      <c r="B71">
        <v>15564</v>
      </c>
      <c r="C71">
        <v>19743</v>
      </c>
      <c r="D71">
        <v>4700</v>
      </c>
      <c r="E71">
        <f t="shared" si="77"/>
        <v>40007</v>
      </c>
      <c r="H71" s="56">
        <f t="shared" ref="H71:H134" si="82">+SUM(B69:B71)</f>
        <v>44851</v>
      </c>
      <c r="I71" s="56">
        <f t="shared" ref="I71:J134" si="83">+SUM(C69:C71)</f>
        <v>59546</v>
      </c>
      <c r="J71" s="56">
        <f t="shared" si="83"/>
        <v>12572</v>
      </c>
      <c r="K71" s="56">
        <f t="shared" si="80"/>
        <v>116969</v>
      </c>
      <c r="N71" s="179">
        <f t="shared" si="52"/>
        <v>0.27519049243716598</v>
      </c>
      <c r="O71" s="179">
        <f t="shared" si="53"/>
        <v>0.35655541633443444</v>
      </c>
      <c r="P71" s="179">
        <f t="shared" si="53"/>
        <v>-0.23750606501698202</v>
      </c>
      <c r="Q71" s="179">
        <f t="shared" si="54"/>
        <v>0.22410130291455177</v>
      </c>
      <c r="T71">
        <f t="shared" si="47"/>
        <v>150515</v>
      </c>
      <c r="U71">
        <f t="shared" si="48"/>
        <v>198393</v>
      </c>
      <c r="V71">
        <f t="shared" si="49"/>
        <v>47820</v>
      </c>
      <c r="W71">
        <f t="shared" ref="W71" si="84">+SUM(E60:E71)</f>
        <v>396728</v>
      </c>
      <c r="Z71" s="179">
        <f t="shared" si="65"/>
        <v>-7.9161064093438149E-3</v>
      </c>
      <c r="AA71" s="179">
        <f t="shared" si="66"/>
        <v>0.10106391834967776</v>
      </c>
      <c r="AB71" s="179">
        <f t="shared" si="66"/>
        <v>-0.19993307679437844</v>
      </c>
      <c r="AC71" s="179">
        <f t="shared" si="67"/>
        <v>1.2916518795207166E-2</v>
      </c>
    </row>
    <row r="72" spans="1:29" x14ac:dyDescent="0.25">
      <c r="A72" s="175">
        <f t="shared" si="79"/>
        <v>43100</v>
      </c>
      <c r="B72">
        <v>19298</v>
      </c>
      <c r="C72">
        <v>21149</v>
      </c>
      <c r="D72">
        <v>6044</v>
      </c>
      <c r="E72">
        <f t="shared" si="77"/>
        <v>46491</v>
      </c>
      <c r="H72" s="56">
        <f t="shared" si="82"/>
        <v>48649</v>
      </c>
      <c r="I72" s="56">
        <f t="shared" si="83"/>
        <v>59516</v>
      </c>
      <c r="J72" s="56">
        <f t="shared" si="83"/>
        <v>14926</v>
      </c>
      <c r="K72" s="56">
        <f t="shared" si="80"/>
        <v>123091</v>
      </c>
      <c r="N72" s="179">
        <f t="shared" si="52"/>
        <v>0.43596328108857985</v>
      </c>
      <c r="O72" s="179">
        <f t="shared" si="53"/>
        <v>0.42294266724047236</v>
      </c>
      <c r="P72" s="179">
        <f t="shared" si="53"/>
        <v>-6.6424818613960435E-2</v>
      </c>
      <c r="Q72" s="179">
        <f t="shared" si="54"/>
        <v>0.34242526692332032</v>
      </c>
      <c r="T72">
        <f t="shared" si="47"/>
        <v>158380</v>
      </c>
      <c r="U72">
        <f t="shared" si="48"/>
        <v>205977</v>
      </c>
      <c r="V72">
        <f t="shared" si="49"/>
        <v>49057</v>
      </c>
      <c r="W72">
        <f t="shared" ref="W72" si="85">+SUM(E61:E72)</f>
        <v>413414</v>
      </c>
      <c r="Z72" s="179">
        <f t="shared" si="65"/>
        <v>5.2526648767909911E-2</v>
      </c>
      <c r="AA72" s="179">
        <f t="shared" si="66"/>
        <v>0.15023398148251554</v>
      </c>
      <c r="AB72" s="179">
        <f t="shared" si="66"/>
        <v>-0.18599210168254077</v>
      </c>
      <c r="AC72" s="179">
        <f t="shared" si="67"/>
        <v>6.0536253001415963E-2</v>
      </c>
    </row>
    <row r="73" spans="1:29" x14ac:dyDescent="0.25">
      <c r="A73" s="175">
        <f t="shared" si="79"/>
        <v>43131</v>
      </c>
      <c r="B73">
        <v>16012</v>
      </c>
      <c r="C73">
        <v>23374</v>
      </c>
      <c r="D73">
        <v>4900</v>
      </c>
      <c r="E73">
        <f t="shared" si="77"/>
        <v>44286</v>
      </c>
      <c r="H73" s="56">
        <f t="shared" si="82"/>
        <v>50874</v>
      </c>
      <c r="I73" s="56">
        <f t="shared" si="83"/>
        <v>64266</v>
      </c>
      <c r="J73" s="56">
        <f t="shared" si="83"/>
        <v>15644</v>
      </c>
      <c r="K73" s="56">
        <f t="shared" si="80"/>
        <v>130784</v>
      </c>
      <c r="N73" s="179">
        <f t="shared" si="52"/>
        <v>0.48959095833455324</v>
      </c>
      <c r="O73" s="179">
        <f t="shared" si="53"/>
        <v>0.61051523656776263</v>
      </c>
      <c r="P73" s="179">
        <f t="shared" si="53"/>
        <v>6.0682080141026606E-2</v>
      </c>
      <c r="Q73" s="179">
        <f t="shared" si="54"/>
        <v>0.47269328648965159</v>
      </c>
      <c r="T73">
        <f t="shared" si="47"/>
        <v>160543</v>
      </c>
      <c r="U73">
        <f t="shared" si="48"/>
        <v>214679</v>
      </c>
      <c r="V73">
        <f t="shared" si="49"/>
        <v>49307</v>
      </c>
      <c r="W73">
        <f t="shared" ref="W73" si="86">+SUM(E62:E73)</f>
        <v>424529</v>
      </c>
      <c r="Z73" s="179">
        <f t="shared" si="65"/>
        <v>7.2918894354148778E-2</v>
      </c>
      <c r="AA73" s="179">
        <f t="shared" si="66"/>
        <v>0.20762900168195797</v>
      </c>
      <c r="AB73" s="179">
        <f t="shared" si="66"/>
        <v>-0.17958402662229622</v>
      </c>
      <c r="AC73" s="179">
        <f t="shared" si="67"/>
        <v>9.5555882436432427E-2</v>
      </c>
    </row>
    <row r="74" spans="1:29" x14ac:dyDescent="0.25">
      <c r="A74" s="175">
        <f t="shared" si="79"/>
        <v>43159</v>
      </c>
      <c r="B74">
        <v>18944</v>
      </c>
      <c r="C74">
        <v>22278</v>
      </c>
      <c r="D74">
        <v>4454</v>
      </c>
      <c r="E74">
        <f t="shared" si="77"/>
        <v>45676</v>
      </c>
      <c r="H74" s="56">
        <f t="shared" si="82"/>
        <v>54254</v>
      </c>
      <c r="I74" s="56">
        <f t="shared" si="83"/>
        <v>66801</v>
      </c>
      <c r="J74" s="56">
        <f t="shared" si="83"/>
        <v>15398</v>
      </c>
      <c r="K74" s="56">
        <f t="shared" si="80"/>
        <v>136453</v>
      </c>
      <c r="N74" s="179">
        <f t="shared" si="52"/>
        <v>0.34581896658646105</v>
      </c>
      <c r="O74" s="179">
        <f t="shared" si="53"/>
        <v>0.53167633503771805</v>
      </c>
      <c r="P74" s="179">
        <f t="shared" si="53"/>
        <v>8.4977452085682081E-2</v>
      </c>
      <c r="Q74" s="179">
        <f t="shared" si="54"/>
        <v>0.39070303104425275</v>
      </c>
      <c r="T74">
        <f t="shared" si="47"/>
        <v>164456</v>
      </c>
      <c r="U74">
        <f t="shared" si="48"/>
        <v>221581</v>
      </c>
      <c r="V74">
        <f t="shared" si="49"/>
        <v>49026</v>
      </c>
      <c r="W74">
        <f t="shared" ref="W74" si="87">+SUM(E63:E74)</f>
        <v>435063</v>
      </c>
      <c r="Z74" s="179">
        <f t="shared" si="65"/>
        <v>9.7903078289082845E-2</v>
      </c>
      <c r="AA74" s="179">
        <f t="shared" si="66"/>
        <v>0.2487165181716231</v>
      </c>
      <c r="AB74" s="179">
        <f t="shared" si="66"/>
        <v>-0.18982697932675618</v>
      </c>
      <c r="AC74" s="179">
        <f t="shared" si="67"/>
        <v>0.12201644870032569</v>
      </c>
    </row>
    <row r="75" spans="1:29" x14ac:dyDescent="0.25">
      <c r="A75" s="175">
        <f t="shared" si="79"/>
        <v>43190</v>
      </c>
      <c r="B75">
        <v>21256</v>
      </c>
      <c r="C75">
        <v>27918</v>
      </c>
      <c r="D75">
        <v>6443</v>
      </c>
      <c r="E75">
        <f t="shared" si="77"/>
        <v>55617</v>
      </c>
      <c r="H75" s="56">
        <f t="shared" si="82"/>
        <v>56212</v>
      </c>
      <c r="I75" s="56">
        <f t="shared" si="83"/>
        <v>73570</v>
      </c>
      <c r="J75" s="56">
        <f t="shared" si="83"/>
        <v>15797</v>
      </c>
      <c r="K75" s="56">
        <f t="shared" si="80"/>
        <v>145579</v>
      </c>
      <c r="N75" s="179">
        <f t="shared" si="52"/>
        <v>0.20813273727647874</v>
      </c>
      <c r="O75" s="179">
        <f t="shared" si="53"/>
        <v>0.52394564586958325</v>
      </c>
      <c r="P75" s="179">
        <f t="shared" si="53"/>
        <v>5.963241212771675E-2</v>
      </c>
      <c r="Q75" s="179">
        <f t="shared" si="54"/>
        <v>0.32691957124106752</v>
      </c>
      <c r="T75">
        <f t="shared" si="47"/>
        <v>168064</v>
      </c>
      <c r="U75">
        <f t="shared" si="48"/>
        <v>231271</v>
      </c>
      <c r="V75">
        <f t="shared" si="49"/>
        <v>49946</v>
      </c>
      <c r="W75">
        <f t="shared" ref="W75" si="88">+SUM(E64:E75)</f>
        <v>449281</v>
      </c>
      <c r="Z75" s="179">
        <f t="shared" si="65"/>
        <v>0.1286962478425262</v>
      </c>
      <c r="AA75" s="179">
        <f t="shared" si="66"/>
        <v>0.31429367036813938</v>
      </c>
      <c r="AB75" s="179">
        <f t="shared" si="66"/>
        <v>-0.16980818456833213</v>
      </c>
      <c r="AC75" s="179">
        <f t="shared" si="67"/>
        <v>0.16687574182723908</v>
      </c>
    </row>
    <row r="76" spans="1:29" x14ac:dyDescent="0.25">
      <c r="A76" s="175">
        <f t="shared" si="79"/>
        <v>43220</v>
      </c>
      <c r="B76">
        <v>16570</v>
      </c>
      <c r="C76">
        <v>19706</v>
      </c>
      <c r="D76">
        <v>2910</v>
      </c>
      <c r="E76">
        <f t="shared" si="77"/>
        <v>39186</v>
      </c>
      <c r="H76" s="56">
        <f t="shared" si="82"/>
        <v>56770</v>
      </c>
      <c r="I76" s="56">
        <f t="shared" si="83"/>
        <v>69902</v>
      </c>
      <c r="J76" s="56">
        <f t="shared" si="83"/>
        <v>13807</v>
      </c>
      <c r="K76" s="56">
        <f t="shared" si="80"/>
        <v>140479</v>
      </c>
      <c r="N76" s="179">
        <f t="shared" si="52"/>
        <v>0.52067930997535616</v>
      </c>
      <c r="O76" s="179">
        <f t="shared" si="53"/>
        <v>0.55448318804483199</v>
      </c>
      <c r="P76" s="179">
        <f t="shared" si="53"/>
        <v>0.12352510375132231</v>
      </c>
      <c r="Q76" s="179">
        <f t="shared" si="54"/>
        <v>0.48515155039169455</v>
      </c>
      <c r="T76">
        <f t="shared" si="47"/>
        <v>179981</v>
      </c>
      <c r="U76">
        <f t="shared" si="48"/>
        <v>239613</v>
      </c>
      <c r="V76">
        <f t="shared" si="49"/>
        <v>50825</v>
      </c>
      <c r="W76">
        <f t="shared" ref="W76" si="89">+SUM(E65:E76)</f>
        <v>470419</v>
      </c>
      <c r="Z76" s="179">
        <f t="shared" si="65"/>
        <v>0.26825779356220747</v>
      </c>
      <c r="AA76" s="179">
        <f t="shared" si="66"/>
        <v>0.37811583366883306</v>
      </c>
      <c r="AB76" s="179">
        <f t="shared" si="66"/>
        <v>-0.13458427693303143</v>
      </c>
      <c r="AC76" s="179">
        <f t="shared" si="67"/>
        <v>0.25608860620916341</v>
      </c>
    </row>
    <row r="77" spans="1:29" x14ac:dyDescent="0.25">
      <c r="A77" s="175">
        <f t="shared" si="79"/>
        <v>43251</v>
      </c>
      <c r="B77">
        <v>15810</v>
      </c>
      <c r="C77">
        <v>20996</v>
      </c>
      <c r="D77">
        <v>3620</v>
      </c>
      <c r="E77">
        <f t="shared" si="77"/>
        <v>40426</v>
      </c>
      <c r="H77" s="56">
        <f t="shared" si="82"/>
        <v>53636</v>
      </c>
      <c r="I77" s="56">
        <f t="shared" si="83"/>
        <v>68620</v>
      </c>
      <c r="J77" s="56">
        <f t="shared" si="83"/>
        <v>12973</v>
      </c>
      <c r="K77" s="56">
        <f t="shared" si="80"/>
        <v>135229</v>
      </c>
      <c r="N77" s="179">
        <f t="shared" si="52"/>
        <v>0.74926619268149497</v>
      </c>
      <c r="O77" s="179">
        <f t="shared" si="53"/>
        <v>0.53043245533822514</v>
      </c>
      <c r="P77" s="179">
        <f t="shared" si="53"/>
        <v>0.14148702155741311</v>
      </c>
      <c r="Q77" s="179">
        <f t="shared" si="54"/>
        <v>0.55678992447964637</v>
      </c>
      <c r="T77">
        <f t="shared" si="47"/>
        <v>187430</v>
      </c>
      <c r="U77">
        <f t="shared" si="48"/>
        <v>245364</v>
      </c>
      <c r="V77">
        <f t="shared" si="49"/>
        <v>50634</v>
      </c>
      <c r="W77">
        <f t="shared" ref="W77" si="90">+SUM(E66:E77)</f>
        <v>483428</v>
      </c>
      <c r="Z77" s="179">
        <f t="shared" si="65"/>
        <v>0.36849176042815102</v>
      </c>
      <c r="AA77" s="179">
        <f t="shared" si="66"/>
        <v>0.39887457882224164</v>
      </c>
      <c r="AB77" s="179">
        <f t="shared" si="66"/>
        <v>-0.13193896794102522</v>
      </c>
      <c r="AC77" s="179">
        <f t="shared" si="67"/>
        <v>0.30412309950039385</v>
      </c>
    </row>
    <row r="78" spans="1:29" x14ac:dyDescent="0.25">
      <c r="A78" s="175">
        <f t="shared" si="79"/>
        <v>43281</v>
      </c>
      <c r="B78">
        <v>15039</v>
      </c>
      <c r="C78">
        <v>23521</v>
      </c>
      <c r="D78">
        <v>5043</v>
      </c>
      <c r="E78">
        <f t="shared" si="77"/>
        <v>43603</v>
      </c>
      <c r="H78" s="56">
        <f t="shared" si="82"/>
        <v>47419</v>
      </c>
      <c r="I78" s="56">
        <f t="shared" si="83"/>
        <v>64223</v>
      </c>
      <c r="J78" s="56">
        <f t="shared" si="83"/>
        <v>11573</v>
      </c>
      <c r="K78" s="56">
        <f t="shared" si="80"/>
        <v>123215</v>
      </c>
      <c r="N78" s="179">
        <f t="shared" si="52"/>
        <v>1.1041444799432019</v>
      </c>
      <c r="O78" s="179">
        <f t="shared" si="53"/>
        <v>0.50176546241085007</v>
      </c>
      <c r="P78" s="179">
        <f t="shared" si="53"/>
        <v>0.25534222800737605</v>
      </c>
      <c r="Q78" s="179">
        <f t="shared" si="54"/>
        <v>0.65344873859366603</v>
      </c>
      <c r="T78">
        <f t="shared" si="47"/>
        <v>192947</v>
      </c>
      <c r="U78">
        <f t="shared" si="48"/>
        <v>252729</v>
      </c>
      <c r="V78">
        <f t="shared" si="49"/>
        <v>52300</v>
      </c>
      <c r="W78">
        <f t="shared" ref="W78" si="91">+SUM(E67:E78)</f>
        <v>497976</v>
      </c>
      <c r="Z78" s="179">
        <f t="shared" si="65"/>
        <v>0.41523148691468137</v>
      </c>
      <c r="AA78" s="179">
        <f t="shared" si="66"/>
        <v>0.43972314002506541</v>
      </c>
      <c r="AB78" s="179">
        <f t="shared" si="66"/>
        <v>-6.9874975546426188E-2</v>
      </c>
      <c r="AC78" s="179">
        <f t="shared" si="67"/>
        <v>0.35280966028714622</v>
      </c>
    </row>
    <row r="79" spans="1:29" x14ac:dyDescent="0.25">
      <c r="A79" s="175">
        <f t="shared" si="79"/>
        <v>43312</v>
      </c>
      <c r="B79">
        <v>13238</v>
      </c>
      <c r="C79">
        <v>21579</v>
      </c>
      <c r="D79">
        <v>4861</v>
      </c>
      <c r="E79">
        <f t="shared" si="77"/>
        <v>39678</v>
      </c>
      <c r="H79" s="56">
        <f t="shared" si="82"/>
        <v>44087</v>
      </c>
      <c r="I79" s="56">
        <f t="shared" si="83"/>
        <v>66096</v>
      </c>
      <c r="J79" s="56">
        <f t="shared" si="83"/>
        <v>13524</v>
      </c>
      <c r="K79" s="56">
        <f t="shared" si="80"/>
        <v>123707</v>
      </c>
      <c r="N79" s="179">
        <f t="shared" si="52"/>
        <v>0.50843398227666192</v>
      </c>
      <c r="O79" s="179">
        <f t="shared" si="53"/>
        <v>0.37990354704691121</v>
      </c>
      <c r="P79" s="179">
        <f t="shared" si="53"/>
        <v>0.28579577866514549</v>
      </c>
      <c r="Q79" s="179">
        <f t="shared" si="54"/>
        <v>0.41147140705581675</v>
      </c>
      <c r="T79">
        <f t="shared" si="47"/>
        <v>194841</v>
      </c>
      <c r="U79">
        <f t="shared" si="48"/>
        <v>257810</v>
      </c>
      <c r="V79">
        <f t="shared" si="49"/>
        <v>53831</v>
      </c>
      <c r="W79">
        <f t="shared" ref="W79" si="92">+SUM(E68:E79)</f>
        <v>506482</v>
      </c>
      <c r="Z79" s="179">
        <f t="shared" si="65"/>
        <v>0.42238396285643365</v>
      </c>
      <c r="AA79" s="179">
        <f t="shared" si="66"/>
        <v>0.44436227548264928</v>
      </c>
      <c r="AB79" s="179">
        <f t="shared" si="66"/>
        <v>-1.2365837996514029E-2</v>
      </c>
      <c r="AC79" s="179">
        <f t="shared" si="67"/>
        <v>0.36894056721831658</v>
      </c>
    </row>
    <row r="80" spans="1:29" x14ac:dyDescent="0.25">
      <c r="A80" s="175">
        <f t="shared" si="79"/>
        <v>43343</v>
      </c>
      <c r="B80">
        <v>16514</v>
      </c>
      <c r="C80">
        <v>23345</v>
      </c>
      <c r="D80">
        <v>5228</v>
      </c>
      <c r="E80">
        <f t="shared" si="77"/>
        <v>45087</v>
      </c>
      <c r="H80" s="56">
        <f t="shared" si="82"/>
        <v>44791</v>
      </c>
      <c r="I80" s="56">
        <f t="shared" si="83"/>
        <v>68445</v>
      </c>
      <c r="J80" s="56">
        <f t="shared" si="83"/>
        <v>15132</v>
      </c>
      <c r="K80" s="56">
        <f t="shared" si="80"/>
        <v>128368</v>
      </c>
      <c r="N80" s="179">
        <f t="shared" si="52"/>
        <v>0.29121623569431221</v>
      </c>
      <c r="O80" s="179">
        <f t="shared" si="53"/>
        <v>0.35811655455681879</v>
      </c>
      <c r="P80" s="179">
        <f t="shared" si="53"/>
        <v>0.56144876689712109</v>
      </c>
      <c r="Q80" s="179">
        <f t="shared" si="54"/>
        <v>0.35442143135992921</v>
      </c>
      <c r="T80">
        <f t="shared" ref="T80:T111" si="93">+SUM(B69:B80)</f>
        <v>197532</v>
      </c>
      <c r="U80">
        <f t="shared" ref="U80:U111" si="94">+SUM(C69:C80)</f>
        <v>263412</v>
      </c>
      <c r="V80">
        <f t="shared" ref="V80:V111" si="95">+SUM(D69:D80)</f>
        <v>56075</v>
      </c>
      <c r="W80">
        <f t="shared" ref="W80" si="96">+SUM(E69:E80)</f>
        <v>517019</v>
      </c>
      <c r="Z80" s="179">
        <f t="shared" si="65"/>
        <v>0.40256752534863249</v>
      </c>
      <c r="AA80" s="179">
        <f t="shared" si="66"/>
        <v>0.4414420330301736</v>
      </c>
      <c r="AB80" s="179">
        <f t="shared" si="66"/>
        <v>8.3868099582495859E-2</v>
      </c>
      <c r="AC80" s="179">
        <f t="shared" si="67"/>
        <v>0.37756385320025365</v>
      </c>
    </row>
    <row r="81" spans="1:29" x14ac:dyDescent="0.25">
      <c r="A81" s="175">
        <f t="shared" si="79"/>
        <v>43373</v>
      </c>
      <c r="B81">
        <v>19441</v>
      </c>
      <c r="C81">
        <v>26728</v>
      </c>
      <c r="D81">
        <v>5250</v>
      </c>
      <c r="E81">
        <f t="shared" si="77"/>
        <v>51419</v>
      </c>
      <c r="H81" s="56">
        <f t="shared" si="82"/>
        <v>49193</v>
      </c>
      <c r="I81" s="56">
        <f t="shared" si="83"/>
        <v>71652</v>
      </c>
      <c r="J81" s="56">
        <f t="shared" si="83"/>
        <v>15339</v>
      </c>
      <c r="K81" s="56">
        <f t="shared" si="80"/>
        <v>136184</v>
      </c>
      <c r="N81" s="179">
        <f t="shared" si="52"/>
        <v>0.20965401922935056</v>
      </c>
      <c r="O81" s="179">
        <f t="shared" si="53"/>
        <v>0.29289065319379293</v>
      </c>
      <c r="P81" s="179">
        <f t="shared" si="53"/>
        <v>0.53328668532586976</v>
      </c>
      <c r="Q81" s="179">
        <f t="shared" si="54"/>
        <v>0.28365271323674968</v>
      </c>
      <c r="T81">
        <f t="shared" si="93"/>
        <v>201473</v>
      </c>
      <c r="U81">
        <f t="shared" si="94"/>
        <v>268961</v>
      </c>
      <c r="V81">
        <f t="shared" si="95"/>
        <v>57635</v>
      </c>
      <c r="W81">
        <f t="shared" ref="W81" si="97">+SUM(E70:E81)</f>
        <v>528069</v>
      </c>
      <c r="Z81" s="179">
        <f t="shared" si="65"/>
        <v>0.40291762412088294</v>
      </c>
      <c r="AA81" s="179">
        <f t="shared" si="66"/>
        <v>0.42846293158847937</v>
      </c>
      <c r="AB81" s="179">
        <f t="shared" si="66"/>
        <v>0.14996308785091483</v>
      </c>
      <c r="AC81" s="179">
        <f t="shared" si="67"/>
        <v>0.38232168286145085</v>
      </c>
    </row>
    <row r="82" spans="1:29" x14ac:dyDescent="0.25">
      <c r="A82" s="175">
        <f t="shared" si="79"/>
        <v>43404</v>
      </c>
      <c r="B82">
        <v>16726</v>
      </c>
      <c r="C82">
        <v>22694</v>
      </c>
      <c r="D82">
        <v>4393</v>
      </c>
      <c r="E82">
        <f t="shared" si="77"/>
        <v>43813</v>
      </c>
      <c r="H82" s="56">
        <f t="shared" si="82"/>
        <v>52681</v>
      </c>
      <c r="I82" s="56">
        <f t="shared" si="83"/>
        <v>72767</v>
      </c>
      <c r="J82" s="56">
        <f t="shared" si="83"/>
        <v>14871</v>
      </c>
      <c r="K82" s="56">
        <f t="shared" si="80"/>
        <v>140319</v>
      </c>
      <c r="N82" s="179">
        <f t="shared" ref="N82:N113" si="98">+H82/H70-1</f>
        <v>0.22201345395499894</v>
      </c>
      <c r="O82" s="179">
        <f t="shared" ref="O82:P113" si="99">+I82/I70-1</f>
        <v>0.26450144232440143</v>
      </c>
      <c r="P82" s="179">
        <f t="shared" si="99"/>
        <v>0.36984156226971265</v>
      </c>
      <c r="Q82" s="179">
        <f t="shared" ref="Q82:Q113" si="100">+K82/K70-1</f>
        <v>0.25833094196140327</v>
      </c>
      <c r="T82">
        <f t="shared" si="93"/>
        <v>204412</v>
      </c>
      <c r="U82">
        <f t="shared" si="94"/>
        <v>273031</v>
      </c>
      <c r="V82">
        <f t="shared" si="95"/>
        <v>57846</v>
      </c>
      <c r="W82">
        <f t="shared" ref="W82" si="101">+SUM(E71:E82)</f>
        <v>535289</v>
      </c>
      <c r="Z82" s="179">
        <f t="shared" si="65"/>
        <v>0.42128464351768158</v>
      </c>
      <c r="AA82" s="179">
        <f t="shared" si="66"/>
        <v>0.43461172675063175</v>
      </c>
      <c r="AB82" s="179">
        <f t="shared" si="66"/>
        <v>0.19486904073370237</v>
      </c>
      <c r="AC82" s="179">
        <f t="shared" si="67"/>
        <v>0.39926179777336879</v>
      </c>
    </row>
    <row r="83" spans="1:29" x14ac:dyDescent="0.25">
      <c r="A83" s="175">
        <f t="shared" si="79"/>
        <v>43434</v>
      </c>
      <c r="B83">
        <v>13045</v>
      </c>
      <c r="C83">
        <v>20443</v>
      </c>
      <c r="D83">
        <v>4469</v>
      </c>
      <c r="E83">
        <f t="shared" si="77"/>
        <v>37957</v>
      </c>
      <c r="H83" s="56">
        <f t="shared" si="82"/>
        <v>49212</v>
      </c>
      <c r="I83" s="56">
        <f t="shared" si="83"/>
        <v>69865</v>
      </c>
      <c r="J83" s="56">
        <f t="shared" si="83"/>
        <v>14112</v>
      </c>
      <c r="K83" s="56">
        <f t="shared" si="80"/>
        <v>133189</v>
      </c>
      <c r="N83" s="179">
        <f t="shared" si="98"/>
        <v>9.7233060578359565E-2</v>
      </c>
      <c r="O83" s="179">
        <f t="shared" si="99"/>
        <v>0.17329459577469519</v>
      </c>
      <c r="P83" s="179">
        <f t="shared" si="99"/>
        <v>0.12249443207126953</v>
      </c>
      <c r="Q83" s="179">
        <f t="shared" si="100"/>
        <v>0.13866922004975679</v>
      </c>
      <c r="T83">
        <f t="shared" si="93"/>
        <v>201893</v>
      </c>
      <c r="U83">
        <f t="shared" si="94"/>
        <v>273731</v>
      </c>
      <c r="V83">
        <f t="shared" si="95"/>
        <v>57615</v>
      </c>
      <c r="W83">
        <f t="shared" ref="W83" si="102">+SUM(E72:E83)</f>
        <v>533239</v>
      </c>
      <c r="Z83" s="179">
        <f t="shared" si="65"/>
        <v>0.3413480384014882</v>
      </c>
      <c r="AA83" s="179">
        <f t="shared" si="66"/>
        <v>0.37974122070839189</v>
      </c>
      <c r="AB83" s="179">
        <f t="shared" si="66"/>
        <v>0.20483061480552078</v>
      </c>
      <c r="AC83" s="179">
        <f t="shared" si="67"/>
        <v>0.34409217398318237</v>
      </c>
    </row>
    <row r="84" spans="1:29" x14ac:dyDescent="0.25">
      <c r="A84" s="175">
        <f t="shared" si="79"/>
        <v>43465</v>
      </c>
      <c r="B84">
        <v>15378</v>
      </c>
      <c r="C84">
        <v>20802</v>
      </c>
      <c r="D84">
        <v>3835</v>
      </c>
      <c r="E84">
        <f t="shared" si="77"/>
        <v>40015</v>
      </c>
      <c r="H84" s="56">
        <f t="shared" si="82"/>
        <v>45149</v>
      </c>
      <c r="I84" s="56">
        <f t="shared" si="83"/>
        <v>63939</v>
      </c>
      <c r="J84" s="56">
        <f t="shared" si="83"/>
        <v>12697</v>
      </c>
      <c r="K84" s="56">
        <f t="shared" si="80"/>
        <v>121785</v>
      </c>
      <c r="N84" s="179">
        <f t="shared" si="98"/>
        <v>-7.1943924849431684E-2</v>
      </c>
      <c r="O84" s="179">
        <f t="shared" si="99"/>
        <v>7.4316150278916693E-2</v>
      </c>
      <c r="P84" s="179">
        <f t="shared" si="99"/>
        <v>-0.14933672785743002</v>
      </c>
      <c r="Q84" s="179">
        <f t="shared" si="100"/>
        <v>-1.0610036477077922E-2</v>
      </c>
      <c r="T84">
        <f t="shared" si="93"/>
        <v>197973</v>
      </c>
      <c r="U84">
        <f t="shared" si="94"/>
        <v>273384</v>
      </c>
      <c r="V84">
        <f t="shared" si="95"/>
        <v>55406</v>
      </c>
      <c r="W84">
        <f t="shared" ref="W84" si="103">+SUM(E73:E84)</f>
        <v>526763</v>
      </c>
      <c r="Z84" s="179">
        <f t="shared" si="65"/>
        <v>0.24998737214294731</v>
      </c>
      <c r="AA84" s="179">
        <f t="shared" si="66"/>
        <v>0.32725498477985404</v>
      </c>
      <c r="AB84" s="179">
        <f t="shared" si="66"/>
        <v>0.12942087775444899</v>
      </c>
      <c r="AC84" s="179">
        <f t="shared" si="67"/>
        <v>0.2741779426918296</v>
      </c>
    </row>
    <row r="85" spans="1:29" x14ac:dyDescent="0.25">
      <c r="A85" s="175">
        <f t="shared" si="79"/>
        <v>43496</v>
      </c>
      <c r="B85">
        <v>15579</v>
      </c>
      <c r="C85">
        <v>21510</v>
      </c>
      <c r="D85">
        <v>3086</v>
      </c>
      <c r="E85">
        <f t="shared" si="77"/>
        <v>40175</v>
      </c>
      <c r="H85" s="56">
        <f t="shared" si="82"/>
        <v>44002</v>
      </c>
      <c r="I85" s="56">
        <f t="shared" si="83"/>
        <v>62755</v>
      </c>
      <c r="J85" s="56">
        <f t="shared" si="83"/>
        <v>11390</v>
      </c>
      <c r="K85" s="56">
        <f t="shared" si="80"/>
        <v>118147</v>
      </c>
      <c r="N85" s="179">
        <f t="shared" si="98"/>
        <v>-0.13507882218815115</v>
      </c>
      <c r="O85" s="179">
        <f t="shared" si="99"/>
        <v>-2.3511654685214545E-2</v>
      </c>
      <c r="P85" s="179">
        <f t="shared" si="99"/>
        <v>-0.27192533878803371</v>
      </c>
      <c r="Q85" s="179">
        <f t="shared" si="100"/>
        <v>-9.6624969415219031E-2</v>
      </c>
      <c r="T85">
        <f t="shared" si="93"/>
        <v>197540</v>
      </c>
      <c r="U85">
        <f t="shared" si="94"/>
        <v>271520</v>
      </c>
      <c r="V85">
        <f t="shared" si="95"/>
        <v>53592</v>
      </c>
      <c r="W85">
        <f t="shared" ref="W85" si="104">+SUM(E74:E85)</f>
        <v>522652</v>
      </c>
      <c r="Z85" s="179">
        <f t="shared" si="65"/>
        <v>0.23044916315255093</v>
      </c>
      <c r="AA85" s="179">
        <f t="shared" si="66"/>
        <v>0.26477205502168344</v>
      </c>
      <c r="AB85" s="179">
        <f t="shared" si="66"/>
        <v>8.6904496318981117E-2</v>
      </c>
      <c r="AC85" s="179">
        <f t="shared" si="67"/>
        <v>0.23113379769108833</v>
      </c>
    </row>
    <row r="86" spans="1:29" x14ac:dyDescent="0.25">
      <c r="A86" s="175">
        <f t="shared" si="79"/>
        <v>43524</v>
      </c>
      <c r="B86">
        <v>16306</v>
      </c>
      <c r="C86">
        <v>22805</v>
      </c>
      <c r="D86">
        <v>2771</v>
      </c>
      <c r="E86">
        <f t="shared" si="77"/>
        <v>41882</v>
      </c>
      <c r="H86" s="56">
        <f t="shared" si="82"/>
        <v>47263</v>
      </c>
      <c r="I86" s="56">
        <f t="shared" si="83"/>
        <v>65117</v>
      </c>
      <c r="J86" s="56">
        <f t="shared" si="83"/>
        <v>9692</v>
      </c>
      <c r="K86" s="56">
        <f t="shared" si="80"/>
        <v>122072</v>
      </c>
      <c r="N86" s="179">
        <f t="shared" si="98"/>
        <v>-0.12885685848048067</v>
      </c>
      <c r="O86" s="179">
        <f t="shared" si="99"/>
        <v>-2.5209203455038076E-2</v>
      </c>
      <c r="P86" s="179">
        <f t="shared" si="99"/>
        <v>-0.37056760618262108</v>
      </c>
      <c r="Q86" s="179">
        <f t="shared" si="100"/>
        <v>-0.10539160003810832</v>
      </c>
      <c r="T86">
        <f t="shared" si="93"/>
        <v>194902</v>
      </c>
      <c r="U86">
        <f t="shared" si="94"/>
        <v>272047</v>
      </c>
      <c r="V86">
        <f t="shared" si="95"/>
        <v>51909</v>
      </c>
      <c r="W86">
        <f t="shared" ref="W86" si="105">+SUM(E75:E86)</f>
        <v>518858</v>
      </c>
      <c r="Z86" s="179">
        <f t="shared" si="65"/>
        <v>0.18513158534805663</v>
      </c>
      <c r="AA86" s="179">
        <f t="shared" si="66"/>
        <v>0.22775418469995179</v>
      </c>
      <c r="AB86" s="179">
        <f t="shared" si="66"/>
        <v>5.8805531758658658E-2</v>
      </c>
      <c r="AC86" s="179">
        <f t="shared" si="67"/>
        <v>0.19260428949370545</v>
      </c>
    </row>
    <row r="87" spans="1:29" x14ac:dyDescent="0.25">
      <c r="A87" s="175">
        <f t="shared" si="79"/>
        <v>43555</v>
      </c>
      <c r="B87">
        <v>21133</v>
      </c>
      <c r="C87">
        <v>29784</v>
      </c>
      <c r="D87">
        <v>5619</v>
      </c>
      <c r="E87">
        <f t="shared" si="77"/>
        <v>56536</v>
      </c>
      <c r="H87" s="56">
        <f t="shared" si="82"/>
        <v>53018</v>
      </c>
      <c r="I87" s="56">
        <f t="shared" si="83"/>
        <v>74099</v>
      </c>
      <c r="J87" s="56">
        <f t="shared" si="83"/>
        <v>11476</v>
      </c>
      <c r="K87" s="56">
        <f t="shared" si="80"/>
        <v>138593</v>
      </c>
      <c r="N87" s="179">
        <f t="shared" si="98"/>
        <v>-5.6820607699423653E-2</v>
      </c>
      <c r="O87" s="179">
        <f t="shared" si="99"/>
        <v>7.1904308821530982E-3</v>
      </c>
      <c r="P87" s="179">
        <f t="shared" si="99"/>
        <v>-0.27353294929416982</v>
      </c>
      <c r="Q87" s="179">
        <f t="shared" si="100"/>
        <v>-4.7987690532288352E-2</v>
      </c>
      <c r="T87">
        <f t="shared" si="93"/>
        <v>194779</v>
      </c>
      <c r="U87">
        <f t="shared" si="94"/>
        <v>273913</v>
      </c>
      <c r="V87">
        <f t="shared" si="95"/>
        <v>51085</v>
      </c>
      <c r="W87">
        <f t="shared" ref="W87" si="106">+SUM(E76:E87)</f>
        <v>519777</v>
      </c>
      <c r="Z87" s="179">
        <f t="shared" si="65"/>
        <v>0.15895730198019797</v>
      </c>
      <c r="AA87" s="179">
        <f t="shared" si="66"/>
        <v>0.18438109404118985</v>
      </c>
      <c r="AB87" s="179">
        <f t="shared" si="66"/>
        <v>2.2804628999319343E-2</v>
      </c>
      <c r="AC87" s="179">
        <f t="shared" si="67"/>
        <v>0.15690848266452395</v>
      </c>
    </row>
    <row r="88" spans="1:29" x14ac:dyDescent="0.25">
      <c r="A88" s="175">
        <f t="shared" si="79"/>
        <v>43585</v>
      </c>
      <c r="B88">
        <v>12171</v>
      </c>
      <c r="C88">
        <v>17018</v>
      </c>
      <c r="D88">
        <v>1297</v>
      </c>
      <c r="E88">
        <f t="shared" si="77"/>
        <v>30486</v>
      </c>
      <c r="H88" s="56">
        <f t="shared" si="82"/>
        <v>49610</v>
      </c>
      <c r="I88" s="56">
        <f t="shared" si="83"/>
        <v>69607</v>
      </c>
      <c r="J88" s="56">
        <f t="shared" si="83"/>
        <v>9687</v>
      </c>
      <c r="K88" s="56">
        <f t="shared" si="80"/>
        <v>128904</v>
      </c>
      <c r="N88" s="179">
        <f t="shared" si="98"/>
        <v>-0.12612295226351944</v>
      </c>
      <c r="O88" s="179">
        <f t="shared" si="99"/>
        <v>-4.2201939858659276E-3</v>
      </c>
      <c r="P88" s="179">
        <f t="shared" si="99"/>
        <v>-0.29839936264213807</v>
      </c>
      <c r="Q88" s="179">
        <f t="shared" si="100"/>
        <v>-8.2396657151602715E-2</v>
      </c>
      <c r="T88">
        <f t="shared" si="93"/>
        <v>190380</v>
      </c>
      <c r="U88">
        <f t="shared" si="94"/>
        <v>271225</v>
      </c>
      <c r="V88">
        <f t="shared" si="95"/>
        <v>49472</v>
      </c>
      <c r="W88">
        <f t="shared" ref="W88" si="107">+SUM(E77:E88)</f>
        <v>511077</v>
      </c>
      <c r="Z88" s="179">
        <f t="shared" si="65"/>
        <v>5.7778321044999137E-2</v>
      </c>
      <c r="AA88" s="179">
        <f t="shared" si="66"/>
        <v>0.13192940282872789</v>
      </c>
      <c r="AB88" s="179">
        <f t="shared" si="66"/>
        <v>-2.6620757501229719E-2</v>
      </c>
      <c r="AC88" s="179">
        <f t="shared" si="67"/>
        <v>8.6429332148573845E-2</v>
      </c>
    </row>
    <row r="89" spans="1:29" x14ac:dyDescent="0.25">
      <c r="A89" s="175">
        <f t="shared" si="79"/>
        <v>43616</v>
      </c>
      <c r="B89">
        <v>11109</v>
      </c>
      <c r="C89">
        <v>18220</v>
      </c>
      <c r="D89">
        <v>1474</v>
      </c>
      <c r="E89">
        <f t="shared" si="77"/>
        <v>30803</v>
      </c>
      <c r="H89" s="56">
        <f t="shared" si="82"/>
        <v>44413</v>
      </c>
      <c r="I89" s="56">
        <f t="shared" si="83"/>
        <v>65022</v>
      </c>
      <c r="J89" s="56">
        <f t="shared" si="83"/>
        <v>8390</v>
      </c>
      <c r="K89" s="56">
        <f t="shared" si="80"/>
        <v>117825</v>
      </c>
      <c r="N89" s="179">
        <f t="shared" si="98"/>
        <v>-0.17195540308747859</v>
      </c>
      <c r="O89" s="179">
        <f t="shared" si="99"/>
        <v>-5.2433692800932685E-2</v>
      </c>
      <c r="P89" s="179">
        <f t="shared" si="99"/>
        <v>-0.35327218068295696</v>
      </c>
      <c r="Q89" s="179">
        <f t="shared" si="100"/>
        <v>-0.12870020483771971</v>
      </c>
      <c r="T89">
        <f t="shared" si="93"/>
        <v>185679</v>
      </c>
      <c r="U89">
        <f t="shared" si="94"/>
        <v>268449</v>
      </c>
      <c r="V89">
        <f t="shared" si="95"/>
        <v>47326</v>
      </c>
      <c r="W89">
        <f t="shared" ref="W89" si="108">+SUM(E78:E89)</f>
        <v>501454</v>
      </c>
      <c r="Z89" s="179">
        <f t="shared" si="65"/>
        <v>-9.342154404310965E-3</v>
      </c>
      <c r="AA89" s="179">
        <f t="shared" si="66"/>
        <v>9.4084706802953999E-2</v>
      </c>
      <c r="AB89" s="179">
        <f t="shared" si="66"/>
        <v>-6.5331595370699547E-2</v>
      </c>
      <c r="AC89" s="179">
        <f t="shared" si="67"/>
        <v>3.7287869134597029E-2</v>
      </c>
    </row>
    <row r="90" spans="1:29" x14ac:dyDescent="0.25">
      <c r="A90" s="175">
        <f t="shared" si="79"/>
        <v>43646</v>
      </c>
      <c r="B90">
        <v>13216</v>
      </c>
      <c r="C90">
        <v>22506</v>
      </c>
      <c r="D90">
        <v>2599</v>
      </c>
      <c r="E90">
        <f t="shared" si="77"/>
        <v>38321</v>
      </c>
      <c r="H90" s="56">
        <f t="shared" si="82"/>
        <v>36496</v>
      </c>
      <c r="I90" s="56">
        <f t="shared" si="83"/>
        <v>57744</v>
      </c>
      <c r="J90" s="56">
        <f t="shared" si="83"/>
        <v>5370</v>
      </c>
      <c r="K90" s="56">
        <f t="shared" si="80"/>
        <v>99610</v>
      </c>
      <c r="N90" s="179">
        <f t="shared" si="98"/>
        <v>-0.23035070330458252</v>
      </c>
      <c r="O90" s="179">
        <f t="shared" si="99"/>
        <v>-0.10088286128022672</v>
      </c>
      <c r="P90" s="179">
        <f t="shared" si="99"/>
        <v>-0.53598893977361106</v>
      </c>
      <c r="Q90" s="179">
        <f t="shared" si="100"/>
        <v>-0.19157570101042898</v>
      </c>
      <c r="T90">
        <f t="shared" si="93"/>
        <v>183856</v>
      </c>
      <c r="U90">
        <f t="shared" si="94"/>
        <v>267434</v>
      </c>
      <c r="V90">
        <f t="shared" si="95"/>
        <v>44882</v>
      </c>
      <c r="W90">
        <f t="shared" ref="W90" si="109">+SUM(E79:E90)</f>
        <v>496172</v>
      </c>
      <c r="Z90" s="179">
        <f t="shared" si="65"/>
        <v>-4.7116565689023449E-2</v>
      </c>
      <c r="AA90" s="179">
        <f t="shared" si="66"/>
        <v>5.8184854132291797E-2</v>
      </c>
      <c r="AB90" s="179">
        <f t="shared" si="66"/>
        <v>-0.14183556405353726</v>
      </c>
      <c r="AC90" s="179">
        <f t="shared" si="67"/>
        <v>-3.6226645460825102E-3</v>
      </c>
    </row>
    <row r="91" spans="1:29" x14ac:dyDescent="0.25">
      <c r="A91" s="175">
        <f t="shared" si="79"/>
        <v>43677</v>
      </c>
      <c r="B91">
        <v>8155</v>
      </c>
      <c r="C91">
        <v>14298</v>
      </c>
      <c r="D91">
        <v>3210</v>
      </c>
      <c r="E91">
        <f t="shared" si="77"/>
        <v>25663</v>
      </c>
      <c r="H91" s="56">
        <f t="shared" si="82"/>
        <v>32480</v>
      </c>
      <c r="I91" s="56">
        <f t="shared" si="83"/>
        <v>55024</v>
      </c>
      <c r="J91" s="56">
        <f t="shared" si="83"/>
        <v>7283</v>
      </c>
      <c r="K91" s="56">
        <f t="shared" si="80"/>
        <v>94787</v>
      </c>
      <c r="N91" s="179">
        <f t="shared" si="98"/>
        <v>-0.26327488828906476</v>
      </c>
      <c r="O91" s="179">
        <f t="shared" si="99"/>
        <v>-0.16751391914790603</v>
      </c>
      <c r="P91" s="179">
        <f t="shared" si="99"/>
        <v>-0.46147589470570838</v>
      </c>
      <c r="Q91" s="179">
        <f t="shared" si="100"/>
        <v>-0.23377820171857699</v>
      </c>
      <c r="T91">
        <f t="shared" si="93"/>
        <v>178773</v>
      </c>
      <c r="U91">
        <f t="shared" si="94"/>
        <v>260153</v>
      </c>
      <c r="V91">
        <f t="shared" si="95"/>
        <v>43231</v>
      </c>
      <c r="W91">
        <f t="shared" ref="W91" si="110">+SUM(E80:E91)</f>
        <v>482157</v>
      </c>
      <c r="Z91" s="179">
        <f t="shared" ref="Z91:Z122" si="111">+T91/T79-1</f>
        <v>-8.2467242520824713E-2</v>
      </c>
      <c r="AA91" s="179">
        <f t="shared" ref="AA91:AB122" si="112">+U91/U79-1</f>
        <v>9.0880881269150837E-3</v>
      </c>
      <c r="AB91" s="179">
        <f t="shared" si="112"/>
        <v>-0.1969125596775092</v>
      </c>
      <c r="AC91" s="179">
        <f t="shared" ref="AC91:AC122" si="113">+W91/W79-1</f>
        <v>-4.8027373134681972E-2</v>
      </c>
    </row>
    <row r="92" spans="1:29" x14ac:dyDescent="0.25">
      <c r="A92" s="175">
        <f t="shared" si="79"/>
        <v>43708</v>
      </c>
      <c r="B92">
        <v>7921</v>
      </c>
      <c r="C92">
        <v>13903</v>
      </c>
      <c r="D92">
        <v>3036</v>
      </c>
      <c r="E92">
        <f t="shared" si="77"/>
        <v>24860</v>
      </c>
      <c r="H92" s="56">
        <f t="shared" si="82"/>
        <v>29292</v>
      </c>
      <c r="I92" s="56">
        <f t="shared" si="83"/>
        <v>50707</v>
      </c>
      <c r="J92" s="56">
        <f t="shared" si="83"/>
        <v>8845</v>
      </c>
      <c r="K92" s="56">
        <f t="shared" si="80"/>
        <v>88844</v>
      </c>
      <c r="N92" s="179">
        <f t="shared" si="98"/>
        <v>-0.34602933625058607</v>
      </c>
      <c r="O92" s="179">
        <f t="shared" si="99"/>
        <v>-0.25915698736211557</v>
      </c>
      <c r="P92" s="179">
        <f t="shared" si="99"/>
        <v>-0.41547713454929946</v>
      </c>
      <c r="Q92" s="179">
        <f t="shared" si="100"/>
        <v>-0.30789604885952881</v>
      </c>
      <c r="T92">
        <f t="shared" si="93"/>
        <v>170180</v>
      </c>
      <c r="U92">
        <f t="shared" si="94"/>
        <v>250711</v>
      </c>
      <c r="V92">
        <f t="shared" si="95"/>
        <v>41039</v>
      </c>
      <c r="W92">
        <f t="shared" ref="W92" si="114">+SUM(E81:E92)</f>
        <v>461930</v>
      </c>
      <c r="Z92" s="179">
        <f t="shared" si="111"/>
        <v>-0.13846870380495313</v>
      </c>
      <c r="AA92" s="179">
        <f t="shared" si="112"/>
        <v>-4.8217241431673608E-2</v>
      </c>
      <c r="AB92" s="179">
        <f t="shared" si="112"/>
        <v>-0.26814088274632186</v>
      </c>
      <c r="AC92" s="179">
        <f t="shared" si="113"/>
        <v>-0.1065512099168503</v>
      </c>
    </row>
    <row r="93" spans="1:29" x14ac:dyDescent="0.25">
      <c r="A93" s="175">
        <f t="shared" si="79"/>
        <v>43738</v>
      </c>
      <c r="B93">
        <v>7771</v>
      </c>
      <c r="C93">
        <v>16508</v>
      </c>
      <c r="D93">
        <v>3800</v>
      </c>
      <c r="E93">
        <f t="shared" si="77"/>
        <v>28079</v>
      </c>
      <c r="H93" s="56">
        <f t="shared" si="82"/>
        <v>23847</v>
      </c>
      <c r="I93" s="56">
        <f t="shared" si="83"/>
        <v>44709</v>
      </c>
      <c r="J93" s="56">
        <f t="shared" si="83"/>
        <v>10046</v>
      </c>
      <c r="K93" s="56">
        <f t="shared" si="80"/>
        <v>78602</v>
      </c>
      <c r="N93" s="179">
        <f t="shared" si="98"/>
        <v>-0.51523590754782189</v>
      </c>
      <c r="O93" s="179">
        <f t="shared" si="99"/>
        <v>-0.37602579132473624</v>
      </c>
      <c r="P93" s="179">
        <f t="shared" si="99"/>
        <v>-0.34506812699654477</v>
      </c>
      <c r="Q93" s="179">
        <f t="shared" si="100"/>
        <v>-0.42282500146860136</v>
      </c>
      <c r="T93">
        <f t="shared" si="93"/>
        <v>158510</v>
      </c>
      <c r="U93">
        <f t="shared" si="94"/>
        <v>240491</v>
      </c>
      <c r="V93">
        <f t="shared" si="95"/>
        <v>39589</v>
      </c>
      <c r="W93">
        <f t="shared" ref="W93" si="115">+SUM(E82:E93)</f>
        <v>438590</v>
      </c>
      <c r="Z93" s="179">
        <f t="shared" si="111"/>
        <v>-0.21324445459193042</v>
      </c>
      <c r="AA93" s="179">
        <f t="shared" si="112"/>
        <v>-0.1058517777670368</v>
      </c>
      <c r="AB93" s="179">
        <f t="shared" si="112"/>
        <v>-0.31310835429860329</v>
      </c>
      <c r="AC93" s="179">
        <f t="shared" si="113"/>
        <v>-0.16944565956342827</v>
      </c>
    </row>
    <row r="94" spans="1:29" x14ac:dyDescent="0.25">
      <c r="A94" s="175">
        <f t="shared" si="79"/>
        <v>43769</v>
      </c>
      <c r="B94">
        <v>7730</v>
      </c>
      <c r="C94">
        <v>18253</v>
      </c>
      <c r="D94">
        <v>2019</v>
      </c>
      <c r="E94">
        <f t="shared" si="77"/>
        <v>28002</v>
      </c>
      <c r="H94" s="56">
        <f t="shared" si="82"/>
        <v>23422</v>
      </c>
      <c r="I94" s="56">
        <f t="shared" si="83"/>
        <v>48664</v>
      </c>
      <c r="J94" s="56">
        <f t="shared" si="83"/>
        <v>8855</v>
      </c>
      <c r="K94" s="56">
        <f t="shared" si="80"/>
        <v>80941</v>
      </c>
      <c r="N94" s="179">
        <f t="shared" si="98"/>
        <v>-0.55539947988838478</v>
      </c>
      <c r="O94" s="179">
        <f t="shared" si="99"/>
        <v>-0.33123531271043194</v>
      </c>
      <c r="P94" s="179">
        <f t="shared" si="99"/>
        <v>-0.40454576020442468</v>
      </c>
      <c r="Q94" s="179">
        <f t="shared" si="100"/>
        <v>-0.4231643612055388</v>
      </c>
      <c r="T94">
        <f t="shared" si="93"/>
        <v>149514</v>
      </c>
      <c r="U94">
        <f t="shared" si="94"/>
        <v>236050</v>
      </c>
      <c r="V94">
        <f t="shared" si="95"/>
        <v>37215</v>
      </c>
      <c r="W94">
        <f t="shared" ref="W94" si="116">+SUM(E83:E94)</f>
        <v>422779</v>
      </c>
      <c r="Z94" s="179">
        <f t="shared" si="111"/>
        <v>-0.26856544625560141</v>
      </c>
      <c r="AA94" s="179">
        <f t="shared" si="112"/>
        <v>-0.1354461581285642</v>
      </c>
      <c r="AB94" s="179">
        <f t="shared" si="112"/>
        <v>-0.35665387407945237</v>
      </c>
      <c r="AC94" s="179">
        <f t="shared" si="113"/>
        <v>-0.21018552594953377</v>
      </c>
    </row>
    <row r="95" spans="1:29" x14ac:dyDescent="0.25">
      <c r="A95" s="175">
        <f t="shared" si="79"/>
        <v>43799</v>
      </c>
      <c r="B95">
        <v>8876</v>
      </c>
      <c r="C95">
        <v>18781</v>
      </c>
      <c r="D95">
        <v>2931</v>
      </c>
      <c r="E95">
        <f t="shared" si="77"/>
        <v>30588</v>
      </c>
      <c r="H95" s="56">
        <f t="shared" si="82"/>
        <v>24377</v>
      </c>
      <c r="I95" s="56">
        <f t="shared" si="83"/>
        <v>53542</v>
      </c>
      <c r="J95" s="56">
        <f t="shared" si="83"/>
        <v>8750</v>
      </c>
      <c r="K95" s="56">
        <f t="shared" si="80"/>
        <v>86669</v>
      </c>
      <c r="N95" s="179">
        <f t="shared" si="98"/>
        <v>-0.5046533365845729</v>
      </c>
      <c r="O95" s="179">
        <f t="shared" si="99"/>
        <v>-0.2336362985758248</v>
      </c>
      <c r="P95" s="179">
        <f t="shared" si="99"/>
        <v>-0.37996031746031744</v>
      </c>
      <c r="Q95" s="179">
        <f t="shared" si="100"/>
        <v>-0.34927809353625294</v>
      </c>
      <c r="T95">
        <f t="shared" si="93"/>
        <v>145345</v>
      </c>
      <c r="U95">
        <f t="shared" si="94"/>
        <v>234388</v>
      </c>
      <c r="V95">
        <f t="shared" si="95"/>
        <v>35677</v>
      </c>
      <c r="W95">
        <f t="shared" ref="W95" si="117">+SUM(E84:E95)</f>
        <v>415410</v>
      </c>
      <c r="Z95" s="179">
        <f t="shared" si="111"/>
        <v>-0.28008895801241251</v>
      </c>
      <c r="AA95" s="179">
        <f t="shared" si="112"/>
        <v>-0.1437286971515831</v>
      </c>
      <c r="AB95" s="179">
        <f t="shared" si="112"/>
        <v>-0.38076889698863148</v>
      </c>
      <c r="AC95" s="179">
        <f t="shared" si="113"/>
        <v>-0.22096845879614957</v>
      </c>
    </row>
    <row r="96" spans="1:29" x14ac:dyDescent="0.25">
      <c r="A96" s="175">
        <f t="shared" si="79"/>
        <v>43830</v>
      </c>
      <c r="B96">
        <v>10954</v>
      </c>
      <c r="C96">
        <v>20515</v>
      </c>
      <c r="D96">
        <v>2613</v>
      </c>
      <c r="E96">
        <f t="shared" si="77"/>
        <v>34082</v>
      </c>
      <c r="H96" s="56">
        <f t="shared" si="82"/>
        <v>27560</v>
      </c>
      <c r="I96" s="56">
        <f t="shared" si="83"/>
        <v>57549</v>
      </c>
      <c r="J96" s="56">
        <f t="shared" si="83"/>
        <v>7563</v>
      </c>
      <c r="K96" s="56">
        <f t="shared" si="80"/>
        <v>92672</v>
      </c>
      <c r="N96" s="179">
        <f t="shared" si="98"/>
        <v>-0.3895767348114022</v>
      </c>
      <c r="O96" s="179">
        <f t="shared" si="99"/>
        <v>-9.9939004363533979E-2</v>
      </c>
      <c r="P96" s="179">
        <f t="shared" si="99"/>
        <v>-0.40434748365755691</v>
      </c>
      <c r="Q96" s="179">
        <f t="shared" si="100"/>
        <v>-0.23905242845999097</v>
      </c>
      <c r="T96">
        <f t="shared" si="93"/>
        <v>140921</v>
      </c>
      <c r="U96">
        <f t="shared" si="94"/>
        <v>234101</v>
      </c>
      <c r="V96">
        <f t="shared" si="95"/>
        <v>34455</v>
      </c>
      <c r="W96">
        <f t="shared" ref="W96" si="118">+SUM(E85:E96)</f>
        <v>409477</v>
      </c>
      <c r="Z96" s="179">
        <f t="shared" si="111"/>
        <v>-0.28818071151116564</v>
      </c>
      <c r="AA96" s="179">
        <f t="shared" si="112"/>
        <v>-0.14369165715623444</v>
      </c>
      <c r="AB96" s="179">
        <f t="shared" si="112"/>
        <v>-0.37813594195574485</v>
      </c>
      <c r="AC96" s="179">
        <f t="shared" si="113"/>
        <v>-0.22265421071715363</v>
      </c>
    </row>
    <row r="97" spans="1:29" x14ac:dyDescent="0.25">
      <c r="A97" s="175">
        <f t="shared" si="79"/>
        <v>43861</v>
      </c>
      <c r="B97">
        <v>10925</v>
      </c>
      <c r="C97">
        <v>20423</v>
      </c>
      <c r="D97">
        <v>2512</v>
      </c>
      <c r="E97">
        <f t="shared" si="77"/>
        <v>33860</v>
      </c>
      <c r="H97" s="56">
        <f t="shared" si="82"/>
        <v>30755</v>
      </c>
      <c r="I97" s="56">
        <f t="shared" si="83"/>
        <v>59719</v>
      </c>
      <c r="J97" s="56">
        <f t="shared" si="83"/>
        <v>8056</v>
      </c>
      <c r="K97" s="56">
        <f t="shared" si="80"/>
        <v>98530</v>
      </c>
      <c r="N97" s="179">
        <f t="shared" si="98"/>
        <v>-0.30105449752283986</v>
      </c>
      <c r="O97" s="179">
        <f t="shared" si="99"/>
        <v>-4.8378615249780932E-2</v>
      </c>
      <c r="P97" s="179">
        <f t="shared" si="99"/>
        <v>-0.29271290605794553</v>
      </c>
      <c r="Q97" s="179">
        <f t="shared" si="100"/>
        <v>-0.16603891761957557</v>
      </c>
      <c r="T97">
        <f t="shared" si="93"/>
        <v>136267</v>
      </c>
      <c r="U97">
        <f t="shared" si="94"/>
        <v>233014</v>
      </c>
      <c r="V97">
        <f t="shared" si="95"/>
        <v>33881</v>
      </c>
      <c r="W97">
        <f t="shared" ref="W97" si="119">+SUM(E86:E97)</f>
        <v>403162</v>
      </c>
      <c r="Z97" s="179">
        <f t="shared" si="111"/>
        <v>-0.31018021666497919</v>
      </c>
      <c r="AA97" s="179">
        <f t="shared" si="112"/>
        <v>-0.14181644077784328</v>
      </c>
      <c r="AB97" s="179">
        <f t="shared" si="112"/>
        <v>-0.36779743245260488</v>
      </c>
      <c r="AC97" s="179">
        <f t="shared" si="113"/>
        <v>-0.22862248685549846</v>
      </c>
    </row>
    <row r="98" spans="1:29" x14ac:dyDescent="0.25">
      <c r="A98" s="175">
        <f t="shared" si="79"/>
        <v>43890</v>
      </c>
      <c r="B98">
        <v>10105</v>
      </c>
      <c r="C98">
        <v>15467</v>
      </c>
      <c r="D98">
        <v>2514</v>
      </c>
      <c r="E98">
        <f t="shared" si="77"/>
        <v>28086</v>
      </c>
      <c r="H98" s="56">
        <f t="shared" si="82"/>
        <v>31984</v>
      </c>
      <c r="I98" s="56">
        <f t="shared" si="83"/>
        <v>56405</v>
      </c>
      <c r="J98" s="56">
        <f t="shared" si="83"/>
        <v>7639</v>
      </c>
      <c r="K98" s="56">
        <f t="shared" si="80"/>
        <v>96028</v>
      </c>
      <c r="N98" s="179">
        <f t="shared" si="98"/>
        <v>-0.32327613566637747</v>
      </c>
      <c r="O98" s="179">
        <f t="shared" si="99"/>
        <v>-0.13378994732558314</v>
      </c>
      <c r="P98" s="179">
        <f t="shared" si="99"/>
        <v>-0.21182418489475852</v>
      </c>
      <c r="Q98" s="179">
        <f t="shared" si="100"/>
        <v>-0.21334949865653052</v>
      </c>
      <c r="T98">
        <f t="shared" si="93"/>
        <v>130066</v>
      </c>
      <c r="U98">
        <f t="shared" si="94"/>
        <v>225676</v>
      </c>
      <c r="V98">
        <f t="shared" si="95"/>
        <v>33624</v>
      </c>
      <c r="W98">
        <f t="shared" ref="W98" si="120">+SUM(E87:E98)</f>
        <v>389366</v>
      </c>
      <c r="Z98" s="179">
        <f t="shared" si="111"/>
        <v>-0.33265949041056531</v>
      </c>
      <c r="AA98" s="179">
        <f t="shared" si="112"/>
        <v>-0.17045216451569034</v>
      </c>
      <c r="AB98" s="179">
        <f t="shared" si="112"/>
        <v>-0.35225105473039353</v>
      </c>
      <c r="AC98" s="179">
        <f t="shared" si="113"/>
        <v>-0.24957117361590264</v>
      </c>
    </row>
    <row r="99" spans="1:29" x14ac:dyDescent="0.25">
      <c r="A99" s="175">
        <f t="shared" si="79"/>
        <v>43921</v>
      </c>
      <c r="B99">
        <v>2819</v>
      </c>
      <c r="C99">
        <v>2517</v>
      </c>
      <c r="D99">
        <v>1787</v>
      </c>
      <c r="E99">
        <f t="shared" si="77"/>
        <v>7123</v>
      </c>
      <c r="H99" s="56">
        <f t="shared" si="82"/>
        <v>23849</v>
      </c>
      <c r="I99" s="56">
        <f t="shared" si="83"/>
        <v>38407</v>
      </c>
      <c r="J99" s="56">
        <f t="shared" si="83"/>
        <v>6813</v>
      </c>
      <c r="K99" s="56">
        <f t="shared" si="80"/>
        <v>69069</v>
      </c>
      <c r="N99" s="179">
        <f t="shared" si="98"/>
        <v>-0.55017163982043837</v>
      </c>
      <c r="O99" s="179">
        <f t="shared" si="99"/>
        <v>-0.48167991470870053</v>
      </c>
      <c r="P99" s="179">
        <f t="shared" si="99"/>
        <v>-0.4063262460787731</v>
      </c>
      <c r="Q99" s="179">
        <f t="shared" si="100"/>
        <v>-0.50164149704530536</v>
      </c>
      <c r="T99">
        <f t="shared" si="93"/>
        <v>111752</v>
      </c>
      <c r="U99">
        <f t="shared" si="94"/>
        <v>198409</v>
      </c>
      <c r="V99">
        <f t="shared" si="95"/>
        <v>29792</v>
      </c>
      <c r="W99">
        <f t="shared" ref="W99" si="121">+SUM(E88:E99)</f>
        <v>339953</v>
      </c>
      <c r="Z99" s="179">
        <f t="shared" si="111"/>
        <v>-0.42626258477556611</v>
      </c>
      <c r="AA99" s="179">
        <f t="shared" si="112"/>
        <v>-0.2756495675634234</v>
      </c>
      <c r="AB99" s="179">
        <f t="shared" si="112"/>
        <v>-0.41681511206812172</v>
      </c>
      <c r="AC99" s="179">
        <f t="shared" si="113"/>
        <v>-0.34596374983887324</v>
      </c>
    </row>
    <row r="100" spans="1:29" x14ac:dyDescent="0.25">
      <c r="A100" s="175">
        <f t="shared" si="79"/>
        <v>43951</v>
      </c>
      <c r="B100" s="223">
        <v>3000</v>
      </c>
      <c r="C100" s="223">
        <v>3000</v>
      </c>
      <c r="D100" s="223"/>
      <c r="E100">
        <f t="shared" si="77"/>
        <v>6000</v>
      </c>
      <c r="H100" s="56">
        <f t="shared" si="82"/>
        <v>15924</v>
      </c>
      <c r="I100" s="56">
        <f t="shared" si="83"/>
        <v>20984</v>
      </c>
      <c r="J100" s="56">
        <f t="shared" si="83"/>
        <v>4301</v>
      </c>
      <c r="K100" s="56">
        <f t="shared" si="80"/>
        <v>41209</v>
      </c>
      <c r="N100" s="179">
        <f t="shared" si="98"/>
        <v>-0.67901632735335615</v>
      </c>
      <c r="O100" s="179">
        <f t="shared" si="99"/>
        <v>-0.69853606677489333</v>
      </c>
      <c r="P100" s="179">
        <f t="shared" si="99"/>
        <v>-0.55600289047176621</v>
      </c>
      <c r="Q100" s="179">
        <f t="shared" si="100"/>
        <v>-0.68031248060572214</v>
      </c>
      <c r="T100">
        <f t="shared" si="93"/>
        <v>102581</v>
      </c>
      <c r="U100">
        <f t="shared" si="94"/>
        <v>184391</v>
      </c>
      <c r="V100">
        <f t="shared" si="95"/>
        <v>28495</v>
      </c>
      <c r="W100">
        <f t="shared" ref="W100" si="122">+SUM(E89:E100)</f>
        <v>315467</v>
      </c>
      <c r="Z100" s="179">
        <f t="shared" si="111"/>
        <v>-0.46117764471057887</v>
      </c>
      <c r="AA100" s="179">
        <f t="shared" si="112"/>
        <v>-0.32015485298184165</v>
      </c>
      <c r="AB100" s="179">
        <f t="shared" si="112"/>
        <v>-0.42401762613195337</v>
      </c>
      <c r="AC100" s="179">
        <f t="shared" si="113"/>
        <v>-0.38274076117688727</v>
      </c>
    </row>
    <row r="101" spans="1:29" x14ac:dyDescent="0.25">
      <c r="A101" s="175">
        <f t="shared" si="79"/>
        <v>43982</v>
      </c>
      <c r="B101" s="223">
        <v>3000</v>
      </c>
      <c r="C101" s="223">
        <v>3000</v>
      </c>
      <c r="D101" s="223"/>
      <c r="E101">
        <f t="shared" si="77"/>
        <v>6000</v>
      </c>
      <c r="H101" s="56">
        <f t="shared" si="82"/>
        <v>8819</v>
      </c>
      <c r="I101" s="56">
        <f t="shared" si="83"/>
        <v>8517</v>
      </c>
      <c r="J101" s="56">
        <f t="shared" si="83"/>
        <v>1787</v>
      </c>
      <c r="K101" s="56">
        <f t="shared" si="80"/>
        <v>19123</v>
      </c>
      <c r="N101" s="179">
        <f t="shared" si="98"/>
        <v>-0.80143201314930312</v>
      </c>
      <c r="O101" s="179">
        <f t="shared" si="99"/>
        <v>-0.8690135646396604</v>
      </c>
      <c r="P101" s="179">
        <f t="shared" si="99"/>
        <v>-0.78700834326579261</v>
      </c>
      <c r="Q101" s="179">
        <f t="shared" si="100"/>
        <v>-0.83769997878209213</v>
      </c>
      <c r="T101">
        <f t="shared" si="93"/>
        <v>94472</v>
      </c>
      <c r="U101">
        <f t="shared" si="94"/>
        <v>169171</v>
      </c>
      <c r="V101">
        <f t="shared" si="95"/>
        <v>27021</v>
      </c>
      <c r="W101">
        <f t="shared" ref="W101" si="123">+SUM(E90:E101)</f>
        <v>290664</v>
      </c>
      <c r="Z101" s="179">
        <f t="shared" si="111"/>
        <v>-0.49120794489414532</v>
      </c>
      <c r="AA101" s="179">
        <f t="shared" si="112"/>
        <v>-0.3698207108240299</v>
      </c>
      <c r="AB101" s="179">
        <f t="shared" si="112"/>
        <v>-0.42904534505345904</v>
      </c>
      <c r="AC101" s="179">
        <f t="shared" si="113"/>
        <v>-0.42035760009891232</v>
      </c>
    </row>
    <row r="102" spans="1:29" x14ac:dyDescent="0.25">
      <c r="A102" s="175">
        <f t="shared" si="79"/>
        <v>44012</v>
      </c>
      <c r="B102">
        <v>2862</v>
      </c>
      <c r="C102">
        <v>5106</v>
      </c>
      <c r="D102">
        <f>+I101-H101</f>
        <v>-302</v>
      </c>
      <c r="E102">
        <f t="shared" si="77"/>
        <v>7666</v>
      </c>
      <c r="H102" s="56">
        <f t="shared" si="82"/>
        <v>8862</v>
      </c>
      <c r="I102" s="56">
        <f t="shared" si="83"/>
        <v>11106</v>
      </c>
      <c r="J102" s="56">
        <f t="shared" si="83"/>
        <v>-302</v>
      </c>
      <c r="K102" s="56">
        <f t="shared" si="80"/>
        <v>19666</v>
      </c>
      <c r="N102" s="179">
        <f t="shared" si="98"/>
        <v>-0.75717886891714159</v>
      </c>
      <c r="O102" s="179">
        <f t="shared" si="99"/>
        <v>-0.80766832917705733</v>
      </c>
      <c r="P102" s="179">
        <f t="shared" si="99"/>
        <v>-1.0562383612662942</v>
      </c>
      <c r="Q102" s="179">
        <f t="shared" si="100"/>
        <v>-0.80257002309005121</v>
      </c>
      <c r="T102">
        <f t="shared" si="93"/>
        <v>84118</v>
      </c>
      <c r="U102">
        <f t="shared" si="94"/>
        <v>151771</v>
      </c>
      <c r="V102">
        <f t="shared" si="95"/>
        <v>24120</v>
      </c>
      <c r="W102">
        <f t="shared" ref="W102" si="124">+SUM(E91:E102)</f>
        <v>260009</v>
      </c>
      <c r="Z102" s="179">
        <f t="shared" si="111"/>
        <v>-0.54247889652771741</v>
      </c>
      <c r="AA102" s="179">
        <f t="shared" si="112"/>
        <v>-0.43249175497505932</v>
      </c>
      <c r="AB102" s="179">
        <f t="shared" si="112"/>
        <v>-0.46259079363664724</v>
      </c>
      <c r="AC102" s="179">
        <f t="shared" si="113"/>
        <v>-0.47597002652306053</v>
      </c>
    </row>
    <row r="103" spans="1:29" x14ac:dyDescent="0.25">
      <c r="A103" s="175">
        <f t="shared" si="79"/>
        <v>44043</v>
      </c>
      <c r="B103">
        <v>3725</v>
      </c>
      <c r="C103">
        <v>8287</v>
      </c>
      <c r="D103">
        <v>676</v>
      </c>
      <c r="E103">
        <f t="shared" si="77"/>
        <v>12688</v>
      </c>
      <c r="H103" s="56">
        <f t="shared" si="82"/>
        <v>9587</v>
      </c>
      <c r="I103" s="56">
        <f t="shared" si="83"/>
        <v>16393</v>
      </c>
      <c r="J103" s="56">
        <f t="shared" si="83"/>
        <v>374</v>
      </c>
      <c r="K103" s="56">
        <f t="shared" si="80"/>
        <v>26354</v>
      </c>
      <c r="N103" s="179">
        <f t="shared" si="98"/>
        <v>-0.70483374384236452</v>
      </c>
      <c r="O103" s="179">
        <f t="shared" si="99"/>
        <v>-0.70207545798197146</v>
      </c>
      <c r="P103" s="179">
        <f t="shared" si="99"/>
        <v>-0.94864753535630919</v>
      </c>
      <c r="Q103" s="179">
        <f t="shared" si="100"/>
        <v>-0.72196609239663667</v>
      </c>
      <c r="T103">
        <f t="shared" si="93"/>
        <v>79688</v>
      </c>
      <c r="U103">
        <f t="shared" si="94"/>
        <v>145760</v>
      </c>
      <c r="V103">
        <f t="shared" si="95"/>
        <v>21586</v>
      </c>
      <c r="W103">
        <f t="shared" ref="W103" si="125">+SUM(E92:E103)</f>
        <v>247034</v>
      </c>
      <c r="Z103" s="179">
        <f t="shared" si="111"/>
        <v>-0.55425036219115864</v>
      </c>
      <c r="AA103" s="179">
        <f t="shared" si="112"/>
        <v>-0.43971432195669469</v>
      </c>
      <c r="AB103" s="179">
        <f t="shared" si="112"/>
        <v>-0.50068238069903548</v>
      </c>
      <c r="AC103" s="179">
        <f t="shared" si="113"/>
        <v>-0.48764821417090287</v>
      </c>
    </row>
    <row r="104" spans="1:29" x14ac:dyDescent="0.25">
      <c r="A104" s="175">
        <f t="shared" si="79"/>
        <v>44074</v>
      </c>
      <c r="B104">
        <v>5467</v>
      </c>
      <c r="C104">
        <v>11370</v>
      </c>
      <c r="D104">
        <v>1052</v>
      </c>
      <c r="E104">
        <f t="shared" si="77"/>
        <v>17889</v>
      </c>
      <c r="H104" s="56">
        <f t="shared" si="82"/>
        <v>12054</v>
      </c>
      <c r="I104" s="56">
        <f t="shared" si="83"/>
        <v>24763</v>
      </c>
      <c r="J104" s="56">
        <f t="shared" si="83"/>
        <v>1426</v>
      </c>
      <c r="K104" s="56">
        <f t="shared" si="80"/>
        <v>38243</v>
      </c>
      <c r="N104" s="179">
        <f t="shared" si="98"/>
        <v>-0.58848832445718968</v>
      </c>
      <c r="O104" s="179">
        <f t="shared" si="99"/>
        <v>-0.51164533496361453</v>
      </c>
      <c r="P104" s="179">
        <f t="shared" si="99"/>
        <v>-0.83877897117015265</v>
      </c>
      <c r="Q104" s="179">
        <f t="shared" si="100"/>
        <v>-0.56954887218045114</v>
      </c>
      <c r="T104">
        <f t="shared" si="93"/>
        <v>77234</v>
      </c>
      <c r="U104">
        <f t="shared" si="94"/>
        <v>143227</v>
      </c>
      <c r="V104">
        <f t="shared" si="95"/>
        <v>19602</v>
      </c>
      <c r="W104">
        <f t="shared" ref="W104" si="126">+SUM(E93:E104)</f>
        <v>240063</v>
      </c>
      <c r="Z104" s="179">
        <f t="shared" si="111"/>
        <v>-0.54616288635562338</v>
      </c>
      <c r="AA104" s="179">
        <f t="shared" si="112"/>
        <v>-0.42871672962095797</v>
      </c>
      <c r="AB104" s="179">
        <f t="shared" si="112"/>
        <v>-0.5223567825726747</v>
      </c>
      <c r="AC104" s="179">
        <f t="shared" si="113"/>
        <v>-0.48030437512177171</v>
      </c>
    </row>
    <row r="105" spans="1:29" x14ac:dyDescent="0.25">
      <c r="A105" s="175">
        <f t="shared" si="79"/>
        <v>44104</v>
      </c>
      <c r="B105">
        <v>8723</v>
      </c>
      <c r="C105">
        <v>14522</v>
      </c>
      <c r="D105">
        <v>1665</v>
      </c>
      <c r="E105">
        <f t="shared" si="77"/>
        <v>24910</v>
      </c>
      <c r="H105" s="56">
        <f t="shared" si="82"/>
        <v>17915</v>
      </c>
      <c r="I105" s="56">
        <f t="shared" si="83"/>
        <v>34179</v>
      </c>
      <c r="J105" s="56">
        <f t="shared" si="83"/>
        <v>3393</v>
      </c>
      <c r="K105" s="56">
        <f t="shared" si="80"/>
        <v>55487</v>
      </c>
      <c r="N105" s="179">
        <f t="shared" si="98"/>
        <v>-0.24875246362225856</v>
      </c>
      <c r="O105" s="179">
        <f t="shared" si="99"/>
        <v>-0.23552304905052679</v>
      </c>
      <c r="P105" s="179">
        <f t="shared" si="99"/>
        <v>-0.66225363328688036</v>
      </c>
      <c r="Q105" s="179">
        <f t="shared" si="100"/>
        <v>-0.29407648660339436</v>
      </c>
      <c r="T105">
        <f t="shared" si="93"/>
        <v>78186</v>
      </c>
      <c r="U105">
        <f t="shared" si="94"/>
        <v>141241</v>
      </c>
      <c r="V105">
        <f t="shared" si="95"/>
        <v>17467</v>
      </c>
      <c r="W105">
        <f t="shared" ref="W105" si="127">+SUM(E94:E105)</f>
        <v>236894</v>
      </c>
      <c r="Z105" s="179">
        <f t="shared" si="111"/>
        <v>-0.50674405400290201</v>
      </c>
      <c r="AA105" s="179">
        <f t="shared" si="112"/>
        <v>-0.41269735665783747</v>
      </c>
      <c r="AB105" s="179">
        <f t="shared" si="112"/>
        <v>-0.55879158352067493</v>
      </c>
      <c r="AC105" s="179">
        <f t="shared" si="113"/>
        <v>-0.45987368613055468</v>
      </c>
    </row>
    <row r="106" spans="1:29" x14ac:dyDescent="0.25">
      <c r="A106" s="175">
        <f t="shared" si="79"/>
        <v>44135</v>
      </c>
      <c r="B106">
        <v>9319</v>
      </c>
      <c r="C106">
        <v>16733</v>
      </c>
      <c r="D106">
        <v>2420</v>
      </c>
      <c r="E106">
        <f t="shared" si="77"/>
        <v>28472</v>
      </c>
      <c r="H106" s="56">
        <f t="shared" si="82"/>
        <v>23509</v>
      </c>
      <c r="I106" s="56">
        <f t="shared" si="83"/>
        <v>42625</v>
      </c>
      <c r="J106" s="56">
        <f t="shared" si="83"/>
        <v>5137</v>
      </c>
      <c r="K106" s="56">
        <f t="shared" si="80"/>
        <v>71271</v>
      </c>
      <c r="N106" s="179">
        <f t="shared" si="98"/>
        <v>3.71445649389468E-3</v>
      </c>
      <c r="O106" s="179">
        <f t="shared" si="99"/>
        <v>-0.12409584086799275</v>
      </c>
      <c r="P106" s="179">
        <f t="shared" si="99"/>
        <v>-0.4198757763975155</v>
      </c>
      <c r="Q106" s="179">
        <f t="shared" si="100"/>
        <v>-0.11946973721599685</v>
      </c>
      <c r="T106">
        <f t="shared" si="93"/>
        <v>79775</v>
      </c>
      <c r="U106">
        <f t="shared" si="94"/>
        <v>139721</v>
      </c>
      <c r="V106">
        <f t="shared" si="95"/>
        <v>17868</v>
      </c>
      <c r="W106">
        <f t="shared" ref="W106" si="128">+SUM(E95:E106)</f>
        <v>237364</v>
      </c>
      <c r="Z106" s="179">
        <f t="shared" si="111"/>
        <v>-0.46643792554543384</v>
      </c>
      <c r="AA106" s="179">
        <f t="shared" si="112"/>
        <v>-0.40808726964626141</v>
      </c>
      <c r="AB106" s="179">
        <f t="shared" si="112"/>
        <v>-0.51987101975010075</v>
      </c>
      <c r="AC106" s="179">
        <f t="shared" si="113"/>
        <v>-0.43856246407697641</v>
      </c>
    </row>
    <row r="107" spans="1:29" x14ac:dyDescent="0.25">
      <c r="A107" s="175">
        <f t="shared" si="79"/>
        <v>44165</v>
      </c>
      <c r="B107">
        <v>10409</v>
      </c>
      <c r="C107">
        <v>15809</v>
      </c>
      <c r="D107">
        <v>1764</v>
      </c>
      <c r="E107">
        <f t="shared" si="77"/>
        <v>27982</v>
      </c>
      <c r="H107" s="56">
        <f t="shared" si="82"/>
        <v>28451</v>
      </c>
      <c r="I107" s="56">
        <f t="shared" si="83"/>
        <v>47064</v>
      </c>
      <c r="J107" s="56">
        <f t="shared" si="83"/>
        <v>5849</v>
      </c>
      <c r="K107" s="56">
        <f t="shared" si="80"/>
        <v>81364</v>
      </c>
      <c r="N107" s="179">
        <f t="shared" si="98"/>
        <v>0.16712474873856498</v>
      </c>
      <c r="O107" s="179">
        <f t="shared" si="99"/>
        <v>-0.12098913002876244</v>
      </c>
      <c r="P107" s="179">
        <f t="shared" si="99"/>
        <v>-0.33154285714285714</v>
      </c>
      <c r="Q107" s="179">
        <f t="shared" si="100"/>
        <v>-6.1209890502948006E-2</v>
      </c>
      <c r="T107">
        <f t="shared" si="93"/>
        <v>81308</v>
      </c>
      <c r="U107">
        <f t="shared" si="94"/>
        <v>136749</v>
      </c>
      <c r="V107">
        <f t="shared" si="95"/>
        <v>16701</v>
      </c>
      <c r="W107">
        <f t="shared" ref="W107" si="129">+SUM(E96:E107)</f>
        <v>234758</v>
      </c>
      <c r="Z107" s="179">
        <f t="shared" si="111"/>
        <v>-0.44058619147545497</v>
      </c>
      <c r="AA107" s="179">
        <f t="shared" si="112"/>
        <v>-0.41656996091950105</v>
      </c>
      <c r="AB107" s="179">
        <f t="shared" si="112"/>
        <v>-0.53188328615074143</v>
      </c>
      <c r="AC107" s="179">
        <f t="shared" si="113"/>
        <v>-0.43487638718374622</v>
      </c>
    </row>
    <row r="108" spans="1:29" x14ac:dyDescent="0.25">
      <c r="A108" s="175">
        <f t="shared" si="79"/>
        <v>44196</v>
      </c>
      <c r="B108">
        <v>13747</v>
      </c>
      <c r="C108">
        <v>16138</v>
      </c>
      <c r="D108">
        <v>2984</v>
      </c>
      <c r="E108">
        <f t="shared" si="77"/>
        <v>32869</v>
      </c>
      <c r="H108" s="56">
        <f t="shared" si="82"/>
        <v>33475</v>
      </c>
      <c r="I108" s="56">
        <f t="shared" si="83"/>
        <v>48680</v>
      </c>
      <c r="J108" s="56">
        <f t="shared" si="83"/>
        <v>7168</v>
      </c>
      <c r="K108" s="56">
        <f t="shared" si="80"/>
        <v>89323</v>
      </c>
      <c r="N108" s="179">
        <f t="shared" si="98"/>
        <v>0.21462264150943389</v>
      </c>
      <c r="O108" s="179">
        <f t="shared" si="99"/>
        <v>-0.15411214790873862</v>
      </c>
      <c r="P108" s="179">
        <f t="shared" si="99"/>
        <v>-5.222795187095064E-2</v>
      </c>
      <c r="Q108" s="179">
        <f t="shared" si="100"/>
        <v>-3.6138207872928207E-2</v>
      </c>
      <c r="T108">
        <f t="shared" si="93"/>
        <v>84101</v>
      </c>
      <c r="U108">
        <f t="shared" si="94"/>
        <v>132372</v>
      </c>
      <c r="V108">
        <f t="shared" si="95"/>
        <v>17072</v>
      </c>
      <c r="W108">
        <f t="shared" ref="W108" si="130">+SUM(E97:E108)</f>
        <v>233545</v>
      </c>
      <c r="Z108" s="179">
        <f t="shared" si="111"/>
        <v>-0.40320463238268245</v>
      </c>
      <c r="AA108" s="179">
        <f t="shared" si="112"/>
        <v>-0.43455175330306151</v>
      </c>
      <c r="AB108" s="179">
        <f t="shared" si="112"/>
        <v>-0.50451313307212309</v>
      </c>
      <c r="AC108" s="179">
        <f t="shared" si="113"/>
        <v>-0.42965050540079175</v>
      </c>
    </row>
    <row r="109" spans="1:29" x14ac:dyDescent="0.25">
      <c r="A109" s="175">
        <f t="shared" si="79"/>
        <v>44227</v>
      </c>
      <c r="B109">
        <v>14378</v>
      </c>
      <c r="C109">
        <v>16386</v>
      </c>
      <c r="D109">
        <v>2145</v>
      </c>
      <c r="E109">
        <f t="shared" si="77"/>
        <v>32909</v>
      </c>
      <c r="H109" s="56">
        <f t="shared" si="82"/>
        <v>38534</v>
      </c>
      <c r="I109" s="56">
        <f t="shared" si="83"/>
        <v>48333</v>
      </c>
      <c r="J109" s="56">
        <f t="shared" si="83"/>
        <v>6893</v>
      </c>
      <c r="K109" s="56">
        <f t="shared" si="80"/>
        <v>93760</v>
      </c>
      <c r="N109" s="179">
        <f t="shared" si="98"/>
        <v>0.25293448219801662</v>
      </c>
      <c r="O109" s="179">
        <f t="shared" si="99"/>
        <v>-0.19065958907550362</v>
      </c>
      <c r="P109" s="179">
        <f t="shared" si="99"/>
        <v>-0.14436444885799404</v>
      </c>
      <c r="Q109" s="179">
        <f t="shared" si="100"/>
        <v>-4.841165127372371E-2</v>
      </c>
      <c r="T109">
        <f t="shared" si="93"/>
        <v>87554</v>
      </c>
      <c r="U109">
        <f t="shared" si="94"/>
        <v>128335</v>
      </c>
      <c r="V109">
        <f t="shared" si="95"/>
        <v>16705</v>
      </c>
      <c r="W109">
        <f t="shared" ref="W109" si="131">+SUM(E98:E109)</f>
        <v>232594</v>
      </c>
      <c r="Z109" s="179">
        <f t="shared" si="111"/>
        <v>-0.35748200224559135</v>
      </c>
      <c r="AA109" s="179">
        <f t="shared" si="112"/>
        <v>-0.44923910151321378</v>
      </c>
      <c r="AB109" s="179">
        <f t="shared" si="112"/>
        <v>-0.50695079838257429</v>
      </c>
      <c r="AC109" s="179">
        <f t="shared" si="113"/>
        <v>-0.42307558748096297</v>
      </c>
    </row>
    <row r="110" spans="1:29" x14ac:dyDescent="0.25">
      <c r="A110" s="175">
        <f t="shared" si="79"/>
        <v>44255</v>
      </c>
      <c r="B110">
        <v>15535</v>
      </c>
      <c r="C110">
        <v>15606</v>
      </c>
      <c r="D110">
        <v>2718</v>
      </c>
      <c r="E110">
        <f t="shared" si="77"/>
        <v>33859</v>
      </c>
      <c r="H110" s="56">
        <f t="shared" si="82"/>
        <v>43660</v>
      </c>
      <c r="I110" s="56">
        <f t="shared" si="83"/>
        <v>48130</v>
      </c>
      <c r="J110" s="56">
        <f t="shared" si="83"/>
        <v>7847</v>
      </c>
      <c r="K110" s="56">
        <f t="shared" si="80"/>
        <v>99637</v>
      </c>
      <c r="N110" s="179">
        <f t="shared" si="98"/>
        <v>0.36505752876438224</v>
      </c>
      <c r="O110" s="179">
        <f t="shared" si="99"/>
        <v>-0.14670685222941227</v>
      </c>
      <c r="P110" s="179">
        <f t="shared" si="99"/>
        <v>2.7228694855347513E-2</v>
      </c>
      <c r="Q110" s="179">
        <f t="shared" si="100"/>
        <v>3.7582788353397012E-2</v>
      </c>
      <c r="T110">
        <f t="shared" si="93"/>
        <v>92984</v>
      </c>
      <c r="U110">
        <f t="shared" si="94"/>
        <v>128474</v>
      </c>
      <c r="V110">
        <f t="shared" si="95"/>
        <v>16909</v>
      </c>
      <c r="W110">
        <f t="shared" ref="W110" si="132">+SUM(E99:E110)</f>
        <v>238367</v>
      </c>
      <c r="Z110" s="179">
        <f t="shared" si="111"/>
        <v>-0.28510141005335754</v>
      </c>
      <c r="AA110" s="179">
        <f t="shared" si="112"/>
        <v>-0.43071483011042377</v>
      </c>
      <c r="AB110" s="179">
        <f t="shared" si="112"/>
        <v>-0.49711515584106591</v>
      </c>
      <c r="AC110" s="179">
        <f t="shared" si="113"/>
        <v>-0.38780735862915616</v>
      </c>
    </row>
    <row r="111" spans="1:29" x14ac:dyDescent="0.25">
      <c r="A111" s="175">
        <f t="shared" si="79"/>
        <v>44286</v>
      </c>
      <c r="B111">
        <v>19702</v>
      </c>
      <c r="C111">
        <v>17253</v>
      </c>
      <c r="D111">
        <v>3654</v>
      </c>
      <c r="E111">
        <f t="shared" si="77"/>
        <v>40609</v>
      </c>
      <c r="H111" s="56">
        <f t="shared" si="82"/>
        <v>49615</v>
      </c>
      <c r="I111" s="56">
        <f t="shared" si="83"/>
        <v>49245</v>
      </c>
      <c r="J111" s="56">
        <f t="shared" si="83"/>
        <v>8517</v>
      </c>
      <c r="K111" s="56">
        <f t="shared" si="80"/>
        <v>107377</v>
      </c>
      <c r="N111" s="179">
        <f t="shared" si="98"/>
        <v>1.0803807287517295</v>
      </c>
      <c r="O111" s="179">
        <f t="shared" si="99"/>
        <v>0.2821881427864712</v>
      </c>
      <c r="P111" s="179">
        <f t="shared" si="99"/>
        <v>0.25011008366358434</v>
      </c>
      <c r="Q111" s="179">
        <f t="shared" si="100"/>
        <v>0.55463377202507647</v>
      </c>
      <c r="T111">
        <f t="shared" si="93"/>
        <v>109867</v>
      </c>
      <c r="U111">
        <f t="shared" si="94"/>
        <v>143210</v>
      </c>
      <c r="V111">
        <f t="shared" si="95"/>
        <v>18776</v>
      </c>
      <c r="W111">
        <f t="shared" ref="W111" si="133">+SUM(E100:E111)</f>
        <v>271853</v>
      </c>
      <c r="Z111" s="179">
        <f t="shared" si="111"/>
        <v>-1.6867707065645332E-2</v>
      </c>
      <c r="AA111" s="179">
        <f t="shared" si="112"/>
        <v>-0.27820814579983766</v>
      </c>
      <c r="AB111" s="179">
        <f t="shared" si="112"/>
        <v>-0.36976369495166483</v>
      </c>
      <c r="AC111" s="179">
        <f t="shared" si="113"/>
        <v>-0.20032180919127052</v>
      </c>
    </row>
    <row r="112" spans="1:29" x14ac:dyDescent="0.25">
      <c r="A112" s="175">
        <f t="shared" si="79"/>
        <v>44316</v>
      </c>
      <c r="B112">
        <v>7505</v>
      </c>
      <c r="C112">
        <v>6930</v>
      </c>
      <c r="D112">
        <v>2209</v>
      </c>
      <c r="E112">
        <f t="shared" si="77"/>
        <v>16644</v>
      </c>
      <c r="H112" s="56">
        <f t="shared" si="82"/>
        <v>42742</v>
      </c>
      <c r="I112" s="56">
        <f t="shared" si="83"/>
        <v>39789</v>
      </c>
      <c r="J112" s="56">
        <f t="shared" si="83"/>
        <v>8581</v>
      </c>
      <c r="K112" s="56">
        <f t="shared" si="80"/>
        <v>91112</v>
      </c>
      <c r="N112" s="179">
        <f t="shared" si="98"/>
        <v>1.6841245918111025</v>
      </c>
      <c r="O112" s="179">
        <f t="shared" si="99"/>
        <v>0.89615897826915747</v>
      </c>
      <c r="P112" s="179">
        <f t="shared" si="99"/>
        <v>0.99511741455475478</v>
      </c>
      <c r="Q112" s="179">
        <f t="shared" si="100"/>
        <v>1.2109733310684558</v>
      </c>
      <c r="T112">
        <f t="shared" ref="T112:T143" si="134">+SUM(B101:B112)</f>
        <v>114372</v>
      </c>
      <c r="U112">
        <f t="shared" ref="U112:U143" si="135">+SUM(C101:C112)</f>
        <v>147140</v>
      </c>
      <c r="V112">
        <f t="shared" ref="V112:V143" si="136">+SUM(D101:D112)</f>
        <v>20985</v>
      </c>
      <c r="W112">
        <f t="shared" ref="W112" si="137">+SUM(E101:E112)</f>
        <v>282497</v>
      </c>
      <c r="Z112" s="179">
        <f t="shared" si="111"/>
        <v>0.11494331308916861</v>
      </c>
      <c r="AA112" s="179">
        <f t="shared" si="112"/>
        <v>-0.20202179065138759</v>
      </c>
      <c r="AB112" s="179">
        <f t="shared" si="112"/>
        <v>-0.26355500965081591</v>
      </c>
      <c r="AC112" s="179">
        <f t="shared" si="113"/>
        <v>-0.10451172388871099</v>
      </c>
    </row>
    <row r="113" spans="1:29" x14ac:dyDescent="0.25">
      <c r="A113" s="175">
        <f t="shared" si="79"/>
        <v>44347</v>
      </c>
      <c r="B113">
        <v>4238</v>
      </c>
      <c r="C113">
        <v>5133</v>
      </c>
      <c r="D113">
        <v>2030</v>
      </c>
      <c r="E113">
        <f t="shared" si="77"/>
        <v>11401</v>
      </c>
      <c r="H113" s="56">
        <f t="shared" si="82"/>
        <v>31445</v>
      </c>
      <c r="I113" s="56">
        <f t="shared" si="83"/>
        <v>29316</v>
      </c>
      <c r="J113" s="56">
        <f t="shared" si="83"/>
        <v>7893</v>
      </c>
      <c r="K113" s="56">
        <f t="shared" si="80"/>
        <v>68654</v>
      </c>
      <c r="N113" s="179">
        <f t="shared" si="98"/>
        <v>2.5655970064633178</v>
      </c>
      <c r="O113" s="179">
        <f t="shared" si="99"/>
        <v>2.4420570623458966</v>
      </c>
      <c r="P113" s="179">
        <f t="shared" si="99"/>
        <v>3.4168998321208726</v>
      </c>
      <c r="Q113" s="179">
        <f t="shared" si="100"/>
        <v>2.5901270721121161</v>
      </c>
      <c r="T113">
        <f t="shared" si="134"/>
        <v>115610</v>
      </c>
      <c r="U113">
        <f t="shared" si="135"/>
        <v>149273</v>
      </c>
      <c r="V113">
        <f t="shared" si="136"/>
        <v>23015</v>
      </c>
      <c r="W113">
        <f t="shared" ref="W113" si="138">+SUM(E102:E113)</f>
        <v>287898</v>
      </c>
      <c r="Z113" s="179">
        <f t="shared" si="111"/>
        <v>0.22374883563383863</v>
      </c>
      <c r="AA113" s="179">
        <f t="shared" si="112"/>
        <v>-0.11762063237788978</v>
      </c>
      <c r="AB113" s="179">
        <f t="shared" si="112"/>
        <v>-0.14825506087857587</v>
      </c>
      <c r="AC113" s="179">
        <f t="shared" si="113"/>
        <v>-9.5161423499298126E-3</v>
      </c>
    </row>
    <row r="114" spans="1:29" x14ac:dyDescent="0.25">
      <c r="A114" s="175">
        <f t="shared" si="79"/>
        <v>44377</v>
      </c>
      <c r="B114">
        <v>8971</v>
      </c>
      <c r="C114">
        <v>10623</v>
      </c>
      <c r="D114">
        <v>2506</v>
      </c>
      <c r="E114">
        <f t="shared" si="77"/>
        <v>22100</v>
      </c>
      <c r="H114" s="56">
        <f t="shared" si="82"/>
        <v>20714</v>
      </c>
      <c r="I114" s="56">
        <f t="shared" si="83"/>
        <v>22686</v>
      </c>
      <c r="J114" s="56">
        <f t="shared" si="83"/>
        <v>6745</v>
      </c>
      <c r="K114" s="56">
        <f t="shared" si="80"/>
        <v>50145</v>
      </c>
      <c r="N114" s="179">
        <f t="shared" ref="N114:N145" si="139">+H114/H102-1</f>
        <v>1.3373956217558112</v>
      </c>
      <c r="O114" s="179">
        <f t="shared" ref="O114:P145" si="140">+I114/I102-1</f>
        <v>1.0426796326310104</v>
      </c>
      <c r="P114" s="179">
        <f t="shared" si="140"/>
        <v>-23.334437086092716</v>
      </c>
      <c r="Q114" s="179">
        <f t="shared" ref="Q114:Q145" si="141">+K114/K102-1</f>
        <v>1.5498321977016172</v>
      </c>
      <c r="T114">
        <f t="shared" si="134"/>
        <v>121719</v>
      </c>
      <c r="U114">
        <f t="shared" si="135"/>
        <v>154790</v>
      </c>
      <c r="V114">
        <f t="shared" si="136"/>
        <v>25823</v>
      </c>
      <c r="W114">
        <f t="shared" ref="W114" si="142">+SUM(E103:E114)</f>
        <v>302332</v>
      </c>
      <c r="Z114" s="179">
        <f t="shared" si="111"/>
        <v>0.44700301956775013</v>
      </c>
      <c r="AA114" s="179">
        <f t="shared" si="112"/>
        <v>1.9891810688471345E-2</v>
      </c>
      <c r="AB114" s="179">
        <f t="shared" si="112"/>
        <v>7.0605306799336631E-2</v>
      </c>
      <c r="AC114" s="179">
        <f t="shared" si="113"/>
        <v>0.16277513470687555</v>
      </c>
    </row>
    <row r="115" spans="1:29" x14ac:dyDescent="0.25">
      <c r="A115" s="175">
        <f t="shared" si="79"/>
        <v>44408</v>
      </c>
      <c r="B115">
        <v>9598</v>
      </c>
      <c r="C115">
        <v>12198</v>
      </c>
      <c r="D115">
        <v>2052</v>
      </c>
      <c r="E115">
        <f t="shared" si="77"/>
        <v>23848</v>
      </c>
      <c r="H115" s="56">
        <f t="shared" si="82"/>
        <v>22807</v>
      </c>
      <c r="I115" s="56">
        <f t="shared" si="83"/>
        <v>27954</v>
      </c>
      <c r="J115" s="56">
        <f t="shared" si="83"/>
        <v>6588</v>
      </c>
      <c r="K115" s="56">
        <f t="shared" si="80"/>
        <v>57349</v>
      </c>
      <c r="N115" s="179">
        <f t="shared" si="139"/>
        <v>1.378950662355273</v>
      </c>
      <c r="O115" s="179">
        <f t="shared" si="140"/>
        <v>0.70524004148111996</v>
      </c>
      <c r="P115" s="179">
        <f t="shared" si="140"/>
        <v>16.614973262032084</v>
      </c>
      <c r="Q115" s="179">
        <f t="shared" si="141"/>
        <v>1.1761022994611823</v>
      </c>
      <c r="T115">
        <f t="shared" si="134"/>
        <v>127592</v>
      </c>
      <c r="U115">
        <f t="shared" si="135"/>
        <v>158701</v>
      </c>
      <c r="V115">
        <f t="shared" si="136"/>
        <v>27199</v>
      </c>
      <c r="W115">
        <f t="shared" ref="W115" si="143">+SUM(E104:E115)</f>
        <v>313492</v>
      </c>
      <c r="Z115" s="179">
        <f t="shared" si="111"/>
        <v>0.60114446340728844</v>
      </c>
      <c r="AA115" s="179">
        <f t="shared" si="112"/>
        <v>8.8782930845225039E-2</v>
      </c>
      <c r="AB115" s="179">
        <f t="shared" si="112"/>
        <v>0.26002964884647461</v>
      </c>
      <c r="AC115" s="179">
        <f t="shared" si="113"/>
        <v>0.26902369714290342</v>
      </c>
    </row>
    <row r="116" spans="1:29" x14ac:dyDescent="0.25">
      <c r="A116" s="175">
        <f t="shared" si="79"/>
        <v>44439</v>
      </c>
      <c r="B116">
        <v>11317</v>
      </c>
      <c r="C116">
        <v>14855</v>
      </c>
      <c r="D116">
        <v>3609</v>
      </c>
      <c r="E116">
        <f t="shared" si="77"/>
        <v>29781</v>
      </c>
      <c r="H116" s="56">
        <f t="shared" si="82"/>
        <v>29886</v>
      </c>
      <c r="I116" s="56">
        <f t="shared" si="83"/>
        <v>37676</v>
      </c>
      <c r="J116" s="56">
        <f t="shared" si="83"/>
        <v>8167</v>
      </c>
      <c r="K116" s="56">
        <f t="shared" si="80"/>
        <v>75729</v>
      </c>
      <c r="N116" s="179">
        <f t="shared" si="139"/>
        <v>1.479342956694873</v>
      </c>
      <c r="O116" s="179">
        <f t="shared" si="140"/>
        <v>0.52146347373096957</v>
      </c>
      <c r="P116" s="179">
        <f t="shared" si="140"/>
        <v>4.7272089761570824</v>
      </c>
      <c r="Q116" s="179">
        <f t="shared" si="141"/>
        <v>0.98020552780901071</v>
      </c>
      <c r="T116">
        <f t="shared" si="134"/>
        <v>133442</v>
      </c>
      <c r="U116">
        <f t="shared" si="135"/>
        <v>162186</v>
      </c>
      <c r="V116">
        <f t="shared" si="136"/>
        <v>29756</v>
      </c>
      <c r="W116">
        <f t="shared" ref="W116" si="144">+SUM(E105:E116)</f>
        <v>325384</v>
      </c>
      <c r="Z116" s="179">
        <f t="shared" si="111"/>
        <v>0.72776238444208508</v>
      </c>
      <c r="AA116" s="179">
        <f t="shared" si="112"/>
        <v>0.13237029331061878</v>
      </c>
      <c r="AB116" s="179">
        <f t="shared" si="112"/>
        <v>0.51800836649321491</v>
      </c>
      <c r="AC116" s="179">
        <f t="shared" si="113"/>
        <v>0.35541087131294691</v>
      </c>
    </row>
    <row r="117" spans="1:29" x14ac:dyDescent="0.25">
      <c r="A117" s="175">
        <f t="shared" si="79"/>
        <v>44469</v>
      </c>
      <c r="B117">
        <v>15294</v>
      </c>
      <c r="C117">
        <v>14964</v>
      </c>
      <c r="D117">
        <v>3000</v>
      </c>
      <c r="E117">
        <f t="shared" si="77"/>
        <v>33258</v>
      </c>
      <c r="H117" s="56">
        <f t="shared" si="82"/>
        <v>36209</v>
      </c>
      <c r="I117" s="56">
        <f t="shared" si="83"/>
        <v>42017</v>
      </c>
      <c r="J117" s="56">
        <f t="shared" si="83"/>
        <v>8661</v>
      </c>
      <c r="K117" s="56">
        <f t="shared" si="80"/>
        <v>86887</v>
      </c>
      <c r="N117" s="179">
        <f t="shared" si="139"/>
        <v>1.0211554563215182</v>
      </c>
      <c r="O117" s="179">
        <f t="shared" si="140"/>
        <v>0.2293220983644928</v>
      </c>
      <c r="P117" s="179">
        <f t="shared" si="140"/>
        <v>1.552608311229001</v>
      </c>
      <c r="Q117" s="179">
        <f t="shared" si="141"/>
        <v>0.5658983185250599</v>
      </c>
      <c r="T117">
        <f t="shared" si="134"/>
        <v>140013</v>
      </c>
      <c r="U117">
        <f t="shared" si="135"/>
        <v>162628</v>
      </c>
      <c r="V117">
        <f t="shared" si="136"/>
        <v>31091</v>
      </c>
      <c r="W117">
        <f t="shared" ref="W117" si="145">+SUM(E106:E117)</f>
        <v>333732</v>
      </c>
      <c r="Z117" s="179">
        <f t="shared" si="111"/>
        <v>0.79076816821425822</v>
      </c>
      <c r="AA117" s="179">
        <f t="shared" si="112"/>
        <v>0.15142203751035455</v>
      </c>
      <c r="AB117" s="179">
        <f t="shared" si="112"/>
        <v>0.77998511478788579</v>
      </c>
      <c r="AC117" s="179">
        <f t="shared" si="113"/>
        <v>0.40878198688020806</v>
      </c>
    </row>
    <row r="118" spans="1:29" x14ac:dyDescent="0.25">
      <c r="A118" s="175">
        <f t="shared" si="79"/>
        <v>44500</v>
      </c>
      <c r="B118">
        <v>14201</v>
      </c>
      <c r="C118">
        <v>17025</v>
      </c>
      <c r="D118">
        <v>2448</v>
      </c>
      <c r="E118">
        <f t="shared" si="77"/>
        <v>33674</v>
      </c>
      <c r="H118" s="56">
        <f t="shared" si="82"/>
        <v>40812</v>
      </c>
      <c r="I118" s="56">
        <f t="shared" si="83"/>
        <v>46844</v>
      </c>
      <c r="J118" s="56">
        <f t="shared" si="83"/>
        <v>9057</v>
      </c>
      <c r="K118" s="56">
        <f t="shared" si="80"/>
        <v>96713</v>
      </c>
      <c r="N118" s="179">
        <f t="shared" si="139"/>
        <v>0.73601599387468619</v>
      </c>
      <c r="O118" s="179">
        <f t="shared" si="140"/>
        <v>9.8979472140762415E-2</v>
      </c>
      <c r="P118" s="179">
        <f t="shared" si="140"/>
        <v>0.76309129842320411</v>
      </c>
      <c r="Q118" s="179">
        <f t="shared" si="141"/>
        <v>0.35697548792636558</v>
      </c>
      <c r="T118">
        <f t="shared" si="134"/>
        <v>144895</v>
      </c>
      <c r="U118">
        <f t="shared" si="135"/>
        <v>162920</v>
      </c>
      <c r="V118">
        <f t="shared" si="136"/>
        <v>31119</v>
      </c>
      <c r="W118">
        <f t="shared" ref="W118" si="146">+SUM(E107:E118)</f>
        <v>338934</v>
      </c>
      <c r="Z118" s="179">
        <f t="shared" si="111"/>
        <v>0.81629583202757749</v>
      </c>
      <c r="AA118" s="179">
        <f t="shared" si="112"/>
        <v>0.16603803293706743</v>
      </c>
      <c r="AB118" s="179">
        <f t="shared" si="112"/>
        <v>0.7416051040967091</v>
      </c>
      <c r="AC118" s="179">
        <f t="shared" si="113"/>
        <v>0.42790819163815907</v>
      </c>
    </row>
    <row r="119" spans="1:29" x14ac:dyDescent="0.25">
      <c r="A119" s="175">
        <f t="shared" si="79"/>
        <v>44530</v>
      </c>
      <c r="B119">
        <v>12548</v>
      </c>
      <c r="C119">
        <v>15747</v>
      </c>
      <c r="D119">
        <v>3950</v>
      </c>
      <c r="E119">
        <f t="shared" si="77"/>
        <v>32245</v>
      </c>
      <c r="H119" s="56">
        <f t="shared" si="82"/>
        <v>42043</v>
      </c>
      <c r="I119" s="56">
        <f t="shared" si="83"/>
        <v>47736</v>
      </c>
      <c r="J119" s="56">
        <f t="shared" si="83"/>
        <v>9398</v>
      </c>
      <c r="K119" s="56">
        <f t="shared" si="80"/>
        <v>99177</v>
      </c>
      <c r="N119" s="179">
        <f t="shared" si="139"/>
        <v>0.47773364732346835</v>
      </c>
      <c r="O119" s="179">
        <f t="shared" si="140"/>
        <v>1.4278429372768908E-2</v>
      </c>
      <c r="P119" s="179">
        <f t="shared" si="140"/>
        <v>0.60677038810052997</v>
      </c>
      <c r="Q119" s="179">
        <f t="shared" si="141"/>
        <v>0.21892974780000984</v>
      </c>
      <c r="T119">
        <f t="shared" si="134"/>
        <v>147034</v>
      </c>
      <c r="U119">
        <f t="shared" si="135"/>
        <v>162858</v>
      </c>
      <c r="V119">
        <f t="shared" si="136"/>
        <v>33305</v>
      </c>
      <c r="W119">
        <f t="shared" ref="W119" si="147">+SUM(E108:E119)</f>
        <v>343197</v>
      </c>
      <c r="Z119" s="179">
        <f t="shared" si="111"/>
        <v>0.80835834112264471</v>
      </c>
      <c r="AA119" s="179">
        <f t="shared" si="112"/>
        <v>0.19092644187526053</v>
      </c>
      <c r="AB119" s="179">
        <f t="shared" si="112"/>
        <v>0.99419196455302083</v>
      </c>
      <c r="AC119" s="179">
        <f t="shared" si="113"/>
        <v>0.46191823068862403</v>
      </c>
    </row>
    <row r="120" spans="1:29" x14ac:dyDescent="0.25">
      <c r="A120" s="175">
        <f t="shared" si="79"/>
        <v>44561</v>
      </c>
      <c r="B120">
        <v>14616</v>
      </c>
      <c r="C120">
        <v>16392</v>
      </c>
      <c r="D120">
        <v>3143</v>
      </c>
      <c r="E120">
        <f t="shared" si="77"/>
        <v>34151</v>
      </c>
      <c r="H120" s="56">
        <f t="shared" si="82"/>
        <v>41365</v>
      </c>
      <c r="I120" s="56">
        <f t="shared" si="83"/>
        <v>49164</v>
      </c>
      <c r="J120" s="56">
        <f t="shared" si="83"/>
        <v>9541</v>
      </c>
      <c r="K120" s="56">
        <f t="shared" si="80"/>
        <v>100070</v>
      </c>
      <c r="N120" s="179">
        <f t="shared" si="139"/>
        <v>0.23569828230022405</v>
      </c>
      <c r="O120" s="179">
        <f t="shared" si="140"/>
        <v>9.9424815119144583E-3</v>
      </c>
      <c r="P120" s="179">
        <f t="shared" si="140"/>
        <v>0.3310546875</v>
      </c>
      <c r="Q120" s="179">
        <f t="shared" si="141"/>
        <v>0.1203161559732655</v>
      </c>
      <c r="T120">
        <f t="shared" si="134"/>
        <v>147903</v>
      </c>
      <c r="U120">
        <f t="shared" si="135"/>
        <v>163112</v>
      </c>
      <c r="V120">
        <f t="shared" si="136"/>
        <v>33464</v>
      </c>
      <c r="W120">
        <f t="shared" ref="W120" si="148">+SUM(E109:E120)</f>
        <v>344479</v>
      </c>
      <c r="Z120" s="179">
        <f t="shared" si="111"/>
        <v>0.7586354502324586</v>
      </c>
      <c r="AA120" s="179">
        <f t="shared" si="112"/>
        <v>0.23222433747318161</v>
      </c>
      <c r="AB120" s="179">
        <f t="shared" si="112"/>
        <v>0.9601686972820993</v>
      </c>
      <c r="AC120" s="179">
        <f t="shared" si="113"/>
        <v>0.47500053522875674</v>
      </c>
    </row>
    <row r="121" spans="1:29" x14ac:dyDescent="0.25">
      <c r="A121" s="175">
        <f t="shared" si="79"/>
        <v>44592</v>
      </c>
      <c r="B121">
        <v>15879</v>
      </c>
      <c r="C121">
        <v>15829</v>
      </c>
      <c r="D121">
        <v>3560</v>
      </c>
      <c r="E121">
        <f t="shared" si="77"/>
        <v>35268</v>
      </c>
      <c r="H121" s="56">
        <f t="shared" si="82"/>
        <v>43043</v>
      </c>
      <c r="I121" s="56">
        <f t="shared" si="83"/>
        <v>47968</v>
      </c>
      <c r="J121" s="56">
        <f t="shared" si="83"/>
        <v>10653</v>
      </c>
      <c r="K121" s="56">
        <f t="shared" si="80"/>
        <v>101664</v>
      </c>
      <c r="N121" s="179">
        <f t="shared" si="139"/>
        <v>0.11701354647843454</v>
      </c>
      <c r="O121" s="179">
        <f t="shared" si="140"/>
        <v>-7.5517762191463778E-3</v>
      </c>
      <c r="P121" s="179">
        <f t="shared" si="140"/>
        <v>0.54548092267517778</v>
      </c>
      <c r="Q121" s="179">
        <f t="shared" si="141"/>
        <v>8.4300341296928316E-2</v>
      </c>
      <c r="T121">
        <f t="shared" si="134"/>
        <v>149404</v>
      </c>
      <c r="U121">
        <f t="shared" si="135"/>
        <v>162555</v>
      </c>
      <c r="V121">
        <f t="shared" si="136"/>
        <v>34879</v>
      </c>
      <c r="W121">
        <f t="shared" ref="W121" si="149">+SUM(E110:E121)</f>
        <v>346838</v>
      </c>
      <c r="Z121" s="179">
        <f t="shared" si="111"/>
        <v>0.70642118007172727</v>
      </c>
      <c r="AA121" s="179">
        <f t="shared" si="112"/>
        <v>0.26664588771574405</v>
      </c>
      <c r="AB121" s="179">
        <f t="shared" si="112"/>
        <v>1.0879377431906616</v>
      </c>
      <c r="AC121" s="179">
        <f t="shared" si="113"/>
        <v>0.49117346105230575</v>
      </c>
    </row>
    <row r="122" spans="1:29" x14ac:dyDescent="0.25">
      <c r="A122" s="175">
        <f t="shared" si="79"/>
        <v>44620</v>
      </c>
      <c r="B122">
        <v>17591</v>
      </c>
      <c r="C122">
        <v>16303</v>
      </c>
      <c r="D122">
        <v>3658</v>
      </c>
      <c r="E122">
        <f t="shared" si="77"/>
        <v>37552</v>
      </c>
      <c r="H122" s="56">
        <f t="shared" si="82"/>
        <v>48086</v>
      </c>
      <c r="I122" s="56">
        <f t="shared" si="83"/>
        <v>48524</v>
      </c>
      <c r="J122" s="56">
        <f t="shared" si="83"/>
        <v>10361</v>
      </c>
      <c r="K122" s="56">
        <f t="shared" si="80"/>
        <v>106971</v>
      </c>
      <c r="N122" s="179">
        <f t="shared" si="139"/>
        <v>0.10137425561154378</v>
      </c>
      <c r="O122" s="179">
        <f t="shared" si="140"/>
        <v>8.1861624766257357E-3</v>
      </c>
      <c r="P122" s="179">
        <f t="shared" si="140"/>
        <v>0.32037721422199561</v>
      </c>
      <c r="Q122" s="179">
        <f t="shared" si="141"/>
        <v>7.3607194114636121E-2</v>
      </c>
      <c r="T122">
        <f t="shared" si="134"/>
        <v>151460</v>
      </c>
      <c r="U122">
        <f t="shared" si="135"/>
        <v>163252</v>
      </c>
      <c r="V122">
        <f t="shared" si="136"/>
        <v>35819</v>
      </c>
      <c r="W122">
        <f t="shared" ref="W122" si="150">+SUM(E111:E122)</f>
        <v>350531</v>
      </c>
      <c r="Z122" s="179">
        <f t="shared" si="111"/>
        <v>0.62888238836789134</v>
      </c>
      <c r="AA122" s="179">
        <f t="shared" si="112"/>
        <v>0.27070068652022972</v>
      </c>
      <c r="AB122" s="179">
        <f t="shared" si="112"/>
        <v>1.1183393459104618</v>
      </c>
      <c r="AC122" s="179">
        <f t="shared" si="113"/>
        <v>0.47055171227560866</v>
      </c>
    </row>
    <row r="123" spans="1:29" x14ac:dyDescent="0.25">
      <c r="A123" s="175">
        <f t="shared" si="79"/>
        <v>44651</v>
      </c>
      <c r="B123">
        <v>24757</v>
      </c>
      <c r="C123">
        <v>19668</v>
      </c>
      <c r="D123">
        <v>2625</v>
      </c>
      <c r="E123">
        <f t="shared" si="77"/>
        <v>47050</v>
      </c>
      <c r="H123" s="56">
        <f t="shared" si="82"/>
        <v>58227</v>
      </c>
      <c r="I123" s="56">
        <f t="shared" si="83"/>
        <v>51800</v>
      </c>
      <c r="J123" s="56">
        <f t="shared" si="83"/>
        <v>9843</v>
      </c>
      <c r="K123" s="56">
        <f t="shared" si="80"/>
        <v>119870</v>
      </c>
      <c r="N123" s="179">
        <f t="shared" si="139"/>
        <v>0.1735765393530182</v>
      </c>
      <c r="O123" s="179">
        <f t="shared" si="140"/>
        <v>5.1883439943141374E-2</v>
      </c>
      <c r="P123" s="179">
        <f t="shared" si="140"/>
        <v>0.15568862275449091</v>
      </c>
      <c r="Q123" s="179">
        <f t="shared" si="141"/>
        <v>0.11634707618950046</v>
      </c>
      <c r="T123">
        <f t="shared" si="134"/>
        <v>156515</v>
      </c>
      <c r="U123">
        <f t="shared" si="135"/>
        <v>165667</v>
      </c>
      <c r="V123">
        <f t="shared" si="136"/>
        <v>34790</v>
      </c>
      <c r="W123">
        <f t="shared" ref="W123" si="151">+SUM(E112:E123)</f>
        <v>356972</v>
      </c>
      <c r="Z123" s="179">
        <f t="shared" ref="Z123:Z154" si="152">+T123/T111-1</f>
        <v>0.42458609045482265</v>
      </c>
      <c r="AA123" s="179">
        <f t="shared" ref="AA123:AB154" si="153">+U123/U111-1</f>
        <v>0.15681167516234895</v>
      </c>
      <c r="AB123" s="179">
        <f t="shared" si="153"/>
        <v>0.85289731572219862</v>
      </c>
      <c r="AC123" s="179">
        <f t="shared" ref="AC123:AC154" si="154">+W123/W111-1</f>
        <v>0.31310671576182725</v>
      </c>
    </row>
    <row r="124" spans="1:29" x14ac:dyDescent="0.25">
      <c r="A124" s="175">
        <f t="shared" si="79"/>
        <v>44681</v>
      </c>
      <c r="B124">
        <v>15169</v>
      </c>
      <c r="C124">
        <v>14711</v>
      </c>
      <c r="D124">
        <v>958</v>
      </c>
      <c r="E124">
        <f t="shared" si="77"/>
        <v>30838</v>
      </c>
      <c r="H124" s="56">
        <f t="shared" si="82"/>
        <v>57517</v>
      </c>
      <c r="I124" s="56">
        <f t="shared" si="83"/>
        <v>50682</v>
      </c>
      <c r="J124" s="56">
        <f t="shared" si="83"/>
        <v>7241</v>
      </c>
      <c r="K124" s="56">
        <f t="shared" si="80"/>
        <v>115440</v>
      </c>
      <c r="N124" s="179">
        <f t="shared" si="139"/>
        <v>0.34567872350381368</v>
      </c>
      <c r="O124" s="179">
        <f t="shared" si="140"/>
        <v>0.27376913217220844</v>
      </c>
      <c r="P124" s="179">
        <f t="shared" si="140"/>
        <v>-0.15615895583265349</v>
      </c>
      <c r="Q124" s="179">
        <f t="shared" si="141"/>
        <v>0.26701202915093503</v>
      </c>
      <c r="T124">
        <f t="shared" si="134"/>
        <v>164179</v>
      </c>
      <c r="U124">
        <f t="shared" si="135"/>
        <v>173448</v>
      </c>
      <c r="V124">
        <f t="shared" si="136"/>
        <v>33539</v>
      </c>
      <c r="W124">
        <f t="shared" ref="W124" si="155">+SUM(E113:E124)</f>
        <v>371166</v>
      </c>
      <c r="Z124" s="179">
        <f t="shared" si="152"/>
        <v>0.4354824607421397</v>
      </c>
      <c r="AA124" s="179">
        <f t="shared" si="153"/>
        <v>0.17879570477096651</v>
      </c>
      <c r="AB124" s="179">
        <f t="shared" si="153"/>
        <v>0.59823683583512022</v>
      </c>
      <c r="AC124" s="179">
        <f t="shared" si="154"/>
        <v>0.31387589956707496</v>
      </c>
    </row>
    <row r="125" spans="1:29" x14ac:dyDescent="0.25">
      <c r="A125" s="175">
        <f t="shared" si="79"/>
        <v>44712</v>
      </c>
      <c r="B125">
        <v>16515</v>
      </c>
      <c r="C125">
        <v>14899</v>
      </c>
      <c r="D125">
        <v>1404</v>
      </c>
      <c r="E125">
        <f t="shared" si="77"/>
        <v>32818</v>
      </c>
      <c r="H125" s="56">
        <f t="shared" si="82"/>
        <v>56441</v>
      </c>
      <c r="I125" s="56">
        <f t="shared" si="83"/>
        <v>49278</v>
      </c>
      <c r="J125" s="56">
        <f t="shared" si="83"/>
        <v>4987</v>
      </c>
      <c r="K125" s="56">
        <f t="shared" si="80"/>
        <v>110706</v>
      </c>
      <c r="N125" s="179">
        <f t="shared" si="139"/>
        <v>0.79491175067578301</v>
      </c>
      <c r="O125" s="179">
        <f t="shared" si="140"/>
        <v>0.68092509209987728</v>
      </c>
      <c r="P125" s="179">
        <f t="shared" si="140"/>
        <v>-0.36817433168630431</v>
      </c>
      <c r="Q125" s="179">
        <f t="shared" si="141"/>
        <v>0.61252075625600844</v>
      </c>
      <c r="T125">
        <f t="shared" si="134"/>
        <v>176456</v>
      </c>
      <c r="U125">
        <f t="shared" si="135"/>
        <v>183214</v>
      </c>
      <c r="V125">
        <f t="shared" si="136"/>
        <v>32913</v>
      </c>
      <c r="W125">
        <f t="shared" ref="W125" si="156">+SUM(E114:E125)</f>
        <v>392583</v>
      </c>
      <c r="Z125" s="179">
        <f t="shared" si="152"/>
        <v>0.5263039529452469</v>
      </c>
      <c r="AA125" s="179">
        <f t="shared" si="153"/>
        <v>0.22737534584285179</v>
      </c>
      <c r="AB125" s="179">
        <f t="shared" si="153"/>
        <v>0.43006734738214214</v>
      </c>
      <c r="AC125" s="179">
        <f t="shared" si="154"/>
        <v>0.36361836483754661</v>
      </c>
    </row>
    <row r="126" spans="1:29" x14ac:dyDescent="0.25">
      <c r="A126" s="175">
        <f t="shared" si="79"/>
        <v>44742</v>
      </c>
      <c r="B126">
        <v>17777</v>
      </c>
      <c r="C126">
        <v>16632</v>
      </c>
      <c r="D126">
        <v>2856</v>
      </c>
      <c r="E126">
        <f t="shared" si="77"/>
        <v>37265</v>
      </c>
      <c r="H126" s="56">
        <f t="shared" si="82"/>
        <v>49461</v>
      </c>
      <c r="I126" s="56">
        <f t="shared" si="83"/>
        <v>46242</v>
      </c>
      <c r="J126" s="56">
        <f t="shared" si="83"/>
        <v>5218</v>
      </c>
      <c r="K126" s="56">
        <f t="shared" si="80"/>
        <v>100921</v>
      </c>
      <c r="N126" s="179">
        <f t="shared" si="139"/>
        <v>1.3878053490392972</v>
      </c>
      <c r="O126" s="179">
        <f t="shared" si="140"/>
        <v>1.0383496429516001</v>
      </c>
      <c r="P126" s="179">
        <f t="shared" si="140"/>
        <v>-0.22638991845811718</v>
      </c>
      <c r="Q126" s="179">
        <f t="shared" si="141"/>
        <v>1.0125835078273009</v>
      </c>
      <c r="T126">
        <f t="shared" si="134"/>
        <v>185262</v>
      </c>
      <c r="U126">
        <f t="shared" si="135"/>
        <v>189223</v>
      </c>
      <c r="V126">
        <f t="shared" si="136"/>
        <v>33263</v>
      </c>
      <c r="W126">
        <f t="shared" ref="W126" si="157">+SUM(E115:E126)</f>
        <v>407748</v>
      </c>
      <c r="Z126" s="179">
        <f t="shared" si="152"/>
        <v>0.52204668129051335</v>
      </c>
      <c r="AA126" s="179">
        <f t="shared" si="153"/>
        <v>0.22244977065701921</v>
      </c>
      <c r="AB126" s="179">
        <f t="shared" si="153"/>
        <v>0.2881152460984393</v>
      </c>
      <c r="AC126" s="179">
        <f t="shared" si="154"/>
        <v>0.34867628964185071</v>
      </c>
    </row>
    <row r="127" spans="1:29" x14ac:dyDescent="0.25">
      <c r="A127" s="175">
        <f t="shared" si="79"/>
        <v>44773</v>
      </c>
      <c r="B127">
        <v>16451</v>
      </c>
      <c r="C127">
        <v>15022</v>
      </c>
      <c r="D127">
        <v>2681</v>
      </c>
      <c r="E127">
        <f t="shared" si="77"/>
        <v>34154</v>
      </c>
      <c r="H127" s="56">
        <f t="shared" si="82"/>
        <v>50743</v>
      </c>
      <c r="I127" s="56">
        <f t="shared" si="83"/>
        <v>46553</v>
      </c>
      <c r="J127" s="56">
        <f t="shared" si="83"/>
        <v>6941</v>
      </c>
      <c r="K127" s="56">
        <f t="shared" si="80"/>
        <v>104237</v>
      </c>
      <c r="N127" s="179">
        <f t="shared" si="139"/>
        <v>1.2248870960669969</v>
      </c>
      <c r="O127" s="179">
        <f t="shared" si="140"/>
        <v>0.66534306360449302</v>
      </c>
      <c r="P127" s="179">
        <f t="shared" si="140"/>
        <v>5.3582270795385467E-2</v>
      </c>
      <c r="Q127" s="179">
        <f t="shared" si="141"/>
        <v>0.8175905421193046</v>
      </c>
      <c r="T127">
        <f t="shared" si="134"/>
        <v>192115</v>
      </c>
      <c r="U127">
        <f t="shared" si="135"/>
        <v>192047</v>
      </c>
      <c r="V127">
        <f t="shared" si="136"/>
        <v>33892</v>
      </c>
      <c r="W127">
        <f t="shared" ref="W127" si="158">+SUM(E116:E127)</f>
        <v>418054</v>
      </c>
      <c r="Z127" s="179">
        <f t="shared" si="152"/>
        <v>0.50569784939494644</v>
      </c>
      <c r="AA127" s="179">
        <f t="shared" si="153"/>
        <v>0.21011839874985028</v>
      </c>
      <c r="AB127" s="179">
        <f t="shared" si="153"/>
        <v>0.24607522335379972</v>
      </c>
      <c r="AC127" s="179">
        <f t="shared" si="154"/>
        <v>0.33353961185612402</v>
      </c>
    </row>
    <row r="128" spans="1:29" x14ac:dyDescent="0.25">
      <c r="A128" s="175">
        <f t="shared" si="79"/>
        <v>44804</v>
      </c>
      <c r="B128">
        <v>15132</v>
      </c>
      <c r="C128">
        <v>14181</v>
      </c>
      <c r="D128">
        <v>2179</v>
      </c>
      <c r="E128">
        <f t="shared" si="77"/>
        <v>31492</v>
      </c>
      <c r="H128" s="56">
        <f t="shared" si="82"/>
        <v>49360</v>
      </c>
      <c r="I128" s="56">
        <f t="shared" si="83"/>
        <v>45835</v>
      </c>
      <c r="J128" s="56">
        <f t="shared" si="83"/>
        <v>7716</v>
      </c>
      <c r="K128" s="56">
        <f t="shared" si="80"/>
        <v>102911</v>
      </c>
      <c r="N128" s="179">
        <f t="shared" si="139"/>
        <v>0.65160944924044695</v>
      </c>
      <c r="O128" s="179">
        <f t="shared" si="140"/>
        <v>0.21655695933750918</v>
      </c>
      <c r="P128" s="179">
        <f t="shared" si="140"/>
        <v>-5.5222235827109056E-2</v>
      </c>
      <c r="Q128" s="179">
        <f t="shared" si="141"/>
        <v>0.35893779133489145</v>
      </c>
      <c r="T128">
        <f t="shared" si="134"/>
        <v>195930</v>
      </c>
      <c r="U128">
        <f t="shared" si="135"/>
        <v>191373</v>
      </c>
      <c r="V128">
        <f t="shared" si="136"/>
        <v>32462</v>
      </c>
      <c r="W128">
        <f t="shared" ref="W128" si="159">+SUM(E117:E128)</f>
        <v>419765</v>
      </c>
      <c r="Z128" s="179">
        <f t="shared" si="152"/>
        <v>0.46827835314218902</v>
      </c>
      <c r="AA128" s="179">
        <f t="shared" si="153"/>
        <v>0.17996004587325665</v>
      </c>
      <c r="AB128" s="179">
        <f t="shared" si="153"/>
        <v>9.0939642425057032E-2</v>
      </c>
      <c r="AC128" s="179">
        <f t="shared" si="154"/>
        <v>0.29006035945221642</v>
      </c>
    </row>
    <row r="129" spans="1:29" x14ac:dyDescent="0.25">
      <c r="A129" s="175">
        <f t="shared" si="79"/>
        <v>44834</v>
      </c>
      <c r="B129">
        <v>17414</v>
      </c>
      <c r="C129">
        <v>15565</v>
      </c>
      <c r="D129">
        <v>1911</v>
      </c>
      <c r="E129">
        <f t="shared" si="77"/>
        <v>34890</v>
      </c>
      <c r="H129" s="56">
        <f t="shared" si="82"/>
        <v>48997</v>
      </c>
      <c r="I129" s="56">
        <f t="shared" si="83"/>
        <v>44768</v>
      </c>
      <c r="J129" s="56">
        <f t="shared" si="83"/>
        <v>6771</v>
      </c>
      <c r="K129" s="56">
        <f t="shared" si="80"/>
        <v>100536</v>
      </c>
      <c r="N129" s="179">
        <f t="shared" si="139"/>
        <v>0.35317186334889117</v>
      </c>
      <c r="O129" s="179">
        <f t="shared" si="140"/>
        <v>6.5473498821905451E-2</v>
      </c>
      <c r="P129" s="179">
        <f t="shared" si="140"/>
        <v>-0.2182196051264288</v>
      </c>
      <c r="Q129" s="179">
        <f t="shared" si="141"/>
        <v>0.15708909272963734</v>
      </c>
      <c r="T129">
        <f t="shared" si="134"/>
        <v>198050</v>
      </c>
      <c r="U129">
        <f t="shared" si="135"/>
        <v>191974</v>
      </c>
      <c r="V129">
        <f t="shared" si="136"/>
        <v>31373</v>
      </c>
      <c r="W129">
        <f t="shared" ref="W129" si="160">+SUM(E118:E129)</f>
        <v>421397</v>
      </c>
      <c r="Z129" s="179">
        <f t="shared" si="152"/>
        <v>0.41451150964553296</v>
      </c>
      <c r="AA129" s="179">
        <f t="shared" si="153"/>
        <v>0.18044863123201416</v>
      </c>
      <c r="AB129" s="179">
        <f t="shared" si="153"/>
        <v>9.0701489176931993E-3</v>
      </c>
      <c r="AC129" s="179">
        <f t="shared" si="154"/>
        <v>0.26268083372286744</v>
      </c>
    </row>
    <row r="130" spans="1:29" x14ac:dyDescent="0.25">
      <c r="A130" s="175">
        <f t="shared" si="79"/>
        <v>44865</v>
      </c>
      <c r="B130">
        <v>15702</v>
      </c>
      <c r="C130">
        <v>15618</v>
      </c>
      <c r="D130">
        <v>1592</v>
      </c>
      <c r="E130">
        <f t="shared" si="77"/>
        <v>32912</v>
      </c>
      <c r="H130" s="56">
        <f t="shared" si="82"/>
        <v>48248</v>
      </c>
      <c r="I130" s="56">
        <f t="shared" si="83"/>
        <v>45364</v>
      </c>
      <c r="J130" s="56">
        <f t="shared" si="83"/>
        <v>5682</v>
      </c>
      <c r="K130" s="56">
        <f t="shared" si="80"/>
        <v>99294</v>
      </c>
      <c r="N130" s="179">
        <f t="shared" si="139"/>
        <v>0.18220131333921397</v>
      </c>
      <c r="O130" s="179">
        <f t="shared" si="140"/>
        <v>-3.1594227649218709E-2</v>
      </c>
      <c r="P130" s="179">
        <f t="shared" si="140"/>
        <v>-0.37263994700231862</v>
      </c>
      <c r="Q130" s="179">
        <f t="shared" si="141"/>
        <v>2.6687208544869945E-2</v>
      </c>
      <c r="T130">
        <f t="shared" si="134"/>
        <v>199551</v>
      </c>
      <c r="U130">
        <f t="shared" si="135"/>
        <v>190567</v>
      </c>
      <c r="V130">
        <f t="shared" si="136"/>
        <v>30517</v>
      </c>
      <c r="W130">
        <f t="shared" ref="W130" si="161">+SUM(E119:E130)</f>
        <v>420635</v>
      </c>
      <c r="Z130" s="179">
        <f t="shared" si="152"/>
        <v>0.37721108388833291</v>
      </c>
      <c r="AA130" s="179">
        <f t="shared" si="153"/>
        <v>0.16969678369752028</v>
      </c>
      <c r="AB130" s="179">
        <f t="shared" si="153"/>
        <v>-1.9345094636717075E-2</v>
      </c>
      <c r="AC130" s="179">
        <f t="shared" si="154"/>
        <v>0.24105283034455094</v>
      </c>
    </row>
    <row r="131" spans="1:29" x14ac:dyDescent="0.25">
      <c r="A131" s="175">
        <f t="shared" si="79"/>
        <v>44895</v>
      </c>
      <c r="B131">
        <v>14382</v>
      </c>
      <c r="C131">
        <v>13048</v>
      </c>
      <c r="D131">
        <v>1623</v>
      </c>
      <c r="E131">
        <f t="shared" si="77"/>
        <v>29053</v>
      </c>
      <c r="H131" s="56">
        <f t="shared" si="82"/>
        <v>47498</v>
      </c>
      <c r="I131" s="56">
        <f t="shared" si="83"/>
        <v>44231</v>
      </c>
      <c r="J131" s="56">
        <f t="shared" si="83"/>
        <v>5126</v>
      </c>
      <c r="K131" s="56">
        <f t="shared" si="80"/>
        <v>96855</v>
      </c>
      <c r="N131" s="179">
        <f t="shared" si="139"/>
        <v>0.12974811502509342</v>
      </c>
      <c r="O131" s="179">
        <f t="shared" si="140"/>
        <v>-7.3424669012904342E-2</v>
      </c>
      <c r="P131" s="179">
        <f t="shared" si="140"/>
        <v>-0.45456480102149388</v>
      </c>
      <c r="Q131" s="179">
        <f t="shared" si="141"/>
        <v>-2.3412686409147287E-2</v>
      </c>
      <c r="T131">
        <f t="shared" si="134"/>
        <v>201385</v>
      </c>
      <c r="U131">
        <f t="shared" si="135"/>
        <v>187868</v>
      </c>
      <c r="V131">
        <f t="shared" si="136"/>
        <v>28190</v>
      </c>
      <c r="W131">
        <f t="shared" ref="W131" si="162">+SUM(E120:E131)</f>
        <v>417443</v>
      </c>
      <c r="Z131" s="179">
        <f t="shared" si="152"/>
        <v>0.3696491967844171</v>
      </c>
      <c r="AA131" s="179">
        <f t="shared" si="153"/>
        <v>0.15356936717876923</v>
      </c>
      <c r="AB131" s="179">
        <f t="shared" si="153"/>
        <v>-0.15358054346194261</v>
      </c>
      <c r="AC131" s="179">
        <f t="shared" si="154"/>
        <v>0.21633638988685799</v>
      </c>
    </row>
    <row r="132" spans="1:29" x14ac:dyDescent="0.25">
      <c r="A132" s="175">
        <f t="shared" si="79"/>
        <v>44926</v>
      </c>
      <c r="B132">
        <v>18127</v>
      </c>
      <c r="C132">
        <v>14827</v>
      </c>
      <c r="D132">
        <v>995</v>
      </c>
      <c r="E132">
        <f t="shared" si="77"/>
        <v>33949</v>
      </c>
      <c r="H132" s="56">
        <f t="shared" si="82"/>
        <v>48211</v>
      </c>
      <c r="I132" s="56">
        <f t="shared" si="83"/>
        <v>43493</v>
      </c>
      <c r="J132" s="56">
        <f t="shared" si="83"/>
        <v>4210</v>
      </c>
      <c r="K132" s="56">
        <f t="shared" si="80"/>
        <v>95914</v>
      </c>
      <c r="N132" s="179">
        <f t="shared" si="139"/>
        <v>0.16550223619001581</v>
      </c>
      <c r="O132" s="179">
        <f t="shared" si="140"/>
        <v>-0.11534862907818733</v>
      </c>
      <c r="P132" s="179">
        <f t="shared" si="140"/>
        <v>-0.55874646263494387</v>
      </c>
      <c r="Q132" s="179">
        <f t="shared" si="141"/>
        <v>-4.1530928350154928E-2</v>
      </c>
      <c r="T132">
        <f t="shared" si="134"/>
        <v>204896</v>
      </c>
      <c r="U132">
        <f t="shared" si="135"/>
        <v>186303</v>
      </c>
      <c r="V132">
        <f t="shared" si="136"/>
        <v>26042</v>
      </c>
      <c r="W132">
        <f t="shared" ref="W132" si="163">+SUM(E121:E132)</f>
        <v>417241</v>
      </c>
      <c r="Z132" s="179">
        <f t="shared" si="152"/>
        <v>0.38534039201368464</v>
      </c>
      <c r="AA132" s="179">
        <f t="shared" si="153"/>
        <v>0.14217838049928888</v>
      </c>
      <c r="AB132" s="179">
        <f t="shared" si="153"/>
        <v>-0.2217905809227827</v>
      </c>
      <c r="AC132" s="179">
        <f t="shared" si="154"/>
        <v>0.21122332565990964</v>
      </c>
    </row>
    <row r="133" spans="1:29" x14ac:dyDescent="0.25">
      <c r="A133" s="175">
        <f t="shared" si="79"/>
        <v>44957</v>
      </c>
      <c r="B133">
        <v>17600</v>
      </c>
      <c r="C133">
        <v>14094</v>
      </c>
      <c r="D133">
        <v>1086</v>
      </c>
      <c r="E133">
        <f t="shared" ref="E133:E167" si="164">+C133+B133+D133</f>
        <v>32780</v>
      </c>
      <c r="H133" s="56">
        <f t="shared" si="82"/>
        <v>50109</v>
      </c>
      <c r="I133" s="56">
        <f t="shared" si="83"/>
        <v>41969</v>
      </c>
      <c r="J133" s="56">
        <f t="shared" si="83"/>
        <v>3704</v>
      </c>
      <c r="K133" s="56">
        <f t="shared" si="80"/>
        <v>95782</v>
      </c>
      <c r="N133" s="179">
        <f t="shared" si="139"/>
        <v>0.16416141997537337</v>
      </c>
      <c r="O133" s="179">
        <f t="shared" si="140"/>
        <v>-0.12506254169446296</v>
      </c>
      <c r="P133" s="179">
        <f t="shared" si="140"/>
        <v>-0.65230451516004884</v>
      </c>
      <c r="Q133" s="179">
        <f t="shared" si="141"/>
        <v>-5.7857255272269481E-2</v>
      </c>
      <c r="T133">
        <f t="shared" si="134"/>
        <v>206617</v>
      </c>
      <c r="U133">
        <f t="shared" si="135"/>
        <v>184568</v>
      </c>
      <c r="V133">
        <f t="shared" si="136"/>
        <v>23568</v>
      </c>
      <c r="W133">
        <f t="shared" ref="W133" si="165">+SUM(E122:E133)</f>
        <v>414753</v>
      </c>
      <c r="Z133" s="179">
        <f t="shared" si="152"/>
        <v>0.38294155444298683</v>
      </c>
      <c r="AA133" s="179">
        <f t="shared" si="153"/>
        <v>0.13541878133554808</v>
      </c>
      <c r="AB133" s="179">
        <f t="shared" si="153"/>
        <v>-0.32429255425900971</v>
      </c>
      <c r="AC133" s="179">
        <f t="shared" si="154"/>
        <v>0.19581187759126739</v>
      </c>
    </row>
    <row r="134" spans="1:29" x14ac:dyDescent="0.25">
      <c r="A134" s="175">
        <f t="shared" ref="A134:A197" si="166">+EOMONTH(A133,1)</f>
        <v>44985</v>
      </c>
      <c r="B134">
        <v>20926</v>
      </c>
      <c r="C134">
        <v>14218</v>
      </c>
      <c r="D134">
        <v>1421</v>
      </c>
      <c r="E134">
        <f t="shared" si="164"/>
        <v>36565</v>
      </c>
      <c r="H134" s="56">
        <f t="shared" si="82"/>
        <v>56653</v>
      </c>
      <c r="I134" s="56">
        <f t="shared" si="83"/>
        <v>43139</v>
      </c>
      <c r="J134" s="56">
        <f t="shared" si="83"/>
        <v>3502</v>
      </c>
      <c r="K134" s="56">
        <f t="shared" ref="K134:K167" si="167">+H134+I134+J134</f>
        <v>103294</v>
      </c>
      <c r="N134" s="179">
        <f t="shared" si="139"/>
        <v>0.17815996339891038</v>
      </c>
      <c r="O134" s="179">
        <f t="shared" si="140"/>
        <v>-0.11097601187041461</v>
      </c>
      <c r="P134" s="179">
        <f t="shared" si="140"/>
        <v>-0.66200173728404588</v>
      </c>
      <c r="Q134" s="179">
        <f t="shared" si="141"/>
        <v>-3.4373802245468377E-2</v>
      </c>
      <c r="T134">
        <f t="shared" si="134"/>
        <v>209952</v>
      </c>
      <c r="U134">
        <f t="shared" si="135"/>
        <v>182483</v>
      </c>
      <c r="V134">
        <f t="shared" si="136"/>
        <v>21331</v>
      </c>
      <c r="W134">
        <f t="shared" ref="W134" si="168">+SUM(E123:E134)</f>
        <v>413766</v>
      </c>
      <c r="Z134" s="179">
        <f t="shared" si="152"/>
        <v>0.38618777234913515</v>
      </c>
      <c r="AA134" s="179">
        <f t="shared" si="153"/>
        <v>0.11779947565726601</v>
      </c>
      <c r="AB134" s="179">
        <f t="shared" si="153"/>
        <v>-0.40447807029788663</v>
      </c>
      <c r="AC134" s="179">
        <f t="shared" si="154"/>
        <v>0.18039773942960813</v>
      </c>
    </row>
    <row r="135" spans="1:29" x14ac:dyDescent="0.25">
      <c r="A135" s="175">
        <f t="shared" si="166"/>
        <v>45016</v>
      </c>
      <c r="B135">
        <v>26506</v>
      </c>
      <c r="C135">
        <v>18801</v>
      </c>
      <c r="D135">
        <v>1516</v>
      </c>
      <c r="E135">
        <f t="shared" si="164"/>
        <v>46823</v>
      </c>
      <c r="H135" s="56">
        <f t="shared" ref="H135:H167" si="169">+SUM(B133:B135)</f>
        <v>65032</v>
      </c>
      <c r="I135" s="56">
        <f t="shared" ref="I135:J167" si="170">+SUM(C133:C135)</f>
        <v>47113</v>
      </c>
      <c r="J135" s="56">
        <f t="shared" si="170"/>
        <v>4023</v>
      </c>
      <c r="K135" s="56">
        <f t="shared" si="167"/>
        <v>116168</v>
      </c>
      <c r="N135" s="179">
        <f t="shared" si="139"/>
        <v>0.11687018050045506</v>
      </c>
      <c r="O135" s="179">
        <f t="shared" si="140"/>
        <v>-9.0482625482625534E-2</v>
      </c>
      <c r="P135" s="179">
        <f t="shared" si="140"/>
        <v>-0.59128314538250537</v>
      </c>
      <c r="Q135" s="179">
        <f t="shared" si="141"/>
        <v>-3.0883457078501708E-2</v>
      </c>
      <c r="T135">
        <f t="shared" si="134"/>
        <v>211701</v>
      </c>
      <c r="U135">
        <f t="shared" si="135"/>
        <v>181616</v>
      </c>
      <c r="V135">
        <f t="shared" si="136"/>
        <v>20222</v>
      </c>
      <c r="W135">
        <f t="shared" ref="W135" si="171">+SUM(E124:E135)</f>
        <v>413539</v>
      </c>
      <c r="Z135" s="179">
        <f t="shared" si="152"/>
        <v>0.35259240328403019</v>
      </c>
      <c r="AA135" s="179">
        <f t="shared" si="153"/>
        <v>9.627143607356925E-2</v>
      </c>
      <c r="AB135" s="179">
        <f t="shared" si="153"/>
        <v>-0.41874101753377402</v>
      </c>
      <c r="AC135" s="179">
        <f t="shared" si="154"/>
        <v>0.15846340889481536</v>
      </c>
    </row>
    <row r="136" spans="1:29" x14ac:dyDescent="0.25">
      <c r="A136" s="175">
        <f t="shared" si="166"/>
        <v>45046</v>
      </c>
      <c r="B136">
        <v>11193</v>
      </c>
      <c r="C136">
        <v>10314</v>
      </c>
      <c r="D136">
        <v>985</v>
      </c>
      <c r="E136">
        <f t="shared" si="164"/>
        <v>22492</v>
      </c>
      <c r="H136" s="56">
        <f t="shared" si="169"/>
        <v>58625</v>
      </c>
      <c r="I136" s="56">
        <f t="shared" si="170"/>
        <v>43333</v>
      </c>
      <c r="J136" s="56">
        <f t="shared" si="170"/>
        <v>3922</v>
      </c>
      <c r="K136" s="56">
        <f t="shared" si="167"/>
        <v>105880</v>
      </c>
      <c r="N136" s="179">
        <f t="shared" si="139"/>
        <v>1.9263869812403245E-2</v>
      </c>
      <c r="O136" s="179">
        <f t="shared" si="140"/>
        <v>-0.14500217039580132</v>
      </c>
      <c r="P136" s="179">
        <f t="shared" si="140"/>
        <v>-0.45836210468167382</v>
      </c>
      <c r="Q136" s="179">
        <f t="shared" si="141"/>
        <v>-8.2813582813582864E-2</v>
      </c>
      <c r="T136">
        <f t="shared" si="134"/>
        <v>207725</v>
      </c>
      <c r="U136">
        <f t="shared" si="135"/>
        <v>177219</v>
      </c>
      <c r="V136">
        <f t="shared" si="136"/>
        <v>20249</v>
      </c>
      <c r="W136">
        <f t="shared" ref="W136" si="172">+SUM(E125:E136)</f>
        <v>405193</v>
      </c>
      <c r="Z136" s="179">
        <f t="shared" si="152"/>
        <v>0.2652348960585702</v>
      </c>
      <c r="AA136" s="179">
        <f t="shared" si="153"/>
        <v>2.1741386467413859E-2</v>
      </c>
      <c r="AB136" s="179">
        <f t="shared" si="153"/>
        <v>-0.39625510599600466</v>
      </c>
      <c r="AC136" s="179">
        <f t="shared" si="154"/>
        <v>9.1675961699078101E-2</v>
      </c>
    </row>
    <row r="137" spans="1:29" x14ac:dyDescent="0.25">
      <c r="A137" s="175">
        <f t="shared" si="166"/>
        <v>45077</v>
      </c>
      <c r="B137">
        <v>15484</v>
      </c>
      <c r="C137">
        <v>12086</v>
      </c>
      <c r="D137">
        <v>1419</v>
      </c>
      <c r="E137">
        <f t="shared" si="164"/>
        <v>28989</v>
      </c>
      <c r="H137" s="56">
        <f t="shared" si="169"/>
        <v>53183</v>
      </c>
      <c r="I137" s="56">
        <f t="shared" si="170"/>
        <v>41201</v>
      </c>
      <c r="J137" s="56">
        <f t="shared" si="170"/>
        <v>3920</v>
      </c>
      <c r="K137" s="56">
        <f t="shared" si="167"/>
        <v>98304</v>
      </c>
      <c r="N137" s="179">
        <f t="shared" si="139"/>
        <v>-5.7723994968196912E-2</v>
      </c>
      <c r="O137" s="179">
        <f t="shared" si="140"/>
        <v>-0.16390681439993504</v>
      </c>
      <c r="P137" s="179">
        <f t="shared" si="140"/>
        <v>-0.21395628634449571</v>
      </c>
      <c r="Q137" s="179">
        <f t="shared" si="141"/>
        <v>-0.11202644843097931</v>
      </c>
      <c r="T137">
        <f t="shared" si="134"/>
        <v>206694</v>
      </c>
      <c r="U137">
        <f t="shared" si="135"/>
        <v>174406</v>
      </c>
      <c r="V137">
        <f t="shared" si="136"/>
        <v>20264</v>
      </c>
      <c r="W137">
        <f t="shared" ref="W137" si="173">+SUM(E126:E137)</f>
        <v>401364</v>
      </c>
      <c r="Z137" s="179">
        <f t="shared" si="152"/>
        <v>0.17136283266083319</v>
      </c>
      <c r="AA137" s="179">
        <f t="shared" si="153"/>
        <v>-4.8074928771818737E-2</v>
      </c>
      <c r="AB137" s="179">
        <f t="shared" si="153"/>
        <v>-0.38431622763041962</v>
      </c>
      <c r="AC137" s="179">
        <f t="shared" si="154"/>
        <v>2.2367244633618943E-2</v>
      </c>
    </row>
    <row r="138" spans="1:29" x14ac:dyDescent="0.25">
      <c r="A138" s="175">
        <f t="shared" si="166"/>
        <v>45107</v>
      </c>
      <c r="B138">
        <v>19158</v>
      </c>
      <c r="C138">
        <v>13990</v>
      </c>
      <c r="D138">
        <v>1166</v>
      </c>
      <c r="E138">
        <f t="shared" si="164"/>
        <v>34314</v>
      </c>
      <c r="H138" s="56">
        <f t="shared" si="169"/>
        <v>45835</v>
      </c>
      <c r="I138" s="56">
        <f t="shared" si="170"/>
        <v>36390</v>
      </c>
      <c r="J138" s="56">
        <f t="shared" si="170"/>
        <v>3570</v>
      </c>
      <c r="K138" s="56">
        <f t="shared" si="167"/>
        <v>85795</v>
      </c>
      <c r="N138" s="179">
        <f t="shared" si="139"/>
        <v>-7.3310284870908404E-2</v>
      </c>
      <c r="O138" s="179">
        <f t="shared" si="140"/>
        <v>-0.21305306863889972</v>
      </c>
      <c r="P138" s="179">
        <f t="shared" si="140"/>
        <v>-0.31582981985435032</v>
      </c>
      <c r="Q138" s="179">
        <f t="shared" si="141"/>
        <v>-0.14987960880292506</v>
      </c>
      <c r="T138">
        <f t="shared" si="134"/>
        <v>208075</v>
      </c>
      <c r="U138">
        <f t="shared" si="135"/>
        <v>171764</v>
      </c>
      <c r="V138">
        <f t="shared" si="136"/>
        <v>18574</v>
      </c>
      <c r="W138">
        <f t="shared" ref="W138" si="174">+SUM(E127:E138)</f>
        <v>398413</v>
      </c>
      <c r="Z138" s="179">
        <f t="shared" si="152"/>
        <v>0.12313912189223908</v>
      </c>
      <c r="AA138" s="179">
        <f t="shared" si="153"/>
        <v>-9.2266796319686262E-2</v>
      </c>
      <c r="AB138" s="179">
        <f t="shared" si="153"/>
        <v>-0.4416017797552837</v>
      </c>
      <c r="AC138" s="179">
        <f t="shared" si="154"/>
        <v>-2.2894042398736492E-2</v>
      </c>
    </row>
    <row r="139" spans="1:29" x14ac:dyDescent="0.25">
      <c r="A139" s="175">
        <f t="shared" si="166"/>
        <v>45138</v>
      </c>
      <c r="B139">
        <v>17693</v>
      </c>
      <c r="C139">
        <v>13523</v>
      </c>
      <c r="D139">
        <v>1728</v>
      </c>
      <c r="E139">
        <f t="shared" si="164"/>
        <v>32944</v>
      </c>
      <c r="H139" s="56">
        <f t="shared" si="169"/>
        <v>52335</v>
      </c>
      <c r="I139" s="56">
        <f t="shared" si="170"/>
        <v>39599</v>
      </c>
      <c r="J139" s="56">
        <f t="shared" si="170"/>
        <v>4313</v>
      </c>
      <c r="K139" s="56">
        <f t="shared" si="167"/>
        <v>96247</v>
      </c>
      <c r="N139" s="179">
        <f t="shared" si="139"/>
        <v>3.1373785546774835E-2</v>
      </c>
      <c r="O139" s="179">
        <f t="shared" si="140"/>
        <v>-0.14937812815500617</v>
      </c>
      <c r="P139" s="179">
        <f t="shared" si="140"/>
        <v>-0.37861979541852764</v>
      </c>
      <c r="Q139" s="179">
        <f t="shared" si="141"/>
        <v>-7.6652244404578074E-2</v>
      </c>
      <c r="T139">
        <f t="shared" si="134"/>
        <v>209317</v>
      </c>
      <c r="U139">
        <f t="shared" si="135"/>
        <v>170265</v>
      </c>
      <c r="V139">
        <f t="shared" si="136"/>
        <v>17621</v>
      </c>
      <c r="W139">
        <f t="shared" ref="W139" si="175">+SUM(E128:E139)</f>
        <v>397203</v>
      </c>
      <c r="Z139" s="179">
        <f t="shared" si="152"/>
        <v>8.9540119199437829E-2</v>
      </c>
      <c r="AA139" s="179">
        <f t="shared" si="153"/>
        <v>-0.1134201523585372</v>
      </c>
      <c r="AB139" s="179">
        <f t="shared" si="153"/>
        <v>-0.48008379558597902</v>
      </c>
      <c r="AC139" s="179">
        <f t="shared" si="154"/>
        <v>-4.987633176575279E-2</v>
      </c>
    </row>
    <row r="140" spans="1:29" x14ac:dyDescent="0.25">
      <c r="A140" s="175">
        <f t="shared" si="166"/>
        <v>45169</v>
      </c>
      <c r="B140">
        <v>17193</v>
      </c>
      <c r="C140">
        <v>13555</v>
      </c>
      <c r="D140">
        <v>1329</v>
      </c>
      <c r="E140">
        <f t="shared" si="164"/>
        <v>32077</v>
      </c>
      <c r="H140" s="56">
        <f t="shared" si="169"/>
        <v>54044</v>
      </c>
      <c r="I140" s="56">
        <f t="shared" si="170"/>
        <v>41068</v>
      </c>
      <c r="J140" s="56">
        <f t="shared" si="170"/>
        <v>4223</v>
      </c>
      <c r="K140" s="56">
        <f t="shared" si="167"/>
        <v>99335</v>
      </c>
      <c r="N140" s="179">
        <f t="shared" si="139"/>
        <v>9.4894651539708219E-2</v>
      </c>
      <c r="O140" s="179">
        <f t="shared" si="140"/>
        <v>-0.10400349078215343</v>
      </c>
      <c r="P140" s="179">
        <f t="shared" si="140"/>
        <v>-0.45269569725246239</v>
      </c>
      <c r="Q140" s="179">
        <f t="shared" si="141"/>
        <v>-3.4748471980643458E-2</v>
      </c>
      <c r="T140">
        <f t="shared" si="134"/>
        <v>211378</v>
      </c>
      <c r="U140">
        <f t="shared" si="135"/>
        <v>169639</v>
      </c>
      <c r="V140">
        <f t="shared" si="136"/>
        <v>16771</v>
      </c>
      <c r="W140">
        <f t="shared" ref="W140" si="176">+SUM(E129:E140)</f>
        <v>397788</v>
      </c>
      <c r="Z140" s="179">
        <f t="shared" si="152"/>
        <v>7.8844485275353371E-2</v>
      </c>
      <c r="AA140" s="179">
        <f t="shared" si="153"/>
        <v>-0.11356878974567985</v>
      </c>
      <c r="AB140" s="179">
        <f t="shared" si="153"/>
        <v>-0.48336516542418828</v>
      </c>
      <c r="AC140" s="179">
        <f t="shared" si="154"/>
        <v>-5.23554846163925E-2</v>
      </c>
    </row>
    <row r="141" spans="1:29" x14ac:dyDescent="0.25">
      <c r="A141" s="175">
        <f t="shared" si="166"/>
        <v>45199</v>
      </c>
      <c r="B141">
        <v>22588</v>
      </c>
      <c r="C141">
        <v>14626</v>
      </c>
      <c r="D141">
        <v>1850</v>
      </c>
      <c r="E141">
        <f t="shared" si="164"/>
        <v>39064</v>
      </c>
      <c r="H141" s="56">
        <f t="shared" si="169"/>
        <v>57474</v>
      </c>
      <c r="I141" s="56">
        <f t="shared" si="170"/>
        <v>41704</v>
      </c>
      <c r="J141" s="56">
        <f t="shared" si="170"/>
        <v>4907</v>
      </c>
      <c r="K141" s="56">
        <f t="shared" si="167"/>
        <v>104085</v>
      </c>
      <c r="N141" s="179">
        <f t="shared" si="139"/>
        <v>0.1730105924852543</v>
      </c>
      <c r="O141" s="179">
        <f t="shared" si="140"/>
        <v>-6.8441744102930691E-2</v>
      </c>
      <c r="P141" s="179">
        <f t="shared" si="140"/>
        <v>-0.27529168512775071</v>
      </c>
      <c r="Q141" s="179">
        <f t="shared" si="141"/>
        <v>3.5300787777512443E-2</v>
      </c>
      <c r="T141">
        <f t="shared" si="134"/>
        <v>216552</v>
      </c>
      <c r="U141">
        <f t="shared" si="135"/>
        <v>168700</v>
      </c>
      <c r="V141">
        <f t="shared" si="136"/>
        <v>16710</v>
      </c>
      <c r="W141">
        <f t="shared" ref="W141" si="177">+SUM(E130:E141)</f>
        <v>401962</v>
      </c>
      <c r="Z141" s="179">
        <f t="shared" si="152"/>
        <v>9.3420853319868824E-2</v>
      </c>
      <c r="AA141" s="179">
        <f t="shared" si="153"/>
        <v>-0.12123516726223338</v>
      </c>
      <c r="AB141" s="179">
        <f t="shared" si="153"/>
        <v>-0.46737640646415712</v>
      </c>
      <c r="AC141" s="179">
        <f t="shared" si="154"/>
        <v>-4.6120404274354154E-2</v>
      </c>
    </row>
    <row r="142" spans="1:29" x14ac:dyDescent="0.25">
      <c r="A142" s="175">
        <f t="shared" si="166"/>
        <v>45230</v>
      </c>
      <c r="B142">
        <v>18069</v>
      </c>
      <c r="C142">
        <v>14419</v>
      </c>
      <c r="D142">
        <v>1829</v>
      </c>
      <c r="E142">
        <f t="shared" si="164"/>
        <v>34317</v>
      </c>
      <c r="H142" s="56">
        <f t="shared" si="169"/>
        <v>57850</v>
      </c>
      <c r="I142" s="56">
        <f t="shared" si="170"/>
        <v>42600</v>
      </c>
      <c r="J142" s="56">
        <f t="shared" si="170"/>
        <v>5008</v>
      </c>
      <c r="K142" s="56">
        <f t="shared" si="167"/>
        <v>105458</v>
      </c>
      <c r="N142" s="179">
        <f t="shared" si="139"/>
        <v>0.19901343060852272</v>
      </c>
      <c r="O142" s="179">
        <f t="shared" si="140"/>
        <v>-6.0929371307644864E-2</v>
      </c>
      <c r="P142" s="179">
        <f t="shared" si="140"/>
        <v>-0.11862020415346708</v>
      </c>
      <c r="Q142" s="179">
        <f t="shared" si="141"/>
        <v>6.2078272604588314E-2</v>
      </c>
      <c r="T142">
        <f t="shared" si="134"/>
        <v>218919</v>
      </c>
      <c r="U142">
        <f t="shared" si="135"/>
        <v>167501</v>
      </c>
      <c r="V142">
        <f t="shared" si="136"/>
        <v>16947</v>
      </c>
      <c r="W142">
        <f t="shared" ref="W142" si="178">+SUM(E131:E142)</f>
        <v>403367</v>
      </c>
      <c r="Z142" s="179">
        <f t="shared" si="152"/>
        <v>9.7057894974217129E-2</v>
      </c>
      <c r="AA142" s="179">
        <f t="shared" si="153"/>
        <v>-0.12103879475460078</v>
      </c>
      <c r="AB142" s="179">
        <f t="shared" si="153"/>
        <v>-0.44467018383196255</v>
      </c>
      <c r="AC142" s="179">
        <f t="shared" si="154"/>
        <v>-4.1052218669392682E-2</v>
      </c>
    </row>
    <row r="143" spans="1:29" x14ac:dyDescent="0.25">
      <c r="A143" s="175">
        <f t="shared" si="166"/>
        <v>45260</v>
      </c>
      <c r="B143">
        <v>14768</v>
      </c>
      <c r="C143">
        <v>11811</v>
      </c>
      <c r="D143">
        <v>1450</v>
      </c>
      <c r="E143">
        <f t="shared" si="164"/>
        <v>28029</v>
      </c>
      <c r="H143" s="56">
        <f t="shared" si="169"/>
        <v>55425</v>
      </c>
      <c r="I143" s="56">
        <f t="shared" si="170"/>
        <v>40856</v>
      </c>
      <c r="J143" s="56">
        <f t="shared" si="170"/>
        <v>5129</v>
      </c>
      <c r="K143" s="56">
        <f t="shared" si="167"/>
        <v>101410</v>
      </c>
      <c r="N143" s="179">
        <f t="shared" si="139"/>
        <v>0.16689123752579049</v>
      </c>
      <c r="O143" s="179">
        <f t="shared" si="140"/>
        <v>-7.6303949718523167E-2</v>
      </c>
      <c r="P143" s="179">
        <f t="shared" si="140"/>
        <v>5.8525165821299296E-4</v>
      </c>
      <c r="Q143" s="179">
        <f t="shared" si="141"/>
        <v>4.7029064064839199E-2</v>
      </c>
      <c r="T143">
        <f t="shared" si="134"/>
        <v>219305</v>
      </c>
      <c r="U143">
        <f t="shared" si="135"/>
        <v>166264</v>
      </c>
      <c r="V143">
        <f t="shared" si="136"/>
        <v>16774</v>
      </c>
      <c r="W143">
        <f t="shared" ref="W143" si="179">+SUM(E132:E143)</f>
        <v>402343</v>
      </c>
      <c r="Z143" s="179">
        <f t="shared" si="152"/>
        <v>8.8983787273133608E-2</v>
      </c>
      <c r="AA143" s="179">
        <f t="shared" si="153"/>
        <v>-0.11499563523324885</v>
      </c>
      <c r="AB143" s="179">
        <f t="shared" si="153"/>
        <v>-0.40496630010642076</v>
      </c>
      <c r="AC143" s="179">
        <f t="shared" si="154"/>
        <v>-3.6172603205707143E-2</v>
      </c>
    </row>
    <row r="144" spans="1:29" x14ac:dyDescent="0.25">
      <c r="A144" s="175">
        <f t="shared" si="166"/>
        <v>45291</v>
      </c>
      <c r="B144">
        <v>19934</v>
      </c>
      <c r="C144">
        <v>12734</v>
      </c>
      <c r="D144">
        <v>1512</v>
      </c>
      <c r="E144">
        <f t="shared" si="164"/>
        <v>34180</v>
      </c>
      <c r="H144" s="56">
        <f t="shared" si="169"/>
        <v>52771</v>
      </c>
      <c r="I144" s="56">
        <f t="shared" si="170"/>
        <v>38964</v>
      </c>
      <c r="J144" s="56">
        <f t="shared" si="170"/>
        <v>4791</v>
      </c>
      <c r="K144" s="56">
        <f t="shared" si="167"/>
        <v>96526</v>
      </c>
      <c r="N144" s="179">
        <f t="shared" si="139"/>
        <v>9.4584223517454546E-2</v>
      </c>
      <c r="O144" s="179">
        <f t="shared" si="140"/>
        <v>-0.10413169935391897</v>
      </c>
      <c r="P144" s="179">
        <f t="shared" si="140"/>
        <v>0.13800475059382422</v>
      </c>
      <c r="Q144" s="179">
        <f t="shared" si="141"/>
        <v>6.3807160581355049E-3</v>
      </c>
      <c r="T144">
        <f t="shared" ref="T144:T167" si="180">+SUM(B133:B144)</f>
        <v>221112</v>
      </c>
      <c r="U144">
        <f t="shared" ref="U144:U167" si="181">+SUM(C133:C144)</f>
        <v>164171</v>
      </c>
      <c r="V144">
        <f t="shared" ref="V144:V167" si="182">+SUM(D133:D144)</f>
        <v>17291</v>
      </c>
      <c r="W144">
        <f t="shared" ref="W144" si="183">+SUM(E133:E144)</f>
        <v>402574</v>
      </c>
      <c r="Z144" s="179">
        <f t="shared" si="152"/>
        <v>7.9142589411213438E-2</v>
      </c>
      <c r="AA144" s="179">
        <f t="shared" si="153"/>
        <v>-0.11879572524328652</v>
      </c>
      <c r="AB144" s="179">
        <f t="shared" si="153"/>
        <v>-0.33603409876353585</v>
      </c>
      <c r="AC144" s="179">
        <f t="shared" si="154"/>
        <v>-3.5152346006264934E-2</v>
      </c>
    </row>
    <row r="145" spans="1:29" x14ac:dyDescent="0.25">
      <c r="A145" s="175">
        <f t="shared" si="166"/>
        <v>45322</v>
      </c>
      <c r="B145">
        <v>17521</v>
      </c>
      <c r="C145">
        <v>13122</v>
      </c>
      <c r="D145">
        <v>1449</v>
      </c>
      <c r="E145">
        <f t="shared" si="164"/>
        <v>32092</v>
      </c>
      <c r="H145" s="56">
        <f t="shared" si="169"/>
        <v>52223</v>
      </c>
      <c r="I145" s="56">
        <f t="shared" si="170"/>
        <v>37667</v>
      </c>
      <c r="J145" s="56">
        <f t="shared" si="170"/>
        <v>4411</v>
      </c>
      <c r="K145" s="56">
        <f t="shared" si="167"/>
        <v>94301</v>
      </c>
      <c r="N145" s="179">
        <f t="shared" si="139"/>
        <v>4.2188030094394202E-2</v>
      </c>
      <c r="O145" s="179">
        <f t="shared" si="140"/>
        <v>-0.10250422931211134</v>
      </c>
      <c r="P145" s="179">
        <f t="shared" si="140"/>
        <v>0.19087473002159827</v>
      </c>
      <c r="Q145" s="179">
        <f t="shared" si="141"/>
        <v>-1.5462195402058843E-2</v>
      </c>
      <c r="T145">
        <f t="shared" si="180"/>
        <v>221033</v>
      </c>
      <c r="U145">
        <f t="shared" si="181"/>
        <v>163199</v>
      </c>
      <c r="V145">
        <f t="shared" si="182"/>
        <v>17654</v>
      </c>
      <c r="W145">
        <f t="shared" ref="W145" si="184">+SUM(E134:E145)</f>
        <v>401886</v>
      </c>
      <c r="Z145" s="179">
        <f t="shared" si="152"/>
        <v>6.9771606402183828E-2</v>
      </c>
      <c r="AA145" s="179">
        <f t="shared" si="153"/>
        <v>-0.11577846647306145</v>
      </c>
      <c r="AB145" s="179">
        <f t="shared" si="153"/>
        <v>-0.2509334691106585</v>
      </c>
      <c r="AC145" s="179">
        <f t="shared" si="154"/>
        <v>-3.1023283737549812E-2</v>
      </c>
    </row>
    <row r="146" spans="1:29" x14ac:dyDescent="0.25">
      <c r="A146" s="175">
        <f t="shared" si="166"/>
        <v>45351</v>
      </c>
      <c r="B146">
        <v>19866</v>
      </c>
      <c r="C146">
        <v>13701</v>
      </c>
      <c r="D146">
        <v>1518</v>
      </c>
      <c r="E146">
        <f t="shared" si="164"/>
        <v>35085</v>
      </c>
      <c r="H146" s="56">
        <f t="shared" si="169"/>
        <v>57321</v>
      </c>
      <c r="I146" s="56">
        <f t="shared" si="170"/>
        <v>39557</v>
      </c>
      <c r="J146" s="56">
        <f t="shared" si="170"/>
        <v>4479</v>
      </c>
      <c r="K146" s="56">
        <f t="shared" si="167"/>
        <v>101357</v>
      </c>
      <c r="N146" s="179">
        <f t="shared" ref="N146:N167" si="185">+H146/H134-1</f>
        <v>1.1791079024941364E-2</v>
      </c>
      <c r="O146" s="179">
        <f t="shared" ref="O146:P167" si="186">+I146/I134-1</f>
        <v>-8.303391362803958E-2</v>
      </c>
      <c r="P146" s="179">
        <f t="shared" si="186"/>
        <v>0.27898343803540837</v>
      </c>
      <c r="Q146" s="179">
        <f t="shared" ref="Q146:Q167" si="187">+K146/K134-1</f>
        <v>-1.8752299262299821E-2</v>
      </c>
      <c r="T146">
        <f t="shared" si="180"/>
        <v>219973</v>
      </c>
      <c r="U146">
        <f t="shared" si="181"/>
        <v>162682</v>
      </c>
      <c r="V146">
        <f t="shared" si="182"/>
        <v>17751</v>
      </c>
      <c r="W146">
        <f t="shared" ref="W146" si="188">+SUM(E135:E146)</f>
        <v>400406</v>
      </c>
      <c r="Z146" s="179">
        <f t="shared" si="152"/>
        <v>4.7729957323578764E-2</v>
      </c>
      <c r="AA146" s="179">
        <f t="shared" si="153"/>
        <v>-0.1085087378002334</v>
      </c>
      <c r="AB146" s="179">
        <f t="shared" si="153"/>
        <v>-0.16783085649992968</v>
      </c>
      <c r="AC146" s="179">
        <f t="shared" si="154"/>
        <v>-3.2288781581860326E-2</v>
      </c>
    </row>
    <row r="147" spans="1:29" x14ac:dyDescent="0.25">
      <c r="A147" s="175">
        <f t="shared" si="166"/>
        <v>45382</v>
      </c>
      <c r="B147">
        <v>25345</v>
      </c>
      <c r="C147">
        <v>15367</v>
      </c>
      <c r="D147">
        <v>1550</v>
      </c>
      <c r="E147">
        <f t="shared" si="164"/>
        <v>42262</v>
      </c>
      <c r="H147" s="56">
        <f t="shared" si="169"/>
        <v>62732</v>
      </c>
      <c r="I147" s="56">
        <f t="shared" si="170"/>
        <v>42190</v>
      </c>
      <c r="J147" s="56">
        <f t="shared" si="170"/>
        <v>4517</v>
      </c>
      <c r="K147" s="56">
        <f t="shared" si="167"/>
        <v>109439</v>
      </c>
      <c r="N147" s="179">
        <f t="shared" si="185"/>
        <v>-3.5367203838110428E-2</v>
      </c>
      <c r="O147" s="179">
        <f t="shared" si="186"/>
        <v>-0.10449345191348458</v>
      </c>
      <c r="P147" s="179">
        <f t="shared" si="186"/>
        <v>0.12279393487447177</v>
      </c>
      <c r="Q147" s="179">
        <f t="shared" si="187"/>
        <v>-5.7924729701811173E-2</v>
      </c>
      <c r="T147">
        <f t="shared" si="180"/>
        <v>218812</v>
      </c>
      <c r="U147">
        <f t="shared" si="181"/>
        <v>159248</v>
      </c>
      <c r="V147">
        <f t="shared" si="182"/>
        <v>17785</v>
      </c>
      <c r="W147">
        <f t="shared" ref="W147" si="189">+SUM(E136:E147)</f>
        <v>395845</v>
      </c>
      <c r="Z147" s="179">
        <f t="shared" si="152"/>
        <v>3.3589827161893515E-2</v>
      </c>
      <c r="AA147" s="179">
        <f t="shared" si="153"/>
        <v>-0.12316095498193991</v>
      </c>
      <c r="AB147" s="179">
        <f t="shared" si="153"/>
        <v>-0.12051231332212442</v>
      </c>
      <c r="AC147" s="179">
        <f t="shared" si="154"/>
        <v>-4.2786774645196757E-2</v>
      </c>
    </row>
    <row r="148" spans="1:29" x14ac:dyDescent="0.25">
      <c r="A148" s="175">
        <f t="shared" si="166"/>
        <v>45412</v>
      </c>
      <c r="B148">
        <v>16693</v>
      </c>
      <c r="C148">
        <v>11823</v>
      </c>
      <c r="D148">
        <v>1022</v>
      </c>
      <c r="E148">
        <f t="shared" si="164"/>
        <v>29538</v>
      </c>
      <c r="H148" s="56">
        <f t="shared" si="169"/>
        <v>61904</v>
      </c>
      <c r="I148" s="56">
        <f t="shared" si="170"/>
        <v>40891</v>
      </c>
      <c r="J148" s="56">
        <f t="shared" si="170"/>
        <v>4090</v>
      </c>
      <c r="K148" s="56">
        <f t="shared" si="167"/>
        <v>106885</v>
      </c>
      <c r="N148" s="179">
        <f t="shared" si="185"/>
        <v>5.5931769722814551E-2</v>
      </c>
      <c r="O148" s="179">
        <f t="shared" si="186"/>
        <v>-5.6354279648304972E-2</v>
      </c>
      <c r="P148" s="179">
        <f t="shared" si="186"/>
        <v>4.2835288118306947E-2</v>
      </c>
      <c r="Q148" s="179">
        <f t="shared" si="187"/>
        <v>9.4918775972798741E-3</v>
      </c>
      <c r="T148">
        <f t="shared" si="180"/>
        <v>224312</v>
      </c>
      <c r="U148">
        <f t="shared" si="181"/>
        <v>160757</v>
      </c>
      <c r="V148">
        <f t="shared" si="182"/>
        <v>17822</v>
      </c>
      <c r="W148">
        <f t="shared" ref="W148" si="190">+SUM(E137:E148)</f>
        <v>402891</v>
      </c>
      <c r="Z148" s="179">
        <f t="shared" si="152"/>
        <v>7.9850764231556237E-2</v>
      </c>
      <c r="AA148" s="179">
        <f t="shared" si="153"/>
        <v>-9.2890717135295842E-2</v>
      </c>
      <c r="AB148" s="179">
        <f t="shared" si="153"/>
        <v>-0.1198577707541113</v>
      </c>
      <c r="AC148" s="179">
        <f t="shared" si="154"/>
        <v>-5.681243259385016E-3</v>
      </c>
    </row>
    <row r="149" spans="1:29" x14ac:dyDescent="0.25">
      <c r="A149" s="175">
        <f t="shared" si="166"/>
        <v>45443</v>
      </c>
      <c r="B149">
        <v>17139</v>
      </c>
      <c r="C149">
        <v>11337</v>
      </c>
      <c r="D149">
        <v>1215</v>
      </c>
      <c r="E149">
        <f t="shared" si="164"/>
        <v>29691</v>
      </c>
      <c r="H149" s="56">
        <f t="shared" si="169"/>
        <v>59177</v>
      </c>
      <c r="I149" s="56">
        <f t="shared" si="170"/>
        <v>38527</v>
      </c>
      <c r="J149" s="56">
        <f t="shared" si="170"/>
        <v>3787</v>
      </c>
      <c r="K149" s="56">
        <f t="shared" si="167"/>
        <v>101491</v>
      </c>
      <c r="N149" s="179">
        <f t="shared" si="185"/>
        <v>0.11270518774796456</v>
      </c>
      <c r="O149" s="179">
        <f t="shared" si="186"/>
        <v>-6.4901337346180865E-2</v>
      </c>
      <c r="P149" s="179">
        <f t="shared" si="186"/>
        <v>-3.3928571428571419E-2</v>
      </c>
      <c r="Q149" s="179">
        <f t="shared" si="187"/>
        <v>3.2419840494791741E-2</v>
      </c>
      <c r="T149">
        <f t="shared" si="180"/>
        <v>225967</v>
      </c>
      <c r="U149">
        <f t="shared" si="181"/>
        <v>160008</v>
      </c>
      <c r="V149">
        <f t="shared" si="182"/>
        <v>17618</v>
      </c>
      <c r="W149">
        <f t="shared" ref="W149" si="191">+SUM(E138:E149)</f>
        <v>403593</v>
      </c>
      <c r="Z149" s="179">
        <f t="shared" si="152"/>
        <v>9.3244119326153729E-2</v>
      </c>
      <c r="AA149" s="179">
        <f t="shared" si="153"/>
        <v>-8.2554499271814019E-2</v>
      </c>
      <c r="AB149" s="179">
        <f t="shared" si="153"/>
        <v>-0.13057639163047774</v>
      </c>
      <c r="AC149" s="179">
        <f t="shared" si="154"/>
        <v>5.5535623523783606E-3</v>
      </c>
    </row>
    <row r="150" spans="1:29" x14ac:dyDescent="0.25">
      <c r="A150" s="175">
        <f t="shared" si="166"/>
        <v>45473</v>
      </c>
      <c r="B150">
        <v>19542</v>
      </c>
      <c r="C150">
        <v>11081</v>
      </c>
      <c r="D150">
        <v>1357</v>
      </c>
      <c r="E150">
        <f t="shared" si="164"/>
        <v>31980</v>
      </c>
      <c r="H150" s="56">
        <f t="shared" si="169"/>
        <v>53374</v>
      </c>
      <c r="I150" s="56">
        <f t="shared" si="170"/>
        <v>34241</v>
      </c>
      <c r="J150" s="56">
        <f t="shared" si="170"/>
        <v>3594</v>
      </c>
      <c r="K150" s="56">
        <f t="shared" si="167"/>
        <v>91209</v>
      </c>
      <c r="N150" s="179">
        <f t="shared" si="185"/>
        <v>0.16448129158939673</v>
      </c>
      <c r="O150" s="179">
        <f t="shared" si="186"/>
        <v>-5.9054685353118974E-2</v>
      </c>
      <c r="P150" s="179">
        <f t="shared" si="186"/>
        <v>6.7226890756302282E-3</v>
      </c>
      <c r="Q150" s="179">
        <f t="shared" si="187"/>
        <v>6.3103910484293868E-2</v>
      </c>
      <c r="T150">
        <f t="shared" si="180"/>
        <v>226351</v>
      </c>
      <c r="U150">
        <f t="shared" si="181"/>
        <v>157099</v>
      </c>
      <c r="V150">
        <f t="shared" si="182"/>
        <v>17809</v>
      </c>
      <c r="W150">
        <f t="shared" ref="W150" si="192">+SUM(E139:E150)</f>
        <v>401259</v>
      </c>
      <c r="Z150" s="179">
        <f t="shared" si="152"/>
        <v>8.7833713805118396E-2</v>
      </c>
      <c r="AA150" s="179">
        <f t="shared" si="153"/>
        <v>-8.5378775529214468E-2</v>
      </c>
      <c r="AB150" s="179">
        <f t="shared" si="153"/>
        <v>-4.1186604931624848E-2</v>
      </c>
      <c r="AC150" s="179">
        <f t="shared" si="154"/>
        <v>7.1433412062358315E-3</v>
      </c>
    </row>
    <row r="151" spans="1:29" x14ac:dyDescent="0.25">
      <c r="A151" s="175">
        <f t="shared" si="166"/>
        <v>45504</v>
      </c>
      <c r="B151">
        <v>15258</v>
      </c>
      <c r="C151">
        <v>10178</v>
      </c>
      <c r="D151">
        <v>1606</v>
      </c>
      <c r="E151">
        <f t="shared" si="164"/>
        <v>27042</v>
      </c>
      <c r="H151" s="56">
        <f t="shared" si="169"/>
        <v>51939</v>
      </c>
      <c r="I151" s="56">
        <f t="shared" si="170"/>
        <v>32596</v>
      </c>
      <c r="J151" s="56">
        <f t="shared" si="170"/>
        <v>4178</v>
      </c>
      <c r="K151" s="56">
        <f t="shared" si="167"/>
        <v>88713</v>
      </c>
      <c r="N151" s="179">
        <f t="shared" si="185"/>
        <v>-7.5666380051591098E-3</v>
      </c>
      <c r="O151" s="179">
        <f t="shared" si="186"/>
        <v>-0.17684790019950003</v>
      </c>
      <c r="P151" s="179">
        <f t="shared" si="186"/>
        <v>-3.1300718757245494E-2</v>
      </c>
      <c r="Q151" s="179">
        <f t="shared" si="187"/>
        <v>-7.8277764501750724E-2</v>
      </c>
      <c r="T151">
        <f t="shared" si="180"/>
        <v>223916</v>
      </c>
      <c r="U151">
        <f t="shared" si="181"/>
        <v>153754</v>
      </c>
      <c r="V151">
        <f t="shared" si="182"/>
        <v>17687</v>
      </c>
      <c r="W151">
        <f t="shared" ref="W151" si="193">+SUM(E140:E151)</f>
        <v>395357</v>
      </c>
      <c r="Z151" s="179">
        <f t="shared" si="152"/>
        <v>6.9745887816087482E-2</v>
      </c>
      <c r="AA151" s="179">
        <f t="shared" si="153"/>
        <v>-9.6972366604998084E-2</v>
      </c>
      <c r="AB151" s="179">
        <f t="shared" si="153"/>
        <v>3.7455309006300119E-3</v>
      </c>
      <c r="AC151" s="179">
        <f t="shared" si="154"/>
        <v>-4.6474976271578816E-3</v>
      </c>
    </row>
    <row r="152" spans="1:29" x14ac:dyDescent="0.25">
      <c r="A152" s="175">
        <f t="shared" si="166"/>
        <v>45535</v>
      </c>
      <c r="B152">
        <v>15491</v>
      </c>
      <c r="C152">
        <v>10373</v>
      </c>
      <c r="D152">
        <v>1343</v>
      </c>
      <c r="E152">
        <f t="shared" si="164"/>
        <v>27207</v>
      </c>
      <c r="H152" s="56">
        <f t="shared" si="169"/>
        <v>50291</v>
      </c>
      <c r="I152" s="56">
        <f t="shared" si="170"/>
        <v>31632</v>
      </c>
      <c r="J152" s="56">
        <f t="shared" si="170"/>
        <v>4306</v>
      </c>
      <c r="K152" s="56">
        <f t="shared" si="167"/>
        <v>86229</v>
      </c>
      <c r="N152" s="179">
        <f t="shared" si="185"/>
        <v>-6.9443416475464481E-2</v>
      </c>
      <c r="O152" s="179">
        <f t="shared" si="186"/>
        <v>-0.22976526736144931</v>
      </c>
      <c r="P152" s="179">
        <f t="shared" si="186"/>
        <v>1.9654274212645095E-2</v>
      </c>
      <c r="Q152" s="179">
        <f t="shared" si="187"/>
        <v>-0.13193738360094631</v>
      </c>
      <c r="T152">
        <f t="shared" si="180"/>
        <v>222214</v>
      </c>
      <c r="U152">
        <f t="shared" si="181"/>
        <v>150572</v>
      </c>
      <c r="V152">
        <f t="shared" si="182"/>
        <v>17701</v>
      </c>
      <c r="W152">
        <f t="shared" ref="W152" si="194">+SUM(E141:E152)</f>
        <v>390487</v>
      </c>
      <c r="Z152" s="179">
        <f t="shared" si="152"/>
        <v>5.1263613053392554E-2</v>
      </c>
      <c r="AA152" s="179">
        <f t="shared" si="153"/>
        <v>-0.11239750293269823</v>
      </c>
      <c r="AB152" s="179">
        <f t="shared" si="153"/>
        <v>5.5452865064695045E-2</v>
      </c>
      <c r="AC152" s="179">
        <f t="shared" si="154"/>
        <v>-1.8353997606765371E-2</v>
      </c>
    </row>
    <row r="153" spans="1:29" x14ac:dyDescent="0.25">
      <c r="A153" s="175">
        <f t="shared" si="166"/>
        <v>45565</v>
      </c>
      <c r="B153">
        <v>17783</v>
      </c>
      <c r="C153">
        <v>10848</v>
      </c>
      <c r="D153">
        <v>1401</v>
      </c>
      <c r="E153">
        <f t="shared" si="164"/>
        <v>30032</v>
      </c>
      <c r="H153" s="56">
        <f t="shared" si="169"/>
        <v>48532</v>
      </c>
      <c r="I153" s="56">
        <f t="shared" si="170"/>
        <v>31399</v>
      </c>
      <c r="J153" s="56">
        <f t="shared" si="170"/>
        <v>4350</v>
      </c>
      <c r="K153" s="56">
        <f t="shared" si="167"/>
        <v>84281</v>
      </c>
      <c r="N153" s="179">
        <f t="shared" si="185"/>
        <v>-0.15558339423043466</v>
      </c>
      <c r="O153" s="179">
        <f t="shared" si="186"/>
        <v>-0.24709859965470937</v>
      </c>
      <c r="P153" s="179">
        <f t="shared" si="186"/>
        <v>-0.1135113103729366</v>
      </c>
      <c r="Q153" s="179">
        <f t="shared" si="187"/>
        <v>-0.19026756977470338</v>
      </c>
      <c r="T153">
        <f t="shared" si="180"/>
        <v>217409</v>
      </c>
      <c r="U153">
        <f t="shared" si="181"/>
        <v>146794</v>
      </c>
      <c r="V153">
        <f t="shared" si="182"/>
        <v>17252</v>
      </c>
      <c r="W153">
        <f t="shared" ref="W153" si="195">+SUM(E142:E153)</f>
        <v>381455</v>
      </c>
      <c r="Z153" s="179">
        <f t="shared" si="152"/>
        <v>3.9574790350584976E-3</v>
      </c>
      <c r="AA153" s="179">
        <f t="shared" si="153"/>
        <v>-0.12985180794309426</v>
      </c>
      <c r="AB153" s="179">
        <f t="shared" si="153"/>
        <v>3.2435667265110713E-2</v>
      </c>
      <c r="AC153" s="179">
        <f t="shared" si="154"/>
        <v>-5.1017260338041881E-2</v>
      </c>
    </row>
    <row r="154" spans="1:29" x14ac:dyDescent="0.25">
      <c r="A154" s="175">
        <f t="shared" si="166"/>
        <v>45596</v>
      </c>
      <c r="B154">
        <v>18695</v>
      </c>
      <c r="C154">
        <v>14013</v>
      </c>
      <c r="D154">
        <v>1551</v>
      </c>
      <c r="E154">
        <f t="shared" si="164"/>
        <v>34259</v>
      </c>
      <c r="H154" s="56">
        <f t="shared" si="169"/>
        <v>51969</v>
      </c>
      <c r="I154" s="56">
        <f t="shared" si="170"/>
        <v>35234</v>
      </c>
      <c r="J154" s="56">
        <f t="shared" si="170"/>
        <v>4295</v>
      </c>
      <c r="K154" s="56">
        <f t="shared" si="167"/>
        <v>91498</v>
      </c>
      <c r="N154" s="179">
        <f t="shared" si="185"/>
        <v>-0.10165946413137428</v>
      </c>
      <c r="O154" s="179">
        <f t="shared" si="186"/>
        <v>-0.17291079812206578</v>
      </c>
      <c r="P154" s="179">
        <f t="shared" si="186"/>
        <v>-0.14237220447284349</v>
      </c>
      <c r="Q154" s="179">
        <f t="shared" si="187"/>
        <v>-0.13237497392326802</v>
      </c>
      <c r="T154">
        <f t="shared" si="180"/>
        <v>218035</v>
      </c>
      <c r="U154">
        <f t="shared" si="181"/>
        <v>146388</v>
      </c>
      <c r="V154">
        <f t="shared" si="182"/>
        <v>16974</v>
      </c>
      <c r="W154">
        <f t="shared" ref="W154" si="196">+SUM(E143:E154)</f>
        <v>381397</v>
      </c>
      <c r="Z154" s="179">
        <f t="shared" si="152"/>
        <v>-4.0380231957938273E-3</v>
      </c>
      <c r="AA154" s="179">
        <f t="shared" si="153"/>
        <v>-0.12604700867457508</v>
      </c>
      <c r="AB154" s="179">
        <f t="shared" si="153"/>
        <v>1.5932023366966863E-3</v>
      </c>
      <c r="AC154" s="179">
        <f t="shared" si="154"/>
        <v>-5.4466528000555292E-2</v>
      </c>
    </row>
    <row r="155" spans="1:29" x14ac:dyDescent="0.25">
      <c r="A155" s="175">
        <f t="shared" si="166"/>
        <v>45626</v>
      </c>
      <c r="B155">
        <v>14982</v>
      </c>
      <c r="C155">
        <v>11201</v>
      </c>
      <c r="D155">
        <v>1453</v>
      </c>
      <c r="E155">
        <f t="shared" si="164"/>
        <v>27636</v>
      </c>
      <c r="H155" s="56">
        <f t="shared" si="169"/>
        <v>51460</v>
      </c>
      <c r="I155" s="56">
        <f t="shared" si="170"/>
        <v>36062</v>
      </c>
      <c r="J155" s="56">
        <f t="shared" si="170"/>
        <v>4405</v>
      </c>
      <c r="K155" s="56">
        <f t="shared" si="167"/>
        <v>91927</v>
      </c>
      <c r="N155" s="179">
        <f t="shared" si="185"/>
        <v>-7.1538114569237754E-2</v>
      </c>
      <c r="O155" s="179">
        <f t="shared" si="186"/>
        <v>-0.11733894654395927</v>
      </c>
      <c r="P155" s="179">
        <f t="shared" si="186"/>
        <v>-0.14115812049132381</v>
      </c>
      <c r="Q155" s="179">
        <f t="shared" si="187"/>
        <v>-9.3511488018933053E-2</v>
      </c>
      <c r="T155">
        <f t="shared" si="180"/>
        <v>218249</v>
      </c>
      <c r="U155">
        <f t="shared" si="181"/>
        <v>145778</v>
      </c>
      <c r="V155">
        <f t="shared" si="182"/>
        <v>16977</v>
      </c>
      <c r="W155">
        <f t="shared" ref="W155" si="197">+SUM(E144:E155)</f>
        <v>381004</v>
      </c>
      <c r="Z155" s="179">
        <f t="shared" ref="Z155:Z167" si="198">+T155/T143-1</f>
        <v>-4.8152116914799148E-3</v>
      </c>
      <c r="AA155" s="179">
        <f t="shared" ref="AA155:AB167" si="199">+U155/U143-1</f>
        <v>-0.12321368426117496</v>
      </c>
      <c r="AB155" s="179">
        <f t="shared" si="199"/>
        <v>1.2102062716108364E-2</v>
      </c>
      <c r="AC155" s="179">
        <f t="shared" ref="AC155:AC167" si="200">+W155/W143-1</f>
        <v>-5.3036836728860726E-2</v>
      </c>
    </row>
    <row r="156" spans="1:29" x14ac:dyDescent="0.25">
      <c r="A156" s="175">
        <f t="shared" si="166"/>
        <v>45657</v>
      </c>
      <c r="B156">
        <v>19351</v>
      </c>
      <c r="C156">
        <v>13018</v>
      </c>
      <c r="D156">
        <v>1506</v>
      </c>
      <c r="E156">
        <f t="shared" si="164"/>
        <v>33875</v>
      </c>
      <c r="H156" s="56">
        <f t="shared" si="169"/>
        <v>53028</v>
      </c>
      <c r="I156" s="56">
        <f t="shared" si="170"/>
        <v>38232</v>
      </c>
      <c r="J156" s="56">
        <f t="shared" si="170"/>
        <v>4510</v>
      </c>
      <c r="K156" s="56">
        <f t="shared" si="167"/>
        <v>95770</v>
      </c>
      <c r="N156" s="179">
        <f t="shared" si="185"/>
        <v>4.8700991074643873E-3</v>
      </c>
      <c r="O156" s="179">
        <f t="shared" si="186"/>
        <v>-1.8786572220511277E-2</v>
      </c>
      <c r="P156" s="179">
        <f t="shared" si="186"/>
        <v>-5.8651638488833258E-2</v>
      </c>
      <c r="Q156" s="179">
        <f t="shared" si="187"/>
        <v>-7.8320866916685716E-3</v>
      </c>
      <c r="T156">
        <f t="shared" si="180"/>
        <v>217666</v>
      </c>
      <c r="U156">
        <f t="shared" si="181"/>
        <v>146062</v>
      </c>
      <c r="V156">
        <f t="shared" si="182"/>
        <v>16971</v>
      </c>
      <c r="W156">
        <f t="shared" ref="W156" si="201">+SUM(E145:E156)</f>
        <v>380699</v>
      </c>
      <c r="Z156" s="179">
        <f t="shared" si="198"/>
        <v>-1.5584861970404096E-2</v>
      </c>
      <c r="AA156" s="179">
        <f t="shared" si="199"/>
        <v>-0.11030571781861598</v>
      </c>
      <c r="AB156" s="179">
        <f t="shared" si="199"/>
        <v>-1.8506737609160884E-2</v>
      </c>
      <c r="AC156" s="179">
        <f t="shared" si="200"/>
        <v>-5.4337836025177944E-2</v>
      </c>
    </row>
    <row r="157" spans="1:29" x14ac:dyDescent="0.25">
      <c r="A157" s="175">
        <f t="shared" si="166"/>
        <v>45688</v>
      </c>
      <c r="B157">
        <v>18870</v>
      </c>
      <c r="C157">
        <v>11213</v>
      </c>
      <c r="D157">
        <v>1905</v>
      </c>
      <c r="E157">
        <f t="shared" si="164"/>
        <v>31988</v>
      </c>
      <c r="H157" s="56">
        <f t="shared" si="169"/>
        <v>53203</v>
      </c>
      <c r="I157" s="56">
        <f t="shared" si="170"/>
        <v>35432</v>
      </c>
      <c r="J157" s="56">
        <f t="shared" si="170"/>
        <v>4864</v>
      </c>
      <c r="K157" s="56">
        <f t="shared" si="167"/>
        <v>93499</v>
      </c>
      <c r="N157" s="179">
        <f t="shared" si="185"/>
        <v>1.8765677957987892E-2</v>
      </c>
      <c r="O157" s="179">
        <f t="shared" si="186"/>
        <v>-5.9335758090636403E-2</v>
      </c>
      <c r="P157" s="179">
        <f t="shared" si="186"/>
        <v>0.10269780095216507</v>
      </c>
      <c r="Q157" s="179">
        <f t="shared" si="187"/>
        <v>-8.504681816735804E-3</v>
      </c>
      <c r="T157">
        <f t="shared" si="180"/>
        <v>219015</v>
      </c>
      <c r="U157">
        <f t="shared" si="181"/>
        <v>144153</v>
      </c>
      <c r="V157">
        <f t="shared" si="182"/>
        <v>17427</v>
      </c>
      <c r="W157">
        <f t="shared" ref="W157" si="202">+SUM(E146:E157)</f>
        <v>380595</v>
      </c>
      <c r="Z157" s="179">
        <f t="shared" si="198"/>
        <v>-9.1298584374278624E-3</v>
      </c>
      <c r="AA157" s="179">
        <f t="shared" si="199"/>
        <v>-0.11670414647148575</v>
      </c>
      <c r="AB157" s="179">
        <f t="shared" si="199"/>
        <v>-1.2858275744873637E-2</v>
      </c>
      <c r="AC157" s="179">
        <f t="shared" si="200"/>
        <v>-5.2977710096893116E-2</v>
      </c>
    </row>
    <row r="158" spans="1:29" x14ac:dyDescent="0.25">
      <c r="A158" s="175">
        <f t="shared" si="166"/>
        <v>45716</v>
      </c>
      <c r="B158">
        <v>19899</v>
      </c>
      <c r="C158">
        <v>10898</v>
      </c>
      <c r="D158">
        <v>1736</v>
      </c>
      <c r="E158">
        <f t="shared" si="164"/>
        <v>32533</v>
      </c>
      <c r="H158" s="56">
        <f t="shared" si="169"/>
        <v>58120</v>
      </c>
      <c r="I158" s="56">
        <f t="shared" si="170"/>
        <v>35129</v>
      </c>
      <c r="J158" s="56">
        <f t="shared" si="170"/>
        <v>5147</v>
      </c>
      <c r="K158" s="56">
        <f t="shared" si="167"/>
        <v>98396</v>
      </c>
      <c r="N158" s="179">
        <f t="shared" si="185"/>
        <v>1.393904502712795E-2</v>
      </c>
      <c r="O158" s="179">
        <f t="shared" si="186"/>
        <v>-0.11193973253785672</v>
      </c>
      <c r="P158" s="179">
        <f t="shared" si="186"/>
        <v>0.14914043313239556</v>
      </c>
      <c r="Q158" s="179">
        <f t="shared" si="187"/>
        <v>-2.9213571830263296E-2</v>
      </c>
      <c r="T158">
        <f t="shared" si="180"/>
        <v>219048</v>
      </c>
      <c r="U158">
        <f t="shared" si="181"/>
        <v>141350</v>
      </c>
      <c r="V158">
        <f t="shared" si="182"/>
        <v>17645</v>
      </c>
      <c r="W158">
        <f t="shared" ref="W158" si="203">+SUM(E147:E158)</f>
        <v>378043</v>
      </c>
      <c r="Z158" s="179">
        <f t="shared" si="198"/>
        <v>-4.2050615302786643E-3</v>
      </c>
      <c r="AA158" s="179">
        <f t="shared" si="199"/>
        <v>-0.13112698393184252</v>
      </c>
      <c r="AB158" s="179">
        <f t="shared" si="199"/>
        <v>-5.971494563686508E-3</v>
      </c>
      <c r="AC158" s="179">
        <f t="shared" si="200"/>
        <v>-5.5850811426402247E-2</v>
      </c>
    </row>
    <row r="159" spans="1:29" x14ac:dyDescent="0.25">
      <c r="A159" s="175">
        <f t="shared" si="166"/>
        <v>45747</v>
      </c>
      <c r="B159">
        <v>26125</v>
      </c>
      <c r="C159">
        <v>12759</v>
      </c>
      <c r="D159">
        <v>2238</v>
      </c>
      <c r="E159">
        <f t="shared" si="164"/>
        <v>41122</v>
      </c>
      <c r="H159" s="56">
        <f t="shared" si="169"/>
        <v>64894</v>
      </c>
      <c r="I159" s="56">
        <f t="shared" si="170"/>
        <v>34870</v>
      </c>
      <c r="J159" s="56">
        <f t="shared" si="170"/>
        <v>5879</v>
      </c>
      <c r="K159" s="56">
        <f t="shared" si="167"/>
        <v>105643</v>
      </c>
      <c r="N159" s="179">
        <f t="shared" si="185"/>
        <v>3.4464069374481987E-2</v>
      </c>
      <c r="O159" s="179">
        <f t="shared" si="186"/>
        <v>-0.17350082958046931</v>
      </c>
      <c r="P159" s="179">
        <f t="shared" si="186"/>
        <v>0.30152756254150992</v>
      </c>
      <c r="Q159" s="179">
        <f t="shared" si="187"/>
        <v>-3.4685989455312982E-2</v>
      </c>
      <c r="T159">
        <f t="shared" si="180"/>
        <v>219828</v>
      </c>
      <c r="U159">
        <f t="shared" si="181"/>
        <v>138742</v>
      </c>
      <c r="V159">
        <f t="shared" si="182"/>
        <v>18333</v>
      </c>
      <c r="W159">
        <f t="shared" ref="W159" si="204">+SUM(E148:E159)</f>
        <v>376903</v>
      </c>
      <c r="Z159" s="179">
        <f t="shared" si="198"/>
        <v>4.6432553973274615E-3</v>
      </c>
      <c r="AA159" s="179">
        <f t="shared" si="199"/>
        <v>-0.12876770822867478</v>
      </c>
      <c r="AB159" s="179">
        <f t="shared" si="199"/>
        <v>3.0812482429013244E-2</v>
      </c>
      <c r="AC159" s="179">
        <f t="shared" si="200"/>
        <v>-4.7852063307607828E-2</v>
      </c>
    </row>
    <row r="160" spans="1:29" x14ac:dyDescent="0.25">
      <c r="A160" s="175">
        <f t="shared" si="166"/>
        <v>45777</v>
      </c>
      <c r="B160">
        <v>16633</v>
      </c>
      <c r="C160">
        <v>9131</v>
      </c>
      <c r="D160">
        <v>1457</v>
      </c>
      <c r="E160">
        <f t="shared" si="164"/>
        <v>27221</v>
      </c>
      <c r="H160" s="56">
        <f t="shared" si="169"/>
        <v>62657</v>
      </c>
      <c r="I160" s="56">
        <f t="shared" si="170"/>
        <v>32788</v>
      </c>
      <c r="J160" s="56">
        <f t="shared" si="170"/>
        <v>5431</v>
      </c>
      <c r="K160" s="56">
        <f t="shared" si="167"/>
        <v>100876</v>
      </c>
      <c r="N160" s="179">
        <f t="shared" si="185"/>
        <v>1.2163995864564514E-2</v>
      </c>
      <c r="O160" s="179">
        <f t="shared" si="186"/>
        <v>-0.19816096451541909</v>
      </c>
      <c r="P160" s="179">
        <f t="shared" si="186"/>
        <v>0.32787286063569687</v>
      </c>
      <c r="Q160" s="179">
        <f t="shared" si="187"/>
        <v>-5.621930111802409E-2</v>
      </c>
      <c r="T160">
        <f t="shared" si="180"/>
        <v>219768</v>
      </c>
      <c r="U160">
        <f t="shared" si="181"/>
        <v>136050</v>
      </c>
      <c r="V160">
        <f t="shared" si="182"/>
        <v>18768</v>
      </c>
      <c r="W160">
        <f t="shared" ref="W160" si="205">+SUM(E149:E160)</f>
        <v>374586</v>
      </c>
      <c r="Z160" s="179">
        <f t="shared" si="198"/>
        <v>-2.0257498484254066E-2</v>
      </c>
      <c r="AA160" s="179">
        <f t="shared" si="199"/>
        <v>-0.15369159663342813</v>
      </c>
      <c r="AB160" s="179">
        <f t="shared" si="199"/>
        <v>5.30804623499046E-2</v>
      </c>
      <c r="AC160" s="179">
        <f t="shared" si="200"/>
        <v>-7.0254733910660727E-2</v>
      </c>
    </row>
    <row r="161" spans="1:107" x14ac:dyDescent="0.25">
      <c r="A161" s="175">
        <f t="shared" si="166"/>
        <v>45808</v>
      </c>
      <c r="B161">
        <v>16808</v>
      </c>
      <c r="C161">
        <v>9064</v>
      </c>
      <c r="D161">
        <v>2275</v>
      </c>
      <c r="E161">
        <f t="shared" si="164"/>
        <v>28147</v>
      </c>
      <c r="H161" s="56">
        <f t="shared" si="169"/>
        <v>59566</v>
      </c>
      <c r="I161" s="56">
        <f t="shared" si="170"/>
        <v>30954</v>
      </c>
      <c r="J161" s="56">
        <f t="shared" si="170"/>
        <v>5970</v>
      </c>
      <c r="K161" s="56">
        <f t="shared" si="167"/>
        <v>96490</v>
      </c>
      <c r="N161" s="179">
        <f t="shared" si="185"/>
        <v>6.5734998394646471E-3</v>
      </c>
      <c r="O161" s="179">
        <f t="shared" si="186"/>
        <v>-0.1965634490097854</v>
      </c>
      <c r="P161" s="179">
        <f t="shared" si="186"/>
        <v>0.57644573541061517</v>
      </c>
      <c r="Q161" s="179">
        <f t="shared" si="187"/>
        <v>-4.9275305199475761E-2</v>
      </c>
      <c r="T161">
        <f t="shared" si="180"/>
        <v>219437</v>
      </c>
      <c r="U161">
        <f t="shared" si="181"/>
        <v>133777</v>
      </c>
      <c r="V161">
        <f t="shared" si="182"/>
        <v>19828</v>
      </c>
      <c r="W161">
        <f t="shared" ref="W161" si="206">+SUM(E150:E161)</f>
        <v>373042</v>
      </c>
      <c r="Z161" s="179">
        <f t="shared" si="198"/>
        <v>-2.8898024932844213E-2</v>
      </c>
      <c r="AA161" s="179">
        <f t="shared" si="199"/>
        <v>-0.16393555322233888</v>
      </c>
      <c r="AB161" s="179">
        <f t="shared" si="199"/>
        <v>0.1254398910205472</v>
      </c>
      <c r="AC161" s="179">
        <f t="shared" si="200"/>
        <v>-7.5697546785994829E-2</v>
      </c>
    </row>
    <row r="162" spans="1:107" x14ac:dyDescent="0.25">
      <c r="A162" s="175">
        <f t="shared" si="166"/>
        <v>45838</v>
      </c>
      <c r="B162">
        <v>17880</v>
      </c>
      <c r="C162">
        <v>10056</v>
      </c>
      <c r="D162">
        <v>2302</v>
      </c>
      <c r="E162">
        <f t="shared" si="164"/>
        <v>30238</v>
      </c>
      <c r="H162" s="56">
        <f t="shared" si="169"/>
        <v>51321</v>
      </c>
      <c r="I162" s="56">
        <f t="shared" si="170"/>
        <v>28251</v>
      </c>
      <c r="J162" s="56">
        <f t="shared" si="170"/>
        <v>6034</v>
      </c>
      <c r="K162" s="56">
        <f t="shared" si="167"/>
        <v>85606</v>
      </c>
      <c r="N162" s="179">
        <f t="shared" si="185"/>
        <v>-3.8464420879079753E-2</v>
      </c>
      <c r="O162" s="179">
        <f t="shared" si="186"/>
        <v>-0.17493647965888848</v>
      </c>
      <c r="P162" s="179">
        <f t="shared" si="186"/>
        <v>0.67890929326655547</v>
      </c>
      <c r="Q162" s="179">
        <f t="shared" si="187"/>
        <v>-6.1430341304038016E-2</v>
      </c>
      <c r="T162">
        <f t="shared" si="180"/>
        <v>217775</v>
      </c>
      <c r="U162">
        <f t="shared" si="181"/>
        <v>132752</v>
      </c>
      <c r="V162">
        <f t="shared" si="182"/>
        <v>20773</v>
      </c>
      <c r="W162">
        <f t="shared" ref="W162" si="207">+SUM(E151:E162)</f>
        <v>371300</v>
      </c>
      <c r="Z162" s="179">
        <f t="shared" si="198"/>
        <v>-3.7888058811315184E-2</v>
      </c>
      <c r="AA162" s="179">
        <f t="shared" si="199"/>
        <v>-0.15497870769387456</v>
      </c>
      <c r="AB162" s="179">
        <f t="shared" si="199"/>
        <v>0.16643270256611831</v>
      </c>
      <c r="AC162" s="179">
        <f t="shared" si="200"/>
        <v>-7.4662499781936398E-2</v>
      </c>
    </row>
    <row r="163" spans="1:107" x14ac:dyDescent="0.25">
      <c r="A163" s="175">
        <f t="shared" si="166"/>
        <v>45869</v>
      </c>
      <c r="B163">
        <v>16552</v>
      </c>
      <c r="C163">
        <v>9880</v>
      </c>
      <c r="D163">
        <v>2524</v>
      </c>
      <c r="E163">
        <f t="shared" si="164"/>
        <v>28956</v>
      </c>
      <c r="H163" s="56">
        <f t="shared" si="169"/>
        <v>51240</v>
      </c>
      <c r="I163" s="56">
        <f t="shared" si="170"/>
        <v>29000</v>
      </c>
      <c r="J163" s="56">
        <f t="shared" si="170"/>
        <v>7101</v>
      </c>
      <c r="K163" s="56">
        <f t="shared" si="167"/>
        <v>87341</v>
      </c>
      <c r="N163" s="179">
        <f t="shared" si="185"/>
        <v>-1.3458095073066501E-2</v>
      </c>
      <c r="O163" s="179">
        <f t="shared" si="186"/>
        <v>-0.11032028469750887</v>
      </c>
      <c r="P163" s="179">
        <f t="shared" si="186"/>
        <v>0.69961704164672089</v>
      </c>
      <c r="Q163" s="179">
        <f t="shared" si="187"/>
        <v>-1.546560256106766E-2</v>
      </c>
      <c r="T163">
        <f t="shared" si="180"/>
        <v>219069</v>
      </c>
      <c r="U163">
        <f t="shared" si="181"/>
        <v>132454</v>
      </c>
      <c r="V163">
        <f t="shared" si="182"/>
        <v>21691</v>
      </c>
      <c r="W163">
        <f t="shared" ref="W163" si="208">+SUM(E152:E163)</f>
        <v>373214</v>
      </c>
      <c r="Z163" s="179">
        <f t="shared" si="198"/>
        <v>-2.164651029850484E-2</v>
      </c>
      <c r="AA163" s="179">
        <f t="shared" si="199"/>
        <v>-0.13853298125577218</v>
      </c>
      <c r="AB163" s="179">
        <f t="shared" si="199"/>
        <v>0.22638095776559064</v>
      </c>
      <c r="AC163" s="179">
        <f t="shared" si="200"/>
        <v>-5.6007608313498936E-2</v>
      </c>
    </row>
    <row r="164" spans="1:107" x14ac:dyDescent="0.25">
      <c r="A164" s="175">
        <f t="shared" si="166"/>
        <v>45900</v>
      </c>
      <c r="B164">
        <v>16739</v>
      </c>
      <c r="C164">
        <v>10742</v>
      </c>
      <c r="D164">
        <v>2382</v>
      </c>
      <c r="E164">
        <f t="shared" si="164"/>
        <v>29863</v>
      </c>
      <c r="H164" s="56">
        <f t="shared" si="169"/>
        <v>51171</v>
      </c>
      <c r="I164" s="56">
        <f t="shared" si="170"/>
        <v>30678</v>
      </c>
      <c r="J164" s="56">
        <f t="shared" si="170"/>
        <v>7208</v>
      </c>
      <c r="K164" s="56">
        <f t="shared" si="167"/>
        <v>89057</v>
      </c>
      <c r="N164" s="179">
        <f t="shared" si="185"/>
        <v>1.7498160704698673E-2</v>
      </c>
      <c r="O164" s="179">
        <f t="shared" si="186"/>
        <v>-3.0159332321699539E-2</v>
      </c>
      <c r="P164" s="179">
        <f t="shared" si="186"/>
        <v>0.67394333488156066</v>
      </c>
      <c r="Q164" s="179">
        <f t="shared" si="187"/>
        <v>3.2796391005346148E-2</v>
      </c>
      <c r="T164">
        <f t="shared" si="180"/>
        <v>220317</v>
      </c>
      <c r="U164">
        <f t="shared" si="181"/>
        <v>132823</v>
      </c>
      <c r="V164">
        <f t="shared" si="182"/>
        <v>22730</v>
      </c>
      <c r="W164">
        <f t="shared" ref="W164" si="209">+SUM(E153:E164)</f>
        <v>375870</v>
      </c>
      <c r="Z164" s="179">
        <f t="shared" si="198"/>
        <v>-8.5368158621869084E-3</v>
      </c>
      <c r="AA164" s="179">
        <f t="shared" si="199"/>
        <v>-0.11787716175650187</v>
      </c>
      <c r="AB164" s="179">
        <f t="shared" si="199"/>
        <v>0.28410824247217681</v>
      </c>
      <c r="AC164" s="179">
        <f t="shared" si="200"/>
        <v>-3.7432744239885074E-2</v>
      </c>
    </row>
    <row r="165" spans="1:107" x14ac:dyDescent="0.25">
      <c r="A165" s="175">
        <f t="shared" si="166"/>
        <v>45930</v>
      </c>
      <c r="B165">
        <v>19038</v>
      </c>
      <c r="C165">
        <v>14110</v>
      </c>
      <c r="D165">
        <v>2714</v>
      </c>
      <c r="E165">
        <f t="shared" si="164"/>
        <v>35862</v>
      </c>
      <c r="H165" s="56">
        <f t="shared" si="169"/>
        <v>52329</v>
      </c>
      <c r="I165" s="56">
        <f t="shared" si="170"/>
        <v>34732</v>
      </c>
      <c r="J165" s="56">
        <f t="shared" si="170"/>
        <v>7620</v>
      </c>
      <c r="K165" s="56">
        <f t="shared" si="167"/>
        <v>94681</v>
      </c>
      <c r="N165" s="179">
        <f t="shared" si="185"/>
        <v>7.823703947910654E-2</v>
      </c>
      <c r="O165" s="179">
        <f t="shared" si="186"/>
        <v>0.10614987738463011</v>
      </c>
      <c r="P165" s="179">
        <f t="shared" si="186"/>
        <v>0.75172413793103443</v>
      </c>
      <c r="Q165" s="179">
        <f t="shared" si="187"/>
        <v>0.12339673235960658</v>
      </c>
      <c r="T165">
        <f t="shared" si="180"/>
        <v>221572</v>
      </c>
      <c r="U165">
        <f t="shared" si="181"/>
        <v>136085</v>
      </c>
      <c r="V165">
        <f t="shared" si="182"/>
        <v>24043</v>
      </c>
      <c r="W165">
        <f t="shared" ref="W165" si="210">+SUM(E154:E165)</f>
        <v>381700</v>
      </c>
      <c r="Z165" s="179">
        <f t="shared" si="198"/>
        <v>1.9148241333155402E-2</v>
      </c>
      <c r="AA165" s="179">
        <f t="shared" si="199"/>
        <v>-7.2952572993446596E-2</v>
      </c>
      <c r="AB165" s="179">
        <f t="shared" si="199"/>
        <v>0.39363552051936002</v>
      </c>
      <c r="AC165" s="179">
        <f t="shared" si="200"/>
        <v>6.4227759499813075E-4</v>
      </c>
    </row>
    <row r="166" spans="1:107" x14ac:dyDescent="0.25">
      <c r="A166" s="175">
        <f t="shared" si="166"/>
        <v>45961</v>
      </c>
      <c r="B166">
        <v>20090</v>
      </c>
      <c r="C166">
        <v>15018</v>
      </c>
      <c r="D166">
        <v>2422</v>
      </c>
      <c r="E166">
        <f t="shared" si="164"/>
        <v>37530</v>
      </c>
      <c r="H166" s="56">
        <f t="shared" si="169"/>
        <v>55867</v>
      </c>
      <c r="I166" s="56">
        <f t="shared" si="170"/>
        <v>39870</v>
      </c>
      <c r="J166" s="56">
        <f t="shared" si="170"/>
        <v>7518</v>
      </c>
      <c r="K166" s="56">
        <f t="shared" si="167"/>
        <v>103255</v>
      </c>
      <c r="N166" s="179">
        <f t="shared" si="185"/>
        <v>7.5006253728184147E-2</v>
      </c>
      <c r="O166" s="179">
        <f t="shared" si="186"/>
        <v>0.1315774535959584</v>
      </c>
      <c r="P166" s="179">
        <f t="shared" si="186"/>
        <v>0.75040745052386493</v>
      </c>
      <c r="Q166" s="179">
        <f t="shared" si="187"/>
        <v>0.12849461190408529</v>
      </c>
      <c r="T166">
        <f t="shared" si="180"/>
        <v>222967</v>
      </c>
      <c r="U166">
        <f t="shared" si="181"/>
        <v>137090</v>
      </c>
      <c r="V166">
        <f t="shared" si="182"/>
        <v>24914</v>
      </c>
      <c r="W166">
        <f t="shared" ref="W166" si="211">+SUM(E155:E166)</f>
        <v>384971</v>
      </c>
      <c r="Z166" s="179">
        <f t="shared" si="198"/>
        <v>2.2620221524067174E-2</v>
      </c>
      <c r="AA166" s="179">
        <f t="shared" si="199"/>
        <v>-6.3516135202339008E-2</v>
      </c>
      <c r="AB166" s="179">
        <f t="shared" si="199"/>
        <v>0.46777424295982084</v>
      </c>
      <c r="AC166" s="179">
        <f t="shared" si="200"/>
        <v>9.3708130897725006E-3</v>
      </c>
    </row>
    <row r="167" spans="1:107" x14ac:dyDescent="0.25">
      <c r="A167" s="175">
        <f t="shared" si="166"/>
        <v>45991</v>
      </c>
      <c r="B167">
        <v>19426</v>
      </c>
      <c r="C167">
        <v>13327</v>
      </c>
      <c r="D167">
        <v>1763</v>
      </c>
      <c r="E167">
        <f t="shared" si="164"/>
        <v>34516</v>
      </c>
      <c r="H167" s="56">
        <f t="shared" si="169"/>
        <v>58554</v>
      </c>
      <c r="I167" s="56">
        <f t="shared" si="170"/>
        <v>42455</v>
      </c>
      <c r="J167" s="56">
        <f t="shared" si="170"/>
        <v>6899</v>
      </c>
      <c r="K167" s="56">
        <f t="shared" si="167"/>
        <v>107908</v>
      </c>
      <c r="N167" s="179">
        <f t="shared" si="185"/>
        <v>0.13785464438398765</v>
      </c>
      <c r="O167" s="179">
        <f t="shared" si="186"/>
        <v>0.17727802118573566</v>
      </c>
      <c r="P167" s="179">
        <f t="shared" si="186"/>
        <v>0.56617480136208864</v>
      </c>
      <c r="Q167" s="179">
        <f t="shared" si="187"/>
        <v>0.17384446354172334</v>
      </c>
      <c r="T167">
        <f t="shared" si="180"/>
        <v>227411</v>
      </c>
      <c r="U167">
        <f t="shared" si="181"/>
        <v>139216</v>
      </c>
      <c r="V167">
        <f t="shared" si="182"/>
        <v>25224</v>
      </c>
      <c r="W167">
        <f t="shared" ref="W167" si="212">+SUM(E156:E167)</f>
        <v>391851</v>
      </c>
      <c r="Z167" s="179">
        <f t="shared" si="198"/>
        <v>4.1979573789570734E-2</v>
      </c>
      <c r="AA167" s="179">
        <f t="shared" si="199"/>
        <v>-4.5013650893824808E-2</v>
      </c>
      <c r="AB167" s="179">
        <f t="shared" si="199"/>
        <v>0.48577487188549218</v>
      </c>
      <c r="AC167" s="179">
        <f t="shared" si="200"/>
        <v>2.8469517380395049E-2</v>
      </c>
    </row>
    <row r="168" spans="1:107" x14ac:dyDescent="0.25">
      <c r="A168" s="175">
        <f t="shared" si="166"/>
        <v>46022</v>
      </c>
      <c r="B168">
        <f>12483+7959+4167</f>
        <v>24609</v>
      </c>
      <c r="C168">
        <v>15448</v>
      </c>
      <c r="D168">
        <v>2451</v>
      </c>
      <c r="E168">
        <f t="shared" ref="E168:E173" si="213">+C168+B168+D168</f>
        <v>42508</v>
      </c>
      <c r="H168" s="56">
        <f t="shared" ref="H168" si="214">+SUM(B166:B168)</f>
        <v>64125</v>
      </c>
      <c r="I168" s="56">
        <f t="shared" ref="I168:J168" si="215">+SUM(C166:C168)</f>
        <v>43793</v>
      </c>
      <c r="J168" s="56">
        <f t="shared" si="215"/>
        <v>6636</v>
      </c>
      <c r="K168" s="56">
        <f>+H168+I168+J168</f>
        <v>114554</v>
      </c>
      <c r="N168" s="179">
        <f t="shared" ref="N168" si="216">+H168/H156-1</f>
        <v>0.20926680244399187</v>
      </c>
      <c r="O168" s="179">
        <f t="shared" ref="O168:P168" si="217">+I168/I156-1</f>
        <v>0.14545406988909804</v>
      </c>
      <c r="P168" s="179">
        <f t="shared" si="217"/>
        <v>0.47139689578713972</v>
      </c>
      <c r="Q168" s="179">
        <f t="shared" ref="Q168" si="218">+K168/K156-1</f>
        <v>0.19613657721624733</v>
      </c>
      <c r="T168">
        <f t="shared" ref="T168" si="219">+SUM(B157:B168)</f>
        <v>232669</v>
      </c>
      <c r="U168">
        <f t="shared" ref="U168:V168" si="220">+SUM(C157:C168)</f>
        <v>141646</v>
      </c>
      <c r="V168">
        <f t="shared" si="220"/>
        <v>26169</v>
      </c>
      <c r="W168">
        <f t="shared" ref="W168" si="221">+SUM(E157:E168)</f>
        <v>400484</v>
      </c>
      <c r="Z168" s="179">
        <f t="shared" ref="Z168" si="222">+T168/T156-1</f>
        <v>6.8926704216552004E-2</v>
      </c>
      <c r="AA168" s="179">
        <f t="shared" ref="AA168:AB168" si="223">+U168/U156-1</f>
        <v>-3.0233736358532659E-2</v>
      </c>
      <c r="AB168" s="179">
        <f t="shared" si="223"/>
        <v>0.54198338341877328</v>
      </c>
      <c r="AC168" s="179">
        <f t="shared" ref="AC168" si="224">+W168/W156-1</f>
        <v>5.1970191673736954E-2</v>
      </c>
    </row>
    <row r="169" spans="1:107" x14ac:dyDescent="0.25">
      <c r="A169" s="175">
        <f t="shared" si="166"/>
        <v>46053</v>
      </c>
      <c r="B169">
        <f>12691+7071+4562</f>
        <v>24324</v>
      </c>
      <c r="C169">
        <v>14520</v>
      </c>
      <c r="D169">
        <v>2705</v>
      </c>
      <c r="E169">
        <f t="shared" si="213"/>
        <v>41549</v>
      </c>
      <c r="H169" s="56">
        <f t="shared" ref="H169" si="225">+SUM(B167:B169)</f>
        <v>68359</v>
      </c>
      <c r="I169" s="56">
        <f t="shared" ref="I169" si="226">+SUM(C167:C169)</f>
        <v>43295</v>
      </c>
      <c r="J169" s="56">
        <f>+SUM(D167:D169)</f>
        <v>6919</v>
      </c>
      <c r="K169" s="56">
        <f>+H169+I169+J169</f>
        <v>118573</v>
      </c>
      <c r="N169" s="179">
        <f t="shared" ref="N169" si="227">+H169/H157-1</f>
        <v>0.28487115388229989</v>
      </c>
      <c r="O169" s="179">
        <f t="shared" ref="O169" si="228">+I169/I157-1</f>
        <v>0.22191804018965899</v>
      </c>
      <c r="P169" s="179">
        <f t="shared" ref="P169" si="229">+J169/J157-1</f>
        <v>0.42249177631578938</v>
      </c>
      <c r="Q169" s="179">
        <f t="shared" ref="Q169" si="230">+K169/K157-1</f>
        <v>0.26817399116568086</v>
      </c>
      <c r="T169">
        <f t="shared" ref="T169" si="231">+SUM(B158:B169)</f>
        <v>238123</v>
      </c>
      <c r="U169">
        <f t="shared" ref="U169" si="232">+SUM(C158:C169)</f>
        <v>144953</v>
      </c>
      <c r="V169">
        <f>+SUM(D158:D169)</f>
        <v>26969</v>
      </c>
      <c r="W169">
        <f t="shared" ref="W169" si="233">+SUM(E158:E169)</f>
        <v>410045</v>
      </c>
      <c r="Z169" s="179">
        <f t="shared" ref="Z169" si="234">+T169/T157-1</f>
        <v>8.7245165856219886E-2</v>
      </c>
      <c r="AA169" s="179">
        <f t="shared" ref="AA169" si="235">+U169/U157-1</f>
        <v>5.5496590428225634E-3</v>
      </c>
      <c r="AB169" s="179">
        <f t="shared" ref="AB169" si="236">+V169/V157-1</f>
        <v>0.54754117174499339</v>
      </c>
      <c r="AC169" s="179">
        <f t="shared" ref="AC169" si="237">+W169/W157-1</f>
        <v>7.7378841025236733E-2</v>
      </c>
    </row>
    <row r="170" spans="1:107" x14ac:dyDescent="0.25">
      <c r="A170" s="175">
        <f t="shared" si="166"/>
        <v>46081</v>
      </c>
      <c r="B170">
        <f>13559+7577+5548</f>
        <v>26684</v>
      </c>
      <c r="C170">
        <v>14209</v>
      </c>
      <c r="D170">
        <v>2047</v>
      </c>
      <c r="E170">
        <f t="shared" si="213"/>
        <v>42940</v>
      </c>
      <c r="H170" s="56">
        <f t="shared" ref="H170" si="238">+SUM(B168:B170)</f>
        <v>75617</v>
      </c>
      <c r="I170" s="56">
        <f t="shared" ref="I170" si="239">+SUM(C168:C170)</f>
        <v>44177</v>
      </c>
      <c r="J170" s="56">
        <f>+SUM(D168:D170)</f>
        <v>7203</v>
      </c>
      <c r="K170" s="56">
        <f>+H170+I170+J170</f>
        <v>126997</v>
      </c>
      <c r="N170" s="179">
        <f>+H170/H158-1</f>
        <v>0.30104955264969036</v>
      </c>
      <c r="O170" s="179">
        <f>+I170/I158-1</f>
        <v>0.25756497480713936</v>
      </c>
      <c r="P170" s="179">
        <f t="shared" ref="P170" si="240">+J170/J158-1</f>
        <v>0.39945599378278618</v>
      </c>
      <c r="Q170" s="179">
        <f t="shared" ref="Q170" si="241">+K170/K158-1</f>
        <v>0.29067238505630311</v>
      </c>
      <c r="T170">
        <f>+SUM(B159:B170)</f>
        <v>244908</v>
      </c>
      <c r="U170">
        <f t="shared" ref="U170" si="242">+SUM(C159:C170)</f>
        <v>148264</v>
      </c>
      <c r="V170">
        <f>+SUM(D159:D170)</f>
        <v>27280</v>
      </c>
      <c r="W170">
        <f t="shared" ref="W170" si="243">+SUM(E159:E170)</f>
        <v>420452</v>
      </c>
      <c r="Z170" s="179">
        <f t="shared" ref="Z170" si="244">+T170/T158-1</f>
        <v>0.11805631642379755</v>
      </c>
      <c r="AA170" s="179">
        <f t="shared" ref="AA170" si="245">+U170/U158-1</f>
        <v>4.8914043155288356E-2</v>
      </c>
      <c r="AB170" s="179">
        <f t="shared" ref="AB170" si="246">+V170/V158-1</f>
        <v>0.54604703882119576</v>
      </c>
      <c r="AC170" s="179">
        <f t="shared" ref="AC170" si="247">+W170/W158-1</f>
        <v>0.11218036043518853</v>
      </c>
    </row>
    <row r="171" spans="1:107" x14ac:dyDescent="0.25">
      <c r="A171" s="175">
        <f t="shared" si="166"/>
        <v>46112</v>
      </c>
      <c r="B171">
        <v>30934</v>
      </c>
      <c r="C171">
        <v>14891</v>
      </c>
      <c r="D171">
        <v>2151</v>
      </c>
      <c r="E171">
        <f t="shared" si="213"/>
        <v>47976</v>
      </c>
      <c r="H171" s="56">
        <f t="shared" ref="H171" si="248">+SUM(B169:B171)</f>
        <v>81942</v>
      </c>
      <c r="I171" s="56">
        <f t="shared" ref="I171" si="249">+SUM(C169:C171)</f>
        <v>43620</v>
      </c>
      <c r="J171" s="56">
        <f>+SUM(D169:D171)</f>
        <v>6903</v>
      </c>
      <c r="K171" s="56">
        <f>+H171+I171+J171</f>
        <v>132465</v>
      </c>
      <c r="N171" s="179">
        <f>+H171/H159-1</f>
        <v>0.26270533485376157</v>
      </c>
      <c r="O171" s="179">
        <f>+I171/I159-1</f>
        <v>0.25093203326641822</v>
      </c>
      <c r="P171" s="179">
        <f t="shared" ref="P171" si="250">+J171/J159-1</f>
        <v>0.17417928219084877</v>
      </c>
      <c r="Q171" s="179">
        <f t="shared" ref="Q171" si="251">+K171/K159-1</f>
        <v>0.25389282773113231</v>
      </c>
      <c r="T171">
        <f>+SUM(B160:B171)</f>
        <v>249717</v>
      </c>
      <c r="U171">
        <f t="shared" ref="U171" si="252">+SUM(C160:C171)</f>
        <v>150396</v>
      </c>
      <c r="V171">
        <f>+SUM(D160:D171)</f>
        <v>27193</v>
      </c>
      <c r="W171">
        <f t="shared" ref="W171" si="253">+SUM(E160:E171)</f>
        <v>427306</v>
      </c>
      <c r="Z171" s="179">
        <f t="shared" ref="Z171" si="254">+T171/T159-1</f>
        <v>0.13596539112396955</v>
      </c>
      <c r="AA171" s="179">
        <f t="shared" ref="AA171" si="255">+U171/U159-1</f>
        <v>8.3997635899727641E-2</v>
      </c>
      <c r="AB171" s="179">
        <f t="shared" ref="AB171" si="256">+V171/V159-1</f>
        <v>0.48328151420934917</v>
      </c>
      <c r="AC171" s="179">
        <f t="shared" ref="AC171" si="257">+W171/W159-1</f>
        <v>0.13372936803368507</v>
      </c>
    </row>
    <row r="172" spans="1:107" x14ac:dyDescent="0.25">
      <c r="A172" s="175">
        <f t="shared" si="166"/>
        <v>46142</v>
      </c>
      <c r="B172">
        <f>8969+5454+5743</f>
        <v>20166</v>
      </c>
      <c r="C172">
        <v>12799</v>
      </c>
      <c r="D172">
        <v>1868</v>
      </c>
      <c r="E172">
        <f t="shared" si="213"/>
        <v>34833</v>
      </c>
      <c r="H172" s="56">
        <f t="shared" ref="H172" si="258">+SUM(B170:B172)</f>
        <v>77784</v>
      </c>
      <c r="I172" s="56">
        <f t="shared" ref="I172:J172" si="259">+SUM(C170:C172)</f>
        <v>41899</v>
      </c>
      <c r="J172" s="56">
        <f t="shared" si="259"/>
        <v>6066</v>
      </c>
      <c r="K172" s="56">
        <f t="shared" ref="K172" si="260">+H172+I172+J172</f>
        <v>125749</v>
      </c>
      <c r="N172" s="179">
        <f t="shared" ref="N172:O172" si="261">+H172/H160-1</f>
        <v>0.24142553904591657</v>
      </c>
      <c r="O172" s="179">
        <f t="shared" si="261"/>
        <v>0.27787605221422473</v>
      </c>
      <c r="P172" s="179">
        <f t="shared" ref="P172" si="262">+J172/J160-1</f>
        <v>0.11692137727858598</v>
      </c>
      <c r="Q172" s="179">
        <f t="shared" ref="Q172" si="263">+K172/K160-1</f>
        <v>0.24657004639359204</v>
      </c>
      <c r="T172">
        <f t="shared" ref="T172" si="264">+SUM(B161:B172)</f>
        <v>253250</v>
      </c>
      <c r="U172">
        <f t="shared" ref="U172:V172" si="265">+SUM(C161:C172)</f>
        <v>154064</v>
      </c>
      <c r="V172">
        <f t="shared" si="265"/>
        <v>27604</v>
      </c>
      <c r="W172">
        <f t="shared" ref="W172" si="266">+SUM(E161:E172)</f>
        <v>434918</v>
      </c>
      <c r="Z172" s="179">
        <f t="shared" ref="Z172" si="267">+T172/T160-1</f>
        <v>0.15235157074733352</v>
      </c>
      <c r="AA172" s="179">
        <f t="shared" ref="AA172" si="268">+U172/U160-1</f>
        <v>0.13240720323410504</v>
      </c>
      <c r="AB172" s="179">
        <f t="shared" ref="AB172" si="269">+V172/V160-1</f>
        <v>0.47080136402387041</v>
      </c>
      <c r="AC172" s="179">
        <f t="shared" ref="AC172" si="270">+W172/W160-1</f>
        <v>0.16106314704767399</v>
      </c>
    </row>
    <row r="173" spans="1:107" x14ac:dyDescent="0.25">
      <c r="A173" s="175">
        <f t="shared" si="166"/>
        <v>46173</v>
      </c>
      <c r="B173">
        <f>7877+5331+5757</f>
        <v>18965</v>
      </c>
      <c r="C173">
        <v>11819</v>
      </c>
      <c r="D173">
        <v>2066</v>
      </c>
      <c r="E173">
        <f t="shared" si="213"/>
        <v>32850</v>
      </c>
      <c r="H173" s="56">
        <f t="shared" ref="H173" si="271">+SUM(B171:B173)</f>
        <v>70065</v>
      </c>
      <c r="I173" s="56">
        <f t="shared" ref="I173" si="272">+SUM(C171:C173)</f>
        <v>39509</v>
      </c>
      <c r="J173" s="56">
        <f t="shared" ref="J173" si="273">+SUM(D171:D173)</f>
        <v>6085</v>
      </c>
      <c r="K173" s="56">
        <f t="shared" ref="K173" si="274">+H173+I173+J173</f>
        <v>115659</v>
      </c>
      <c r="N173" s="179">
        <f t="shared" ref="N173" si="275">+H173/H161-1</f>
        <v>0.1762582681395426</v>
      </c>
      <c r="O173" s="179">
        <f t="shared" ref="O173" si="276">+I173/I161-1</f>
        <v>0.27637785100471657</v>
      </c>
      <c r="P173" s="179">
        <f t="shared" ref="P173" si="277">+J173/J161-1</f>
        <v>1.9262981574539317E-2</v>
      </c>
      <c r="Q173" s="179">
        <f t="shared" ref="Q173" si="278">+K173/K161-1</f>
        <v>0.19866307389366766</v>
      </c>
      <c r="T173">
        <f t="shared" ref="T173" si="279">+SUM(B162:B173)</f>
        <v>255407</v>
      </c>
      <c r="U173">
        <f t="shared" ref="U173" si="280">+SUM(C162:C173)</f>
        <v>156819</v>
      </c>
      <c r="V173">
        <f t="shared" ref="V173" si="281">+SUM(D162:D173)</f>
        <v>27395</v>
      </c>
      <c r="W173">
        <f t="shared" ref="W173" si="282">+SUM(E162:E173)</f>
        <v>439621</v>
      </c>
      <c r="Z173" s="179">
        <f t="shared" ref="Z173" si="283">+T173/T161-1</f>
        <v>0.16391948486353725</v>
      </c>
      <c r="AA173" s="179">
        <f t="shared" ref="AA173" si="284">+U173/U161-1</f>
        <v>0.17224186519356843</v>
      </c>
      <c r="AB173" s="179">
        <f t="shared" ref="AB173" si="285">+V173/V161-1</f>
        <v>0.38163203550534597</v>
      </c>
      <c r="AC173" s="179">
        <f t="shared" ref="AC173" si="286">+W173/W161-1</f>
        <v>0.17847588207226006</v>
      </c>
    </row>
    <row r="174" spans="1:107" x14ac:dyDescent="0.25">
      <c r="A174" s="176">
        <f t="shared" si="166"/>
        <v>46203</v>
      </c>
      <c r="B174" s="177"/>
      <c r="C174" s="177"/>
      <c r="D174" s="177"/>
      <c r="E174" s="177"/>
      <c r="F174" s="177"/>
      <c r="G174" s="177"/>
      <c r="H174" s="183">
        <f t="shared" ref="H174:H209" si="287">+H162*(1+N174)</f>
        <v>56453.100000000006</v>
      </c>
      <c r="I174" s="183">
        <f t="shared" ref="I174:I209" si="288">+I162*(1+O174)</f>
        <v>32206.140000000003</v>
      </c>
      <c r="J174" s="183">
        <f t="shared" ref="J174:J209" si="289">+J162*(1+P174)</f>
        <v>6878.7600000000011</v>
      </c>
      <c r="K174" s="183">
        <f t="shared" ref="K174:K219" si="290">+H174+I174+J174</f>
        <v>95538</v>
      </c>
      <c r="L174" s="177"/>
      <c r="M174" s="177"/>
      <c r="N174" s="181">
        <v>0.1</v>
      </c>
      <c r="O174" s="181">
        <v>0.14000000000000001</v>
      </c>
      <c r="P174" s="181">
        <v>0.14000000000000001</v>
      </c>
      <c r="Q174" s="181">
        <f t="shared" ref="Q174:Q209" si="291">+K174/K162-1</f>
        <v>0.11601990514683558</v>
      </c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  <c r="AC174" s="177"/>
      <c r="AD174" s="177"/>
      <c r="AE174" s="177"/>
      <c r="AF174" s="177"/>
      <c r="AG174" s="177"/>
      <c r="AH174" s="177"/>
      <c r="AI174" s="177"/>
      <c r="AJ174" s="177"/>
      <c r="AK174" s="177"/>
      <c r="AL174" s="177"/>
      <c r="AM174" s="177"/>
      <c r="AN174" s="177"/>
      <c r="AO174" s="177"/>
      <c r="AP174" s="177"/>
      <c r="AQ174" s="177"/>
      <c r="AR174" s="177"/>
      <c r="AS174" s="177"/>
      <c r="AT174" s="177"/>
      <c r="AU174" s="177"/>
      <c r="AV174" s="177"/>
      <c r="AW174" s="177"/>
      <c r="AX174" s="177"/>
      <c r="AY174" s="177"/>
      <c r="AZ174" s="177"/>
      <c r="BA174" s="177"/>
      <c r="BB174" s="177"/>
      <c r="BC174" s="177"/>
      <c r="BD174" s="177"/>
      <c r="BE174" s="177"/>
      <c r="BF174" s="177"/>
      <c r="BG174" s="177"/>
      <c r="BH174" s="177"/>
      <c r="BI174" s="177"/>
      <c r="BJ174" s="177"/>
      <c r="BK174" s="177"/>
      <c r="BL174" s="177"/>
      <c r="BM174" s="177"/>
      <c r="BN174" s="177"/>
      <c r="BO174" s="177"/>
      <c r="BP174" s="177"/>
      <c r="BQ174" s="177"/>
      <c r="BR174" s="177"/>
      <c r="BS174" s="177"/>
      <c r="BT174" s="177"/>
      <c r="BU174" s="177"/>
      <c r="BV174" s="177"/>
      <c r="BW174" s="177"/>
      <c r="BX174" s="177"/>
      <c r="BY174" s="177"/>
      <c r="BZ174" s="177"/>
      <c r="CA174" s="177"/>
      <c r="CB174" s="177"/>
      <c r="CC174" s="177"/>
      <c r="CD174" s="177"/>
      <c r="CE174" s="177"/>
      <c r="CF174" s="177"/>
      <c r="CG174" s="177"/>
      <c r="CH174" s="177"/>
      <c r="CI174" s="177"/>
      <c r="CJ174" s="177"/>
      <c r="CK174" s="177"/>
      <c r="CL174" s="177"/>
      <c r="CM174" s="177"/>
      <c r="CN174" s="177"/>
      <c r="CO174" s="177"/>
      <c r="CP174" s="177"/>
      <c r="CQ174" s="177"/>
      <c r="CR174" s="177"/>
      <c r="CS174" s="177"/>
      <c r="CT174" s="177"/>
      <c r="CU174" s="177"/>
      <c r="CV174" s="177"/>
      <c r="CW174" s="177"/>
      <c r="CX174" s="177"/>
      <c r="CY174" s="177"/>
      <c r="CZ174" s="177"/>
      <c r="DA174" s="177"/>
      <c r="DB174" s="177"/>
      <c r="DC174" s="177"/>
    </row>
    <row r="175" spans="1:107" x14ac:dyDescent="0.25">
      <c r="A175" s="176">
        <f t="shared" si="166"/>
        <v>46234</v>
      </c>
      <c r="B175" s="177"/>
      <c r="C175" s="177"/>
      <c r="D175" s="177"/>
      <c r="E175" s="177"/>
      <c r="F175" s="177"/>
      <c r="G175" s="177"/>
      <c r="H175" s="183">
        <f t="shared" si="287"/>
        <v>56364.000000000007</v>
      </c>
      <c r="I175" s="183">
        <f t="shared" si="288"/>
        <v>33060</v>
      </c>
      <c r="J175" s="183">
        <f t="shared" si="289"/>
        <v>8095.1400000000012</v>
      </c>
      <c r="K175" s="183">
        <f t="shared" si="290"/>
        <v>97519.14</v>
      </c>
      <c r="L175" s="177"/>
      <c r="M175" s="177"/>
      <c r="N175" s="181">
        <v>0.1</v>
      </c>
      <c r="O175" s="181">
        <v>0.14000000000000001</v>
      </c>
      <c r="P175" s="181">
        <v>0.14000000000000001</v>
      </c>
      <c r="Q175" s="181">
        <f t="shared" si="291"/>
        <v>0.11653335775867002</v>
      </c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  <c r="AJ175" s="177"/>
      <c r="AK175" s="177"/>
      <c r="AL175" s="177"/>
      <c r="AM175" s="177"/>
      <c r="AN175" s="177"/>
      <c r="AO175" s="177"/>
      <c r="AP175" s="177"/>
      <c r="AQ175" s="177"/>
      <c r="AR175" s="177"/>
      <c r="AS175" s="177"/>
      <c r="AT175" s="177"/>
      <c r="AU175" s="177"/>
      <c r="AV175" s="177"/>
      <c r="AW175" s="177"/>
      <c r="AX175" s="177"/>
      <c r="AY175" s="177"/>
      <c r="AZ175" s="177"/>
      <c r="BA175" s="177"/>
      <c r="BB175" s="177"/>
      <c r="BC175" s="177"/>
      <c r="BD175" s="177"/>
      <c r="BE175" s="177"/>
      <c r="BF175" s="177"/>
      <c r="BG175" s="177"/>
      <c r="BH175" s="177"/>
      <c r="BI175" s="177"/>
      <c r="BJ175" s="177"/>
      <c r="BK175" s="177"/>
      <c r="BL175" s="177"/>
      <c r="BM175" s="177"/>
      <c r="BN175" s="177"/>
      <c r="BO175" s="177"/>
      <c r="BP175" s="177"/>
      <c r="BQ175" s="177"/>
      <c r="BR175" s="177"/>
      <c r="BS175" s="177"/>
      <c r="BT175" s="177"/>
      <c r="BU175" s="177"/>
      <c r="BV175" s="177"/>
      <c r="BW175" s="177"/>
      <c r="BX175" s="177"/>
      <c r="BY175" s="177"/>
      <c r="BZ175" s="177"/>
      <c r="CA175" s="177"/>
      <c r="CB175" s="177"/>
      <c r="CC175" s="177"/>
      <c r="CD175" s="177"/>
      <c r="CE175" s="177"/>
      <c r="CF175" s="177"/>
      <c r="CG175" s="177"/>
      <c r="CH175" s="177"/>
      <c r="CI175" s="177"/>
      <c r="CJ175" s="177"/>
      <c r="CK175" s="177"/>
      <c r="CL175" s="177"/>
      <c r="CM175" s="177"/>
      <c r="CN175" s="177"/>
      <c r="CO175" s="177"/>
      <c r="CP175" s="177"/>
      <c r="CQ175" s="177"/>
      <c r="CR175" s="177"/>
      <c r="CS175" s="177"/>
      <c r="CT175" s="177"/>
      <c r="CU175" s="177"/>
      <c r="CV175" s="177"/>
      <c r="CW175" s="177"/>
      <c r="CX175" s="177"/>
      <c r="CY175" s="177"/>
      <c r="CZ175" s="177"/>
      <c r="DA175" s="177"/>
      <c r="DB175" s="177"/>
      <c r="DC175" s="177"/>
    </row>
    <row r="176" spans="1:107" x14ac:dyDescent="0.25">
      <c r="A176" s="176">
        <f t="shared" si="166"/>
        <v>46265</v>
      </c>
      <c r="B176" s="177"/>
      <c r="C176" s="177"/>
      <c r="D176" s="177"/>
      <c r="E176" s="177"/>
      <c r="F176" s="177"/>
      <c r="G176" s="177"/>
      <c r="H176" s="183">
        <f t="shared" si="287"/>
        <v>56288.100000000006</v>
      </c>
      <c r="I176" s="183">
        <f t="shared" si="288"/>
        <v>34972.920000000006</v>
      </c>
      <c r="J176" s="183">
        <f t="shared" si="289"/>
        <v>8217.1200000000008</v>
      </c>
      <c r="K176" s="183">
        <f t="shared" si="290"/>
        <v>99478.140000000014</v>
      </c>
      <c r="L176" s="177"/>
      <c r="M176" s="177"/>
      <c r="N176" s="181">
        <v>0.1</v>
      </c>
      <c r="O176" s="181">
        <v>0.14000000000000001</v>
      </c>
      <c r="P176" s="181">
        <v>0.14000000000000001</v>
      </c>
      <c r="Q176" s="181">
        <f t="shared" si="291"/>
        <v>0.11701651751125697</v>
      </c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  <c r="AC176" s="177"/>
      <c r="AD176" s="177"/>
      <c r="AE176" s="177"/>
      <c r="AF176" s="177"/>
      <c r="AG176" s="177"/>
      <c r="AH176" s="177"/>
      <c r="AI176" s="177"/>
      <c r="AJ176" s="177"/>
      <c r="AK176" s="177"/>
      <c r="AL176" s="177"/>
      <c r="AM176" s="177"/>
      <c r="AN176" s="177"/>
      <c r="AO176" s="177"/>
      <c r="AP176" s="177"/>
      <c r="AQ176" s="177"/>
      <c r="AR176" s="177"/>
      <c r="AS176" s="177"/>
      <c r="AT176" s="177"/>
      <c r="AU176" s="177"/>
      <c r="AV176" s="177"/>
      <c r="AW176" s="177"/>
      <c r="AX176" s="177"/>
      <c r="AY176" s="177"/>
      <c r="AZ176" s="177"/>
      <c r="BA176" s="177"/>
      <c r="BB176" s="177"/>
      <c r="BC176" s="177"/>
      <c r="BD176" s="177"/>
      <c r="BE176" s="177"/>
      <c r="BF176" s="177"/>
      <c r="BG176" s="177"/>
      <c r="BH176" s="177"/>
      <c r="BI176" s="177"/>
      <c r="BJ176" s="177"/>
      <c r="BK176" s="177"/>
      <c r="BL176" s="177"/>
      <c r="BM176" s="177"/>
      <c r="BN176" s="177"/>
      <c r="BO176" s="177"/>
      <c r="BP176" s="177"/>
      <c r="BQ176" s="177"/>
      <c r="BR176" s="177"/>
      <c r="BS176" s="177"/>
      <c r="BT176" s="177"/>
      <c r="BU176" s="177"/>
      <c r="BV176" s="177"/>
      <c r="BW176" s="177"/>
      <c r="BX176" s="177"/>
      <c r="BY176" s="177"/>
      <c r="BZ176" s="177"/>
      <c r="CA176" s="177"/>
      <c r="CB176" s="177"/>
      <c r="CC176" s="177"/>
      <c r="CD176" s="177"/>
      <c r="CE176" s="177"/>
      <c r="CF176" s="177"/>
      <c r="CG176" s="177"/>
      <c r="CH176" s="177"/>
      <c r="CI176" s="177"/>
      <c r="CJ176" s="177"/>
      <c r="CK176" s="177"/>
      <c r="CL176" s="177"/>
      <c r="CM176" s="177"/>
      <c r="CN176" s="177"/>
      <c r="CO176" s="177"/>
      <c r="CP176" s="177"/>
      <c r="CQ176" s="177"/>
      <c r="CR176" s="177"/>
      <c r="CS176" s="177"/>
      <c r="CT176" s="177"/>
      <c r="CU176" s="177"/>
      <c r="CV176" s="177"/>
      <c r="CW176" s="177"/>
      <c r="CX176" s="177"/>
      <c r="CY176" s="177"/>
      <c r="CZ176" s="177"/>
      <c r="DA176" s="177"/>
      <c r="DB176" s="177"/>
      <c r="DC176" s="177"/>
    </row>
    <row r="177" spans="1:107" x14ac:dyDescent="0.25">
      <c r="A177" s="176">
        <f t="shared" si="166"/>
        <v>46295</v>
      </c>
      <c r="B177" s="177"/>
      <c r="C177" s="177"/>
      <c r="D177" s="177"/>
      <c r="E177" s="177"/>
      <c r="F177" s="177"/>
      <c r="G177" s="177"/>
      <c r="H177" s="183">
        <f t="shared" si="287"/>
        <v>57561.9</v>
      </c>
      <c r="I177" s="183">
        <f t="shared" si="288"/>
        <v>39594.480000000003</v>
      </c>
      <c r="J177" s="183">
        <f t="shared" si="289"/>
        <v>8686.8000000000011</v>
      </c>
      <c r="K177" s="183">
        <f t="shared" si="290"/>
        <v>105843.18000000001</v>
      </c>
      <c r="L177" s="177"/>
      <c r="M177" s="177"/>
      <c r="N177" s="181">
        <v>0.1</v>
      </c>
      <c r="O177" s="181">
        <v>0.14000000000000001</v>
      </c>
      <c r="P177" s="181">
        <v>0.14000000000000001</v>
      </c>
      <c r="Q177" s="181">
        <f t="shared" si="291"/>
        <v>0.11789250219156977</v>
      </c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  <c r="AC177" s="177"/>
      <c r="AD177" s="177"/>
      <c r="AE177" s="177"/>
      <c r="AF177" s="177"/>
      <c r="AG177" s="177"/>
      <c r="AH177" s="177"/>
      <c r="AI177" s="177"/>
      <c r="AJ177" s="177"/>
      <c r="AK177" s="177"/>
      <c r="AL177" s="177"/>
      <c r="AM177" s="177"/>
      <c r="AN177" s="177"/>
      <c r="AO177" s="177"/>
      <c r="AP177" s="177"/>
      <c r="AQ177" s="177"/>
      <c r="AR177" s="177"/>
      <c r="AS177" s="177"/>
      <c r="AT177" s="177"/>
      <c r="AU177" s="177"/>
      <c r="AV177" s="177"/>
      <c r="AW177" s="177"/>
      <c r="AX177" s="177"/>
      <c r="AY177" s="177"/>
      <c r="AZ177" s="177"/>
      <c r="BA177" s="177"/>
      <c r="BB177" s="177"/>
      <c r="BC177" s="177"/>
      <c r="BD177" s="177"/>
      <c r="BE177" s="177"/>
      <c r="BF177" s="177"/>
      <c r="BG177" s="177"/>
      <c r="BH177" s="177"/>
      <c r="BI177" s="177"/>
      <c r="BJ177" s="177"/>
      <c r="BK177" s="177"/>
      <c r="BL177" s="177"/>
      <c r="BM177" s="177"/>
      <c r="BN177" s="177"/>
      <c r="BO177" s="177"/>
      <c r="BP177" s="177"/>
      <c r="BQ177" s="177"/>
      <c r="BR177" s="177"/>
      <c r="BS177" s="177"/>
      <c r="BT177" s="177"/>
      <c r="BU177" s="177"/>
      <c r="BV177" s="177"/>
      <c r="BW177" s="177"/>
      <c r="BX177" s="177"/>
      <c r="BY177" s="177"/>
      <c r="BZ177" s="177"/>
      <c r="CA177" s="177"/>
      <c r="CB177" s="177"/>
      <c r="CC177" s="177"/>
      <c r="CD177" s="177"/>
      <c r="CE177" s="177"/>
      <c r="CF177" s="177"/>
      <c r="CG177" s="177"/>
      <c r="CH177" s="177"/>
      <c r="CI177" s="177"/>
      <c r="CJ177" s="177"/>
      <c r="CK177" s="177"/>
      <c r="CL177" s="177"/>
      <c r="CM177" s="177"/>
      <c r="CN177" s="177"/>
      <c r="CO177" s="177"/>
      <c r="CP177" s="177"/>
      <c r="CQ177" s="177"/>
      <c r="CR177" s="177"/>
      <c r="CS177" s="177"/>
      <c r="CT177" s="177"/>
      <c r="CU177" s="177"/>
      <c r="CV177" s="177"/>
      <c r="CW177" s="177"/>
      <c r="CX177" s="177"/>
      <c r="CY177" s="177"/>
      <c r="CZ177" s="177"/>
      <c r="DA177" s="177"/>
      <c r="DB177" s="177"/>
      <c r="DC177" s="177"/>
    </row>
    <row r="178" spans="1:107" x14ac:dyDescent="0.25">
      <c r="A178" s="176">
        <f t="shared" si="166"/>
        <v>46326</v>
      </c>
      <c r="B178" s="177"/>
      <c r="C178" s="177"/>
      <c r="D178" s="177"/>
      <c r="E178" s="177"/>
      <c r="F178" s="177"/>
      <c r="G178" s="177"/>
      <c r="H178" s="183">
        <f t="shared" si="287"/>
        <v>61453.700000000004</v>
      </c>
      <c r="I178" s="183">
        <f t="shared" si="288"/>
        <v>45451.8</v>
      </c>
      <c r="J178" s="183">
        <f t="shared" si="289"/>
        <v>8570.52</v>
      </c>
      <c r="K178" s="183">
        <f t="shared" si="290"/>
        <v>115476.02</v>
      </c>
      <c r="L178" s="177"/>
      <c r="M178" s="177"/>
      <c r="N178" s="181">
        <v>0.1</v>
      </c>
      <c r="O178" s="181">
        <v>0.14000000000000001</v>
      </c>
      <c r="P178" s="181">
        <v>0.14000000000000001</v>
      </c>
      <c r="Q178" s="181">
        <f t="shared" si="291"/>
        <v>0.11835765822478339</v>
      </c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7"/>
      <c r="AG178" s="177"/>
      <c r="AH178" s="177"/>
      <c r="AI178" s="177"/>
      <c r="AJ178" s="177"/>
      <c r="AK178" s="177"/>
      <c r="AL178" s="177"/>
      <c r="AM178" s="177"/>
      <c r="AN178" s="177"/>
      <c r="AO178" s="177"/>
      <c r="AP178" s="177"/>
      <c r="AQ178" s="177"/>
      <c r="AR178" s="177"/>
      <c r="AS178" s="177"/>
      <c r="AT178" s="177"/>
      <c r="AU178" s="177"/>
      <c r="AV178" s="177"/>
      <c r="AW178" s="177"/>
      <c r="AX178" s="177"/>
      <c r="AY178" s="177"/>
      <c r="AZ178" s="177"/>
      <c r="BA178" s="177"/>
      <c r="BB178" s="177"/>
      <c r="BC178" s="177"/>
      <c r="BD178" s="177"/>
      <c r="BE178" s="177"/>
      <c r="BF178" s="177"/>
      <c r="BG178" s="177"/>
      <c r="BH178" s="177"/>
      <c r="BI178" s="177"/>
      <c r="BJ178" s="177"/>
      <c r="BK178" s="177"/>
      <c r="BL178" s="177"/>
      <c r="BM178" s="177"/>
      <c r="BN178" s="177"/>
      <c r="BO178" s="177"/>
      <c r="BP178" s="177"/>
      <c r="BQ178" s="177"/>
      <c r="BR178" s="177"/>
      <c r="BS178" s="177"/>
      <c r="BT178" s="177"/>
      <c r="BU178" s="177"/>
      <c r="BV178" s="177"/>
      <c r="BW178" s="177"/>
      <c r="BX178" s="177"/>
      <c r="BY178" s="177"/>
      <c r="BZ178" s="177"/>
      <c r="CA178" s="177"/>
      <c r="CB178" s="177"/>
      <c r="CC178" s="177"/>
      <c r="CD178" s="177"/>
      <c r="CE178" s="177"/>
      <c r="CF178" s="177"/>
      <c r="CG178" s="177"/>
      <c r="CH178" s="177"/>
      <c r="CI178" s="177"/>
      <c r="CJ178" s="177"/>
      <c r="CK178" s="177"/>
      <c r="CL178" s="177"/>
      <c r="CM178" s="177"/>
      <c r="CN178" s="177"/>
      <c r="CO178" s="177"/>
      <c r="CP178" s="177"/>
      <c r="CQ178" s="177"/>
      <c r="CR178" s="177"/>
      <c r="CS178" s="177"/>
      <c r="CT178" s="177"/>
      <c r="CU178" s="177"/>
      <c r="CV178" s="177"/>
      <c r="CW178" s="177"/>
      <c r="CX178" s="177"/>
      <c r="CY178" s="177"/>
      <c r="CZ178" s="177"/>
      <c r="DA178" s="177"/>
      <c r="DB178" s="177"/>
      <c r="DC178" s="177"/>
    </row>
    <row r="179" spans="1:107" x14ac:dyDescent="0.25">
      <c r="A179" s="176">
        <f t="shared" si="166"/>
        <v>46356</v>
      </c>
      <c r="B179" s="177"/>
      <c r="C179" s="177"/>
      <c r="D179" s="177"/>
      <c r="E179" s="177"/>
      <c r="F179" s="177"/>
      <c r="G179" s="177"/>
      <c r="H179" s="183">
        <f t="shared" si="287"/>
        <v>64409.400000000009</v>
      </c>
      <c r="I179" s="183">
        <f t="shared" si="288"/>
        <v>48398.700000000004</v>
      </c>
      <c r="J179" s="183">
        <f t="shared" si="289"/>
        <v>7864.8600000000006</v>
      </c>
      <c r="K179" s="183">
        <f t="shared" si="290"/>
        <v>120672.96000000001</v>
      </c>
      <c r="L179" s="177"/>
      <c r="M179" s="177"/>
      <c r="N179" s="181">
        <v>0.1</v>
      </c>
      <c r="O179" s="181">
        <v>0.14000000000000001</v>
      </c>
      <c r="P179" s="181">
        <v>0.14000000000000001</v>
      </c>
      <c r="Q179" s="181">
        <f t="shared" si="291"/>
        <v>0.11829484375579202</v>
      </c>
      <c r="R179" s="177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  <c r="AC179" s="177"/>
      <c r="AD179" s="177"/>
      <c r="AE179" s="177"/>
      <c r="AF179" s="177"/>
      <c r="AG179" s="177"/>
      <c r="AH179" s="177"/>
      <c r="AI179" s="177"/>
      <c r="AJ179" s="177"/>
      <c r="AK179" s="177"/>
      <c r="AL179" s="177"/>
      <c r="AM179" s="177"/>
      <c r="AN179" s="177"/>
      <c r="AO179" s="177"/>
      <c r="AP179" s="177"/>
      <c r="AQ179" s="177"/>
      <c r="AR179" s="177"/>
      <c r="AS179" s="177"/>
      <c r="AT179" s="177"/>
      <c r="AU179" s="177"/>
      <c r="AV179" s="177"/>
      <c r="AW179" s="177"/>
      <c r="AX179" s="177"/>
      <c r="AY179" s="177"/>
      <c r="AZ179" s="177"/>
      <c r="BA179" s="177"/>
      <c r="BB179" s="177"/>
      <c r="BC179" s="177"/>
      <c r="BD179" s="177"/>
      <c r="BE179" s="177"/>
      <c r="BF179" s="177"/>
      <c r="BG179" s="177"/>
      <c r="BH179" s="177"/>
      <c r="BI179" s="177"/>
      <c r="BJ179" s="177"/>
      <c r="BK179" s="177"/>
      <c r="BL179" s="177"/>
      <c r="BM179" s="177"/>
      <c r="BN179" s="177"/>
      <c r="BO179" s="177"/>
      <c r="BP179" s="177"/>
      <c r="BQ179" s="177"/>
      <c r="BR179" s="177"/>
      <c r="BS179" s="177"/>
      <c r="BT179" s="177"/>
      <c r="BU179" s="177"/>
      <c r="BV179" s="177"/>
      <c r="BW179" s="177"/>
      <c r="BX179" s="177"/>
      <c r="BY179" s="177"/>
      <c r="BZ179" s="177"/>
      <c r="CA179" s="177"/>
      <c r="CB179" s="177"/>
      <c r="CC179" s="177"/>
      <c r="CD179" s="177"/>
      <c r="CE179" s="177"/>
      <c r="CF179" s="177"/>
      <c r="CG179" s="177"/>
      <c r="CH179" s="177"/>
      <c r="CI179" s="177"/>
      <c r="CJ179" s="177"/>
      <c r="CK179" s="177"/>
      <c r="CL179" s="177"/>
      <c r="CM179" s="177"/>
      <c r="CN179" s="177"/>
      <c r="CO179" s="177"/>
      <c r="CP179" s="177"/>
      <c r="CQ179" s="177"/>
      <c r="CR179" s="177"/>
      <c r="CS179" s="177"/>
      <c r="CT179" s="177"/>
      <c r="CU179" s="177"/>
      <c r="CV179" s="177"/>
      <c r="CW179" s="177"/>
      <c r="CX179" s="177"/>
      <c r="CY179" s="177"/>
      <c r="CZ179" s="177"/>
      <c r="DA179" s="177"/>
      <c r="DB179" s="177"/>
      <c r="DC179" s="177"/>
    </row>
    <row r="180" spans="1:107" x14ac:dyDescent="0.25">
      <c r="A180" s="176">
        <f t="shared" si="166"/>
        <v>46387</v>
      </c>
      <c r="B180" s="177"/>
      <c r="C180" s="177"/>
      <c r="D180" s="177"/>
      <c r="E180" s="177"/>
      <c r="F180" s="177"/>
      <c r="G180" s="177"/>
      <c r="H180" s="183">
        <f t="shared" si="287"/>
        <v>70537.5</v>
      </c>
      <c r="I180" s="183">
        <f t="shared" si="288"/>
        <v>49924.020000000004</v>
      </c>
      <c r="J180" s="183">
        <f t="shared" si="289"/>
        <v>7565.0400000000009</v>
      </c>
      <c r="K180" s="183">
        <f t="shared" si="290"/>
        <v>128026.56</v>
      </c>
      <c r="L180" s="177"/>
      <c r="M180" s="177"/>
      <c r="N180" s="181">
        <v>0.1</v>
      </c>
      <c r="O180" s="181">
        <v>0.14000000000000001</v>
      </c>
      <c r="P180" s="181">
        <v>0.14000000000000001</v>
      </c>
      <c r="Q180" s="181">
        <f t="shared" si="291"/>
        <v>0.1176088133107529</v>
      </c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  <c r="AC180" s="177"/>
      <c r="AD180" s="177"/>
      <c r="AE180" s="177"/>
      <c r="AF180" s="177"/>
      <c r="AG180" s="177"/>
      <c r="AH180" s="177"/>
      <c r="AI180" s="177"/>
      <c r="AJ180" s="177"/>
      <c r="AK180" s="177"/>
      <c r="AL180" s="177"/>
      <c r="AM180" s="177"/>
      <c r="AN180" s="177"/>
      <c r="AO180" s="177"/>
      <c r="AP180" s="177"/>
      <c r="AQ180" s="177"/>
      <c r="AR180" s="177"/>
      <c r="AS180" s="177"/>
      <c r="AT180" s="177"/>
      <c r="AU180" s="177"/>
      <c r="AV180" s="177"/>
      <c r="AW180" s="177"/>
      <c r="AX180" s="177"/>
      <c r="AY180" s="177"/>
      <c r="AZ180" s="177"/>
      <c r="BA180" s="177"/>
      <c r="BB180" s="177"/>
      <c r="BC180" s="177"/>
      <c r="BD180" s="177"/>
      <c r="BE180" s="177"/>
      <c r="BF180" s="177"/>
      <c r="BG180" s="177"/>
      <c r="BH180" s="177"/>
      <c r="BI180" s="177"/>
      <c r="BJ180" s="177"/>
      <c r="BK180" s="177"/>
      <c r="BL180" s="177"/>
      <c r="BM180" s="177"/>
      <c r="BN180" s="177"/>
      <c r="BO180" s="177"/>
      <c r="BP180" s="177"/>
      <c r="BQ180" s="177"/>
      <c r="BR180" s="177"/>
      <c r="BS180" s="177"/>
      <c r="BT180" s="177"/>
      <c r="BU180" s="177"/>
      <c r="BV180" s="177"/>
      <c r="BW180" s="177"/>
      <c r="BX180" s="177"/>
      <c r="BY180" s="177"/>
      <c r="BZ180" s="177"/>
      <c r="CA180" s="177"/>
      <c r="CB180" s="177"/>
      <c r="CC180" s="177"/>
      <c r="CD180" s="177"/>
      <c r="CE180" s="177"/>
      <c r="CF180" s="177"/>
      <c r="CG180" s="177"/>
      <c r="CH180" s="177"/>
      <c r="CI180" s="177"/>
      <c r="CJ180" s="177"/>
      <c r="CK180" s="177"/>
      <c r="CL180" s="177"/>
      <c r="CM180" s="177"/>
      <c r="CN180" s="177"/>
      <c r="CO180" s="177"/>
      <c r="CP180" s="177"/>
      <c r="CQ180" s="177"/>
      <c r="CR180" s="177"/>
      <c r="CS180" s="177"/>
      <c r="CT180" s="177"/>
      <c r="CU180" s="177"/>
      <c r="CV180" s="177"/>
      <c r="CW180" s="177"/>
      <c r="CX180" s="177"/>
      <c r="CY180" s="177"/>
      <c r="CZ180" s="177"/>
      <c r="DA180" s="177"/>
      <c r="DB180" s="177"/>
      <c r="DC180" s="177"/>
    </row>
    <row r="181" spans="1:107" x14ac:dyDescent="0.25">
      <c r="A181" s="176">
        <f t="shared" si="166"/>
        <v>46418</v>
      </c>
      <c r="B181" s="177"/>
      <c r="C181" s="177"/>
      <c r="D181" s="177"/>
      <c r="E181" s="177"/>
      <c r="F181" s="177"/>
      <c r="G181" s="177"/>
      <c r="H181" s="183">
        <f t="shared" si="287"/>
        <v>75194.900000000009</v>
      </c>
      <c r="I181" s="183">
        <f t="shared" si="288"/>
        <v>49356.3</v>
      </c>
      <c r="J181" s="183">
        <f t="shared" si="289"/>
        <v>7887.6600000000008</v>
      </c>
      <c r="K181" s="183">
        <f t="shared" si="290"/>
        <v>132438.86000000002</v>
      </c>
      <c r="L181" s="177"/>
      <c r="M181" s="177"/>
      <c r="N181" s="181">
        <v>0.1</v>
      </c>
      <c r="O181" s="181">
        <v>0.14000000000000001</v>
      </c>
      <c r="P181" s="181">
        <v>0.14000000000000001</v>
      </c>
      <c r="Q181" s="181">
        <f t="shared" si="291"/>
        <v>0.11693943815202457</v>
      </c>
      <c r="R181" s="177"/>
      <c r="S181" s="177"/>
      <c r="T181" s="177"/>
      <c r="U181" s="177"/>
      <c r="V181" s="177"/>
      <c r="W181" s="177"/>
      <c r="X181" s="177"/>
      <c r="Y181" s="177"/>
      <c r="Z181" s="177"/>
      <c r="AA181" s="177"/>
      <c r="AB181" s="177"/>
      <c r="AC181" s="177"/>
      <c r="AD181" s="177"/>
      <c r="AE181" s="177"/>
      <c r="AF181" s="177"/>
      <c r="AG181" s="177"/>
      <c r="AH181" s="177"/>
      <c r="AI181" s="177"/>
      <c r="AJ181" s="177"/>
      <c r="AK181" s="177"/>
      <c r="AL181" s="177"/>
      <c r="AM181" s="177"/>
      <c r="AN181" s="177"/>
      <c r="AO181" s="177"/>
      <c r="AP181" s="177"/>
      <c r="AQ181" s="177"/>
      <c r="AR181" s="177"/>
      <c r="AS181" s="177"/>
      <c r="AT181" s="177"/>
      <c r="AU181" s="177"/>
      <c r="AV181" s="177"/>
      <c r="AW181" s="177"/>
      <c r="AX181" s="177"/>
      <c r="AY181" s="177"/>
      <c r="AZ181" s="177"/>
      <c r="BA181" s="177"/>
      <c r="BB181" s="177"/>
      <c r="BC181" s="177"/>
      <c r="BD181" s="177"/>
      <c r="BE181" s="177"/>
      <c r="BF181" s="177"/>
      <c r="BG181" s="177"/>
      <c r="BH181" s="177"/>
      <c r="BI181" s="177"/>
      <c r="BJ181" s="177"/>
      <c r="BK181" s="177"/>
      <c r="BL181" s="177"/>
      <c r="BM181" s="177"/>
      <c r="BN181" s="177"/>
      <c r="BO181" s="177"/>
      <c r="BP181" s="177"/>
      <c r="BQ181" s="177"/>
      <c r="BR181" s="177"/>
      <c r="BS181" s="177"/>
      <c r="BT181" s="177"/>
      <c r="BU181" s="177"/>
      <c r="BV181" s="177"/>
      <c r="BW181" s="177"/>
      <c r="BX181" s="177"/>
      <c r="BY181" s="177"/>
      <c r="BZ181" s="177"/>
      <c r="CA181" s="177"/>
      <c r="CB181" s="177"/>
      <c r="CC181" s="177"/>
      <c r="CD181" s="177"/>
      <c r="CE181" s="177"/>
      <c r="CF181" s="177"/>
      <c r="CG181" s="177"/>
      <c r="CH181" s="177"/>
      <c r="CI181" s="177"/>
      <c r="CJ181" s="177"/>
      <c r="CK181" s="177"/>
      <c r="CL181" s="177"/>
      <c r="CM181" s="177"/>
      <c r="CN181" s="177"/>
      <c r="CO181" s="177"/>
      <c r="CP181" s="177"/>
      <c r="CQ181" s="177"/>
      <c r="CR181" s="177"/>
      <c r="CS181" s="177"/>
      <c r="CT181" s="177"/>
      <c r="CU181" s="177"/>
      <c r="CV181" s="177"/>
      <c r="CW181" s="177"/>
      <c r="CX181" s="177"/>
      <c r="CY181" s="177"/>
      <c r="CZ181" s="177"/>
      <c r="DA181" s="177"/>
      <c r="DB181" s="177"/>
      <c r="DC181" s="177"/>
    </row>
    <row r="182" spans="1:107" x14ac:dyDescent="0.25">
      <c r="A182" s="176">
        <f t="shared" si="166"/>
        <v>46446</v>
      </c>
      <c r="B182" s="177"/>
      <c r="C182" s="177"/>
      <c r="D182" s="177"/>
      <c r="E182" s="177"/>
      <c r="F182" s="177"/>
      <c r="G182" s="177"/>
      <c r="H182" s="183">
        <f t="shared" si="287"/>
        <v>83178.700000000012</v>
      </c>
      <c r="I182" s="183">
        <f t="shared" si="288"/>
        <v>50361.780000000006</v>
      </c>
      <c r="J182" s="183">
        <f t="shared" si="289"/>
        <v>8211.42</v>
      </c>
      <c r="K182" s="183">
        <f t="shared" si="290"/>
        <v>141751.90000000002</v>
      </c>
      <c r="L182" s="177"/>
      <c r="M182" s="177"/>
      <c r="N182" s="181">
        <v>0.1</v>
      </c>
      <c r="O182" s="181">
        <v>0.14000000000000001</v>
      </c>
      <c r="P182" s="181">
        <v>0.14000000000000001</v>
      </c>
      <c r="Q182" s="181">
        <f t="shared" si="291"/>
        <v>0.11618305944234919</v>
      </c>
      <c r="R182" s="177"/>
      <c r="S182" s="177"/>
      <c r="T182" s="177"/>
      <c r="U182" s="177"/>
      <c r="V182" s="177"/>
      <c r="W182" s="177"/>
      <c r="X182" s="177"/>
      <c r="Y182" s="177"/>
      <c r="Z182" s="177"/>
      <c r="AA182" s="177"/>
      <c r="AB182" s="177"/>
      <c r="AC182" s="177"/>
      <c r="AD182" s="177"/>
      <c r="AE182" s="177"/>
      <c r="AF182" s="177"/>
      <c r="AG182" s="177"/>
      <c r="AH182" s="177"/>
      <c r="AI182" s="177"/>
      <c r="AJ182" s="177"/>
      <c r="AK182" s="177"/>
      <c r="AL182" s="177"/>
      <c r="AM182" s="177"/>
      <c r="AN182" s="177"/>
      <c r="AO182" s="177"/>
      <c r="AP182" s="177"/>
      <c r="AQ182" s="177"/>
      <c r="AR182" s="177"/>
      <c r="AS182" s="177"/>
      <c r="AT182" s="177"/>
      <c r="AU182" s="177"/>
      <c r="AV182" s="177"/>
      <c r="AW182" s="177"/>
      <c r="AX182" s="177"/>
      <c r="AY182" s="177"/>
      <c r="AZ182" s="177"/>
      <c r="BA182" s="177"/>
      <c r="BB182" s="177"/>
      <c r="BC182" s="177"/>
      <c r="BD182" s="177"/>
      <c r="BE182" s="177"/>
      <c r="BF182" s="177"/>
      <c r="BG182" s="177"/>
      <c r="BH182" s="177"/>
      <c r="BI182" s="177"/>
      <c r="BJ182" s="177"/>
      <c r="BK182" s="177"/>
      <c r="BL182" s="177"/>
      <c r="BM182" s="177"/>
      <c r="BN182" s="177"/>
      <c r="BO182" s="177"/>
      <c r="BP182" s="177"/>
      <c r="BQ182" s="177"/>
      <c r="BR182" s="177"/>
      <c r="BS182" s="177"/>
      <c r="BT182" s="177"/>
      <c r="BU182" s="177"/>
      <c r="BV182" s="177"/>
      <c r="BW182" s="177"/>
      <c r="BX182" s="177"/>
      <c r="BY182" s="177"/>
      <c r="BZ182" s="177"/>
      <c r="CA182" s="177"/>
      <c r="CB182" s="177"/>
      <c r="CC182" s="177"/>
      <c r="CD182" s="177"/>
      <c r="CE182" s="177"/>
      <c r="CF182" s="177"/>
      <c r="CG182" s="177"/>
      <c r="CH182" s="177"/>
      <c r="CI182" s="177"/>
      <c r="CJ182" s="177"/>
      <c r="CK182" s="177"/>
      <c r="CL182" s="177"/>
      <c r="CM182" s="177"/>
      <c r="CN182" s="177"/>
      <c r="CO182" s="177"/>
      <c r="CP182" s="177"/>
      <c r="CQ182" s="177"/>
      <c r="CR182" s="177"/>
      <c r="CS182" s="177"/>
      <c r="CT182" s="177"/>
      <c r="CU182" s="177"/>
      <c r="CV182" s="177"/>
      <c r="CW182" s="177"/>
      <c r="CX182" s="177"/>
      <c r="CY182" s="177"/>
      <c r="CZ182" s="177"/>
      <c r="DA182" s="177"/>
      <c r="DB182" s="177"/>
      <c r="DC182" s="177"/>
    </row>
    <row r="183" spans="1:107" x14ac:dyDescent="0.25">
      <c r="A183" s="176">
        <f t="shared" si="166"/>
        <v>46477</v>
      </c>
      <c r="B183" s="177"/>
      <c r="C183" s="177"/>
      <c r="D183" s="177"/>
      <c r="E183" s="177"/>
      <c r="F183" s="177"/>
      <c r="G183" s="177"/>
      <c r="H183" s="183">
        <f t="shared" si="287"/>
        <v>90136.200000000012</v>
      </c>
      <c r="I183" s="183">
        <f t="shared" si="288"/>
        <v>49726.8</v>
      </c>
      <c r="J183" s="183">
        <f t="shared" si="289"/>
        <v>7869.420000000001</v>
      </c>
      <c r="K183" s="183">
        <f t="shared" si="290"/>
        <v>147732.42000000001</v>
      </c>
      <c r="L183" s="177"/>
      <c r="M183" s="177"/>
      <c r="N183" s="181">
        <v>0.1</v>
      </c>
      <c r="O183" s="181">
        <v>0.14000000000000001</v>
      </c>
      <c r="P183" s="181">
        <v>0.14000000000000001</v>
      </c>
      <c r="Q183" s="181">
        <f t="shared" si="291"/>
        <v>0.11525625636960712</v>
      </c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77"/>
      <c r="AD183" s="177"/>
      <c r="AE183" s="177"/>
      <c r="AF183" s="177"/>
      <c r="AG183" s="177"/>
      <c r="AH183" s="177"/>
      <c r="AI183" s="177"/>
      <c r="AJ183" s="177"/>
      <c r="AK183" s="177"/>
      <c r="AL183" s="177"/>
      <c r="AM183" s="177"/>
      <c r="AN183" s="177"/>
      <c r="AO183" s="177"/>
      <c r="AP183" s="177"/>
      <c r="AQ183" s="177"/>
      <c r="AR183" s="177"/>
      <c r="AS183" s="177"/>
      <c r="AT183" s="177"/>
      <c r="AU183" s="177"/>
      <c r="AV183" s="177"/>
      <c r="AW183" s="177"/>
      <c r="AX183" s="177"/>
      <c r="AY183" s="177"/>
      <c r="AZ183" s="177"/>
      <c r="BA183" s="177"/>
      <c r="BB183" s="177"/>
      <c r="BC183" s="177"/>
      <c r="BD183" s="177"/>
      <c r="BE183" s="177"/>
      <c r="BF183" s="177"/>
      <c r="BG183" s="177"/>
      <c r="BH183" s="177"/>
      <c r="BI183" s="177"/>
      <c r="BJ183" s="177"/>
      <c r="BK183" s="177"/>
      <c r="BL183" s="177"/>
      <c r="BM183" s="177"/>
      <c r="BN183" s="177"/>
      <c r="BO183" s="177"/>
      <c r="BP183" s="177"/>
      <c r="BQ183" s="177"/>
      <c r="BR183" s="177"/>
      <c r="BS183" s="177"/>
      <c r="BT183" s="177"/>
      <c r="BU183" s="177"/>
      <c r="BV183" s="177"/>
      <c r="BW183" s="177"/>
      <c r="BX183" s="177"/>
      <c r="BY183" s="177"/>
      <c r="BZ183" s="177"/>
      <c r="CA183" s="177"/>
      <c r="CB183" s="177"/>
      <c r="CC183" s="177"/>
      <c r="CD183" s="177"/>
      <c r="CE183" s="177"/>
      <c r="CF183" s="177"/>
      <c r="CG183" s="177"/>
      <c r="CH183" s="177"/>
      <c r="CI183" s="177"/>
      <c r="CJ183" s="177"/>
      <c r="CK183" s="177"/>
      <c r="CL183" s="177"/>
      <c r="CM183" s="177"/>
      <c r="CN183" s="177"/>
      <c r="CO183" s="177"/>
      <c r="CP183" s="177"/>
      <c r="CQ183" s="177"/>
      <c r="CR183" s="177"/>
      <c r="CS183" s="177"/>
      <c r="CT183" s="177"/>
      <c r="CU183" s="177"/>
      <c r="CV183" s="177"/>
      <c r="CW183" s="177"/>
      <c r="CX183" s="177"/>
      <c r="CY183" s="177"/>
      <c r="CZ183" s="177"/>
      <c r="DA183" s="177"/>
      <c r="DB183" s="177"/>
      <c r="DC183" s="177"/>
    </row>
    <row r="184" spans="1:107" x14ac:dyDescent="0.25">
      <c r="A184" s="176">
        <f t="shared" si="166"/>
        <v>46507</v>
      </c>
      <c r="B184" s="177"/>
      <c r="C184" s="177"/>
      <c r="D184" s="177"/>
      <c r="E184" s="177"/>
      <c r="F184" s="177"/>
      <c r="G184" s="177"/>
      <c r="H184" s="183">
        <f t="shared" si="287"/>
        <v>85562.400000000009</v>
      </c>
      <c r="I184" s="183">
        <f t="shared" si="288"/>
        <v>47764.860000000008</v>
      </c>
      <c r="J184" s="183">
        <f t="shared" si="289"/>
        <v>6915.2400000000007</v>
      </c>
      <c r="K184" s="183">
        <f t="shared" si="290"/>
        <v>140242.5</v>
      </c>
      <c r="L184" s="177"/>
      <c r="M184" s="177"/>
      <c r="N184" s="181">
        <v>0.1</v>
      </c>
      <c r="O184" s="181">
        <v>0.14000000000000001</v>
      </c>
      <c r="P184" s="181">
        <v>0.14000000000000001</v>
      </c>
      <c r="Q184" s="181">
        <f t="shared" si="291"/>
        <v>0.11525737779226874</v>
      </c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77"/>
      <c r="AD184" s="177"/>
      <c r="AE184" s="177"/>
      <c r="AF184" s="177"/>
      <c r="AG184" s="177"/>
      <c r="AH184" s="177"/>
      <c r="AI184" s="177"/>
      <c r="AJ184" s="177"/>
      <c r="AK184" s="177"/>
      <c r="AL184" s="177"/>
      <c r="AM184" s="177"/>
      <c r="AN184" s="177"/>
      <c r="AO184" s="177"/>
      <c r="AP184" s="177"/>
      <c r="AQ184" s="177"/>
      <c r="AR184" s="177"/>
      <c r="AS184" s="177"/>
      <c r="AT184" s="177"/>
      <c r="AU184" s="177"/>
      <c r="AV184" s="177"/>
      <c r="AW184" s="177"/>
      <c r="AX184" s="177"/>
      <c r="AY184" s="177"/>
      <c r="AZ184" s="177"/>
      <c r="BA184" s="177"/>
      <c r="BB184" s="177"/>
      <c r="BC184" s="177"/>
      <c r="BD184" s="177"/>
      <c r="BE184" s="177"/>
      <c r="BF184" s="177"/>
      <c r="BG184" s="177"/>
      <c r="BH184" s="177"/>
      <c r="BI184" s="177"/>
      <c r="BJ184" s="177"/>
      <c r="BK184" s="177"/>
      <c r="BL184" s="177"/>
      <c r="BM184" s="177"/>
      <c r="BN184" s="177"/>
      <c r="BO184" s="177"/>
      <c r="BP184" s="177"/>
      <c r="BQ184" s="177"/>
      <c r="BR184" s="177"/>
      <c r="BS184" s="177"/>
      <c r="BT184" s="177"/>
      <c r="BU184" s="177"/>
      <c r="BV184" s="177"/>
      <c r="BW184" s="177"/>
      <c r="BX184" s="177"/>
      <c r="BY184" s="177"/>
      <c r="BZ184" s="177"/>
      <c r="CA184" s="177"/>
      <c r="CB184" s="177"/>
      <c r="CC184" s="177"/>
      <c r="CD184" s="177"/>
      <c r="CE184" s="177"/>
      <c r="CF184" s="177"/>
      <c r="CG184" s="177"/>
      <c r="CH184" s="177"/>
      <c r="CI184" s="177"/>
      <c r="CJ184" s="177"/>
      <c r="CK184" s="177"/>
      <c r="CL184" s="177"/>
      <c r="CM184" s="177"/>
      <c r="CN184" s="177"/>
      <c r="CO184" s="177"/>
      <c r="CP184" s="177"/>
      <c r="CQ184" s="177"/>
      <c r="CR184" s="177"/>
      <c r="CS184" s="177"/>
      <c r="CT184" s="177"/>
      <c r="CU184" s="177"/>
      <c r="CV184" s="177"/>
      <c r="CW184" s="177"/>
      <c r="CX184" s="177"/>
      <c r="CY184" s="177"/>
      <c r="CZ184" s="177"/>
      <c r="DA184" s="177"/>
      <c r="DB184" s="177"/>
      <c r="DC184" s="177"/>
    </row>
    <row r="185" spans="1:107" x14ac:dyDescent="0.25">
      <c r="A185" s="176">
        <f t="shared" si="166"/>
        <v>46538</v>
      </c>
      <c r="B185" s="177"/>
      <c r="C185" s="177"/>
      <c r="D185" s="177"/>
      <c r="E185" s="177"/>
      <c r="F185" s="177"/>
      <c r="G185" s="177"/>
      <c r="H185" s="183">
        <f t="shared" si="287"/>
        <v>77071.5</v>
      </c>
      <c r="I185" s="183">
        <f t="shared" si="288"/>
        <v>45040.26</v>
      </c>
      <c r="J185" s="183">
        <f t="shared" si="289"/>
        <v>6936.9000000000005</v>
      </c>
      <c r="K185" s="183">
        <f t="shared" si="290"/>
        <v>129048.66</v>
      </c>
      <c r="L185" s="177"/>
      <c r="M185" s="177"/>
      <c r="N185" s="181">
        <v>0.1</v>
      </c>
      <c r="O185" s="181">
        <v>0.14000000000000001</v>
      </c>
      <c r="P185" s="181">
        <v>0.14000000000000001</v>
      </c>
      <c r="Q185" s="181">
        <f t="shared" si="291"/>
        <v>0.11576842269084131</v>
      </c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77"/>
      <c r="AD185" s="177"/>
      <c r="AE185" s="177"/>
      <c r="AF185" s="177"/>
      <c r="AG185" s="177"/>
      <c r="AH185" s="177"/>
      <c r="AI185" s="177"/>
      <c r="AJ185" s="177"/>
      <c r="AK185" s="177"/>
      <c r="AL185" s="177"/>
      <c r="AM185" s="177"/>
      <c r="AN185" s="177"/>
      <c r="AO185" s="177"/>
      <c r="AP185" s="177"/>
      <c r="AQ185" s="177"/>
      <c r="AR185" s="177"/>
      <c r="AS185" s="177"/>
      <c r="AT185" s="177"/>
      <c r="AU185" s="177"/>
      <c r="AV185" s="177"/>
      <c r="AW185" s="177"/>
      <c r="AX185" s="177"/>
      <c r="AY185" s="177"/>
      <c r="AZ185" s="177"/>
      <c r="BA185" s="177"/>
      <c r="BB185" s="177"/>
      <c r="BC185" s="177"/>
      <c r="BD185" s="177"/>
      <c r="BE185" s="177"/>
      <c r="BF185" s="177"/>
      <c r="BG185" s="177"/>
      <c r="BH185" s="177"/>
      <c r="BI185" s="177"/>
      <c r="BJ185" s="177"/>
      <c r="BK185" s="177"/>
      <c r="BL185" s="177"/>
      <c r="BM185" s="177"/>
      <c r="BN185" s="177"/>
      <c r="BO185" s="177"/>
      <c r="BP185" s="177"/>
      <c r="BQ185" s="177"/>
      <c r="BR185" s="177"/>
      <c r="BS185" s="177"/>
      <c r="BT185" s="177"/>
      <c r="BU185" s="177"/>
      <c r="BV185" s="177"/>
      <c r="BW185" s="177"/>
      <c r="BX185" s="177"/>
      <c r="BY185" s="177"/>
      <c r="BZ185" s="177"/>
      <c r="CA185" s="177"/>
      <c r="CB185" s="177"/>
      <c r="CC185" s="177"/>
      <c r="CD185" s="177"/>
      <c r="CE185" s="177"/>
      <c r="CF185" s="177"/>
      <c r="CG185" s="177"/>
      <c r="CH185" s="177"/>
      <c r="CI185" s="177"/>
      <c r="CJ185" s="177"/>
      <c r="CK185" s="177"/>
      <c r="CL185" s="177"/>
      <c r="CM185" s="177"/>
      <c r="CN185" s="177"/>
      <c r="CO185" s="177"/>
      <c r="CP185" s="177"/>
      <c r="CQ185" s="177"/>
      <c r="CR185" s="177"/>
      <c r="CS185" s="177"/>
      <c r="CT185" s="177"/>
      <c r="CU185" s="177"/>
      <c r="CV185" s="177"/>
      <c r="CW185" s="177"/>
      <c r="CX185" s="177"/>
      <c r="CY185" s="177"/>
      <c r="CZ185" s="177"/>
      <c r="DA185" s="177"/>
      <c r="DB185" s="177"/>
      <c r="DC185" s="177"/>
    </row>
    <row r="186" spans="1:107" x14ac:dyDescent="0.25">
      <c r="A186" s="176">
        <f t="shared" si="166"/>
        <v>46568</v>
      </c>
      <c r="B186" s="177"/>
      <c r="C186" s="177"/>
      <c r="D186" s="177"/>
      <c r="E186" s="177"/>
      <c r="F186" s="177"/>
      <c r="G186" s="177"/>
      <c r="H186" s="183">
        <f t="shared" si="287"/>
        <v>62098.410000000011</v>
      </c>
      <c r="I186" s="183">
        <f t="shared" si="288"/>
        <v>36714.99960000001</v>
      </c>
      <c r="J186" s="183">
        <f t="shared" si="289"/>
        <v>7841.7864000000018</v>
      </c>
      <c r="K186" s="183">
        <f t="shared" si="290"/>
        <v>106655.19600000001</v>
      </c>
      <c r="L186" s="177"/>
      <c r="M186" s="177"/>
      <c r="N186" s="181">
        <v>0.1</v>
      </c>
      <c r="O186" s="181">
        <v>0.14000000000000001</v>
      </c>
      <c r="P186" s="181">
        <v>0.14000000000000001</v>
      </c>
      <c r="Q186" s="181">
        <f t="shared" si="291"/>
        <v>0.11636412736293433</v>
      </c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  <c r="AE186" s="177"/>
      <c r="AF186" s="177"/>
      <c r="AG186" s="177"/>
      <c r="AH186" s="177"/>
      <c r="AI186" s="177"/>
      <c r="AJ186" s="177"/>
      <c r="AK186" s="177"/>
      <c r="AL186" s="177"/>
      <c r="AM186" s="177"/>
      <c r="AN186" s="177"/>
      <c r="AO186" s="177"/>
      <c r="AP186" s="177"/>
      <c r="AQ186" s="177"/>
      <c r="AR186" s="177"/>
      <c r="AS186" s="177"/>
      <c r="AT186" s="177"/>
      <c r="AU186" s="177"/>
      <c r="AV186" s="177"/>
      <c r="AW186" s="177"/>
      <c r="AX186" s="177"/>
      <c r="AY186" s="177"/>
      <c r="AZ186" s="177"/>
      <c r="BA186" s="177"/>
      <c r="BB186" s="177"/>
      <c r="BC186" s="177"/>
      <c r="BD186" s="177"/>
      <c r="BE186" s="177"/>
      <c r="BF186" s="177"/>
      <c r="BG186" s="177"/>
      <c r="BH186" s="177"/>
      <c r="BI186" s="177"/>
      <c r="BJ186" s="177"/>
      <c r="BK186" s="177"/>
      <c r="BL186" s="177"/>
      <c r="BM186" s="177"/>
      <c r="BN186" s="177"/>
      <c r="BO186" s="177"/>
      <c r="BP186" s="177"/>
      <c r="BQ186" s="177"/>
      <c r="BR186" s="177"/>
      <c r="BS186" s="177"/>
      <c r="BT186" s="177"/>
      <c r="BU186" s="177"/>
      <c r="BV186" s="177"/>
      <c r="BW186" s="177"/>
      <c r="BX186" s="177"/>
      <c r="BY186" s="177"/>
      <c r="BZ186" s="177"/>
      <c r="CA186" s="177"/>
      <c r="CB186" s="177"/>
      <c r="CC186" s="177"/>
      <c r="CD186" s="177"/>
      <c r="CE186" s="177"/>
      <c r="CF186" s="177"/>
      <c r="CG186" s="177"/>
      <c r="CH186" s="177"/>
      <c r="CI186" s="177"/>
      <c r="CJ186" s="177"/>
      <c r="CK186" s="177"/>
      <c r="CL186" s="177"/>
      <c r="CM186" s="177"/>
      <c r="CN186" s="177"/>
      <c r="CO186" s="177"/>
      <c r="CP186" s="177"/>
      <c r="CQ186" s="177"/>
      <c r="CR186" s="177"/>
      <c r="CS186" s="177"/>
      <c r="CT186" s="177"/>
      <c r="CU186" s="177"/>
      <c r="CV186" s="177"/>
      <c r="CW186" s="177"/>
      <c r="CX186" s="177"/>
      <c r="CY186" s="177"/>
      <c r="CZ186" s="177"/>
      <c r="DA186" s="177"/>
      <c r="DB186" s="177"/>
      <c r="DC186" s="177"/>
    </row>
    <row r="187" spans="1:107" x14ac:dyDescent="0.25">
      <c r="A187" s="176">
        <f t="shared" si="166"/>
        <v>46599</v>
      </c>
      <c r="B187" s="177"/>
      <c r="C187" s="177"/>
      <c r="D187" s="177"/>
      <c r="E187" s="177"/>
      <c r="F187" s="177"/>
      <c r="G187" s="177"/>
      <c r="H187" s="183">
        <f t="shared" si="287"/>
        <v>62000.400000000016</v>
      </c>
      <c r="I187" s="183">
        <f t="shared" si="288"/>
        <v>37688.400000000001</v>
      </c>
      <c r="J187" s="183">
        <f t="shared" si="289"/>
        <v>9228.459600000002</v>
      </c>
      <c r="K187" s="183">
        <f t="shared" si="290"/>
        <v>108917.25960000002</v>
      </c>
      <c r="L187" s="177"/>
      <c r="M187" s="177"/>
      <c r="N187" s="181">
        <v>0.1</v>
      </c>
      <c r="O187" s="181">
        <v>0.14000000000000001</v>
      </c>
      <c r="P187" s="181">
        <v>0.14000000000000001</v>
      </c>
      <c r="Q187" s="181">
        <f t="shared" si="291"/>
        <v>0.11688084616004635</v>
      </c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77"/>
      <c r="AD187" s="177"/>
      <c r="AE187" s="177"/>
      <c r="AF187" s="177"/>
      <c r="AG187" s="177"/>
      <c r="AH187" s="177"/>
      <c r="AI187" s="177"/>
      <c r="AJ187" s="177"/>
      <c r="AK187" s="177"/>
      <c r="AL187" s="177"/>
      <c r="AM187" s="177"/>
      <c r="AN187" s="177"/>
      <c r="AO187" s="177"/>
      <c r="AP187" s="177"/>
      <c r="AQ187" s="177"/>
      <c r="AR187" s="177"/>
      <c r="AS187" s="177"/>
      <c r="AT187" s="177"/>
      <c r="AU187" s="177"/>
      <c r="AV187" s="177"/>
      <c r="AW187" s="177"/>
      <c r="AX187" s="177"/>
      <c r="AY187" s="177"/>
      <c r="AZ187" s="177"/>
      <c r="BA187" s="177"/>
      <c r="BB187" s="177"/>
      <c r="BC187" s="177"/>
      <c r="BD187" s="177"/>
      <c r="BE187" s="177"/>
      <c r="BF187" s="177"/>
      <c r="BG187" s="177"/>
      <c r="BH187" s="177"/>
      <c r="BI187" s="177"/>
      <c r="BJ187" s="177"/>
      <c r="BK187" s="177"/>
      <c r="BL187" s="177"/>
      <c r="BM187" s="177"/>
      <c r="BN187" s="177"/>
      <c r="BO187" s="177"/>
      <c r="BP187" s="177"/>
      <c r="BQ187" s="177"/>
      <c r="BR187" s="177"/>
      <c r="BS187" s="177"/>
      <c r="BT187" s="177"/>
      <c r="BU187" s="177"/>
      <c r="BV187" s="177"/>
      <c r="BW187" s="177"/>
      <c r="BX187" s="177"/>
      <c r="BY187" s="177"/>
      <c r="BZ187" s="177"/>
      <c r="CA187" s="177"/>
      <c r="CB187" s="177"/>
      <c r="CC187" s="177"/>
      <c r="CD187" s="177"/>
      <c r="CE187" s="177"/>
      <c r="CF187" s="177"/>
      <c r="CG187" s="177"/>
      <c r="CH187" s="177"/>
      <c r="CI187" s="177"/>
      <c r="CJ187" s="177"/>
      <c r="CK187" s="177"/>
      <c r="CL187" s="177"/>
      <c r="CM187" s="177"/>
      <c r="CN187" s="177"/>
      <c r="CO187" s="177"/>
      <c r="CP187" s="177"/>
      <c r="CQ187" s="177"/>
      <c r="CR187" s="177"/>
      <c r="CS187" s="177"/>
      <c r="CT187" s="177"/>
      <c r="CU187" s="177"/>
      <c r="CV187" s="177"/>
      <c r="CW187" s="177"/>
      <c r="CX187" s="177"/>
      <c r="CY187" s="177"/>
      <c r="CZ187" s="177"/>
      <c r="DA187" s="177"/>
      <c r="DB187" s="177"/>
      <c r="DC187" s="177"/>
    </row>
    <row r="188" spans="1:107" x14ac:dyDescent="0.25">
      <c r="A188" s="176">
        <f t="shared" si="166"/>
        <v>46630</v>
      </c>
      <c r="B188" s="177"/>
      <c r="C188" s="177"/>
      <c r="D188" s="177"/>
      <c r="E188" s="177"/>
      <c r="F188" s="177"/>
      <c r="G188" s="177"/>
      <c r="H188" s="183">
        <f t="shared" si="287"/>
        <v>61916.910000000011</v>
      </c>
      <c r="I188" s="183">
        <f t="shared" si="288"/>
        <v>39869.128800000013</v>
      </c>
      <c r="J188" s="183">
        <f t="shared" si="289"/>
        <v>9367.5168000000012</v>
      </c>
      <c r="K188" s="183">
        <f t="shared" si="290"/>
        <v>111153.55560000002</v>
      </c>
      <c r="L188" s="177"/>
      <c r="M188" s="177"/>
      <c r="N188" s="181">
        <v>0.1</v>
      </c>
      <c r="O188" s="181">
        <v>0.14000000000000001</v>
      </c>
      <c r="P188" s="181">
        <v>0.14000000000000001</v>
      </c>
      <c r="Q188" s="181">
        <f t="shared" si="291"/>
        <v>0.11736664557660603</v>
      </c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77"/>
      <c r="AD188" s="177"/>
      <c r="AE188" s="177"/>
      <c r="AF188" s="177"/>
      <c r="AG188" s="177"/>
      <c r="AH188" s="177"/>
      <c r="AI188" s="177"/>
      <c r="AJ188" s="177"/>
      <c r="AK188" s="177"/>
      <c r="AL188" s="177"/>
      <c r="AM188" s="177"/>
      <c r="AN188" s="177"/>
      <c r="AO188" s="177"/>
      <c r="AP188" s="177"/>
      <c r="AQ188" s="177"/>
      <c r="AR188" s="177"/>
      <c r="AS188" s="177"/>
      <c r="AT188" s="177"/>
      <c r="AU188" s="177"/>
      <c r="AV188" s="177"/>
      <c r="AW188" s="177"/>
      <c r="AX188" s="177"/>
      <c r="AY188" s="177"/>
      <c r="AZ188" s="177"/>
      <c r="BA188" s="177"/>
      <c r="BB188" s="177"/>
      <c r="BC188" s="177"/>
      <c r="BD188" s="177"/>
      <c r="BE188" s="177"/>
      <c r="BF188" s="177"/>
      <c r="BG188" s="177"/>
      <c r="BH188" s="177"/>
      <c r="BI188" s="177"/>
      <c r="BJ188" s="177"/>
      <c r="BK188" s="177"/>
      <c r="BL188" s="177"/>
      <c r="BM188" s="177"/>
      <c r="BN188" s="177"/>
      <c r="BO188" s="177"/>
      <c r="BP188" s="177"/>
      <c r="BQ188" s="177"/>
      <c r="BR188" s="177"/>
      <c r="BS188" s="177"/>
      <c r="BT188" s="177"/>
      <c r="BU188" s="177"/>
      <c r="BV188" s="177"/>
      <c r="BW188" s="177"/>
      <c r="BX188" s="177"/>
      <c r="BY188" s="177"/>
      <c r="BZ188" s="177"/>
      <c r="CA188" s="177"/>
      <c r="CB188" s="177"/>
      <c r="CC188" s="177"/>
      <c r="CD188" s="177"/>
      <c r="CE188" s="177"/>
      <c r="CF188" s="177"/>
      <c r="CG188" s="177"/>
      <c r="CH188" s="177"/>
      <c r="CI188" s="177"/>
      <c r="CJ188" s="177"/>
      <c r="CK188" s="177"/>
      <c r="CL188" s="177"/>
      <c r="CM188" s="177"/>
      <c r="CN188" s="177"/>
      <c r="CO188" s="177"/>
      <c r="CP188" s="177"/>
      <c r="CQ188" s="177"/>
      <c r="CR188" s="177"/>
      <c r="CS188" s="177"/>
      <c r="CT188" s="177"/>
      <c r="CU188" s="177"/>
      <c r="CV188" s="177"/>
      <c r="CW188" s="177"/>
      <c r="CX188" s="177"/>
      <c r="CY188" s="177"/>
      <c r="CZ188" s="177"/>
      <c r="DA188" s="177"/>
      <c r="DB188" s="177"/>
      <c r="DC188" s="177"/>
    </row>
    <row r="189" spans="1:107" x14ac:dyDescent="0.25">
      <c r="A189" s="176">
        <f t="shared" si="166"/>
        <v>46660</v>
      </c>
      <c r="B189" s="177"/>
      <c r="C189" s="177"/>
      <c r="D189" s="177"/>
      <c r="E189" s="177"/>
      <c r="F189" s="177"/>
      <c r="G189" s="177"/>
      <c r="H189" s="183">
        <f t="shared" si="287"/>
        <v>63318.090000000004</v>
      </c>
      <c r="I189" s="183">
        <f t="shared" si="288"/>
        <v>45137.707200000012</v>
      </c>
      <c r="J189" s="183">
        <f t="shared" si="289"/>
        <v>9902.952000000003</v>
      </c>
      <c r="K189" s="183">
        <f t="shared" si="290"/>
        <v>118358.74920000002</v>
      </c>
      <c r="L189" s="177"/>
      <c r="M189" s="177"/>
      <c r="N189" s="181">
        <v>0.1</v>
      </c>
      <c r="O189" s="181">
        <v>0.14000000000000001</v>
      </c>
      <c r="P189" s="181">
        <v>0.14000000000000001</v>
      </c>
      <c r="Q189" s="181">
        <f t="shared" si="291"/>
        <v>0.11824634520618149</v>
      </c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77"/>
      <c r="AD189" s="177"/>
      <c r="AE189" s="177"/>
      <c r="AF189" s="177"/>
      <c r="AG189" s="177"/>
      <c r="AH189" s="177"/>
      <c r="AI189" s="177"/>
      <c r="AJ189" s="177"/>
      <c r="AK189" s="177"/>
      <c r="AL189" s="177"/>
      <c r="AM189" s="177"/>
      <c r="AN189" s="177"/>
      <c r="AO189" s="177"/>
      <c r="AP189" s="177"/>
      <c r="AQ189" s="177"/>
      <c r="AR189" s="177"/>
      <c r="AS189" s="177"/>
      <c r="AT189" s="177"/>
      <c r="AU189" s="177"/>
      <c r="AV189" s="177"/>
      <c r="AW189" s="177"/>
      <c r="AX189" s="177"/>
      <c r="AY189" s="177"/>
      <c r="AZ189" s="177"/>
      <c r="BA189" s="177"/>
      <c r="BB189" s="177"/>
      <c r="BC189" s="177"/>
      <c r="BD189" s="177"/>
      <c r="BE189" s="177"/>
      <c r="BF189" s="177"/>
      <c r="BG189" s="177"/>
      <c r="BH189" s="177"/>
      <c r="BI189" s="177"/>
      <c r="BJ189" s="177"/>
      <c r="BK189" s="177"/>
      <c r="BL189" s="177"/>
      <c r="BM189" s="177"/>
      <c r="BN189" s="177"/>
      <c r="BO189" s="177"/>
      <c r="BP189" s="177"/>
      <c r="BQ189" s="177"/>
      <c r="BR189" s="177"/>
      <c r="BS189" s="177"/>
      <c r="BT189" s="177"/>
      <c r="BU189" s="177"/>
      <c r="BV189" s="177"/>
      <c r="BW189" s="177"/>
      <c r="BX189" s="177"/>
      <c r="BY189" s="177"/>
      <c r="BZ189" s="177"/>
      <c r="CA189" s="177"/>
      <c r="CB189" s="177"/>
      <c r="CC189" s="177"/>
      <c r="CD189" s="177"/>
      <c r="CE189" s="177"/>
      <c r="CF189" s="177"/>
      <c r="CG189" s="177"/>
      <c r="CH189" s="177"/>
      <c r="CI189" s="177"/>
      <c r="CJ189" s="177"/>
      <c r="CK189" s="177"/>
      <c r="CL189" s="177"/>
      <c r="CM189" s="177"/>
      <c r="CN189" s="177"/>
      <c r="CO189" s="177"/>
      <c r="CP189" s="177"/>
      <c r="CQ189" s="177"/>
      <c r="CR189" s="177"/>
      <c r="CS189" s="177"/>
      <c r="CT189" s="177"/>
      <c r="CU189" s="177"/>
      <c r="CV189" s="177"/>
      <c r="CW189" s="177"/>
      <c r="CX189" s="177"/>
      <c r="CY189" s="177"/>
      <c r="CZ189" s="177"/>
      <c r="DA189" s="177"/>
      <c r="DB189" s="177"/>
      <c r="DC189" s="177"/>
    </row>
    <row r="190" spans="1:107" x14ac:dyDescent="0.25">
      <c r="A190" s="176">
        <f t="shared" si="166"/>
        <v>46691</v>
      </c>
      <c r="B190" s="177"/>
      <c r="C190" s="177"/>
      <c r="D190" s="177"/>
      <c r="E190" s="177"/>
      <c r="F190" s="177"/>
      <c r="G190" s="177"/>
      <c r="H190" s="183">
        <f t="shared" si="287"/>
        <v>67599.070000000007</v>
      </c>
      <c r="I190" s="183">
        <f t="shared" si="288"/>
        <v>51815.052000000011</v>
      </c>
      <c r="J190" s="183">
        <f t="shared" si="289"/>
        <v>9770.3928000000014</v>
      </c>
      <c r="K190" s="183">
        <f t="shared" si="290"/>
        <v>129184.51480000002</v>
      </c>
      <c r="L190" s="177"/>
      <c r="M190" s="177"/>
      <c r="N190" s="181">
        <v>0.1</v>
      </c>
      <c r="O190" s="181">
        <v>0.14000000000000001</v>
      </c>
      <c r="P190" s="181">
        <v>0.14000000000000001</v>
      </c>
      <c r="Q190" s="181">
        <f t="shared" si="291"/>
        <v>0.11871291372875525</v>
      </c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  <c r="AE190" s="177"/>
      <c r="AF190" s="177"/>
      <c r="AG190" s="177"/>
      <c r="AH190" s="177"/>
      <c r="AI190" s="177"/>
      <c r="AJ190" s="177"/>
      <c r="AK190" s="177"/>
      <c r="AL190" s="177"/>
      <c r="AM190" s="177"/>
      <c r="AN190" s="177"/>
      <c r="AO190" s="177"/>
      <c r="AP190" s="177"/>
      <c r="AQ190" s="177"/>
      <c r="AR190" s="177"/>
      <c r="AS190" s="177"/>
      <c r="AT190" s="177"/>
      <c r="AU190" s="177"/>
      <c r="AV190" s="177"/>
      <c r="AW190" s="177"/>
      <c r="AX190" s="177"/>
      <c r="AY190" s="177"/>
      <c r="AZ190" s="177"/>
      <c r="BA190" s="177"/>
      <c r="BB190" s="177"/>
      <c r="BC190" s="177"/>
      <c r="BD190" s="177"/>
      <c r="BE190" s="177"/>
      <c r="BF190" s="177"/>
      <c r="BG190" s="177"/>
      <c r="BH190" s="177"/>
      <c r="BI190" s="177"/>
      <c r="BJ190" s="177"/>
      <c r="BK190" s="177"/>
      <c r="BL190" s="177"/>
      <c r="BM190" s="177"/>
      <c r="BN190" s="177"/>
      <c r="BO190" s="177"/>
      <c r="BP190" s="177"/>
      <c r="BQ190" s="177"/>
      <c r="BR190" s="177"/>
      <c r="BS190" s="177"/>
      <c r="BT190" s="177"/>
      <c r="BU190" s="177"/>
      <c r="BV190" s="177"/>
      <c r="BW190" s="177"/>
      <c r="BX190" s="177"/>
      <c r="BY190" s="177"/>
      <c r="BZ190" s="177"/>
      <c r="CA190" s="177"/>
      <c r="CB190" s="177"/>
      <c r="CC190" s="177"/>
      <c r="CD190" s="177"/>
      <c r="CE190" s="177"/>
      <c r="CF190" s="177"/>
      <c r="CG190" s="177"/>
      <c r="CH190" s="177"/>
      <c r="CI190" s="177"/>
      <c r="CJ190" s="177"/>
      <c r="CK190" s="177"/>
      <c r="CL190" s="177"/>
      <c r="CM190" s="177"/>
      <c r="CN190" s="177"/>
      <c r="CO190" s="177"/>
      <c r="CP190" s="177"/>
      <c r="CQ190" s="177"/>
      <c r="CR190" s="177"/>
      <c r="CS190" s="177"/>
      <c r="CT190" s="177"/>
      <c r="CU190" s="177"/>
      <c r="CV190" s="177"/>
      <c r="CW190" s="177"/>
      <c r="CX190" s="177"/>
      <c r="CY190" s="177"/>
      <c r="CZ190" s="177"/>
      <c r="DA190" s="177"/>
      <c r="DB190" s="177"/>
      <c r="DC190" s="177"/>
    </row>
    <row r="191" spans="1:107" x14ac:dyDescent="0.25">
      <c r="A191" s="176">
        <f t="shared" si="166"/>
        <v>46721</v>
      </c>
      <c r="B191" s="177"/>
      <c r="C191" s="177"/>
      <c r="D191" s="177"/>
      <c r="E191" s="177"/>
      <c r="F191" s="177"/>
      <c r="G191" s="177"/>
      <c r="H191" s="183">
        <f t="shared" si="287"/>
        <v>70850.340000000011</v>
      </c>
      <c r="I191" s="183">
        <f t="shared" si="288"/>
        <v>55174.518000000011</v>
      </c>
      <c r="J191" s="183">
        <f t="shared" si="289"/>
        <v>8965.9404000000013</v>
      </c>
      <c r="K191" s="183">
        <f t="shared" si="290"/>
        <v>134990.79840000003</v>
      </c>
      <c r="L191" s="177"/>
      <c r="M191" s="177"/>
      <c r="N191" s="181">
        <v>0.1</v>
      </c>
      <c r="O191" s="181">
        <v>0.14000000000000001</v>
      </c>
      <c r="P191" s="181">
        <v>0.14000000000000001</v>
      </c>
      <c r="Q191" s="181">
        <f t="shared" si="291"/>
        <v>0.1186499311859095</v>
      </c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  <c r="AB191" s="177"/>
      <c r="AC191" s="177"/>
      <c r="AD191" s="177"/>
      <c r="AE191" s="177"/>
      <c r="AF191" s="177"/>
      <c r="AG191" s="177"/>
      <c r="AH191" s="177"/>
      <c r="AI191" s="177"/>
      <c r="AJ191" s="177"/>
      <c r="AK191" s="177"/>
      <c r="AL191" s="177"/>
      <c r="AM191" s="177"/>
      <c r="AN191" s="177"/>
      <c r="AO191" s="177"/>
      <c r="AP191" s="177"/>
      <c r="AQ191" s="177"/>
      <c r="AR191" s="177"/>
      <c r="AS191" s="177"/>
      <c r="AT191" s="177"/>
      <c r="AU191" s="177"/>
      <c r="AV191" s="177"/>
      <c r="AW191" s="177"/>
      <c r="AX191" s="177"/>
      <c r="AY191" s="177"/>
      <c r="AZ191" s="177"/>
      <c r="BA191" s="177"/>
      <c r="BB191" s="177"/>
      <c r="BC191" s="177"/>
      <c r="BD191" s="177"/>
      <c r="BE191" s="177"/>
      <c r="BF191" s="177"/>
      <c r="BG191" s="177"/>
      <c r="BH191" s="177"/>
      <c r="BI191" s="177"/>
      <c r="BJ191" s="177"/>
      <c r="BK191" s="177"/>
      <c r="BL191" s="177"/>
      <c r="BM191" s="177"/>
      <c r="BN191" s="177"/>
      <c r="BO191" s="177"/>
      <c r="BP191" s="177"/>
      <c r="BQ191" s="177"/>
      <c r="BR191" s="177"/>
      <c r="BS191" s="177"/>
      <c r="BT191" s="177"/>
      <c r="BU191" s="177"/>
      <c r="BV191" s="177"/>
      <c r="BW191" s="177"/>
      <c r="BX191" s="177"/>
      <c r="BY191" s="177"/>
      <c r="BZ191" s="177"/>
      <c r="CA191" s="177"/>
      <c r="CB191" s="177"/>
      <c r="CC191" s="177"/>
      <c r="CD191" s="177"/>
      <c r="CE191" s="177"/>
      <c r="CF191" s="177"/>
      <c r="CG191" s="177"/>
      <c r="CH191" s="177"/>
      <c r="CI191" s="177"/>
      <c r="CJ191" s="177"/>
      <c r="CK191" s="177"/>
      <c r="CL191" s="177"/>
      <c r="CM191" s="177"/>
      <c r="CN191" s="177"/>
      <c r="CO191" s="177"/>
      <c r="CP191" s="177"/>
      <c r="CQ191" s="177"/>
      <c r="CR191" s="177"/>
      <c r="CS191" s="177"/>
      <c r="CT191" s="177"/>
      <c r="CU191" s="177"/>
      <c r="CV191" s="177"/>
      <c r="CW191" s="177"/>
      <c r="CX191" s="177"/>
      <c r="CY191" s="177"/>
      <c r="CZ191" s="177"/>
      <c r="DA191" s="177"/>
      <c r="DB191" s="177"/>
      <c r="DC191" s="177"/>
    </row>
    <row r="192" spans="1:107" x14ac:dyDescent="0.25">
      <c r="A192" s="176">
        <f t="shared" si="166"/>
        <v>46752</v>
      </c>
      <c r="B192" s="177"/>
      <c r="C192" s="177"/>
      <c r="D192" s="177"/>
      <c r="E192" s="177"/>
      <c r="F192" s="177"/>
      <c r="G192" s="177"/>
      <c r="H192" s="183">
        <f t="shared" si="287"/>
        <v>77591.25</v>
      </c>
      <c r="I192" s="183">
        <f t="shared" si="288"/>
        <v>56913.382800000014</v>
      </c>
      <c r="J192" s="183">
        <f t="shared" si="289"/>
        <v>8624.1456000000017</v>
      </c>
      <c r="K192" s="183">
        <f t="shared" si="290"/>
        <v>143128.77840000001</v>
      </c>
      <c r="L192" s="177"/>
      <c r="M192" s="177"/>
      <c r="N192" s="181">
        <v>0.1</v>
      </c>
      <c r="O192" s="181">
        <v>0.14000000000000001</v>
      </c>
      <c r="P192" s="181">
        <v>0.14000000000000001</v>
      </c>
      <c r="Q192" s="181">
        <f t="shared" si="291"/>
        <v>0.11796160421712498</v>
      </c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  <c r="AC192" s="177"/>
      <c r="AD192" s="177"/>
      <c r="AE192" s="177"/>
      <c r="AF192" s="177"/>
      <c r="AG192" s="177"/>
      <c r="AH192" s="177"/>
      <c r="AI192" s="177"/>
      <c r="AJ192" s="177"/>
      <c r="AK192" s="177"/>
      <c r="AL192" s="177"/>
      <c r="AM192" s="177"/>
      <c r="AN192" s="177"/>
      <c r="AO192" s="177"/>
      <c r="AP192" s="177"/>
      <c r="AQ192" s="177"/>
      <c r="AR192" s="177"/>
      <c r="AS192" s="177"/>
      <c r="AT192" s="177"/>
      <c r="AU192" s="177"/>
      <c r="AV192" s="177"/>
      <c r="AW192" s="177"/>
      <c r="AX192" s="177"/>
      <c r="AY192" s="177"/>
      <c r="AZ192" s="177"/>
      <c r="BA192" s="177"/>
      <c r="BB192" s="177"/>
      <c r="BC192" s="177"/>
      <c r="BD192" s="177"/>
      <c r="BE192" s="177"/>
      <c r="BF192" s="177"/>
      <c r="BG192" s="177"/>
      <c r="BH192" s="177"/>
      <c r="BI192" s="177"/>
      <c r="BJ192" s="177"/>
      <c r="BK192" s="177"/>
      <c r="BL192" s="177"/>
      <c r="BM192" s="177"/>
      <c r="BN192" s="177"/>
      <c r="BO192" s="177"/>
      <c r="BP192" s="177"/>
      <c r="BQ192" s="177"/>
      <c r="BR192" s="177"/>
      <c r="BS192" s="177"/>
      <c r="BT192" s="177"/>
      <c r="BU192" s="177"/>
      <c r="BV192" s="177"/>
      <c r="BW192" s="177"/>
      <c r="BX192" s="177"/>
      <c r="BY192" s="177"/>
      <c r="BZ192" s="177"/>
      <c r="CA192" s="177"/>
      <c r="CB192" s="177"/>
      <c r="CC192" s="177"/>
      <c r="CD192" s="177"/>
      <c r="CE192" s="177"/>
      <c r="CF192" s="177"/>
      <c r="CG192" s="177"/>
      <c r="CH192" s="177"/>
      <c r="CI192" s="177"/>
      <c r="CJ192" s="177"/>
      <c r="CK192" s="177"/>
      <c r="CL192" s="177"/>
      <c r="CM192" s="177"/>
      <c r="CN192" s="177"/>
      <c r="CO192" s="177"/>
      <c r="CP192" s="177"/>
      <c r="CQ192" s="177"/>
      <c r="CR192" s="177"/>
      <c r="CS192" s="177"/>
      <c r="CT192" s="177"/>
      <c r="CU192" s="177"/>
      <c r="CV192" s="177"/>
      <c r="CW192" s="177"/>
      <c r="CX192" s="177"/>
      <c r="CY192" s="177"/>
      <c r="CZ192" s="177"/>
      <c r="DA192" s="177"/>
      <c r="DB192" s="177"/>
      <c r="DC192" s="177"/>
    </row>
    <row r="193" spans="1:107" x14ac:dyDescent="0.25">
      <c r="A193" s="176">
        <f t="shared" si="166"/>
        <v>46783</v>
      </c>
      <c r="B193" s="177"/>
      <c r="C193" s="177"/>
      <c r="D193" s="177"/>
      <c r="E193" s="177"/>
      <c r="F193" s="177"/>
      <c r="G193" s="177"/>
      <c r="H193" s="183">
        <f t="shared" si="287"/>
        <v>82714.390000000014</v>
      </c>
      <c r="I193" s="183">
        <f t="shared" si="288"/>
        <v>56266.182000000008</v>
      </c>
      <c r="J193" s="183">
        <f t="shared" si="289"/>
        <v>8991.9324000000015</v>
      </c>
      <c r="K193" s="183">
        <f t="shared" si="290"/>
        <v>147972.50440000001</v>
      </c>
      <c r="L193" s="177"/>
      <c r="M193" s="177"/>
      <c r="N193" s="181">
        <v>0.1</v>
      </c>
      <c r="O193" s="181">
        <v>0.14000000000000001</v>
      </c>
      <c r="P193" s="181">
        <v>0.14000000000000001</v>
      </c>
      <c r="Q193" s="181">
        <f t="shared" si="291"/>
        <v>0.11728917328343047</v>
      </c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  <c r="AB193" s="177"/>
      <c r="AC193" s="177"/>
      <c r="AD193" s="177"/>
      <c r="AE193" s="177"/>
      <c r="AF193" s="177"/>
      <c r="AG193" s="177"/>
      <c r="AH193" s="177"/>
      <c r="AI193" s="177"/>
      <c r="AJ193" s="177"/>
      <c r="AK193" s="177"/>
      <c r="AL193" s="177"/>
      <c r="AM193" s="177"/>
      <c r="AN193" s="177"/>
      <c r="AO193" s="177"/>
      <c r="AP193" s="177"/>
      <c r="AQ193" s="177"/>
      <c r="AR193" s="177"/>
      <c r="AS193" s="177"/>
      <c r="AT193" s="177"/>
      <c r="AU193" s="177"/>
      <c r="AV193" s="177"/>
      <c r="AW193" s="177"/>
      <c r="AX193" s="177"/>
      <c r="AY193" s="177"/>
      <c r="AZ193" s="177"/>
      <c r="BA193" s="177"/>
      <c r="BB193" s="177"/>
      <c r="BC193" s="177"/>
      <c r="BD193" s="177"/>
      <c r="BE193" s="177"/>
      <c r="BF193" s="177"/>
      <c r="BG193" s="177"/>
      <c r="BH193" s="177"/>
      <c r="BI193" s="177"/>
      <c r="BJ193" s="177"/>
      <c r="BK193" s="177"/>
      <c r="BL193" s="177"/>
      <c r="BM193" s="177"/>
      <c r="BN193" s="177"/>
      <c r="BO193" s="177"/>
      <c r="BP193" s="177"/>
      <c r="BQ193" s="177"/>
      <c r="BR193" s="177"/>
      <c r="BS193" s="177"/>
      <c r="BT193" s="177"/>
      <c r="BU193" s="177"/>
      <c r="BV193" s="177"/>
      <c r="BW193" s="177"/>
      <c r="BX193" s="177"/>
      <c r="BY193" s="177"/>
      <c r="BZ193" s="177"/>
      <c r="CA193" s="177"/>
      <c r="CB193" s="177"/>
      <c r="CC193" s="177"/>
      <c r="CD193" s="177"/>
      <c r="CE193" s="177"/>
      <c r="CF193" s="177"/>
      <c r="CG193" s="177"/>
      <c r="CH193" s="177"/>
      <c r="CI193" s="177"/>
      <c r="CJ193" s="177"/>
      <c r="CK193" s="177"/>
      <c r="CL193" s="177"/>
      <c r="CM193" s="177"/>
      <c r="CN193" s="177"/>
      <c r="CO193" s="177"/>
      <c r="CP193" s="177"/>
      <c r="CQ193" s="177"/>
      <c r="CR193" s="177"/>
      <c r="CS193" s="177"/>
      <c r="CT193" s="177"/>
      <c r="CU193" s="177"/>
      <c r="CV193" s="177"/>
      <c r="CW193" s="177"/>
      <c r="CX193" s="177"/>
      <c r="CY193" s="177"/>
      <c r="CZ193" s="177"/>
      <c r="DA193" s="177"/>
      <c r="DB193" s="177"/>
      <c r="DC193" s="177"/>
    </row>
    <row r="194" spans="1:107" x14ac:dyDescent="0.25">
      <c r="A194" s="176">
        <f t="shared" si="166"/>
        <v>46812</v>
      </c>
      <c r="B194" s="177"/>
      <c r="C194" s="177"/>
      <c r="D194" s="177"/>
      <c r="E194" s="177"/>
      <c r="F194" s="177"/>
      <c r="G194" s="177"/>
      <c r="H194" s="183">
        <f t="shared" si="287"/>
        <v>91496.570000000022</v>
      </c>
      <c r="I194" s="183">
        <f t="shared" si="288"/>
        <v>57412.429200000013</v>
      </c>
      <c r="J194" s="183">
        <f t="shared" si="289"/>
        <v>9361.0188000000016</v>
      </c>
      <c r="K194" s="183">
        <f t="shared" si="290"/>
        <v>158270.01800000001</v>
      </c>
      <c r="L194" s="177"/>
      <c r="M194" s="177"/>
      <c r="N194" s="181">
        <v>0.1</v>
      </c>
      <c r="O194" s="181">
        <v>0.14000000000000001</v>
      </c>
      <c r="P194" s="181">
        <v>0.14000000000000001</v>
      </c>
      <c r="Q194" s="181">
        <f t="shared" si="291"/>
        <v>0.11652837104828917</v>
      </c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  <c r="AC194" s="177"/>
      <c r="AD194" s="177"/>
      <c r="AE194" s="177"/>
      <c r="AF194" s="177"/>
      <c r="AG194" s="177"/>
      <c r="AH194" s="177"/>
      <c r="AI194" s="177"/>
      <c r="AJ194" s="177"/>
      <c r="AK194" s="177"/>
      <c r="AL194" s="177"/>
      <c r="AM194" s="177"/>
      <c r="AN194" s="177"/>
      <c r="AO194" s="177"/>
      <c r="AP194" s="177"/>
      <c r="AQ194" s="177"/>
      <c r="AR194" s="177"/>
      <c r="AS194" s="177"/>
      <c r="AT194" s="177"/>
      <c r="AU194" s="177"/>
      <c r="AV194" s="177"/>
      <c r="AW194" s="177"/>
      <c r="AX194" s="177"/>
      <c r="AY194" s="177"/>
      <c r="AZ194" s="177"/>
      <c r="BA194" s="177"/>
      <c r="BB194" s="177"/>
      <c r="BC194" s="177"/>
      <c r="BD194" s="177"/>
      <c r="BE194" s="177"/>
      <c r="BF194" s="177"/>
      <c r="BG194" s="177"/>
      <c r="BH194" s="177"/>
      <c r="BI194" s="177"/>
      <c r="BJ194" s="177"/>
      <c r="BK194" s="177"/>
      <c r="BL194" s="177"/>
      <c r="BM194" s="177"/>
      <c r="BN194" s="177"/>
      <c r="BO194" s="177"/>
      <c r="BP194" s="177"/>
      <c r="BQ194" s="177"/>
      <c r="BR194" s="177"/>
      <c r="BS194" s="177"/>
      <c r="BT194" s="177"/>
      <c r="BU194" s="177"/>
      <c r="BV194" s="177"/>
      <c r="BW194" s="177"/>
      <c r="BX194" s="177"/>
      <c r="BY194" s="177"/>
      <c r="BZ194" s="177"/>
      <c r="CA194" s="177"/>
      <c r="CB194" s="177"/>
      <c r="CC194" s="177"/>
      <c r="CD194" s="177"/>
      <c r="CE194" s="177"/>
      <c r="CF194" s="177"/>
      <c r="CG194" s="177"/>
      <c r="CH194" s="177"/>
      <c r="CI194" s="177"/>
      <c r="CJ194" s="177"/>
      <c r="CK194" s="177"/>
      <c r="CL194" s="177"/>
      <c r="CM194" s="177"/>
      <c r="CN194" s="177"/>
      <c r="CO194" s="177"/>
      <c r="CP194" s="177"/>
      <c r="CQ194" s="177"/>
      <c r="CR194" s="177"/>
      <c r="CS194" s="177"/>
      <c r="CT194" s="177"/>
      <c r="CU194" s="177"/>
      <c r="CV194" s="177"/>
      <c r="CW194" s="177"/>
      <c r="CX194" s="177"/>
      <c r="CY194" s="177"/>
      <c r="CZ194" s="177"/>
      <c r="DA194" s="177"/>
      <c r="DB194" s="177"/>
      <c r="DC194" s="177"/>
    </row>
    <row r="195" spans="1:107" x14ac:dyDescent="0.25">
      <c r="A195" s="176">
        <f t="shared" si="166"/>
        <v>46843</v>
      </c>
      <c r="B195" s="177"/>
      <c r="C195" s="177"/>
      <c r="D195" s="177"/>
      <c r="E195" s="177"/>
      <c r="F195" s="177"/>
      <c r="G195" s="177"/>
      <c r="H195" s="183">
        <f t="shared" si="287"/>
        <v>99149.820000000022</v>
      </c>
      <c r="I195" s="183">
        <f t="shared" si="288"/>
        <v>56688.552000000011</v>
      </c>
      <c r="J195" s="183">
        <f t="shared" si="289"/>
        <v>8971.1388000000024</v>
      </c>
      <c r="K195" s="183">
        <f t="shared" si="290"/>
        <v>164809.51080000005</v>
      </c>
      <c r="L195" s="177"/>
      <c r="M195" s="177"/>
      <c r="N195" s="181">
        <v>0.1</v>
      </c>
      <c r="O195" s="181">
        <v>0.14000000000000001</v>
      </c>
      <c r="P195" s="181">
        <v>0.14000000000000001</v>
      </c>
      <c r="Q195" s="181">
        <f t="shared" si="291"/>
        <v>0.11559474081586174</v>
      </c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  <c r="AJ195" s="177"/>
      <c r="AK195" s="177"/>
      <c r="AL195" s="177"/>
      <c r="AM195" s="177"/>
      <c r="AN195" s="177"/>
      <c r="AO195" s="177"/>
      <c r="AP195" s="177"/>
      <c r="AQ195" s="177"/>
      <c r="AR195" s="177"/>
      <c r="AS195" s="177"/>
      <c r="AT195" s="177"/>
      <c r="AU195" s="177"/>
      <c r="AV195" s="177"/>
      <c r="AW195" s="177"/>
      <c r="AX195" s="177"/>
      <c r="AY195" s="177"/>
      <c r="AZ195" s="177"/>
      <c r="BA195" s="177"/>
      <c r="BB195" s="177"/>
      <c r="BC195" s="177"/>
      <c r="BD195" s="177"/>
      <c r="BE195" s="177"/>
      <c r="BF195" s="177"/>
      <c r="BG195" s="177"/>
      <c r="BH195" s="177"/>
      <c r="BI195" s="177"/>
      <c r="BJ195" s="177"/>
      <c r="BK195" s="177"/>
      <c r="BL195" s="177"/>
      <c r="BM195" s="177"/>
      <c r="BN195" s="177"/>
      <c r="BO195" s="177"/>
      <c r="BP195" s="177"/>
      <c r="BQ195" s="177"/>
      <c r="BR195" s="177"/>
      <c r="BS195" s="177"/>
      <c r="BT195" s="177"/>
      <c r="BU195" s="177"/>
      <c r="BV195" s="177"/>
      <c r="BW195" s="177"/>
      <c r="BX195" s="177"/>
      <c r="BY195" s="177"/>
      <c r="BZ195" s="177"/>
      <c r="CA195" s="177"/>
      <c r="CB195" s="177"/>
      <c r="CC195" s="177"/>
      <c r="CD195" s="177"/>
      <c r="CE195" s="177"/>
      <c r="CF195" s="177"/>
      <c r="CG195" s="177"/>
      <c r="CH195" s="177"/>
      <c r="CI195" s="177"/>
      <c r="CJ195" s="177"/>
      <c r="CK195" s="177"/>
      <c r="CL195" s="177"/>
      <c r="CM195" s="177"/>
      <c r="CN195" s="177"/>
      <c r="CO195" s="177"/>
      <c r="CP195" s="177"/>
      <c r="CQ195" s="177"/>
      <c r="CR195" s="177"/>
      <c r="CS195" s="177"/>
      <c r="CT195" s="177"/>
      <c r="CU195" s="177"/>
      <c r="CV195" s="177"/>
      <c r="CW195" s="177"/>
      <c r="CX195" s="177"/>
      <c r="CY195" s="177"/>
      <c r="CZ195" s="177"/>
      <c r="DA195" s="177"/>
      <c r="DB195" s="177"/>
      <c r="DC195" s="177"/>
    </row>
    <row r="196" spans="1:107" x14ac:dyDescent="0.25">
      <c r="A196" s="176">
        <f t="shared" si="166"/>
        <v>46873</v>
      </c>
      <c r="B196" s="177"/>
      <c r="C196" s="177"/>
      <c r="D196" s="177"/>
      <c r="E196" s="177"/>
      <c r="F196" s="177"/>
      <c r="G196" s="177"/>
      <c r="H196" s="183">
        <f t="shared" si="287"/>
        <v>94118.640000000014</v>
      </c>
      <c r="I196" s="183">
        <f t="shared" si="288"/>
        <v>54451.940400000014</v>
      </c>
      <c r="J196" s="183">
        <f t="shared" si="289"/>
        <v>7883.3736000000017</v>
      </c>
      <c r="K196" s="183">
        <f t="shared" si="290"/>
        <v>156453.95400000003</v>
      </c>
      <c r="L196" s="177"/>
      <c r="M196" s="177"/>
      <c r="N196" s="181">
        <v>0.1</v>
      </c>
      <c r="O196" s="181">
        <v>0.14000000000000001</v>
      </c>
      <c r="P196" s="181">
        <v>0.14000000000000001</v>
      </c>
      <c r="Q196" s="181">
        <f t="shared" si="291"/>
        <v>0.11559587143697536</v>
      </c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  <c r="AE196" s="177"/>
      <c r="AF196" s="177"/>
      <c r="AG196" s="177"/>
      <c r="AH196" s="177"/>
      <c r="AI196" s="177"/>
      <c r="AJ196" s="177"/>
      <c r="AK196" s="177"/>
      <c r="AL196" s="177"/>
      <c r="AM196" s="177"/>
      <c r="AN196" s="177"/>
      <c r="AO196" s="177"/>
      <c r="AP196" s="177"/>
      <c r="AQ196" s="177"/>
      <c r="AR196" s="177"/>
      <c r="AS196" s="177"/>
      <c r="AT196" s="177"/>
      <c r="AU196" s="177"/>
      <c r="AV196" s="177"/>
      <c r="AW196" s="177"/>
      <c r="AX196" s="177"/>
      <c r="AY196" s="177"/>
      <c r="AZ196" s="177"/>
      <c r="BA196" s="177"/>
      <c r="BB196" s="177"/>
      <c r="BC196" s="177"/>
      <c r="BD196" s="177"/>
      <c r="BE196" s="177"/>
      <c r="BF196" s="177"/>
      <c r="BG196" s="177"/>
      <c r="BH196" s="177"/>
      <c r="BI196" s="177"/>
      <c r="BJ196" s="177"/>
      <c r="BK196" s="177"/>
      <c r="BL196" s="177"/>
      <c r="BM196" s="177"/>
      <c r="BN196" s="177"/>
      <c r="BO196" s="177"/>
      <c r="BP196" s="177"/>
      <c r="BQ196" s="177"/>
      <c r="BR196" s="177"/>
      <c r="BS196" s="177"/>
      <c r="BT196" s="177"/>
      <c r="BU196" s="177"/>
      <c r="BV196" s="177"/>
      <c r="BW196" s="177"/>
      <c r="BX196" s="177"/>
      <c r="BY196" s="177"/>
      <c r="BZ196" s="177"/>
      <c r="CA196" s="177"/>
      <c r="CB196" s="177"/>
      <c r="CC196" s="177"/>
      <c r="CD196" s="177"/>
      <c r="CE196" s="177"/>
      <c r="CF196" s="177"/>
      <c r="CG196" s="177"/>
      <c r="CH196" s="177"/>
      <c r="CI196" s="177"/>
      <c r="CJ196" s="177"/>
      <c r="CK196" s="177"/>
      <c r="CL196" s="177"/>
      <c r="CM196" s="177"/>
      <c r="CN196" s="177"/>
      <c r="CO196" s="177"/>
      <c r="CP196" s="177"/>
      <c r="CQ196" s="177"/>
      <c r="CR196" s="177"/>
      <c r="CS196" s="177"/>
      <c r="CT196" s="177"/>
      <c r="CU196" s="177"/>
      <c r="CV196" s="177"/>
      <c r="CW196" s="177"/>
      <c r="CX196" s="177"/>
      <c r="CY196" s="177"/>
      <c r="CZ196" s="177"/>
      <c r="DA196" s="177"/>
      <c r="DB196" s="177"/>
      <c r="DC196" s="177"/>
    </row>
    <row r="197" spans="1:107" x14ac:dyDescent="0.25">
      <c r="A197" s="176">
        <f t="shared" si="166"/>
        <v>46904</v>
      </c>
      <c r="B197" s="177"/>
      <c r="C197" s="177"/>
      <c r="D197" s="177"/>
      <c r="E197" s="177"/>
      <c r="F197" s="177"/>
      <c r="G197" s="177"/>
      <c r="H197" s="183">
        <f t="shared" si="287"/>
        <v>84778.650000000009</v>
      </c>
      <c r="I197" s="183">
        <f t="shared" si="288"/>
        <v>51345.896400000005</v>
      </c>
      <c r="J197" s="183">
        <f t="shared" si="289"/>
        <v>7908.0660000000016</v>
      </c>
      <c r="K197" s="183">
        <f t="shared" si="290"/>
        <v>144032.61240000001</v>
      </c>
      <c r="L197" s="177"/>
      <c r="M197" s="177"/>
      <c r="N197" s="181">
        <v>0.1</v>
      </c>
      <c r="O197" s="181">
        <v>0.14000000000000001</v>
      </c>
      <c r="P197" s="181">
        <v>0.14000000000000001</v>
      </c>
      <c r="Q197" s="181">
        <f t="shared" si="291"/>
        <v>0.11611087166654821</v>
      </c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77"/>
      <c r="AD197" s="177"/>
      <c r="AE197" s="177"/>
      <c r="AF197" s="177"/>
      <c r="AG197" s="177"/>
      <c r="AH197" s="177"/>
      <c r="AI197" s="177"/>
      <c r="AJ197" s="177"/>
      <c r="AK197" s="177"/>
      <c r="AL197" s="177"/>
      <c r="AM197" s="177"/>
      <c r="AN197" s="177"/>
      <c r="AO197" s="177"/>
      <c r="AP197" s="177"/>
      <c r="AQ197" s="177"/>
      <c r="AR197" s="177"/>
      <c r="AS197" s="177"/>
      <c r="AT197" s="177"/>
      <c r="AU197" s="177"/>
      <c r="AV197" s="177"/>
      <c r="AW197" s="177"/>
      <c r="AX197" s="177"/>
      <c r="AY197" s="177"/>
      <c r="AZ197" s="177"/>
      <c r="BA197" s="177"/>
      <c r="BB197" s="177"/>
      <c r="BC197" s="177"/>
      <c r="BD197" s="177"/>
      <c r="BE197" s="177"/>
      <c r="BF197" s="177"/>
      <c r="BG197" s="177"/>
      <c r="BH197" s="177"/>
      <c r="BI197" s="177"/>
      <c r="BJ197" s="177"/>
      <c r="BK197" s="177"/>
      <c r="BL197" s="177"/>
      <c r="BM197" s="177"/>
      <c r="BN197" s="177"/>
      <c r="BO197" s="177"/>
      <c r="BP197" s="177"/>
      <c r="BQ197" s="177"/>
      <c r="BR197" s="177"/>
      <c r="BS197" s="177"/>
      <c r="BT197" s="177"/>
      <c r="BU197" s="177"/>
      <c r="BV197" s="177"/>
      <c r="BW197" s="177"/>
      <c r="BX197" s="177"/>
      <c r="BY197" s="177"/>
      <c r="BZ197" s="177"/>
      <c r="CA197" s="177"/>
      <c r="CB197" s="177"/>
      <c r="CC197" s="177"/>
      <c r="CD197" s="177"/>
      <c r="CE197" s="177"/>
      <c r="CF197" s="177"/>
      <c r="CG197" s="177"/>
      <c r="CH197" s="177"/>
      <c r="CI197" s="177"/>
      <c r="CJ197" s="177"/>
      <c r="CK197" s="177"/>
      <c r="CL197" s="177"/>
      <c r="CM197" s="177"/>
      <c r="CN197" s="177"/>
      <c r="CO197" s="177"/>
      <c r="CP197" s="177"/>
      <c r="CQ197" s="177"/>
      <c r="CR197" s="177"/>
      <c r="CS197" s="177"/>
      <c r="CT197" s="177"/>
      <c r="CU197" s="177"/>
      <c r="CV197" s="177"/>
      <c r="CW197" s="177"/>
      <c r="CX197" s="177"/>
      <c r="CY197" s="177"/>
      <c r="CZ197" s="177"/>
      <c r="DA197" s="177"/>
      <c r="DB197" s="177"/>
      <c r="DC197" s="177"/>
    </row>
    <row r="198" spans="1:107" x14ac:dyDescent="0.25">
      <c r="A198" s="176">
        <f t="shared" ref="A198:A209" si="292">+EOMONTH(A197,1)</f>
        <v>46934</v>
      </c>
      <c r="B198" s="177"/>
      <c r="C198" s="177"/>
      <c r="D198" s="177"/>
      <c r="E198" s="177"/>
      <c r="F198" s="177"/>
      <c r="G198" s="177"/>
      <c r="H198" s="183">
        <f t="shared" si="287"/>
        <v>68308.251000000018</v>
      </c>
      <c r="I198" s="183">
        <f t="shared" si="288"/>
        <v>41855.099544000019</v>
      </c>
      <c r="J198" s="183">
        <f t="shared" si="289"/>
        <v>8939.6364960000028</v>
      </c>
      <c r="K198" s="183">
        <f t="shared" si="290"/>
        <v>119102.98704000005</v>
      </c>
      <c r="L198" s="177"/>
      <c r="M198" s="177"/>
      <c r="N198" s="181">
        <v>0.1</v>
      </c>
      <c r="O198" s="181">
        <v>0.14000000000000001</v>
      </c>
      <c r="P198" s="181">
        <v>0.14000000000000001</v>
      </c>
      <c r="Q198" s="181">
        <f t="shared" si="291"/>
        <v>0.11671059176526222</v>
      </c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77"/>
      <c r="AT198" s="177"/>
      <c r="AU198" s="177"/>
      <c r="AV198" s="177"/>
      <c r="AW198" s="177"/>
      <c r="AX198" s="177"/>
      <c r="AY198" s="177"/>
      <c r="AZ198" s="177"/>
      <c r="BA198" s="177"/>
      <c r="BB198" s="177"/>
      <c r="BC198" s="177"/>
      <c r="BD198" s="177"/>
      <c r="BE198" s="177"/>
      <c r="BF198" s="177"/>
      <c r="BG198" s="177"/>
      <c r="BH198" s="177"/>
      <c r="BI198" s="177"/>
      <c r="BJ198" s="177"/>
      <c r="BK198" s="177"/>
      <c r="BL198" s="177"/>
      <c r="BM198" s="177"/>
      <c r="BN198" s="177"/>
      <c r="BO198" s="177"/>
      <c r="BP198" s="177"/>
      <c r="BQ198" s="177"/>
      <c r="BR198" s="177"/>
      <c r="BS198" s="177"/>
      <c r="BT198" s="177"/>
      <c r="BU198" s="177"/>
      <c r="BV198" s="177"/>
      <c r="BW198" s="177"/>
      <c r="BX198" s="177"/>
      <c r="BY198" s="177"/>
      <c r="BZ198" s="177"/>
      <c r="CA198" s="177"/>
      <c r="CB198" s="177"/>
      <c r="CC198" s="177"/>
      <c r="CD198" s="177"/>
      <c r="CE198" s="177"/>
      <c r="CF198" s="177"/>
      <c r="CG198" s="177"/>
      <c r="CH198" s="177"/>
      <c r="CI198" s="177"/>
      <c r="CJ198" s="177"/>
      <c r="CK198" s="177"/>
      <c r="CL198" s="177"/>
      <c r="CM198" s="177"/>
      <c r="CN198" s="177"/>
      <c r="CO198" s="177"/>
      <c r="CP198" s="177"/>
      <c r="CQ198" s="177"/>
      <c r="CR198" s="177"/>
      <c r="CS198" s="177"/>
      <c r="CT198" s="177"/>
      <c r="CU198" s="177"/>
      <c r="CV198" s="177"/>
      <c r="CW198" s="177"/>
      <c r="CX198" s="177"/>
      <c r="CY198" s="177"/>
      <c r="CZ198" s="177"/>
      <c r="DA198" s="177"/>
      <c r="DB198" s="177"/>
      <c r="DC198" s="177"/>
    </row>
    <row r="199" spans="1:107" x14ac:dyDescent="0.25">
      <c r="A199" s="176">
        <f t="shared" si="292"/>
        <v>46965</v>
      </c>
      <c r="B199" s="177"/>
      <c r="C199" s="177"/>
      <c r="D199" s="177"/>
      <c r="E199" s="177"/>
      <c r="F199" s="177"/>
      <c r="G199" s="177"/>
      <c r="H199" s="183">
        <f t="shared" si="287"/>
        <v>68200.440000000017</v>
      </c>
      <c r="I199" s="183">
        <f t="shared" si="288"/>
        <v>42964.776000000005</v>
      </c>
      <c r="J199" s="183">
        <f t="shared" si="289"/>
        <v>10520.443944000004</v>
      </c>
      <c r="K199" s="183">
        <f t="shared" si="290"/>
        <v>121685.65994400001</v>
      </c>
      <c r="L199" s="177"/>
      <c r="M199" s="177"/>
      <c r="N199" s="181">
        <v>0.1</v>
      </c>
      <c r="O199" s="181">
        <v>0.14000000000000001</v>
      </c>
      <c r="P199" s="181">
        <v>0.14000000000000001</v>
      </c>
      <c r="Q199" s="181">
        <f t="shared" si="291"/>
        <v>0.11723027544846532</v>
      </c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177"/>
      <c r="AK199" s="177"/>
      <c r="AL199" s="177"/>
      <c r="AM199" s="177"/>
      <c r="AN199" s="177"/>
      <c r="AO199" s="177"/>
      <c r="AP199" s="177"/>
      <c r="AQ199" s="177"/>
      <c r="AR199" s="177"/>
      <c r="AS199" s="177"/>
      <c r="AT199" s="177"/>
      <c r="AU199" s="177"/>
      <c r="AV199" s="177"/>
      <c r="AW199" s="177"/>
      <c r="AX199" s="177"/>
      <c r="AY199" s="177"/>
      <c r="AZ199" s="177"/>
      <c r="BA199" s="177"/>
      <c r="BB199" s="177"/>
      <c r="BC199" s="177"/>
      <c r="BD199" s="177"/>
      <c r="BE199" s="177"/>
      <c r="BF199" s="177"/>
      <c r="BG199" s="177"/>
      <c r="BH199" s="177"/>
      <c r="BI199" s="177"/>
      <c r="BJ199" s="177"/>
      <c r="BK199" s="177"/>
      <c r="BL199" s="177"/>
      <c r="BM199" s="177"/>
      <c r="BN199" s="177"/>
      <c r="BO199" s="177"/>
      <c r="BP199" s="177"/>
      <c r="BQ199" s="177"/>
      <c r="BR199" s="177"/>
      <c r="BS199" s="177"/>
      <c r="BT199" s="177"/>
      <c r="BU199" s="177"/>
      <c r="BV199" s="177"/>
      <c r="BW199" s="177"/>
      <c r="BX199" s="177"/>
      <c r="BY199" s="177"/>
      <c r="BZ199" s="177"/>
      <c r="CA199" s="177"/>
      <c r="CB199" s="177"/>
      <c r="CC199" s="177"/>
      <c r="CD199" s="177"/>
      <c r="CE199" s="177"/>
      <c r="CF199" s="177"/>
      <c r="CG199" s="177"/>
      <c r="CH199" s="177"/>
      <c r="CI199" s="177"/>
      <c r="CJ199" s="177"/>
      <c r="CK199" s="177"/>
      <c r="CL199" s="177"/>
      <c r="CM199" s="177"/>
      <c r="CN199" s="177"/>
      <c r="CO199" s="177"/>
      <c r="CP199" s="177"/>
      <c r="CQ199" s="177"/>
      <c r="CR199" s="177"/>
      <c r="CS199" s="177"/>
      <c r="CT199" s="177"/>
      <c r="CU199" s="177"/>
      <c r="CV199" s="177"/>
      <c r="CW199" s="177"/>
      <c r="CX199" s="177"/>
      <c r="CY199" s="177"/>
      <c r="CZ199" s="177"/>
      <c r="DA199" s="177"/>
      <c r="DB199" s="177"/>
      <c r="DC199" s="177"/>
    </row>
    <row r="200" spans="1:107" x14ac:dyDescent="0.25">
      <c r="A200" s="176">
        <f t="shared" si="292"/>
        <v>46996</v>
      </c>
      <c r="B200" s="177"/>
      <c r="C200" s="177"/>
      <c r="D200" s="177"/>
      <c r="E200" s="177"/>
      <c r="F200" s="177"/>
      <c r="G200" s="177"/>
      <c r="H200" s="183">
        <f t="shared" si="287"/>
        <v>68108.601000000024</v>
      </c>
      <c r="I200" s="183">
        <f t="shared" si="288"/>
        <v>45450.806832000017</v>
      </c>
      <c r="J200" s="183">
        <f t="shared" si="289"/>
        <v>10678.969152000003</v>
      </c>
      <c r="K200" s="183">
        <f t="shared" si="290"/>
        <v>124238.37698400005</v>
      </c>
      <c r="L200" s="177"/>
      <c r="M200" s="177"/>
      <c r="N200" s="181">
        <v>0.1</v>
      </c>
      <c r="O200" s="181">
        <v>0.14000000000000001</v>
      </c>
      <c r="P200" s="181">
        <v>0.14000000000000001</v>
      </c>
      <c r="Q200" s="181">
        <f t="shared" si="291"/>
        <v>0.11771842397095589</v>
      </c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  <c r="AC200" s="177"/>
      <c r="AD200" s="177"/>
      <c r="AE200" s="177"/>
      <c r="AF200" s="177"/>
      <c r="AG200" s="177"/>
      <c r="AH200" s="177"/>
      <c r="AI200" s="177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77"/>
      <c r="AT200" s="177"/>
      <c r="AU200" s="177"/>
      <c r="AV200" s="177"/>
      <c r="AW200" s="177"/>
      <c r="AX200" s="177"/>
      <c r="AY200" s="177"/>
      <c r="AZ200" s="177"/>
      <c r="BA200" s="177"/>
      <c r="BB200" s="177"/>
      <c r="BC200" s="177"/>
      <c r="BD200" s="177"/>
      <c r="BE200" s="177"/>
      <c r="BF200" s="177"/>
      <c r="BG200" s="177"/>
      <c r="BH200" s="177"/>
      <c r="BI200" s="177"/>
      <c r="BJ200" s="177"/>
      <c r="BK200" s="177"/>
      <c r="BL200" s="177"/>
      <c r="BM200" s="177"/>
      <c r="BN200" s="177"/>
      <c r="BO200" s="177"/>
      <c r="BP200" s="177"/>
      <c r="BQ200" s="177"/>
      <c r="BR200" s="177"/>
      <c r="BS200" s="177"/>
      <c r="BT200" s="177"/>
      <c r="BU200" s="177"/>
      <c r="BV200" s="177"/>
      <c r="BW200" s="177"/>
      <c r="BX200" s="177"/>
      <c r="BY200" s="177"/>
      <c r="BZ200" s="177"/>
      <c r="CA200" s="177"/>
      <c r="CB200" s="177"/>
      <c r="CC200" s="177"/>
      <c r="CD200" s="177"/>
      <c r="CE200" s="177"/>
      <c r="CF200" s="177"/>
      <c r="CG200" s="177"/>
      <c r="CH200" s="177"/>
      <c r="CI200" s="177"/>
      <c r="CJ200" s="177"/>
      <c r="CK200" s="177"/>
      <c r="CL200" s="177"/>
      <c r="CM200" s="177"/>
      <c r="CN200" s="177"/>
      <c r="CO200" s="177"/>
      <c r="CP200" s="177"/>
      <c r="CQ200" s="177"/>
      <c r="CR200" s="177"/>
      <c r="CS200" s="177"/>
      <c r="CT200" s="177"/>
      <c r="CU200" s="177"/>
      <c r="CV200" s="177"/>
      <c r="CW200" s="177"/>
      <c r="CX200" s="177"/>
      <c r="CY200" s="177"/>
      <c r="CZ200" s="177"/>
      <c r="DA200" s="177"/>
      <c r="DB200" s="177"/>
      <c r="DC200" s="177"/>
    </row>
    <row r="201" spans="1:107" x14ac:dyDescent="0.25">
      <c r="A201" s="176">
        <f t="shared" si="292"/>
        <v>47026</v>
      </c>
      <c r="B201" s="177"/>
      <c r="C201" s="177"/>
      <c r="D201" s="177"/>
      <c r="E201" s="177"/>
      <c r="F201" s="177"/>
      <c r="G201" s="177"/>
      <c r="H201" s="183">
        <f t="shared" si="287"/>
        <v>69649.899000000005</v>
      </c>
      <c r="I201" s="183">
        <f t="shared" si="288"/>
        <v>51456.986208000017</v>
      </c>
      <c r="J201" s="183">
        <f t="shared" si="289"/>
        <v>11289.365280000005</v>
      </c>
      <c r="K201" s="183">
        <f t="shared" si="290"/>
        <v>132396.25048800002</v>
      </c>
      <c r="L201" s="177"/>
      <c r="M201" s="177"/>
      <c r="N201" s="181">
        <v>0.1</v>
      </c>
      <c r="O201" s="181">
        <v>0.14000000000000001</v>
      </c>
      <c r="P201" s="181">
        <v>0.14000000000000001</v>
      </c>
      <c r="Q201" s="181">
        <f t="shared" si="291"/>
        <v>0.11860129802723529</v>
      </c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  <c r="AB201" s="177"/>
      <c r="AC201" s="177"/>
      <c r="AD201" s="177"/>
      <c r="AE201" s="177"/>
      <c r="AF201" s="177"/>
      <c r="AG201" s="177"/>
      <c r="AH201" s="177"/>
      <c r="AI201" s="177"/>
      <c r="AJ201" s="177"/>
      <c r="AK201" s="177"/>
      <c r="AL201" s="177"/>
      <c r="AM201" s="177"/>
      <c r="AN201" s="177"/>
      <c r="AO201" s="177"/>
      <c r="AP201" s="177"/>
      <c r="AQ201" s="177"/>
      <c r="AR201" s="177"/>
      <c r="AS201" s="177"/>
      <c r="AT201" s="177"/>
      <c r="AU201" s="177"/>
      <c r="AV201" s="177"/>
      <c r="AW201" s="177"/>
      <c r="AX201" s="177"/>
      <c r="AY201" s="177"/>
      <c r="AZ201" s="177"/>
      <c r="BA201" s="177"/>
      <c r="BB201" s="177"/>
      <c r="BC201" s="177"/>
      <c r="BD201" s="177"/>
      <c r="BE201" s="177"/>
      <c r="BF201" s="177"/>
      <c r="BG201" s="177"/>
      <c r="BH201" s="177"/>
      <c r="BI201" s="177"/>
      <c r="BJ201" s="177"/>
      <c r="BK201" s="177"/>
      <c r="BL201" s="177"/>
      <c r="BM201" s="177"/>
      <c r="BN201" s="177"/>
      <c r="BO201" s="177"/>
      <c r="BP201" s="177"/>
      <c r="BQ201" s="177"/>
      <c r="BR201" s="177"/>
      <c r="BS201" s="177"/>
      <c r="BT201" s="177"/>
      <c r="BU201" s="177"/>
      <c r="BV201" s="177"/>
      <c r="BW201" s="177"/>
      <c r="BX201" s="177"/>
      <c r="BY201" s="177"/>
      <c r="BZ201" s="177"/>
      <c r="CA201" s="177"/>
      <c r="CB201" s="177"/>
      <c r="CC201" s="177"/>
      <c r="CD201" s="177"/>
      <c r="CE201" s="177"/>
      <c r="CF201" s="177"/>
      <c r="CG201" s="177"/>
      <c r="CH201" s="177"/>
      <c r="CI201" s="177"/>
      <c r="CJ201" s="177"/>
      <c r="CK201" s="177"/>
      <c r="CL201" s="177"/>
      <c r="CM201" s="177"/>
      <c r="CN201" s="177"/>
      <c r="CO201" s="177"/>
      <c r="CP201" s="177"/>
      <c r="CQ201" s="177"/>
      <c r="CR201" s="177"/>
      <c r="CS201" s="177"/>
      <c r="CT201" s="177"/>
      <c r="CU201" s="177"/>
      <c r="CV201" s="177"/>
      <c r="CW201" s="177"/>
      <c r="CX201" s="177"/>
      <c r="CY201" s="177"/>
      <c r="CZ201" s="177"/>
      <c r="DA201" s="177"/>
      <c r="DB201" s="177"/>
      <c r="DC201" s="177"/>
    </row>
    <row r="202" spans="1:107" x14ac:dyDescent="0.25">
      <c r="A202" s="176">
        <f t="shared" si="292"/>
        <v>47057</v>
      </c>
      <c r="B202" s="177"/>
      <c r="C202" s="177"/>
      <c r="D202" s="177"/>
      <c r="E202" s="177"/>
      <c r="F202" s="177"/>
      <c r="G202" s="177"/>
      <c r="H202" s="183">
        <f t="shared" si="287"/>
        <v>74358.977000000014</v>
      </c>
      <c r="I202" s="183">
        <f t="shared" si="288"/>
        <v>59069.159280000022</v>
      </c>
      <c r="J202" s="183">
        <f t="shared" si="289"/>
        <v>11138.247792000004</v>
      </c>
      <c r="K202" s="183">
        <f t="shared" si="290"/>
        <v>144566.38407200004</v>
      </c>
      <c r="L202" s="177"/>
      <c r="M202" s="177"/>
      <c r="N202" s="181">
        <v>0.1</v>
      </c>
      <c r="O202" s="181">
        <v>0.14000000000000001</v>
      </c>
      <c r="P202" s="181">
        <v>0.14000000000000001</v>
      </c>
      <c r="Q202" s="181">
        <f t="shared" si="291"/>
        <v>0.11906898668012822</v>
      </c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/>
      <c r="AT202" s="177"/>
      <c r="AU202" s="177"/>
      <c r="AV202" s="177"/>
      <c r="AW202" s="177"/>
      <c r="AX202" s="177"/>
      <c r="AY202" s="177"/>
      <c r="AZ202" s="177"/>
      <c r="BA202" s="177"/>
      <c r="BB202" s="177"/>
      <c r="BC202" s="177"/>
      <c r="BD202" s="177"/>
      <c r="BE202" s="177"/>
      <c r="BF202" s="177"/>
      <c r="BG202" s="177"/>
      <c r="BH202" s="177"/>
      <c r="BI202" s="177"/>
      <c r="BJ202" s="177"/>
      <c r="BK202" s="177"/>
      <c r="BL202" s="177"/>
      <c r="BM202" s="177"/>
      <c r="BN202" s="177"/>
      <c r="BO202" s="177"/>
      <c r="BP202" s="177"/>
      <c r="BQ202" s="177"/>
      <c r="BR202" s="177"/>
      <c r="BS202" s="177"/>
      <c r="BT202" s="177"/>
      <c r="BU202" s="177"/>
      <c r="BV202" s="177"/>
      <c r="BW202" s="177"/>
      <c r="BX202" s="177"/>
      <c r="BY202" s="177"/>
      <c r="BZ202" s="177"/>
      <c r="CA202" s="177"/>
      <c r="CB202" s="177"/>
      <c r="CC202" s="177"/>
      <c r="CD202" s="177"/>
      <c r="CE202" s="177"/>
      <c r="CF202" s="177"/>
      <c r="CG202" s="177"/>
      <c r="CH202" s="177"/>
      <c r="CI202" s="177"/>
      <c r="CJ202" s="177"/>
      <c r="CK202" s="177"/>
      <c r="CL202" s="177"/>
      <c r="CM202" s="177"/>
      <c r="CN202" s="177"/>
      <c r="CO202" s="177"/>
      <c r="CP202" s="177"/>
      <c r="CQ202" s="177"/>
      <c r="CR202" s="177"/>
      <c r="CS202" s="177"/>
      <c r="CT202" s="177"/>
      <c r="CU202" s="177"/>
      <c r="CV202" s="177"/>
      <c r="CW202" s="177"/>
      <c r="CX202" s="177"/>
      <c r="CY202" s="177"/>
      <c r="CZ202" s="177"/>
      <c r="DA202" s="177"/>
      <c r="DB202" s="177"/>
      <c r="DC202" s="177"/>
    </row>
    <row r="203" spans="1:107" x14ac:dyDescent="0.25">
      <c r="A203" s="176">
        <f t="shared" si="292"/>
        <v>47087</v>
      </c>
      <c r="B203" s="177"/>
      <c r="C203" s="177"/>
      <c r="D203" s="177"/>
      <c r="E203" s="177"/>
      <c r="F203" s="177"/>
      <c r="G203" s="177"/>
      <c r="H203" s="183">
        <f t="shared" si="287"/>
        <v>77935.374000000025</v>
      </c>
      <c r="I203" s="183">
        <f t="shared" si="288"/>
        <v>62898.95052000002</v>
      </c>
      <c r="J203" s="183">
        <f t="shared" si="289"/>
        <v>10221.172056000003</v>
      </c>
      <c r="K203" s="183">
        <f t="shared" si="290"/>
        <v>151055.49657600006</v>
      </c>
      <c r="L203" s="177"/>
      <c r="M203" s="177"/>
      <c r="N203" s="181">
        <v>0.1</v>
      </c>
      <c r="O203" s="181">
        <v>0.14000000000000001</v>
      </c>
      <c r="P203" s="181">
        <v>0.14000000000000001</v>
      </c>
      <c r="Q203" s="181">
        <f t="shared" si="291"/>
        <v>0.11900587570715504</v>
      </c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77"/>
      <c r="AT203" s="177"/>
      <c r="AU203" s="177"/>
      <c r="AV203" s="177"/>
      <c r="AW203" s="177"/>
      <c r="AX203" s="177"/>
      <c r="AY203" s="177"/>
      <c r="AZ203" s="177"/>
      <c r="BA203" s="177"/>
      <c r="BB203" s="177"/>
      <c r="BC203" s="177"/>
      <c r="BD203" s="177"/>
      <c r="BE203" s="177"/>
      <c r="BF203" s="177"/>
      <c r="BG203" s="177"/>
      <c r="BH203" s="177"/>
      <c r="BI203" s="177"/>
      <c r="BJ203" s="177"/>
      <c r="BK203" s="177"/>
      <c r="BL203" s="177"/>
      <c r="BM203" s="177"/>
      <c r="BN203" s="177"/>
      <c r="BO203" s="177"/>
      <c r="BP203" s="177"/>
      <c r="BQ203" s="177"/>
      <c r="BR203" s="177"/>
      <c r="BS203" s="177"/>
      <c r="BT203" s="177"/>
      <c r="BU203" s="177"/>
      <c r="BV203" s="177"/>
      <c r="BW203" s="177"/>
      <c r="BX203" s="177"/>
      <c r="BY203" s="177"/>
      <c r="BZ203" s="177"/>
      <c r="CA203" s="177"/>
      <c r="CB203" s="177"/>
      <c r="CC203" s="177"/>
      <c r="CD203" s="177"/>
      <c r="CE203" s="177"/>
      <c r="CF203" s="177"/>
      <c r="CG203" s="177"/>
      <c r="CH203" s="177"/>
      <c r="CI203" s="177"/>
      <c r="CJ203" s="177"/>
      <c r="CK203" s="177"/>
      <c r="CL203" s="177"/>
      <c r="CM203" s="177"/>
      <c r="CN203" s="177"/>
      <c r="CO203" s="177"/>
      <c r="CP203" s="177"/>
      <c r="CQ203" s="177"/>
      <c r="CR203" s="177"/>
      <c r="CS203" s="177"/>
      <c r="CT203" s="177"/>
      <c r="CU203" s="177"/>
      <c r="CV203" s="177"/>
      <c r="CW203" s="177"/>
      <c r="CX203" s="177"/>
      <c r="CY203" s="177"/>
      <c r="CZ203" s="177"/>
      <c r="DA203" s="177"/>
      <c r="DB203" s="177"/>
      <c r="DC203" s="177"/>
    </row>
    <row r="204" spans="1:107" x14ac:dyDescent="0.25">
      <c r="A204" s="176">
        <f t="shared" si="292"/>
        <v>47118</v>
      </c>
      <c r="B204" s="177"/>
      <c r="C204" s="177"/>
      <c r="D204" s="177"/>
      <c r="E204" s="177"/>
      <c r="F204" s="177"/>
      <c r="G204" s="177"/>
      <c r="H204" s="183">
        <f t="shared" si="287"/>
        <v>85350.375</v>
      </c>
      <c r="I204" s="183">
        <f t="shared" si="288"/>
        <v>64881.256392000025</v>
      </c>
      <c r="J204" s="183">
        <f t="shared" si="289"/>
        <v>9831.5259840000035</v>
      </c>
      <c r="K204" s="183">
        <f t="shared" si="290"/>
        <v>160063.15737600002</v>
      </c>
      <c r="L204" s="177"/>
      <c r="M204" s="177"/>
      <c r="N204" s="181">
        <v>0.1</v>
      </c>
      <c r="O204" s="181">
        <v>0.14000000000000001</v>
      </c>
      <c r="P204" s="181">
        <v>0.14000000000000001</v>
      </c>
      <c r="Q204" s="181">
        <f t="shared" si="291"/>
        <v>0.11831568162116035</v>
      </c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  <c r="AC204" s="177"/>
      <c r="AD204" s="177"/>
      <c r="AE204" s="177"/>
      <c r="AF204" s="177"/>
      <c r="AG204" s="177"/>
      <c r="AH204" s="177"/>
      <c r="AI204" s="177"/>
      <c r="AJ204" s="177"/>
      <c r="AK204" s="177"/>
      <c r="AL204" s="177"/>
      <c r="AM204" s="177"/>
      <c r="AN204" s="177"/>
      <c r="AO204" s="177"/>
      <c r="AP204" s="177"/>
      <c r="AQ204" s="177"/>
      <c r="AR204" s="177"/>
      <c r="AS204" s="177"/>
      <c r="AT204" s="177"/>
      <c r="AU204" s="177"/>
      <c r="AV204" s="177"/>
      <c r="AW204" s="177"/>
      <c r="AX204" s="177"/>
      <c r="AY204" s="177"/>
      <c r="AZ204" s="177"/>
      <c r="BA204" s="177"/>
      <c r="BB204" s="177"/>
      <c r="BC204" s="177"/>
      <c r="BD204" s="177"/>
      <c r="BE204" s="177"/>
      <c r="BF204" s="177"/>
      <c r="BG204" s="177"/>
      <c r="BH204" s="177"/>
      <c r="BI204" s="177"/>
      <c r="BJ204" s="177"/>
      <c r="BK204" s="177"/>
      <c r="BL204" s="177"/>
      <c r="BM204" s="177"/>
      <c r="BN204" s="177"/>
      <c r="BO204" s="177"/>
      <c r="BP204" s="177"/>
      <c r="BQ204" s="177"/>
      <c r="BR204" s="177"/>
      <c r="BS204" s="177"/>
      <c r="BT204" s="177"/>
      <c r="BU204" s="177"/>
      <c r="BV204" s="177"/>
      <c r="BW204" s="177"/>
      <c r="BX204" s="177"/>
      <c r="BY204" s="177"/>
      <c r="BZ204" s="177"/>
      <c r="CA204" s="177"/>
      <c r="CB204" s="177"/>
      <c r="CC204" s="177"/>
      <c r="CD204" s="177"/>
      <c r="CE204" s="177"/>
      <c r="CF204" s="177"/>
      <c r="CG204" s="177"/>
      <c r="CH204" s="177"/>
      <c r="CI204" s="177"/>
      <c r="CJ204" s="177"/>
      <c r="CK204" s="177"/>
      <c r="CL204" s="177"/>
      <c r="CM204" s="177"/>
      <c r="CN204" s="177"/>
      <c r="CO204" s="177"/>
      <c r="CP204" s="177"/>
      <c r="CQ204" s="177"/>
      <c r="CR204" s="177"/>
      <c r="CS204" s="177"/>
      <c r="CT204" s="177"/>
      <c r="CU204" s="177"/>
      <c r="CV204" s="177"/>
      <c r="CW204" s="177"/>
      <c r="CX204" s="177"/>
      <c r="CY204" s="177"/>
      <c r="CZ204" s="177"/>
      <c r="DA204" s="177"/>
      <c r="DB204" s="177"/>
      <c r="DC204" s="177"/>
    </row>
    <row r="205" spans="1:107" x14ac:dyDescent="0.25">
      <c r="A205" s="176">
        <f t="shared" si="292"/>
        <v>47149</v>
      </c>
      <c r="B205" s="177"/>
      <c r="C205" s="177"/>
      <c r="D205" s="177"/>
      <c r="E205" s="177"/>
      <c r="F205" s="177"/>
      <c r="G205" s="177"/>
      <c r="H205" s="183">
        <f t="shared" si="287"/>
        <v>90985.829000000027</v>
      </c>
      <c r="I205" s="183">
        <f t="shared" si="288"/>
        <v>64143.447480000017</v>
      </c>
      <c r="J205" s="183">
        <f t="shared" si="289"/>
        <v>10250.802936000004</v>
      </c>
      <c r="K205" s="183">
        <f t="shared" si="290"/>
        <v>165380.07941600005</v>
      </c>
      <c r="L205" s="177"/>
      <c r="M205" s="177"/>
      <c r="N205" s="181">
        <v>0.1</v>
      </c>
      <c r="O205" s="181">
        <v>0.14000000000000001</v>
      </c>
      <c r="P205" s="181">
        <v>0.14000000000000001</v>
      </c>
      <c r="Q205" s="181">
        <f t="shared" si="291"/>
        <v>0.11764060550697852</v>
      </c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77"/>
      <c r="AD205" s="177"/>
      <c r="AE205" s="177"/>
      <c r="AF205" s="177"/>
      <c r="AG205" s="177"/>
      <c r="AH205" s="177"/>
      <c r="AI205" s="177"/>
      <c r="AJ205" s="177"/>
      <c r="AK205" s="177"/>
      <c r="AL205" s="177"/>
      <c r="AM205" s="177"/>
      <c r="AN205" s="177"/>
      <c r="AO205" s="177"/>
      <c r="AP205" s="177"/>
      <c r="AQ205" s="177"/>
      <c r="AR205" s="177"/>
      <c r="AS205" s="177"/>
      <c r="AT205" s="177"/>
      <c r="AU205" s="177"/>
      <c r="AV205" s="177"/>
      <c r="AW205" s="177"/>
      <c r="AX205" s="177"/>
      <c r="AY205" s="177"/>
      <c r="AZ205" s="177"/>
      <c r="BA205" s="177"/>
      <c r="BB205" s="177"/>
      <c r="BC205" s="177"/>
      <c r="BD205" s="177"/>
      <c r="BE205" s="177"/>
      <c r="BF205" s="177"/>
      <c r="BG205" s="177"/>
      <c r="BH205" s="177"/>
      <c r="BI205" s="177"/>
      <c r="BJ205" s="177"/>
      <c r="BK205" s="177"/>
      <c r="BL205" s="177"/>
      <c r="BM205" s="177"/>
      <c r="BN205" s="177"/>
      <c r="BO205" s="177"/>
      <c r="BP205" s="177"/>
      <c r="BQ205" s="177"/>
      <c r="BR205" s="177"/>
      <c r="BS205" s="177"/>
      <c r="BT205" s="177"/>
      <c r="BU205" s="177"/>
      <c r="BV205" s="177"/>
      <c r="BW205" s="177"/>
      <c r="BX205" s="177"/>
      <c r="BY205" s="177"/>
      <c r="BZ205" s="177"/>
      <c r="CA205" s="177"/>
      <c r="CB205" s="177"/>
      <c r="CC205" s="177"/>
      <c r="CD205" s="177"/>
      <c r="CE205" s="177"/>
      <c r="CF205" s="177"/>
      <c r="CG205" s="177"/>
      <c r="CH205" s="177"/>
      <c r="CI205" s="177"/>
      <c r="CJ205" s="177"/>
      <c r="CK205" s="177"/>
      <c r="CL205" s="177"/>
      <c r="CM205" s="177"/>
      <c r="CN205" s="177"/>
      <c r="CO205" s="177"/>
      <c r="CP205" s="177"/>
      <c r="CQ205" s="177"/>
      <c r="CR205" s="177"/>
      <c r="CS205" s="177"/>
      <c r="CT205" s="177"/>
      <c r="CU205" s="177"/>
      <c r="CV205" s="177"/>
      <c r="CW205" s="177"/>
      <c r="CX205" s="177"/>
      <c r="CY205" s="177"/>
      <c r="CZ205" s="177"/>
      <c r="DA205" s="177"/>
      <c r="DB205" s="177"/>
      <c r="DC205" s="177"/>
    </row>
    <row r="206" spans="1:107" x14ac:dyDescent="0.25">
      <c r="A206" s="176">
        <f t="shared" si="292"/>
        <v>47177</v>
      </c>
      <c r="B206" s="177"/>
      <c r="C206" s="177"/>
      <c r="D206" s="177"/>
      <c r="E206" s="177"/>
      <c r="F206" s="177"/>
      <c r="G206" s="177"/>
      <c r="H206" s="183">
        <f t="shared" si="287"/>
        <v>100646.22700000003</v>
      </c>
      <c r="I206" s="183">
        <f t="shared" si="288"/>
        <v>65450.169288000019</v>
      </c>
      <c r="J206" s="183">
        <f t="shared" si="289"/>
        <v>10671.561432000002</v>
      </c>
      <c r="K206" s="183">
        <f t="shared" si="290"/>
        <v>176767.95772000006</v>
      </c>
      <c r="L206" s="177"/>
      <c r="M206" s="177"/>
      <c r="N206" s="181">
        <v>0.1</v>
      </c>
      <c r="O206" s="181">
        <v>0.14000000000000001</v>
      </c>
      <c r="P206" s="181">
        <v>0.14000000000000001</v>
      </c>
      <c r="Q206" s="181">
        <f t="shared" si="291"/>
        <v>0.11687583001349022</v>
      </c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  <c r="AC206" s="177"/>
      <c r="AD206" s="177"/>
      <c r="AE206" s="177"/>
      <c r="AF206" s="177"/>
      <c r="AG206" s="177"/>
      <c r="AH206" s="177"/>
      <c r="AI206" s="177"/>
      <c r="AJ206" s="177"/>
      <c r="AK206" s="177"/>
      <c r="AL206" s="177"/>
      <c r="AM206" s="177"/>
      <c r="AN206" s="177"/>
      <c r="AO206" s="177"/>
      <c r="AP206" s="177"/>
      <c r="AQ206" s="177"/>
      <c r="AR206" s="177"/>
      <c r="AS206" s="177"/>
      <c r="AT206" s="177"/>
      <c r="AU206" s="177"/>
      <c r="AV206" s="177"/>
      <c r="AW206" s="177"/>
      <c r="AX206" s="177"/>
      <c r="AY206" s="177"/>
      <c r="AZ206" s="177"/>
      <c r="BA206" s="177"/>
      <c r="BB206" s="177"/>
      <c r="BC206" s="177"/>
      <c r="BD206" s="177"/>
      <c r="BE206" s="177"/>
      <c r="BF206" s="177"/>
      <c r="BG206" s="177"/>
      <c r="BH206" s="177"/>
      <c r="BI206" s="177"/>
      <c r="BJ206" s="177"/>
      <c r="BK206" s="177"/>
      <c r="BL206" s="177"/>
      <c r="BM206" s="177"/>
      <c r="BN206" s="177"/>
      <c r="BO206" s="177"/>
      <c r="BP206" s="177"/>
      <c r="BQ206" s="177"/>
      <c r="BR206" s="177"/>
      <c r="BS206" s="177"/>
      <c r="BT206" s="177"/>
      <c r="BU206" s="177"/>
      <c r="BV206" s="177"/>
      <c r="BW206" s="177"/>
      <c r="BX206" s="177"/>
      <c r="BY206" s="177"/>
      <c r="BZ206" s="177"/>
      <c r="CA206" s="177"/>
      <c r="CB206" s="177"/>
      <c r="CC206" s="177"/>
      <c r="CD206" s="177"/>
      <c r="CE206" s="177"/>
      <c r="CF206" s="177"/>
      <c r="CG206" s="177"/>
      <c r="CH206" s="177"/>
      <c r="CI206" s="177"/>
      <c r="CJ206" s="177"/>
      <c r="CK206" s="177"/>
      <c r="CL206" s="177"/>
      <c r="CM206" s="177"/>
      <c r="CN206" s="177"/>
      <c r="CO206" s="177"/>
      <c r="CP206" s="177"/>
      <c r="CQ206" s="177"/>
      <c r="CR206" s="177"/>
      <c r="CS206" s="177"/>
      <c r="CT206" s="177"/>
      <c r="CU206" s="177"/>
      <c r="CV206" s="177"/>
      <c r="CW206" s="177"/>
      <c r="CX206" s="177"/>
      <c r="CY206" s="177"/>
      <c r="CZ206" s="177"/>
      <c r="DA206" s="177"/>
      <c r="DB206" s="177"/>
      <c r="DC206" s="177"/>
    </row>
    <row r="207" spans="1:107" x14ac:dyDescent="0.25">
      <c r="A207" s="176">
        <f t="shared" si="292"/>
        <v>47208</v>
      </c>
      <c r="B207" s="177"/>
      <c r="C207" s="177"/>
      <c r="D207" s="177"/>
      <c r="E207" s="177"/>
      <c r="F207" s="177"/>
      <c r="G207" s="177"/>
      <c r="H207" s="183">
        <f t="shared" si="287"/>
        <v>109064.80200000004</v>
      </c>
      <c r="I207" s="183">
        <f t="shared" si="288"/>
        <v>64624.949280000023</v>
      </c>
      <c r="J207" s="183">
        <f t="shared" si="289"/>
        <v>10227.098232000004</v>
      </c>
      <c r="K207" s="183">
        <f t="shared" si="290"/>
        <v>183916.84951200004</v>
      </c>
      <c r="L207" s="177"/>
      <c r="M207" s="177"/>
      <c r="N207" s="181">
        <v>0.1</v>
      </c>
      <c r="O207" s="181">
        <v>0.14000000000000001</v>
      </c>
      <c r="P207" s="181">
        <v>0.14000000000000001</v>
      </c>
      <c r="Q207" s="181">
        <f t="shared" si="291"/>
        <v>0.11593589847607255</v>
      </c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7"/>
      <c r="AG207" s="177"/>
      <c r="AH207" s="177"/>
      <c r="AI207" s="177"/>
      <c r="AJ207" s="177"/>
      <c r="AK207" s="177"/>
      <c r="AL207" s="177"/>
      <c r="AM207" s="177"/>
      <c r="AN207" s="177"/>
      <c r="AO207" s="177"/>
      <c r="AP207" s="177"/>
      <c r="AQ207" s="177"/>
      <c r="AR207" s="177"/>
      <c r="AS207" s="177"/>
      <c r="AT207" s="177"/>
      <c r="AU207" s="177"/>
      <c r="AV207" s="177"/>
      <c r="AW207" s="177"/>
      <c r="AX207" s="177"/>
      <c r="AY207" s="177"/>
      <c r="AZ207" s="177"/>
      <c r="BA207" s="177"/>
      <c r="BB207" s="177"/>
      <c r="BC207" s="177"/>
      <c r="BD207" s="177"/>
      <c r="BE207" s="177"/>
      <c r="BF207" s="177"/>
      <c r="BG207" s="177"/>
      <c r="BH207" s="177"/>
      <c r="BI207" s="177"/>
      <c r="BJ207" s="177"/>
      <c r="BK207" s="177"/>
      <c r="BL207" s="177"/>
      <c r="BM207" s="177"/>
      <c r="BN207" s="177"/>
      <c r="BO207" s="177"/>
      <c r="BP207" s="177"/>
      <c r="BQ207" s="177"/>
      <c r="BR207" s="177"/>
      <c r="BS207" s="177"/>
      <c r="BT207" s="177"/>
      <c r="BU207" s="177"/>
      <c r="BV207" s="177"/>
      <c r="BW207" s="177"/>
      <c r="BX207" s="177"/>
      <c r="BY207" s="177"/>
      <c r="BZ207" s="177"/>
      <c r="CA207" s="177"/>
      <c r="CB207" s="177"/>
      <c r="CC207" s="177"/>
      <c r="CD207" s="177"/>
      <c r="CE207" s="177"/>
      <c r="CF207" s="177"/>
      <c r="CG207" s="177"/>
      <c r="CH207" s="177"/>
      <c r="CI207" s="177"/>
      <c r="CJ207" s="177"/>
      <c r="CK207" s="177"/>
      <c r="CL207" s="177"/>
      <c r="CM207" s="177"/>
      <c r="CN207" s="177"/>
      <c r="CO207" s="177"/>
      <c r="CP207" s="177"/>
      <c r="CQ207" s="177"/>
      <c r="CR207" s="177"/>
      <c r="CS207" s="177"/>
      <c r="CT207" s="177"/>
      <c r="CU207" s="177"/>
      <c r="CV207" s="177"/>
      <c r="CW207" s="177"/>
      <c r="CX207" s="177"/>
      <c r="CY207" s="177"/>
      <c r="CZ207" s="177"/>
      <c r="DA207" s="177"/>
      <c r="DB207" s="177"/>
      <c r="DC207" s="177"/>
    </row>
    <row r="208" spans="1:107" x14ac:dyDescent="0.25">
      <c r="A208" s="176">
        <f t="shared" si="292"/>
        <v>47238</v>
      </c>
      <c r="B208" s="177"/>
      <c r="C208" s="177"/>
      <c r="D208" s="177"/>
      <c r="E208" s="177"/>
      <c r="F208" s="177"/>
      <c r="G208" s="177"/>
      <c r="H208" s="183">
        <f t="shared" si="287"/>
        <v>103530.50400000003</v>
      </c>
      <c r="I208" s="183">
        <f t="shared" si="288"/>
        <v>62075.212056000026</v>
      </c>
      <c r="J208" s="183">
        <f t="shared" si="289"/>
        <v>8987.0459040000023</v>
      </c>
      <c r="K208" s="183">
        <f t="shared" si="290"/>
        <v>174592.76196000006</v>
      </c>
      <c r="L208" s="177"/>
      <c r="M208" s="177"/>
      <c r="N208" s="181">
        <v>0.1</v>
      </c>
      <c r="O208" s="181">
        <v>0.14000000000000001</v>
      </c>
      <c r="P208" s="181">
        <v>0.14000000000000001</v>
      </c>
      <c r="Q208" s="181">
        <f t="shared" si="291"/>
        <v>0.11593703767946972</v>
      </c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  <c r="AE208" s="177"/>
      <c r="AF208" s="177"/>
      <c r="AG208" s="177"/>
      <c r="AH208" s="177"/>
      <c r="AI208" s="177"/>
      <c r="AJ208" s="177"/>
      <c r="AK208" s="177"/>
      <c r="AL208" s="177"/>
      <c r="AM208" s="177"/>
      <c r="AN208" s="177"/>
      <c r="AO208" s="177"/>
      <c r="AP208" s="177"/>
      <c r="AQ208" s="177"/>
      <c r="AR208" s="177"/>
      <c r="AS208" s="177"/>
      <c r="AT208" s="177"/>
      <c r="AU208" s="177"/>
      <c r="AV208" s="177"/>
      <c r="AW208" s="177"/>
      <c r="AX208" s="177"/>
      <c r="AY208" s="177"/>
      <c r="AZ208" s="177"/>
      <c r="BA208" s="177"/>
      <c r="BB208" s="177"/>
      <c r="BC208" s="177"/>
      <c r="BD208" s="177"/>
      <c r="BE208" s="177"/>
      <c r="BF208" s="177"/>
      <c r="BG208" s="177"/>
      <c r="BH208" s="177"/>
      <c r="BI208" s="177"/>
      <c r="BJ208" s="177"/>
      <c r="BK208" s="177"/>
      <c r="BL208" s="177"/>
      <c r="BM208" s="177"/>
      <c r="BN208" s="177"/>
      <c r="BO208" s="177"/>
      <c r="BP208" s="177"/>
      <c r="BQ208" s="177"/>
      <c r="BR208" s="177"/>
      <c r="BS208" s="177"/>
      <c r="BT208" s="177"/>
      <c r="BU208" s="177"/>
      <c r="BV208" s="177"/>
      <c r="BW208" s="177"/>
      <c r="BX208" s="177"/>
      <c r="BY208" s="177"/>
      <c r="BZ208" s="177"/>
      <c r="CA208" s="177"/>
      <c r="CB208" s="177"/>
      <c r="CC208" s="177"/>
      <c r="CD208" s="177"/>
      <c r="CE208" s="177"/>
      <c r="CF208" s="177"/>
      <c r="CG208" s="177"/>
      <c r="CH208" s="177"/>
      <c r="CI208" s="177"/>
      <c r="CJ208" s="177"/>
      <c r="CK208" s="177"/>
      <c r="CL208" s="177"/>
      <c r="CM208" s="177"/>
      <c r="CN208" s="177"/>
      <c r="CO208" s="177"/>
      <c r="CP208" s="177"/>
      <c r="CQ208" s="177"/>
      <c r="CR208" s="177"/>
      <c r="CS208" s="177"/>
      <c r="CT208" s="177"/>
      <c r="CU208" s="177"/>
      <c r="CV208" s="177"/>
      <c r="CW208" s="177"/>
      <c r="CX208" s="177"/>
      <c r="CY208" s="177"/>
      <c r="CZ208" s="177"/>
      <c r="DA208" s="177"/>
      <c r="DB208" s="177"/>
      <c r="DC208" s="177"/>
    </row>
    <row r="209" spans="1:107" x14ac:dyDescent="0.25">
      <c r="A209" s="176">
        <f t="shared" si="292"/>
        <v>47269</v>
      </c>
      <c r="B209" s="177"/>
      <c r="C209" s="177"/>
      <c r="D209" s="177"/>
      <c r="E209" s="177"/>
      <c r="F209" s="177"/>
      <c r="G209" s="177"/>
      <c r="H209" s="183">
        <f t="shared" si="287"/>
        <v>93256.515000000014</v>
      </c>
      <c r="I209" s="183">
        <f t="shared" si="288"/>
        <v>58534.321896000009</v>
      </c>
      <c r="J209" s="183">
        <f t="shared" si="289"/>
        <v>9015.1952400000027</v>
      </c>
      <c r="K209" s="183">
        <f t="shared" si="290"/>
        <v>160806.03213600002</v>
      </c>
      <c r="L209" s="177"/>
      <c r="M209" s="177"/>
      <c r="N209" s="181">
        <v>0.1</v>
      </c>
      <c r="O209" s="181">
        <v>0.14000000000000001</v>
      </c>
      <c r="P209" s="181">
        <v>0.14000000000000001</v>
      </c>
      <c r="Q209" s="181">
        <f t="shared" si="291"/>
        <v>0.11645570719371334</v>
      </c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  <c r="AC209" s="177"/>
      <c r="AD209" s="177"/>
      <c r="AE209" s="177"/>
      <c r="AF209" s="177"/>
      <c r="AG209" s="177"/>
      <c r="AH209" s="177"/>
      <c r="AI209" s="177"/>
      <c r="AJ209" s="177"/>
      <c r="AK209" s="177"/>
      <c r="AL209" s="177"/>
      <c r="AM209" s="177"/>
      <c r="AN209" s="177"/>
      <c r="AO209" s="177"/>
      <c r="AP209" s="177"/>
      <c r="AQ209" s="177"/>
      <c r="AR209" s="177"/>
      <c r="AS209" s="177"/>
      <c r="AT209" s="177"/>
      <c r="AU209" s="177"/>
      <c r="AV209" s="177"/>
      <c r="AW209" s="177"/>
      <c r="AX209" s="177"/>
      <c r="AY209" s="177"/>
      <c r="AZ209" s="177"/>
      <c r="BA209" s="177"/>
      <c r="BB209" s="177"/>
      <c r="BC209" s="177"/>
      <c r="BD209" s="177"/>
      <c r="BE209" s="177"/>
      <c r="BF209" s="177"/>
      <c r="BG209" s="177"/>
      <c r="BH209" s="177"/>
      <c r="BI209" s="177"/>
      <c r="BJ209" s="177"/>
      <c r="BK209" s="177"/>
      <c r="BL209" s="177"/>
      <c r="BM209" s="177"/>
      <c r="BN209" s="177"/>
      <c r="BO209" s="177"/>
      <c r="BP209" s="177"/>
      <c r="BQ209" s="177"/>
      <c r="BR209" s="177"/>
      <c r="BS209" s="177"/>
      <c r="BT209" s="177"/>
      <c r="BU209" s="177"/>
      <c r="BV209" s="177"/>
      <c r="BW209" s="177"/>
      <c r="BX209" s="177"/>
      <c r="BY209" s="177"/>
      <c r="BZ209" s="177"/>
      <c r="CA209" s="177"/>
      <c r="CB209" s="177"/>
      <c r="CC209" s="177"/>
      <c r="CD209" s="177"/>
      <c r="CE209" s="177"/>
      <c r="CF209" s="177"/>
      <c r="CG209" s="177"/>
      <c r="CH209" s="177"/>
      <c r="CI209" s="177"/>
      <c r="CJ209" s="177"/>
      <c r="CK209" s="177"/>
      <c r="CL209" s="177"/>
      <c r="CM209" s="177"/>
      <c r="CN209" s="177"/>
      <c r="CO209" s="177"/>
      <c r="CP209" s="177"/>
      <c r="CQ209" s="177"/>
      <c r="CR209" s="177"/>
      <c r="CS209" s="177"/>
      <c r="CT209" s="177"/>
      <c r="CU209" s="177"/>
      <c r="CV209" s="177"/>
      <c r="CW209" s="177"/>
      <c r="CX209" s="177"/>
      <c r="CY209" s="177"/>
      <c r="CZ209" s="177"/>
      <c r="DA209" s="177"/>
      <c r="DB209" s="177"/>
      <c r="DC209" s="177"/>
    </row>
    <row r="210" spans="1:107" x14ac:dyDescent="0.25">
      <c r="A210" s="176">
        <f t="shared" ref="A210:A219" si="293">+EOMONTH(A209,1)</f>
        <v>47299</v>
      </c>
      <c r="B210" s="177"/>
      <c r="C210" s="177"/>
      <c r="D210" s="177"/>
      <c r="E210" s="177"/>
      <c r="F210" s="177"/>
      <c r="G210" s="177"/>
      <c r="H210" s="183">
        <f t="shared" ref="H210:H219" si="294">+H198*(1+N210)</f>
        <v>75139.07610000002</v>
      </c>
      <c r="I210" s="183">
        <f t="shared" ref="I210:J219" si="295">+I198*(1+O210)</f>
        <v>47714.813480160024</v>
      </c>
      <c r="J210" s="183">
        <f t="shared" si="295"/>
        <v>10191.185605440005</v>
      </c>
      <c r="K210" s="183">
        <f t="shared" si="290"/>
        <v>133045.07518560006</v>
      </c>
      <c r="L210" s="177"/>
      <c r="M210" s="177"/>
      <c r="N210" s="181">
        <v>0.1</v>
      </c>
      <c r="O210" s="181">
        <v>0.14000000000000001</v>
      </c>
      <c r="P210" s="181">
        <v>0.14000000000000001</v>
      </c>
      <c r="Q210" s="181">
        <f t="shared" ref="Q210:Q219" si="296">+K210/K198-1</f>
        <v>0.11705909727450936</v>
      </c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  <c r="AB210" s="177"/>
      <c r="AC210" s="177"/>
      <c r="AD210" s="177"/>
      <c r="AE210" s="177"/>
      <c r="AF210" s="177"/>
      <c r="AG210" s="177"/>
      <c r="AH210" s="177"/>
      <c r="AI210" s="177"/>
      <c r="AJ210" s="177"/>
      <c r="AK210" s="177"/>
      <c r="AL210" s="177"/>
      <c r="AM210" s="177"/>
      <c r="AN210" s="177"/>
      <c r="AO210" s="177"/>
      <c r="AP210" s="177"/>
      <c r="AQ210" s="177"/>
      <c r="AR210" s="177"/>
      <c r="AS210" s="177"/>
      <c r="AT210" s="177"/>
      <c r="AU210" s="177"/>
      <c r="AV210" s="177"/>
      <c r="AW210" s="177"/>
      <c r="AX210" s="177"/>
      <c r="AY210" s="177"/>
      <c r="AZ210" s="177"/>
      <c r="BA210" s="177"/>
      <c r="BB210" s="177"/>
      <c r="BC210" s="177"/>
      <c r="BD210" s="177"/>
      <c r="BE210" s="177"/>
      <c r="BF210" s="177"/>
      <c r="BG210" s="177"/>
      <c r="BH210" s="177"/>
      <c r="BI210" s="177"/>
      <c r="BJ210" s="177"/>
      <c r="BK210" s="177"/>
      <c r="BL210" s="177"/>
      <c r="BM210" s="177"/>
      <c r="BN210" s="177"/>
      <c r="BO210" s="177"/>
      <c r="BP210" s="177"/>
      <c r="BQ210" s="177"/>
      <c r="BR210" s="177"/>
      <c r="BS210" s="177"/>
      <c r="BT210" s="177"/>
      <c r="BU210" s="177"/>
      <c r="BV210" s="177"/>
      <c r="BW210" s="177"/>
      <c r="BX210" s="177"/>
      <c r="BY210" s="177"/>
      <c r="BZ210" s="177"/>
      <c r="CA210" s="177"/>
      <c r="CB210" s="177"/>
      <c r="CC210" s="177"/>
      <c r="CD210" s="177"/>
      <c r="CE210" s="177"/>
      <c r="CF210" s="177"/>
      <c r="CG210" s="177"/>
      <c r="CH210" s="177"/>
      <c r="CI210" s="177"/>
      <c r="CJ210" s="177"/>
      <c r="CK210" s="177"/>
      <c r="CL210" s="177"/>
      <c r="CM210" s="177"/>
      <c r="CN210" s="177"/>
      <c r="CO210" s="177"/>
      <c r="CP210" s="177"/>
      <c r="CQ210" s="177"/>
      <c r="CR210" s="177"/>
      <c r="CS210" s="177"/>
      <c r="CT210" s="177"/>
      <c r="CU210" s="177"/>
      <c r="CV210" s="177"/>
      <c r="CW210" s="177"/>
      <c r="CX210" s="177"/>
      <c r="CY210" s="177"/>
      <c r="CZ210" s="177"/>
      <c r="DA210" s="177"/>
      <c r="DB210" s="177"/>
      <c r="DC210" s="177"/>
    </row>
    <row r="211" spans="1:107" x14ac:dyDescent="0.25">
      <c r="A211" s="176">
        <f t="shared" si="293"/>
        <v>47330</v>
      </c>
      <c r="B211" s="177"/>
      <c r="C211" s="177"/>
      <c r="D211" s="177"/>
      <c r="E211" s="177"/>
      <c r="F211" s="177"/>
      <c r="G211" s="177"/>
      <c r="H211" s="183">
        <f t="shared" si="294"/>
        <v>75020.484000000026</v>
      </c>
      <c r="I211" s="183">
        <f t="shared" si="295"/>
        <v>48979.84464000001</v>
      </c>
      <c r="J211" s="183">
        <f t="shared" si="295"/>
        <v>11993.306096160006</v>
      </c>
      <c r="K211" s="183">
        <f t="shared" si="290"/>
        <v>135993.63473616005</v>
      </c>
      <c r="L211" s="177"/>
      <c r="M211" s="177"/>
      <c r="N211" s="181">
        <v>0.1</v>
      </c>
      <c r="O211" s="181">
        <v>0.14000000000000001</v>
      </c>
      <c r="P211" s="181">
        <v>0.14000000000000001</v>
      </c>
      <c r="Q211" s="181">
        <f t="shared" si="296"/>
        <v>0.1175814372765418</v>
      </c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  <c r="AC211" s="177"/>
      <c r="AD211" s="177"/>
      <c r="AE211" s="177"/>
      <c r="AF211" s="177"/>
      <c r="AG211" s="177"/>
      <c r="AH211" s="177"/>
      <c r="AI211" s="177"/>
      <c r="AJ211" s="177"/>
      <c r="AK211" s="177"/>
      <c r="AL211" s="177"/>
      <c r="AM211" s="177"/>
      <c r="AN211" s="177"/>
      <c r="AO211" s="177"/>
      <c r="AP211" s="177"/>
      <c r="AQ211" s="177"/>
      <c r="AR211" s="177"/>
      <c r="AS211" s="177"/>
      <c r="AT211" s="177"/>
      <c r="AU211" s="177"/>
      <c r="AV211" s="177"/>
      <c r="AW211" s="177"/>
      <c r="AX211" s="177"/>
      <c r="AY211" s="177"/>
      <c r="AZ211" s="177"/>
      <c r="BA211" s="177"/>
      <c r="BB211" s="177"/>
      <c r="BC211" s="177"/>
      <c r="BD211" s="177"/>
      <c r="BE211" s="177"/>
      <c r="BF211" s="177"/>
      <c r="BG211" s="177"/>
      <c r="BH211" s="177"/>
      <c r="BI211" s="177"/>
      <c r="BJ211" s="177"/>
      <c r="BK211" s="177"/>
      <c r="BL211" s="177"/>
      <c r="BM211" s="177"/>
      <c r="BN211" s="177"/>
      <c r="BO211" s="177"/>
      <c r="BP211" s="177"/>
      <c r="BQ211" s="177"/>
      <c r="BR211" s="177"/>
      <c r="BS211" s="177"/>
      <c r="BT211" s="177"/>
      <c r="BU211" s="177"/>
      <c r="BV211" s="177"/>
      <c r="BW211" s="177"/>
      <c r="BX211" s="177"/>
      <c r="BY211" s="177"/>
      <c r="BZ211" s="177"/>
      <c r="CA211" s="177"/>
      <c r="CB211" s="177"/>
      <c r="CC211" s="177"/>
      <c r="CD211" s="177"/>
      <c r="CE211" s="177"/>
      <c r="CF211" s="177"/>
      <c r="CG211" s="177"/>
      <c r="CH211" s="177"/>
      <c r="CI211" s="177"/>
      <c r="CJ211" s="177"/>
      <c r="CK211" s="177"/>
      <c r="CL211" s="177"/>
      <c r="CM211" s="177"/>
      <c r="CN211" s="177"/>
      <c r="CO211" s="177"/>
      <c r="CP211" s="177"/>
      <c r="CQ211" s="177"/>
      <c r="CR211" s="177"/>
      <c r="CS211" s="177"/>
      <c r="CT211" s="177"/>
      <c r="CU211" s="177"/>
      <c r="CV211" s="177"/>
      <c r="CW211" s="177"/>
      <c r="CX211" s="177"/>
      <c r="CY211" s="177"/>
      <c r="CZ211" s="177"/>
      <c r="DA211" s="177"/>
      <c r="DB211" s="177"/>
      <c r="DC211" s="177"/>
    </row>
    <row r="212" spans="1:107" x14ac:dyDescent="0.25">
      <c r="A212" s="176">
        <f t="shared" si="293"/>
        <v>47361</v>
      </c>
      <c r="B212" s="177"/>
      <c r="C212" s="177"/>
      <c r="D212" s="177"/>
      <c r="E212" s="177"/>
      <c r="F212" s="177"/>
      <c r="G212" s="177"/>
      <c r="H212" s="183">
        <f t="shared" si="294"/>
        <v>74919.46110000003</v>
      </c>
      <c r="I212" s="183">
        <f t="shared" si="295"/>
        <v>51813.919788480023</v>
      </c>
      <c r="J212" s="183">
        <f t="shared" si="295"/>
        <v>12174.024833280006</v>
      </c>
      <c r="K212" s="183">
        <f t="shared" si="290"/>
        <v>138907.40572176006</v>
      </c>
      <c r="L212" s="177"/>
      <c r="M212" s="177"/>
      <c r="N212" s="181">
        <v>0.1</v>
      </c>
      <c r="O212" s="181">
        <v>0.14000000000000001</v>
      </c>
      <c r="P212" s="181">
        <v>0.14000000000000001</v>
      </c>
      <c r="Q212" s="181">
        <f t="shared" si="296"/>
        <v>0.118071638521559</v>
      </c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  <c r="AC212" s="177"/>
      <c r="AD212" s="177"/>
      <c r="AE212" s="177"/>
      <c r="AF212" s="177"/>
      <c r="AG212" s="177"/>
      <c r="AH212" s="177"/>
      <c r="AI212" s="177"/>
      <c r="AJ212" s="177"/>
      <c r="AK212" s="177"/>
      <c r="AL212" s="177"/>
      <c r="AM212" s="177"/>
      <c r="AN212" s="177"/>
      <c r="AO212" s="177"/>
      <c r="AP212" s="177"/>
      <c r="AQ212" s="177"/>
      <c r="AR212" s="177"/>
      <c r="AS212" s="177"/>
      <c r="AT212" s="177"/>
      <c r="AU212" s="177"/>
      <c r="AV212" s="177"/>
      <c r="AW212" s="177"/>
      <c r="AX212" s="177"/>
      <c r="AY212" s="177"/>
      <c r="AZ212" s="177"/>
      <c r="BA212" s="177"/>
      <c r="BB212" s="177"/>
      <c r="BC212" s="177"/>
      <c r="BD212" s="177"/>
      <c r="BE212" s="177"/>
      <c r="BF212" s="177"/>
      <c r="BG212" s="177"/>
      <c r="BH212" s="177"/>
      <c r="BI212" s="177"/>
      <c r="BJ212" s="177"/>
      <c r="BK212" s="177"/>
      <c r="BL212" s="177"/>
      <c r="BM212" s="177"/>
      <c r="BN212" s="177"/>
      <c r="BO212" s="177"/>
      <c r="BP212" s="177"/>
      <c r="BQ212" s="177"/>
      <c r="BR212" s="177"/>
      <c r="BS212" s="177"/>
      <c r="BT212" s="177"/>
      <c r="BU212" s="177"/>
      <c r="BV212" s="177"/>
      <c r="BW212" s="177"/>
      <c r="BX212" s="177"/>
      <c r="BY212" s="177"/>
      <c r="BZ212" s="177"/>
      <c r="CA212" s="177"/>
      <c r="CB212" s="177"/>
      <c r="CC212" s="177"/>
      <c r="CD212" s="177"/>
      <c r="CE212" s="177"/>
      <c r="CF212" s="177"/>
      <c r="CG212" s="177"/>
      <c r="CH212" s="177"/>
      <c r="CI212" s="177"/>
      <c r="CJ212" s="177"/>
      <c r="CK212" s="177"/>
      <c r="CL212" s="177"/>
      <c r="CM212" s="177"/>
      <c r="CN212" s="177"/>
      <c r="CO212" s="177"/>
      <c r="CP212" s="177"/>
      <c r="CQ212" s="177"/>
      <c r="CR212" s="177"/>
      <c r="CS212" s="177"/>
      <c r="CT212" s="177"/>
      <c r="CU212" s="177"/>
      <c r="CV212" s="177"/>
      <c r="CW212" s="177"/>
      <c r="CX212" s="177"/>
      <c r="CY212" s="177"/>
      <c r="CZ212" s="177"/>
      <c r="DA212" s="177"/>
      <c r="DB212" s="177"/>
      <c r="DC212" s="177"/>
    </row>
    <row r="213" spans="1:107" x14ac:dyDescent="0.25">
      <c r="A213" s="176">
        <f t="shared" si="293"/>
        <v>47391</v>
      </c>
      <c r="B213" s="177"/>
      <c r="C213" s="177"/>
      <c r="D213" s="177"/>
      <c r="E213" s="177"/>
      <c r="F213" s="177"/>
      <c r="G213" s="177"/>
      <c r="H213" s="183">
        <f t="shared" si="294"/>
        <v>76614.888900000005</v>
      </c>
      <c r="I213" s="183">
        <f t="shared" si="295"/>
        <v>58660.964277120023</v>
      </c>
      <c r="J213" s="183">
        <f t="shared" si="295"/>
        <v>12869.876419200007</v>
      </c>
      <c r="K213" s="183">
        <f t="shared" si="290"/>
        <v>148145.72959632004</v>
      </c>
      <c r="L213" s="177"/>
      <c r="M213" s="177"/>
      <c r="N213" s="181">
        <v>0.1</v>
      </c>
      <c r="O213" s="181">
        <v>0.14000000000000001</v>
      </c>
      <c r="P213" s="181">
        <v>0.14000000000000001</v>
      </c>
      <c r="Q213" s="181">
        <f t="shared" si="296"/>
        <v>0.11895713851615097</v>
      </c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  <c r="AC213" s="177"/>
      <c r="AD213" s="177"/>
      <c r="AE213" s="177"/>
      <c r="AF213" s="177"/>
      <c r="AG213" s="177"/>
      <c r="AH213" s="177"/>
      <c r="AI213" s="177"/>
      <c r="AJ213" s="177"/>
      <c r="AK213" s="177"/>
      <c r="AL213" s="177"/>
      <c r="AM213" s="177"/>
      <c r="AN213" s="177"/>
      <c r="AO213" s="177"/>
      <c r="AP213" s="177"/>
      <c r="AQ213" s="177"/>
      <c r="AR213" s="177"/>
      <c r="AS213" s="177"/>
      <c r="AT213" s="177"/>
      <c r="AU213" s="177"/>
      <c r="AV213" s="177"/>
      <c r="AW213" s="177"/>
      <c r="AX213" s="177"/>
      <c r="AY213" s="177"/>
      <c r="AZ213" s="177"/>
      <c r="BA213" s="177"/>
      <c r="BB213" s="177"/>
      <c r="BC213" s="177"/>
      <c r="BD213" s="177"/>
      <c r="BE213" s="177"/>
      <c r="BF213" s="177"/>
      <c r="BG213" s="177"/>
      <c r="BH213" s="177"/>
      <c r="BI213" s="177"/>
      <c r="BJ213" s="177"/>
      <c r="BK213" s="177"/>
      <c r="BL213" s="177"/>
      <c r="BM213" s="177"/>
      <c r="BN213" s="177"/>
      <c r="BO213" s="177"/>
      <c r="BP213" s="177"/>
      <c r="BQ213" s="177"/>
      <c r="BR213" s="177"/>
      <c r="BS213" s="177"/>
      <c r="BT213" s="177"/>
      <c r="BU213" s="177"/>
      <c r="BV213" s="177"/>
      <c r="BW213" s="177"/>
      <c r="BX213" s="177"/>
      <c r="BY213" s="177"/>
      <c r="BZ213" s="177"/>
      <c r="CA213" s="177"/>
      <c r="CB213" s="177"/>
      <c r="CC213" s="177"/>
      <c r="CD213" s="177"/>
      <c r="CE213" s="177"/>
      <c r="CF213" s="177"/>
      <c r="CG213" s="177"/>
      <c r="CH213" s="177"/>
      <c r="CI213" s="177"/>
      <c r="CJ213" s="177"/>
      <c r="CK213" s="177"/>
      <c r="CL213" s="177"/>
      <c r="CM213" s="177"/>
      <c r="CN213" s="177"/>
      <c r="CO213" s="177"/>
      <c r="CP213" s="177"/>
      <c r="CQ213" s="177"/>
      <c r="CR213" s="177"/>
      <c r="CS213" s="177"/>
      <c r="CT213" s="177"/>
      <c r="CU213" s="177"/>
      <c r="CV213" s="177"/>
      <c r="CW213" s="177"/>
      <c r="CX213" s="177"/>
      <c r="CY213" s="177"/>
      <c r="CZ213" s="177"/>
      <c r="DA213" s="177"/>
      <c r="DB213" s="177"/>
      <c r="DC213" s="177"/>
    </row>
    <row r="214" spans="1:107" x14ac:dyDescent="0.25">
      <c r="A214" s="176">
        <f t="shared" si="293"/>
        <v>47422</v>
      </c>
      <c r="B214" s="177"/>
      <c r="C214" s="177"/>
      <c r="D214" s="177"/>
      <c r="E214" s="177"/>
      <c r="F214" s="177"/>
      <c r="G214" s="177"/>
      <c r="H214" s="183">
        <f t="shared" si="294"/>
        <v>81794.874700000015</v>
      </c>
      <c r="I214" s="183">
        <f t="shared" si="295"/>
        <v>67338.841579200031</v>
      </c>
      <c r="J214" s="183">
        <f t="shared" si="295"/>
        <v>12697.602482880005</v>
      </c>
      <c r="K214" s="183">
        <f t="shared" si="290"/>
        <v>161831.31876208005</v>
      </c>
      <c r="L214" s="177"/>
      <c r="M214" s="177"/>
      <c r="N214" s="181">
        <v>0.1</v>
      </c>
      <c r="O214" s="181">
        <v>0.14000000000000001</v>
      </c>
      <c r="P214" s="181">
        <v>0.14000000000000001</v>
      </c>
      <c r="Q214" s="181">
        <f t="shared" si="296"/>
        <v>0.11942565210375156</v>
      </c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77"/>
      <c r="AJ214" s="177"/>
      <c r="AK214" s="177"/>
      <c r="AL214" s="177"/>
      <c r="AM214" s="177"/>
      <c r="AN214" s="177"/>
      <c r="AO214" s="177"/>
      <c r="AP214" s="177"/>
      <c r="AQ214" s="177"/>
      <c r="AR214" s="177"/>
      <c r="AS214" s="177"/>
      <c r="AT214" s="177"/>
      <c r="AU214" s="177"/>
      <c r="AV214" s="177"/>
      <c r="AW214" s="177"/>
      <c r="AX214" s="177"/>
      <c r="AY214" s="177"/>
      <c r="AZ214" s="177"/>
      <c r="BA214" s="177"/>
      <c r="BB214" s="177"/>
      <c r="BC214" s="177"/>
      <c r="BD214" s="177"/>
      <c r="BE214" s="177"/>
      <c r="BF214" s="177"/>
      <c r="BG214" s="177"/>
      <c r="BH214" s="177"/>
      <c r="BI214" s="177"/>
      <c r="BJ214" s="177"/>
      <c r="BK214" s="177"/>
      <c r="BL214" s="177"/>
      <c r="BM214" s="177"/>
      <c r="BN214" s="177"/>
      <c r="BO214" s="177"/>
      <c r="BP214" s="177"/>
      <c r="BQ214" s="177"/>
      <c r="BR214" s="177"/>
      <c r="BS214" s="177"/>
      <c r="BT214" s="177"/>
      <c r="BU214" s="177"/>
      <c r="BV214" s="177"/>
      <c r="BW214" s="177"/>
      <c r="BX214" s="177"/>
      <c r="BY214" s="177"/>
      <c r="BZ214" s="177"/>
      <c r="CA214" s="177"/>
      <c r="CB214" s="177"/>
      <c r="CC214" s="177"/>
      <c r="CD214" s="177"/>
      <c r="CE214" s="177"/>
      <c r="CF214" s="177"/>
      <c r="CG214" s="177"/>
      <c r="CH214" s="177"/>
      <c r="CI214" s="177"/>
      <c r="CJ214" s="177"/>
      <c r="CK214" s="177"/>
      <c r="CL214" s="177"/>
      <c r="CM214" s="177"/>
      <c r="CN214" s="177"/>
      <c r="CO214" s="177"/>
      <c r="CP214" s="177"/>
      <c r="CQ214" s="177"/>
      <c r="CR214" s="177"/>
      <c r="CS214" s="177"/>
      <c r="CT214" s="177"/>
      <c r="CU214" s="177"/>
      <c r="CV214" s="177"/>
      <c r="CW214" s="177"/>
      <c r="CX214" s="177"/>
      <c r="CY214" s="177"/>
      <c r="CZ214" s="177"/>
      <c r="DA214" s="177"/>
      <c r="DB214" s="177"/>
      <c r="DC214" s="177"/>
    </row>
    <row r="215" spans="1:107" x14ac:dyDescent="0.25">
      <c r="A215" s="176">
        <f t="shared" si="293"/>
        <v>47452</v>
      </c>
      <c r="B215" s="177"/>
      <c r="C215" s="177"/>
      <c r="D215" s="177"/>
      <c r="E215" s="177"/>
      <c r="F215" s="177"/>
      <c r="G215" s="177"/>
      <c r="H215" s="183">
        <f t="shared" si="294"/>
        <v>85728.911400000041</v>
      </c>
      <c r="I215" s="183">
        <f t="shared" si="295"/>
        <v>71704.803592800032</v>
      </c>
      <c r="J215" s="183">
        <f t="shared" si="295"/>
        <v>11652.136143840005</v>
      </c>
      <c r="K215" s="183">
        <f t="shared" si="290"/>
        <v>169085.85113664009</v>
      </c>
      <c r="L215" s="177"/>
      <c r="M215" s="177"/>
      <c r="N215" s="181">
        <v>0.1</v>
      </c>
      <c r="O215" s="181">
        <v>0.14000000000000001</v>
      </c>
      <c r="P215" s="181">
        <v>0.14000000000000001</v>
      </c>
      <c r="Q215" s="181">
        <f t="shared" si="296"/>
        <v>0.11936245267029055</v>
      </c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77"/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77"/>
      <c r="AT215" s="177"/>
      <c r="AU215" s="177"/>
      <c r="AV215" s="177"/>
      <c r="AW215" s="177"/>
      <c r="AX215" s="177"/>
      <c r="AY215" s="177"/>
      <c r="AZ215" s="177"/>
      <c r="BA215" s="177"/>
      <c r="BB215" s="177"/>
      <c r="BC215" s="177"/>
      <c r="BD215" s="177"/>
      <c r="BE215" s="177"/>
      <c r="BF215" s="177"/>
      <c r="BG215" s="177"/>
      <c r="BH215" s="177"/>
      <c r="BI215" s="177"/>
      <c r="BJ215" s="177"/>
      <c r="BK215" s="177"/>
      <c r="BL215" s="177"/>
      <c r="BM215" s="177"/>
      <c r="BN215" s="177"/>
      <c r="BO215" s="177"/>
      <c r="BP215" s="177"/>
      <c r="BQ215" s="177"/>
      <c r="BR215" s="177"/>
      <c r="BS215" s="177"/>
      <c r="BT215" s="177"/>
      <c r="BU215" s="177"/>
      <c r="BV215" s="177"/>
      <c r="BW215" s="177"/>
      <c r="BX215" s="177"/>
      <c r="BY215" s="177"/>
      <c r="BZ215" s="177"/>
      <c r="CA215" s="177"/>
      <c r="CB215" s="177"/>
      <c r="CC215" s="177"/>
      <c r="CD215" s="177"/>
      <c r="CE215" s="177"/>
      <c r="CF215" s="177"/>
      <c r="CG215" s="177"/>
      <c r="CH215" s="177"/>
      <c r="CI215" s="177"/>
      <c r="CJ215" s="177"/>
      <c r="CK215" s="177"/>
      <c r="CL215" s="177"/>
      <c r="CM215" s="177"/>
      <c r="CN215" s="177"/>
      <c r="CO215" s="177"/>
      <c r="CP215" s="177"/>
      <c r="CQ215" s="177"/>
      <c r="CR215" s="177"/>
      <c r="CS215" s="177"/>
      <c r="CT215" s="177"/>
      <c r="CU215" s="177"/>
      <c r="CV215" s="177"/>
      <c r="CW215" s="177"/>
      <c r="CX215" s="177"/>
      <c r="CY215" s="177"/>
      <c r="CZ215" s="177"/>
      <c r="DA215" s="177"/>
      <c r="DB215" s="177"/>
      <c r="DC215" s="177"/>
    </row>
    <row r="216" spans="1:107" x14ac:dyDescent="0.25">
      <c r="A216" s="176">
        <f t="shared" si="293"/>
        <v>47483</v>
      </c>
      <c r="B216" s="177"/>
      <c r="C216" s="177"/>
      <c r="D216" s="177"/>
      <c r="E216" s="177"/>
      <c r="F216" s="177"/>
      <c r="G216" s="177"/>
      <c r="H216" s="183">
        <f t="shared" si="294"/>
        <v>93885.412500000006</v>
      </c>
      <c r="I216" s="183">
        <f t="shared" si="295"/>
        <v>73964.632286880034</v>
      </c>
      <c r="J216" s="183">
        <f t="shared" si="295"/>
        <v>11207.939621760006</v>
      </c>
      <c r="K216" s="183">
        <f t="shared" si="290"/>
        <v>179057.98440864004</v>
      </c>
      <c r="L216" s="177"/>
      <c r="M216" s="177"/>
      <c r="N216" s="181">
        <v>0.1</v>
      </c>
      <c r="O216" s="181">
        <v>0.14000000000000001</v>
      </c>
      <c r="P216" s="181">
        <v>0.14000000000000001</v>
      </c>
      <c r="Q216" s="181">
        <f t="shared" si="296"/>
        <v>0.1186708255917992</v>
      </c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77"/>
      <c r="AJ216" s="177"/>
      <c r="AK216" s="177"/>
      <c r="AL216" s="177"/>
      <c r="AM216" s="177"/>
      <c r="AN216" s="177"/>
      <c r="AO216" s="177"/>
      <c r="AP216" s="177"/>
      <c r="AQ216" s="177"/>
      <c r="AR216" s="177"/>
      <c r="AS216" s="177"/>
      <c r="AT216" s="177"/>
      <c r="AU216" s="177"/>
      <c r="AV216" s="177"/>
      <c r="AW216" s="177"/>
      <c r="AX216" s="177"/>
      <c r="AY216" s="177"/>
      <c r="AZ216" s="177"/>
      <c r="BA216" s="177"/>
      <c r="BB216" s="177"/>
      <c r="BC216" s="177"/>
      <c r="BD216" s="177"/>
      <c r="BE216" s="177"/>
      <c r="BF216" s="177"/>
      <c r="BG216" s="177"/>
      <c r="BH216" s="177"/>
      <c r="BI216" s="177"/>
      <c r="BJ216" s="177"/>
      <c r="BK216" s="177"/>
      <c r="BL216" s="177"/>
      <c r="BM216" s="177"/>
      <c r="BN216" s="177"/>
      <c r="BO216" s="177"/>
      <c r="BP216" s="177"/>
      <c r="BQ216" s="177"/>
      <c r="BR216" s="177"/>
      <c r="BS216" s="177"/>
      <c r="BT216" s="177"/>
      <c r="BU216" s="177"/>
      <c r="BV216" s="177"/>
      <c r="BW216" s="177"/>
      <c r="BX216" s="177"/>
      <c r="BY216" s="177"/>
      <c r="BZ216" s="177"/>
      <c r="CA216" s="177"/>
      <c r="CB216" s="177"/>
      <c r="CC216" s="177"/>
      <c r="CD216" s="177"/>
      <c r="CE216" s="177"/>
      <c r="CF216" s="177"/>
      <c r="CG216" s="177"/>
      <c r="CH216" s="177"/>
      <c r="CI216" s="177"/>
      <c r="CJ216" s="177"/>
      <c r="CK216" s="177"/>
      <c r="CL216" s="177"/>
      <c r="CM216" s="177"/>
      <c r="CN216" s="177"/>
      <c r="CO216" s="177"/>
      <c r="CP216" s="177"/>
      <c r="CQ216" s="177"/>
      <c r="CR216" s="177"/>
      <c r="CS216" s="177"/>
      <c r="CT216" s="177"/>
      <c r="CU216" s="177"/>
      <c r="CV216" s="177"/>
      <c r="CW216" s="177"/>
      <c r="CX216" s="177"/>
      <c r="CY216" s="177"/>
      <c r="CZ216" s="177"/>
      <c r="DA216" s="177"/>
      <c r="DB216" s="177"/>
      <c r="DC216" s="177"/>
    </row>
    <row r="217" spans="1:107" x14ac:dyDescent="0.25">
      <c r="A217" s="176">
        <f t="shared" si="293"/>
        <v>47514</v>
      </c>
      <c r="B217" s="177"/>
      <c r="C217" s="177"/>
      <c r="D217" s="177"/>
      <c r="E217" s="177"/>
      <c r="F217" s="177"/>
      <c r="G217" s="177"/>
      <c r="H217" s="183">
        <f t="shared" si="294"/>
        <v>100084.41190000004</v>
      </c>
      <c r="I217" s="183">
        <f t="shared" si="295"/>
        <v>73123.530127200022</v>
      </c>
      <c r="J217" s="183">
        <f t="shared" si="295"/>
        <v>11685.915347040005</v>
      </c>
      <c r="K217" s="183">
        <f t="shared" si="290"/>
        <v>184893.85737424006</v>
      </c>
      <c r="L217" s="177"/>
      <c r="M217" s="177"/>
      <c r="N217" s="181">
        <v>0.1</v>
      </c>
      <c r="O217" s="181">
        <v>0.14000000000000001</v>
      </c>
      <c r="P217" s="181">
        <v>0.14000000000000001</v>
      </c>
      <c r="Q217" s="181">
        <f t="shared" si="296"/>
        <v>0.11799352151207221</v>
      </c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77"/>
      <c r="AJ217" s="177"/>
      <c r="AK217" s="177"/>
      <c r="AL217" s="177"/>
      <c r="AM217" s="177"/>
      <c r="AN217" s="177"/>
      <c r="AO217" s="177"/>
      <c r="AP217" s="177"/>
      <c r="AQ217" s="177"/>
      <c r="AR217" s="177"/>
      <c r="AS217" s="177"/>
      <c r="AT217" s="177"/>
      <c r="AU217" s="177"/>
      <c r="AV217" s="177"/>
      <c r="AW217" s="177"/>
      <c r="AX217" s="177"/>
      <c r="AY217" s="177"/>
      <c r="AZ217" s="177"/>
      <c r="BA217" s="177"/>
      <c r="BB217" s="177"/>
      <c r="BC217" s="177"/>
      <c r="BD217" s="177"/>
      <c r="BE217" s="177"/>
      <c r="BF217" s="177"/>
      <c r="BG217" s="177"/>
      <c r="BH217" s="177"/>
      <c r="BI217" s="177"/>
      <c r="BJ217" s="177"/>
      <c r="BK217" s="177"/>
      <c r="BL217" s="177"/>
      <c r="BM217" s="177"/>
      <c r="BN217" s="177"/>
      <c r="BO217" s="177"/>
      <c r="BP217" s="177"/>
      <c r="BQ217" s="177"/>
      <c r="BR217" s="177"/>
      <c r="BS217" s="177"/>
      <c r="BT217" s="177"/>
      <c r="BU217" s="177"/>
      <c r="BV217" s="177"/>
      <c r="BW217" s="177"/>
      <c r="BX217" s="177"/>
      <c r="BY217" s="177"/>
      <c r="BZ217" s="177"/>
      <c r="CA217" s="177"/>
      <c r="CB217" s="177"/>
      <c r="CC217" s="177"/>
      <c r="CD217" s="177"/>
      <c r="CE217" s="177"/>
      <c r="CF217" s="177"/>
      <c r="CG217" s="177"/>
      <c r="CH217" s="177"/>
      <c r="CI217" s="177"/>
      <c r="CJ217" s="177"/>
      <c r="CK217" s="177"/>
      <c r="CL217" s="177"/>
      <c r="CM217" s="177"/>
      <c r="CN217" s="177"/>
      <c r="CO217" s="177"/>
      <c r="CP217" s="177"/>
      <c r="CQ217" s="177"/>
      <c r="CR217" s="177"/>
      <c r="CS217" s="177"/>
      <c r="CT217" s="177"/>
      <c r="CU217" s="177"/>
      <c r="CV217" s="177"/>
      <c r="CW217" s="177"/>
      <c r="CX217" s="177"/>
      <c r="CY217" s="177"/>
      <c r="CZ217" s="177"/>
      <c r="DA217" s="177"/>
      <c r="DB217" s="177"/>
      <c r="DC217" s="177"/>
    </row>
    <row r="218" spans="1:107" x14ac:dyDescent="0.25">
      <c r="A218" s="176">
        <f t="shared" si="293"/>
        <v>47542</v>
      </c>
      <c r="B218" s="177"/>
      <c r="C218" s="177"/>
      <c r="D218" s="177"/>
      <c r="E218" s="177"/>
      <c r="F218" s="177"/>
      <c r="G218" s="177"/>
      <c r="H218" s="183">
        <f t="shared" si="294"/>
        <v>110710.84970000004</v>
      </c>
      <c r="I218" s="183">
        <f t="shared" si="295"/>
        <v>74613.192988320036</v>
      </c>
      <c r="J218" s="183">
        <f t="shared" si="295"/>
        <v>12165.580032480004</v>
      </c>
      <c r="K218" s="183">
        <f t="shared" si="290"/>
        <v>197489.62272080008</v>
      </c>
      <c r="L218" s="177"/>
      <c r="M218" s="177"/>
      <c r="N218" s="181">
        <v>0.1</v>
      </c>
      <c r="O218" s="181">
        <v>0.14000000000000001</v>
      </c>
      <c r="P218" s="181">
        <v>0.14000000000000001</v>
      </c>
      <c r="Q218" s="181">
        <f t="shared" si="296"/>
        <v>0.11722523283107145</v>
      </c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  <c r="AC218" s="177"/>
      <c r="AD218" s="177"/>
      <c r="AE218" s="177"/>
      <c r="AF218" s="177"/>
      <c r="AG218" s="177"/>
      <c r="AH218" s="177"/>
      <c r="AI218" s="177"/>
      <c r="AJ218" s="177"/>
      <c r="AK218" s="177"/>
      <c r="AL218" s="177"/>
      <c r="AM218" s="177"/>
      <c r="AN218" s="177"/>
      <c r="AO218" s="177"/>
      <c r="AP218" s="177"/>
      <c r="AQ218" s="177"/>
      <c r="AR218" s="177"/>
      <c r="AS218" s="177"/>
      <c r="AT218" s="177"/>
      <c r="AU218" s="177"/>
      <c r="AV218" s="177"/>
      <c r="AW218" s="177"/>
      <c r="AX218" s="177"/>
      <c r="AY218" s="177"/>
      <c r="AZ218" s="177"/>
      <c r="BA218" s="177"/>
      <c r="BB218" s="177"/>
      <c r="BC218" s="177"/>
      <c r="BD218" s="177"/>
      <c r="BE218" s="177"/>
      <c r="BF218" s="177"/>
      <c r="BG218" s="177"/>
      <c r="BH218" s="177"/>
      <c r="BI218" s="177"/>
      <c r="BJ218" s="177"/>
      <c r="BK218" s="177"/>
      <c r="BL218" s="177"/>
      <c r="BM218" s="177"/>
      <c r="BN218" s="177"/>
      <c r="BO218" s="177"/>
      <c r="BP218" s="177"/>
      <c r="BQ218" s="177"/>
      <c r="BR218" s="177"/>
      <c r="BS218" s="177"/>
      <c r="BT218" s="177"/>
      <c r="BU218" s="177"/>
      <c r="BV218" s="177"/>
      <c r="BW218" s="177"/>
      <c r="BX218" s="177"/>
      <c r="BY218" s="177"/>
      <c r="BZ218" s="177"/>
      <c r="CA218" s="177"/>
      <c r="CB218" s="177"/>
      <c r="CC218" s="177"/>
      <c r="CD218" s="177"/>
      <c r="CE218" s="177"/>
      <c r="CF218" s="177"/>
      <c r="CG218" s="177"/>
      <c r="CH218" s="177"/>
      <c r="CI218" s="177"/>
      <c r="CJ218" s="177"/>
      <c r="CK218" s="177"/>
      <c r="CL218" s="177"/>
      <c r="CM218" s="177"/>
      <c r="CN218" s="177"/>
      <c r="CO218" s="177"/>
      <c r="CP218" s="177"/>
      <c r="CQ218" s="177"/>
      <c r="CR218" s="177"/>
      <c r="CS218" s="177"/>
      <c r="CT218" s="177"/>
      <c r="CU218" s="177"/>
      <c r="CV218" s="177"/>
      <c r="CW218" s="177"/>
      <c r="CX218" s="177"/>
      <c r="CY218" s="177"/>
      <c r="CZ218" s="177"/>
      <c r="DA218" s="177"/>
      <c r="DB218" s="177"/>
      <c r="DC218" s="177"/>
    </row>
    <row r="219" spans="1:107" x14ac:dyDescent="0.25">
      <c r="A219" s="176">
        <f t="shared" si="293"/>
        <v>47573</v>
      </c>
      <c r="B219" s="177"/>
      <c r="C219" s="177"/>
      <c r="D219" s="177"/>
      <c r="E219" s="177"/>
      <c r="F219" s="177"/>
      <c r="G219" s="177"/>
      <c r="H219" s="183">
        <f t="shared" si="294"/>
        <v>119971.28220000006</v>
      </c>
      <c r="I219" s="183">
        <f t="shared" si="295"/>
        <v>73672.442179200036</v>
      </c>
      <c r="J219" s="183">
        <f t="shared" si="295"/>
        <v>11658.891984480006</v>
      </c>
      <c r="K219" s="183">
        <f t="shared" si="290"/>
        <v>205302.61636368008</v>
      </c>
      <c r="L219" s="177"/>
      <c r="M219" s="177"/>
      <c r="N219" s="181">
        <v>0.1</v>
      </c>
      <c r="O219" s="181">
        <v>0.14000000000000001</v>
      </c>
      <c r="P219" s="181">
        <v>0.14000000000000001</v>
      </c>
      <c r="Q219" s="181">
        <f t="shared" si="296"/>
        <v>0.11627954104490401</v>
      </c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  <c r="AE219" s="177"/>
      <c r="AF219" s="177"/>
      <c r="AG219" s="177"/>
      <c r="AH219" s="177"/>
      <c r="AI219" s="177"/>
      <c r="AJ219" s="177"/>
      <c r="AK219" s="177"/>
      <c r="AL219" s="177"/>
      <c r="AM219" s="177"/>
      <c r="AN219" s="177"/>
      <c r="AO219" s="177"/>
      <c r="AP219" s="177"/>
      <c r="AQ219" s="177"/>
      <c r="AR219" s="177"/>
      <c r="AS219" s="177"/>
      <c r="AT219" s="177"/>
      <c r="AU219" s="177"/>
      <c r="AV219" s="177"/>
      <c r="AW219" s="177"/>
      <c r="AX219" s="177"/>
      <c r="AY219" s="177"/>
      <c r="AZ219" s="177"/>
      <c r="BA219" s="177"/>
      <c r="BB219" s="177"/>
      <c r="BC219" s="177"/>
      <c r="BD219" s="177"/>
      <c r="BE219" s="177"/>
      <c r="BF219" s="177"/>
      <c r="BG219" s="177"/>
      <c r="BH219" s="177"/>
      <c r="BI219" s="177"/>
      <c r="BJ219" s="177"/>
      <c r="BK219" s="177"/>
      <c r="BL219" s="177"/>
      <c r="BM219" s="177"/>
      <c r="BN219" s="177"/>
      <c r="BO219" s="177"/>
      <c r="BP219" s="177"/>
      <c r="BQ219" s="177"/>
      <c r="BR219" s="177"/>
      <c r="BS219" s="177"/>
      <c r="BT219" s="177"/>
      <c r="BU219" s="177"/>
      <c r="BV219" s="177"/>
      <c r="BW219" s="177"/>
      <c r="BX219" s="177"/>
      <c r="BY219" s="177"/>
      <c r="BZ219" s="177"/>
      <c r="CA219" s="177"/>
      <c r="CB219" s="177"/>
      <c r="CC219" s="177"/>
      <c r="CD219" s="177"/>
      <c r="CE219" s="177"/>
      <c r="CF219" s="177"/>
      <c r="CG219" s="177"/>
      <c r="CH219" s="177"/>
      <c r="CI219" s="177"/>
      <c r="CJ219" s="177"/>
      <c r="CK219" s="177"/>
      <c r="CL219" s="177"/>
      <c r="CM219" s="177"/>
      <c r="CN219" s="177"/>
      <c r="CO219" s="177"/>
      <c r="CP219" s="177"/>
      <c r="CQ219" s="177"/>
      <c r="CR219" s="177"/>
      <c r="CS219" s="177"/>
      <c r="CT219" s="177"/>
      <c r="CU219" s="177"/>
      <c r="CV219" s="177"/>
      <c r="CW219" s="177"/>
      <c r="CX219" s="177"/>
      <c r="CY219" s="177"/>
      <c r="CZ219" s="177"/>
      <c r="DA219" s="177"/>
      <c r="DB219" s="177"/>
      <c r="DC219" s="177"/>
    </row>
    <row r="220" spans="1:107" x14ac:dyDescent="0.25">
      <c r="A220" s="174"/>
    </row>
    <row r="221" spans="1:107" x14ac:dyDescent="0.25">
      <c r="A221" s="174"/>
    </row>
    <row r="222" spans="1:107" x14ac:dyDescent="0.25">
      <c r="A222" s="174"/>
    </row>
    <row r="223" spans="1:107" x14ac:dyDescent="0.25">
      <c r="A223" s="174">
        <v>46022</v>
      </c>
      <c r="H223" s="56">
        <v>58330.8</v>
      </c>
      <c r="I223" s="56">
        <v>43584.480000000003</v>
      </c>
      <c r="J223" s="56">
        <v>43584.480000000003</v>
      </c>
      <c r="K223" s="56">
        <v>101915.28</v>
      </c>
      <c r="N223" s="179">
        <v>0.1</v>
      </c>
      <c r="O223" s="179">
        <v>0.14000000000000001</v>
      </c>
      <c r="P223" s="179">
        <v>0.14000000000000001</v>
      </c>
      <c r="Q223" s="179">
        <v>0.11675739644970418</v>
      </c>
    </row>
    <row r="224" spans="1:107" x14ac:dyDescent="0.25">
      <c r="A224" s="174"/>
    </row>
    <row r="225" spans="1:17" x14ac:dyDescent="0.25">
      <c r="A225" s="174"/>
    </row>
    <row r="226" spans="1:17" x14ac:dyDescent="0.25">
      <c r="A226" s="174"/>
    </row>
    <row r="227" spans="1:17" x14ac:dyDescent="0.25">
      <c r="A227" s="174"/>
    </row>
    <row r="228" spans="1:17" x14ac:dyDescent="0.25">
      <c r="A228" s="174"/>
    </row>
    <row r="229" spans="1:17" x14ac:dyDescent="0.25">
      <c r="A229" s="174">
        <v>46173</v>
      </c>
      <c r="H229" s="56">
        <v>65522.600000000006</v>
      </c>
      <c r="I229" s="56">
        <v>35287.560000000005</v>
      </c>
      <c r="J229" s="56">
        <v>6805.8000000000011</v>
      </c>
      <c r="K229" s="56">
        <v>107615.96</v>
      </c>
      <c r="N229" s="179">
        <v>0.1</v>
      </c>
      <c r="O229" s="179">
        <v>0.14000000000000001</v>
      </c>
      <c r="P229" s="179">
        <v>0.14000000000000001</v>
      </c>
      <c r="Q229" s="179">
        <v>0.11530687117836047</v>
      </c>
    </row>
    <row r="230" spans="1:17" x14ac:dyDescent="0.25">
      <c r="A230" s="174"/>
    </row>
    <row r="231" spans="1:17" x14ac:dyDescent="0.25">
      <c r="A231" s="174"/>
    </row>
    <row r="232" spans="1:17" x14ac:dyDescent="0.25">
      <c r="A232" s="174"/>
    </row>
    <row r="233" spans="1:17" x14ac:dyDescent="0.25">
      <c r="A233" s="174"/>
    </row>
    <row r="234" spans="1:17" x14ac:dyDescent="0.25">
      <c r="A234" s="174"/>
    </row>
    <row r="235" spans="1:17" x14ac:dyDescent="0.25">
      <c r="A235" s="174"/>
    </row>
    <row r="236" spans="1:17" x14ac:dyDescent="0.25">
      <c r="A236" s="174"/>
    </row>
    <row r="237" spans="1:17" x14ac:dyDescent="0.25">
      <c r="A237" s="174"/>
    </row>
    <row r="238" spans="1:17" x14ac:dyDescent="0.25">
      <c r="A238" s="174"/>
    </row>
    <row r="239" spans="1:17" x14ac:dyDescent="0.25">
      <c r="A239" s="174"/>
    </row>
    <row r="240" spans="1:17" x14ac:dyDescent="0.25">
      <c r="A240" s="174"/>
    </row>
    <row r="241" spans="1:1" x14ac:dyDescent="0.25">
      <c r="A241" s="174"/>
    </row>
    <row r="242" spans="1:1" x14ac:dyDescent="0.25">
      <c r="A242" s="174"/>
    </row>
    <row r="243" spans="1:1" x14ac:dyDescent="0.25">
      <c r="A243" s="174"/>
    </row>
    <row r="244" spans="1:1" x14ac:dyDescent="0.25">
      <c r="A244" s="174"/>
    </row>
    <row r="245" spans="1:1" x14ac:dyDescent="0.25">
      <c r="A245" s="174"/>
    </row>
    <row r="246" spans="1:1" x14ac:dyDescent="0.25">
      <c r="A246" s="174"/>
    </row>
    <row r="247" spans="1:1" x14ac:dyDescent="0.25">
      <c r="A247" s="174"/>
    </row>
    <row r="248" spans="1:1" x14ac:dyDescent="0.25">
      <c r="A248" s="174"/>
    </row>
    <row r="249" spans="1:1" x14ac:dyDescent="0.25">
      <c r="A249" s="174"/>
    </row>
    <row r="250" spans="1:1" x14ac:dyDescent="0.25">
      <c r="A250" s="174"/>
    </row>
    <row r="251" spans="1:1" x14ac:dyDescent="0.25">
      <c r="A251" s="174"/>
    </row>
    <row r="252" spans="1:1" x14ac:dyDescent="0.25">
      <c r="A252" s="17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8CC1-789C-40B7-98B6-43B442D83C9A}">
  <dimension ref="A1:BY80"/>
  <sheetViews>
    <sheetView workbookViewId="0">
      <pane xSplit="1" ySplit="3" topLeftCell="B55" activePane="bottomRight" state="frozen"/>
      <selection pane="topRight" activeCell="B1" sqref="B1"/>
      <selection pane="bottomLeft" activeCell="A4" sqref="A4"/>
      <selection pane="bottomRight" activeCell="B70" sqref="B70"/>
    </sheetView>
  </sheetViews>
  <sheetFormatPr defaultRowHeight="15" x14ac:dyDescent="0.25"/>
  <cols>
    <col min="1" max="1" width="11" customWidth="1"/>
    <col min="2" max="2" width="13.42578125" customWidth="1"/>
    <col min="3" max="3" width="10.28515625" customWidth="1"/>
    <col min="5" max="5" width="10.42578125" customWidth="1"/>
  </cols>
  <sheetData>
    <row r="1" spans="1:10" x14ac:dyDescent="0.25">
      <c r="A1" s="173" t="s">
        <v>535</v>
      </c>
    </row>
    <row r="3" spans="1:10" x14ac:dyDescent="0.25">
      <c r="A3" s="200" t="s">
        <v>516</v>
      </c>
      <c r="B3" s="200" t="s">
        <v>531</v>
      </c>
      <c r="C3" s="200" t="s">
        <v>532</v>
      </c>
      <c r="D3" s="200"/>
      <c r="E3" s="200" t="s">
        <v>533</v>
      </c>
      <c r="F3" s="201" t="s">
        <v>534</v>
      </c>
      <c r="G3" s="201" t="s">
        <v>532</v>
      </c>
      <c r="H3" s="200"/>
      <c r="I3" s="200" t="s">
        <v>522</v>
      </c>
      <c r="J3" s="201" t="s">
        <v>532</v>
      </c>
    </row>
    <row r="4" spans="1:10" x14ac:dyDescent="0.25">
      <c r="A4" s="174">
        <v>44197</v>
      </c>
    </row>
    <row r="5" spans="1:10" x14ac:dyDescent="0.25">
      <c r="A5" s="174">
        <f>+EOMONTH(A4,1)</f>
        <v>44255</v>
      </c>
    </row>
    <row r="6" spans="1:10" x14ac:dyDescent="0.25">
      <c r="A6" s="174">
        <f t="shared" ref="A6:A69" si="0">+EOMONTH(A5,1)</f>
        <v>44286</v>
      </c>
    </row>
    <row r="7" spans="1:10" x14ac:dyDescent="0.25">
      <c r="A7" s="174">
        <f t="shared" si="0"/>
        <v>44316</v>
      </c>
    </row>
    <row r="8" spans="1:10" x14ac:dyDescent="0.25">
      <c r="A8" s="174">
        <f t="shared" si="0"/>
        <v>44347</v>
      </c>
    </row>
    <row r="9" spans="1:10" x14ac:dyDescent="0.25">
      <c r="A9" s="174">
        <f t="shared" si="0"/>
        <v>44377</v>
      </c>
    </row>
    <row r="10" spans="1:10" x14ac:dyDescent="0.25">
      <c r="A10" s="174">
        <f t="shared" si="0"/>
        <v>44408</v>
      </c>
    </row>
    <row r="11" spans="1:10" x14ac:dyDescent="0.25">
      <c r="A11" s="174">
        <f t="shared" si="0"/>
        <v>44439</v>
      </c>
    </row>
    <row r="12" spans="1:10" x14ac:dyDescent="0.25">
      <c r="A12" s="174">
        <f t="shared" si="0"/>
        <v>44469</v>
      </c>
    </row>
    <row r="13" spans="1:10" x14ac:dyDescent="0.25">
      <c r="A13" s="174">
        <f t="shared" si="0"/>
        <v>44500</v>
      </c>
    </row>
    <row r="14" spans="1:10" x14ac:dyDescent="0.25">
      <c r="A14" s="174">
        <f t="shared" si="0"/>
        <v>44530</v>
      </c>
    </row>
    <row r="15" spans="1:10" x14ac:dyDescent="0.25">
      <c r="A15" s="174">
        <f t="shared" si="0"/>
        <v>44561</v>
      </c>
    </row>
    <row r="16" spans="1:10" x14ac:dyDescent="0.25">
      <c r="A16" s="174">
        <f t="shared" si="0"/>
        <v>44592</v>
      </c>
    </row>
    <row r="17" spans="1:10" x14ac:dyDescent="0.25">
      <c r="A17" s="174">
        <f t="shared" si="0"/>
        <v>44620</v>
      </c>
      <c r="B17">
        <v>35748</v>
      </c>
      <c r="C17" s="206"/>
      <c r="D17" s="205"/>
      <c r="E17" s="207"/>
      <c r="F17" s="208"/>
      <c r="G17" s="208"/>
      <c r="H17" s="205"/>
      <c r="I17" s="207"/>
      <c r="J17" s="208"/>
    </row>
    <row r="18" spans="1:10" x14ac:dyDescent="0.25">
      <c r="A18" s="174">
        <f t="shared" si="0"/>
        <v>44651</v>
      </c>
      <c r="B18">
        <v>38458</v>
      </c>
      <c r="C18" s="206"/>
      <c r="D18" s="205"/>
      <c r="E18" s="207"/>
      <c r="F18" s="208"/>
      <c r="G18" s="208"/>
      <c r="H18" s="205"/>
      <c r="I18" s="207"/>
      <c r="J18" s="208"/>
    </row>
    <row r="19" spans="1:10" x14ac:dyDescent="0.25">
      <c r="A19" s="174">
        <f t="shared" si="0"/>
        <v>44681</v>
      </c>
      <c r="B19">
        <v>36650</v>
      </c>
      <c r="C19" s="206"/>
      <c r="D19" s="205"/>
      <c r="E19" s="207">
        <f t="shared" ref="E19:E62" si="1">+SUM(B17:B19)</f>
        <v>110856</v>
      </c>
      <c r="F19" s="208"/>
      <c r="G19" s="208"/>
      <c r="H19" s="205"/>
      <c r="I19" s="207"/>
      <c r="J19" s="208"/>
    </row>
    <row r="20" spans="1:10" x14ac:dyDescent="0.25">
      <c r="A20" s="174">
        <f t="shared" si="0"/>
        <v>44712</v>
      </c>
      <c r="B20">
        <v>30256</v>
      </c>
      <c r="C20" s="206"/>
      <c r="D20" s="205"/>
      <c r="E20" s="207">
        <f t="shared" si="1"/>
        <v>105364</v>
      </c>
      <c r="F20" s="208">
        <f t="shared" ref="F20:F62" si="2">+E20/E19-1</f>
        <v>-4.9541747853070639E-2</v>
      </c>
      <c r="G20" s="208"/>
      <c r="H20" s="205"/>
      <c r="I20" s="207"/>
      <c r="J20" s="208"/>
    </row>
    <row r="21" spans="1:10" x14ac:dyDescent="0.25">
      <c r="A21" s="174">
        <f t="shared" si="0"/>
        <v>44742</v>
      </c>
      <c r="B21">
        <v>30238</v>
      </c>
      <c r="C21" s="206"/>
      <c r="D21" s="205"/>
      <c r="E21" s="207">
        <f t="shared" si="1"/>
        <v>97144</v>
      </c>
      <c r="F21" s="208">
        <f t="shared" si="2"/>
        <v>-7.8015261379598355E-2</v>
      </c>
      <c r="G21" s="208"/>
      <c r="H21" s="205"/>
      <c r="I21" s="207"/>
      <c r="J21" s="208"/>
    </row>
    <row r="22" spans="1:10" x14ac:dyDescent="0.25">
      <c r="A22" s="174">
        <f t="shared" si="0"/>
        <v>44773</v>
      </c>
      <c r="B22">
        <v>29389</v>
      </c>
      <c r="C22" s="206"/>
      <c r="D22" s="205"/>
      <c r="E22" s="207">
        <f t="shared" si="1"/>
        <v>89883</v>
      </c>
      <c r="F22" s="208">
        <f t="shared" si="2"/>
        <v>-7.4744708885777777E-2</v>
      </c>
      <c r="G22" s="208"/>
      <c r="H22" s="205"/>
      <c r="I22" s="207"/>
      <c r="J22" s="208"/>
    </row>
    <row r="23" spans="1:10" x14ac:dyDescent="0.25">
      <c r="A23" s="174">
        <f t="shared" si="0"/>
        <v>44804</v>
      </c>
      <c r="B23">
        <v>29910</v>
      </c>
      <c r="C23" s="206"/>
      <c r="D23" s="205"/>
      <c r="E23" s="207">
        <f t="shared" si="1"/>
        <v>89537</v>
      </c>
      <c r="F23" s="208">
        <f t="shared" si="2"/>
        <v>-3.8494487277905831E-3</v>
      </c>
      <c r="G23" s="208"/>
      <c r="H23" s="205"/>
      <c r="I23" s="207"/>
      <c r="J23" s="208"/>
    </row>
    <row r="24" spans="1:10" x14ac:dyDescent="0.25">
      <c r="A24" s="174">
        <f t="shared" si="0"/>
        <v>44834</v>
      </c>
      <c r="B24">
        <v>30811</v>
      </c>
      <c r="C24" s="206"/>
      <c r="D24" s="205"/>
      <c r="E24" s="207">
        <f t="shared" si="1"/>
        <v>90110</v>
      </c>
      <c r="F24" s="208">
        <f t="shared" si="2"/>
        <v>6.3995889967276565E-3</v>
      </c>
      <c r="G24" s="208"/>
      <c r="H24" s="205"/>
      <c r="I24" s="207"/>
      <c r="J24" s="208"/>
    </row>
    <row r="25" spans="1:10" x14ac:dyDescent="0.25">
      <c r="A25" s="174">
        <f t="shared" si="0"/>
        <v>44865</v>
      </c>
      <c r="B25">
        <v>29402</v>
      </c>
      <c r="C25" s="206"/>
      <c r="D25" s="205"/>
      <c r="E25" s="207">
        <f t="shared" si="1"/>
        <v>90123</v>
      </c>
      <c r="F25" s="208">
        <f t="shared" si="2"/>
        <v>1.4426811674628226E-4</v>
      </c>
      <c r="G25" s="208"/>
      <c r="H25" s="205"/>
      <c r="I25" s="207"/>
      <c r="J25" s="208"/>
    </row>
    <row r="26" spans="1:10" x14ac:dyDescent="0.25">
      <c r="A26" s="174">
        <f t="shared" si="0"/>
        <v>44895</v>
      </c>
      <c r="B26">
        <v>32717</v>
      </c>
      <c r="C26" s="206"/>
      <c r="D26" s="205"/>
      <c r="E26" s="207">
        <f t="shared" si="1"/>
        <v>92930</v>
      </c>
      <c r="F26" s="208">
        <f t="shared" si="2"/>
        <v>3.1146322248482683E-2</v>
      </c>
      <c r="G26" s="208"/>
      <c r="H26" s="205"/>
      <c r="I26" s="207"/>
      <c r="J26" s="208"/>
    </row>
    <row r="27" spans="1:10" x14ac:dyDescent="0.25">
      <c r="A27" s="174">
        <f t="shared" si="0"/>
        <v>44926</v>
      </c>
      <c r="B27">
        <v>28400</v>
      </c>
      <c r="C27" s="206"/>
      <c r="D27" s="205"/>
      <c r="E27" s="207">
        <f t="shared" si="1"/>
        <v>90519</v>
      </c>
      <c r="F27" s="208">
        <f t="shared" si="2"/>
        <v>-2.594425911976761E-2</v>
      </c>
      <c r="G27" s="208"/>
      <c r="H27" s="205"/>
      <c r="I27" s="207"/>
      <c r="J27" s="208"/>
    </row>
    <row r="28" spans="1:10" x14ac:dyDescent="0.25">
      <c r="A28" s="174">
        <f t="shared" si="0"/>
        <v>44957</v>
      </c>
      <c r="B28">
        <v>34438</v>
      </c>
      <c r="C28" s="206"/>
      <c r="D28" s="205"/>
      <c r="E28" s="207">
        <f t="shared" si="1"/>
        <v>95555</v>
      </c>
      <c r="F28" s="208">
        <f t="shared" si="2"/>
        <v>5.5634728620510554E-2</v>
      </c>
      <c r="G28" s="208"/>
      <c r="H28" s="205"/>
      <c r="I28" s="207">
        <f t="shared" ref="I28:I62" si="3">+SUM(B17:B28)</f>
        <v>386417</v>
      </c>
      <c r="J28" s="208"/>
    </row>
    <row r="29" spans="1:10" x14ac:dyDescent="0.25">
      <c r="A29" s="174">
        <f t="shared" si="0"/>
        <v>44985</v>
      </c>
      <c r="B29">
        <v>32587</v>
      </c>
      <c r="C29" s="206">
        <f t="shared" ref="C29:C62" si="4">+B29/B17-1</f>
        <v>-8.8424527246279472E-2</v>
      </c>
      <c r="D29" s="205"/>
      <c r="E29" s="207">
        <f t="shared" si="1"/>
        <v>95425</v>
      </c>
      <c r="F29" s="208">
        <f t="shared" si="2"/>
        <v>-1.3604730260059483E-3</v>
      </c>
      <c r="G29" s="208"/>
      <c r="H29" s="205"/>
      <c r="I29" s="207">
        <f t="shared" si="3"/>
        <v>383256</v>
      </c>
      <c r="J29" s="208"/>
    </row>
    <row r="30" spans="1:10" x14ac:dyDescent="0.25">
      <c r="A30" s="174">
        <f t="shared" si="0"/>
        <v>45016</v>
      </c>
      <c r="B30">
        <v>38197</v>
      </c>
      <c r="C30" s="206">
        <f t="shared" si="4"/>
        <v>-6.7866243694419959E-3</v>
      </c>
      <c r="D30" s="205"/>
      <c r="E30" s="207">
        <f t="shared" si="1"/>
        <v>105222</v>
      </c>
      <c r="F30" s="208">
        <f t="shared" si="2"/>
        <v>0.10266701598113692</v>
      </c>
      <c r="G30" s="208"/>
      <c r="H30" s="205"/>
      <c r="I30" s="207">
        <f t="shared" si="3"/>
        <v>382995</v>
      </c>
      <c r="J30" s="208"/>
    </row>
    <row r="31" spans="1:10" x14ac:dyDescent="0.25">
      <c r="A31" s="174">
        <f t="shared" si="0"/>
        <v>45046</v>
      </c>
      <c r="B31">
        <v>34453</v>
      </c>
      <c r="C31" s="206">
        <f t="shared" si="4"/>
        <v>-5.9945429740791312E-2</v>
      </c>
      <c r="D31" s="205"/>
      <c r="E31" s="207">
        <f t="shared" si="1"/>
        <v>105237</v>
      </c>
      <c r="F31" s="208">
        <f t="shared" si="2"/>
        <v>1.4255573929400356E-4</v>
      </c>
      <c r="G31" s="208">
        <f t="shared" ref="G31:G62" si="5">+E31/E19-1</f>
        <v>-5.0687378220394042E-2</v>
      </c>
      <c r="H31" s="205"/>
      <c r="I31" s="207">
        <f t="shared" si="3"/>
        <v>380798</v>
      </c>
      <c r="J31" s="208"/>
    </row>
    <row r="32" spans="1:10" x14ac:dyDescent="0.25">
      <c r="A32" s="174">
        <f t="shared" si="0"/>
        <v>45077</v>
      </c>
      <c r="B32">
        <v>27485</v>
      </c>
      <c r="C32" s="206">
        <f t="shared" si="4"/>
        <v>-9.1585140137493415E-2</v>
      </c>
      <c r="D32" s="205"/>
      <c r="E32" s="207">
        <f t="shared" si="1"/>
        <v>100135</v>
      </c>
      <c r="F32" s="208">
        <f t="shared" si="2"/>
        <v>-4.8481047540313793E-2</v>
      </c>
      <c r="G32" s="208">
        <f t="shared" si="5"/>
        <v>-4.9627956417751751E-2</v>
      </c>
      <c r="H32" s="205"/>
      <c r="I32" s="207">
        <f t="shared" si="3"/>
        <v>378027</v>
      </c>
      <c r="J32" s="208"/>
    </row>
    <row r="33" spans="1:10" x14ac:dyDescent="0.25">
      <c r="A33" s="174">
        <f t="shared" si="0"/>
        <v>45107</v>
      </c>
      <c r="B33">
        <v>27608</v>
      </c>
      <c r="C33" s="206">
        <f t="shared" si="4"/>
        <v>-8.6976651894966617E-2</v>
      </c>
      <c r="D33" s="205"/>
      <c r="E33" s="207">
        <f t="shared" si="1"/>
        <v>89546</v>
      </c>
      <c r="F33" s="208">
        <f t="shared" si="2"/>
        <v>-0.10574724122434709</v>
      </c>
      <c r="G33" s="208">
        <f t="shared" si="5"/>
        <v>-7.8213785720168016E-2</v>
      </c>
      <c r="H33" s="205"/>
      <c r="I33" s="207">
        <f t="shared" si="3"/>
        <v>375397</v>
      </c>
      <c r="J33" s="208"/>
    </row>
    <row r="34" spans="1:10" x14ac:dyDescent="0.25">
      <c r="A34" s="174">
        <f t="shared" si="0"/>
        <v>45138</v>
      </c>
      <c r="B34">
        <v>28446</v>
      </c>
      <c r="C34" s="206">
        <f t="shared" si="4"/>
        <v>-3.2086835210452858E-2</v>
      </c>
      <c r="D34" s="205"/>
      <c r="E34" s="207">
        <f t="shared" si="1"/>
        <v>83539</v>
      </c>
      <c r="F34" s="208">
        <f t="shared" si="2"/>
        <v>-6.7082840104527253E-2</v>
      </c>
      <c r="G34" s="208">
        <f t="shared" si="5"/>
        <v>-7.0580643725732362E-2</v>
      </c>
      <c r="H34" s="205"/>
      <c r="I34" s="207">
        <f t="shared" si="3"/>
        <v>374454</v>
      </c>
      <c r="J34" s="208"/>
    </row>
    <row r="35" spans="1:10" x14ac:dyDescent="0.25">
      <c r="A35" s="174">
        <f t="shared" si="0"/>
        <v>45169</v>
      </c>
      <c r="B35">
        <v>29189</v>
      </c>
      <c r="C35" s="206">
        <f t="shared" si="4"/>
        <v>-2.4105650284185876E-2</v>
      </c>
      <c r="D35" s="205"/>
      <c r="E35" s="207">
        <f t="shared" si="1"/>
        <v>85243</v>
      </c>
      <c r="F35" s="208">
        <f t="shared" si="2"/>
        <v>2.0397658578627853E-2</v>
      </c>
      <c r="G35" s="208">
        <f t="shared" si="5"/>
        <v>-4.79578274903113E-2</v>
      </c>
      <c r="H35" s="205"/>
      <c r="I35" s="207">
        <f t="shared" si="3"/>
        <v>373733</v>
      </c>
      <c r="J35" s="208"/>
    </row>
    <row r="36" spans="1:10" x14ac:dyDescent="0.25">
      <c r="A36" s="174">
        <f t="shared" si="0"/>
        <v>45199</v>
      </c>
      <c r="B36">
        <v>30479</v>
      </c>
      <c r="C36" s="206">
        <f t="shared" si="4"/>
        <v>-1.0775372431923613E-2</v>
      </c>
      <c r="D36" s="205"/>
      <c r="E36" s="207">
        <f t="shared" si="1"/>
        <v>88114</v>
      </c>
      <c r="F36" s="208">
        <f t="shared" si="2"/>
        <v>3.3680184883216224E-2</v>
      </c>
      <c r="G36" s="208">
        <f t="shared" si="5"/>
        <v>-2.2150704694262613E-2</v>
      </c>
      <c r="H36" s="205"/>
      <c r="I36" s="207">
        <f t="shared" si="3"/>
        <v>373401</v>
      </c>
      <c r="J36" s="208"/>
    </row>
    <row r="37" spans="1:10" x14ac:dyDescent="0.25">
      <c r="A37" s="174">
        <f t="shared" si="0"/>
        <v>45230</v>
      </c>
      <c r="B37">
        <v>33554</v>
      </c>
      <c r="C37" s="206">
        <f t="shared" si="4"/>
        <v>0.14121488334126919</v>
      </c>
      <c r="D37" s="205"/>
      <c r="E37" s="207">
        <f t="shared" si="1"/>
        <v>93222</v>
      </c>
      <c r="F37" s="208">
        <f t="shared" si="2"/>
        <v>5.7970356583516791E-2</v>
      </c>
      <c r="G37" s="208">
        <f t="shared" si="5"/>
        <v>3.4386338670483685E-2</v>
      </c>
      <c r="H37" s="205"/>
      <c r="I37" s="207">
        <f t="shared" si="3"/>
        <v>377553</v>
      </c>
      <c r="J37" s="208"/>
    </row>
    <row r="38" spans="1:10" x14ac:dyDescent="0.25">
      <c r="A38" s="174">
        <f t="shared" si="0"/>
        <v>45260</v>
      </c>
      <c r="B38">
        <v>31152</v>
      </c>
      <c r="C38" s="206">
        <f t="shared" si="4"/>
        <v>-4.7834459149677544E-2</v>
      </c>
      <c r="D38" s="205"/>
      <c r="E38" s="207">
        <f t="shared" si="1"/>
        <v>95185</v>
      </c>
      <c r="F38" s="208">
        <f t="shared" si="2"/>
        <v>2.1057261161528285E-2</v>
      </c>
      <c r="G38" s="208">
        <f t="shared" si="5"/>
        <v>2.4265576240180886E-2</v>
      </c>
      <c r="H38" s="205"/>
      <c r="I38" s="207">
        <f t="shared" si="3"/>
        <v>375988</v>
      </c>
      <c r="J38" s="208"/>
    </row>
    <row r="39" spans="1:10" x14ac:dyDescent="0.25">
      <c r="A39" s="174">
        <f t="shared" si="0"/>
        <v>45291</v>
      </c>
      <c r="B39">
        <v>27430</v>
      </c>
      <c r="C39" s="206">
        <f t="shared" si="4"/>
        <v>-3.4154929577464799E-2</v>
      </c>
      <c r="D39" s="205"/>
      <c r="E39" s="207">
        <f t="shared" si="1"/>
        <v>92136</v>
      </c>
      <c r="F39" s="208">
        <f t="shared" si="2"/>
        <v>-3.2032358039607134E-2</v>
      </c>
      <c r="G39" s="208">
        <f t="shared" si="5"/>
        <v>1.7863652934742902E-2</v>
      </c>
      <c r="H39" s="205"/>
      <c r="I39" s="207">
        <f t="shared" si="3"/>
        <v>375018</v>
      </c>
      <c r="J39" s="208"/>
    </row>
    <row r="40" spans="1:10" x14ac:dyDescent="0.25">
      <c r="A40" s="174">
        <f t="shared" si="0"/>
        <v>45322</v>
      </c>
      <c r="B40">
        <v>32592</v>
      </c>
      <c r="C40" s="206">
        <f t="shared" si="4"/>
        <v>-5.3603577443521733E-2</v>
      </c>
      <c r="D40" s="205"/>
      <c r="E40" s="207">
        <f t="shared" si="1"/>
        <v>91174</v>
      </c>
      <c r="F40" s="208">
        <f t="shared" si="2"/>
        <v>-1.0441087088651546E-2</v>
      </c>
      <c r="G40" s="208">
        <f t="shared" si="5"/>
        <v>-4.5847940976400992E-2</v>
      </c>
      <c r="H40" s="205"/>
      <c r="I40" s="207">
        <f t="shared" si="3"/>
        <v>373172</v>
      </c>
      <c r="J40" s="208">
        <f t="shared" ref="J40:J62" si="6">+I40/I28-1</f>
        <v>-3.4276442289029707E-2</v>
      </c>
    </row>
    <row r="41" spans="1:10" x14ac:dyDescent="0.25">
      <c r="A41" s="174">
        <f t="shared" si="0"/>
        <v>45351</v>
      </c>
      <c r="B41">
        <v>33348</v>
      </c>
      <c r="C41" s="206">
        <f t="shared" si="4"/>
        <v>2.3352870776690127E-2</v>
      </c>
      <c r="D41" s="205"/>
      <c r="E41" s="207">
        <f t="shared" si="1"/>
        <v>93370</v>
      </c>
      <c r="F41" s="208">
        <f t="shared" si="2"/>
        <v>2.4085813938184097E-2</v>
      </c>
      <c r="G41" s="208">
        <f t="shared" si="5"/>
        <v>-2.1535237097196736E-2</v>
      </c>
      <c r="H41" s="205"/>
      <c r="I41" s="207">
        <f t="shared" si="3"/>
        <v>373933</v>
      </c>
      <c r="J41" s="208">
        <f t="shared" si="6"/>
        <v>-2.4325777026321882E-2</v>
      </c>
    </row>
    <row r="42" spans="1:10" x14ac:dyDescent="0.25">
      <c r="A42" s="174">
        <f t="shared" si="0"/>
        <v>45382</v>
      </c>
      <c r="B42">
        <v>34236</v>
      </c>
      <c r="C42" s="206">
        <f t="shared" si="4"/>
        <v>-0.10369924339607828</v>
      </c>
      <c r="D42" s="205"/>
      <c r="E42" s="207">
        <f t="shared" si="1"/>
        <v>100176</v>
      </c>
      <c r="F42" s="208">
        <f t="shared" si="2"/>
        <v>7.2892792117382532E-2</v>
      </c>
      <c r="G42" s="208">
        <f t="shared" si="5"/>
        <v>-4.7955750698523092E-2</v>
      </c>
      <c r="H42" s="205"/>
      <c r="I42" s="207">
        <f t="shared" si="3"/>
        <v>369972</v>
      </c>
      <c r="J42" s="208">
        <f t="shared" si="6"/>
        <v>-3.400305487016797E-2</v>
      </c>
    </row>
    <row r="43" spans="1:10" x14ac:dyDescent="0.25">
      <c r="A43" s="174">
        <f t="shared" si="0"/>
        <v>45412</v>
      </c>
      <c r="B43">
        <v>33649</v>
      </c>
      <c r="C43" s="206">
        <f t="shared" si="4"/>
        <v>-2.3336139088033003E-2</v>
      </c>
      <c r="D43" s="205"/>
      <c r="E43" s="207">
        <f t="shared" si="1"/>
        <v>101233</v>
      </c>
      <c r="F43" s="208">
        <f t="shared" si="2"/>
        <v>1.0551429484108032E-2</v>
      </c>
      <c r="G43" s="208">
        <f t="shared" si="5"/>
        <v>-3.8047454792515922E-2</v>
      </c>
      <c r="H43" s="205"/>
      <c r="I43" s="207">
        <f t="shared" si="3"/>
        <v>369168</v>
      </c>
      <c r="J43" s="208">
        <f t="shared" si="6"/>
        <v>-3.0541126791632345E-2</v>
      </c>
    </row>
    <row r="44" spans="1:10" x14ac:dyDescent="0.25">
      <c r="A44" s="174">
        <f t="shared" si="0"/>
        <v>45443</v>
      </c>
      <c r="B44">
        <v>30784</v>
      </c>
      <c r="C44" s="206">
        <f t="shared" si="4"/>
        <v>0.12002910678551948</v>
      </c>
      <c r="D44" s="205"/>
      <c r="E44" s="207">
        <f t="shared" si="1"/>
        <v>98669</v>
      </c>
      <c r="F44" s="208">
        <f t="shared" si="2"/>
        <v>-2.5327709343791027E-2</v>
      </c>
      <c r="G44" s="208">
        <f t="shared" si="5"/>
        <v>-1.4640235681829483E-2</v>
      </c>
      <c r="H44" s="205"/>
      <c r="I44" s="207">
        <f t="shared" si="3"/>
        <v>372467</v>
      </c>
      <c r="J44" s="208">
        <f t="shared" si="6"/>
        <v>-1.4707944141556073E-2</v>
      </c>
    </row>
    <row r="45" spans="1:10" x14ac:dyDescent="0.25">
      <c r="A45" s="174">
        <f t="shared" si="0"/>
        <v>45473</v>
      </c>
      <c r="B45">
        <v>27208</v>
      </c>
      <c r="C45" s="206">
        <f t="shared" si="4"/>
        <v>-1.4488554042306534E-2</v>
      </c>
      <c r="D45" s="205"/>
      <c r="E45" s="207">
        <f t="shared" si="1"/>
        <v>91641</v>
      </c>
      <c r="F45" s="208">
        <f t="shared" si="2"/>
        <v>-7.1228045282712871E-2</v>
      </c>
      <c r="G45" s="208">
        <f t="shared" si="5"/>
        <v>2.3395796573828065E-2</v>
      </c>
      <c r="H45" s="205"/>
      <c r="I45" s="207">
        <f t="shared" si="3"/>
        <v>372067</v>
      </c>
      <c r="J45" s="208">
        <f t="shared" si="6"/>
        <v>-8.8706089819577949E-3</v>
      </c>
    </row>
    <row r="46" spans="1:10" x14ac:dyDescent="0.25">
      <c r="A46" s="174">
        <f t="shared" si="0"/>
        <v>45504</v>
      </c>
      <c r="B46">
        <v>29210</v>
      </c>
      <c r="C46" s="206">
        <f t="shared" si="4"/>
        <v>2.6857906208254345E-2</v>
      </c>
      <c r="D46" s="205"/>
      <c r="E46" s="207">
        <f t="shared" si="1"/>
        <v>87202</v>
      </c>
      <c r="F46" s="208">
        <f t="shared" si="2"/>
        <v>-4.8439017470346291E-2</v>
      </c>
      <c r="G46" s="208">
        <f t="shared" si="5"/>
        <v>4.3847783669902718E-2</v>
      </c>
      <c r="H46" s="205"/>
      <c r="I46" s="207">
        <f t="shared" si="3"/>
        <v>372831</v>
      </c>
      <c r="J46" s="208">
        <f t="shared" si="6"/>
        <v>-4.3343107564614014E-3</v>
      </c>
    </row>
    <row r="47" spans="1:10" x14ac:dyDescent="0.25">
      <c r="A47" s="174">
        <f t="shared" si="0"/>
        <v>45535</v>
      </c>
      <c r="B47">
        <v>26113</v>
      </c>
      <c r="C47" s="206">
        <f t="shared" si="4"/>
        <v>-0.10538216451402926</v>
      </c>
      <c r="D47" s="205"/>
      <c r="E47" s="207">
        <f t="shared" si="1"/>
        <v>82531</v>
      </c>
      <c r="F47" s="208">
        <f t="shared" si="2"/>
        <v>-5.3565285199880686E-2</v>
      </c>
      <c r="G47" s="208">
        <f t="shared" si="5"/>
        <v>-3.1814929085086208E-2</v>
      </c>
      <c r="H47" s="205"/>
      <c r="I47" s="207">
        <f t="shared" si="3"/>
        <v>369755</v>
      </c>
      <c r="J47" s="208">
        <f t="shared" si="6"/>
        <v>-1.0643962400965434E-2</v>
      </c>
    </row>
    <row r="48" spans="1:10" x14ac:dyDescent="0.25">
      <c r="A48" s="174">
        <f t="shared" si="0"/>
        <v>45565</v>
      </c>
      <c r="B48">
        <v>25735</v>
      </c>
      <c r="C48" s="206">
        <f t="shared" si="4"/>
        <v>-0.15564815118606257</v>
      </c>
      <c r="D48" s="205"/>
      <c r="E48" s="207">
        <f t="shared" si="1"/>
        <v>81058</v>
      </c>
      <c r="F48" s="208">
        <f t="shared" si="2"/>
        <v>-1.7847838993832577E-2</v>
      </c>
      <c r="G48" s="208">
        <f t="shared" si="5"/>
        <v>-8.0078080668225304E-2</v>
      </c>
      <c r="H48" s="205"/>
      <c r="I48" s="207">
        <f t="shared" si="3"/>
        <v>365011</v>
      </c>
      <c r="J48" s="208">
        <f t="shared" si="6"/>
        <v>-2.246914175377146E-2</v>
      </c>
    </row>
    <row r="49" spans="1:10" x14ac:dyDescent="0.25">
      <c r="A49" s="174">
        <f t="shared" si="0"/>
        <v>45596</v>
      </c>
      <c r="B49">
        <v>31700</v>
      </c>
      <c r="C49" s="206">
        <f t="shared" si="4"/>
        <v>-5.5254217082911117E-2</v>
      </c>
      <c r="D49" s="205"/>
      <c r="E49" s="207">
        <f t="shared" si="1"/>
        <v>83548</v>
      </c>
      <c r="F49" s="208">
        <f t="shared" si="2"/>
        <v>3.0718744602630244E-2</v>
      </c>
      <c r="G49" s="208">
        <f t="shared" si="5"/>
        <v>-0.10377378730342623</v>
      </c>
      <c r="H49" s="205"/>
      <c r="I49" s="207">
        <f t="shared" si="3"/>
        <v>363157</v>
      </c>
      <c r="J49" s="208">
        <f t="shared" si="6"/>
        <v>-3.8129746022412703E-2</v>
      </c>
    </row>
    <row r="50" spans="1:10" x14ac:dyDescent="0.25">
      <c r="A50" s="174">
        <f t="shared" si="0"/>
        <v>45626</v>
      </c>
      <c r="B50">
        <v>28561</v>
      </c>
      <c r="C50" s="206">
        <f t="shared" si="4"/>
        <v>-8.3172829994863862E-2</v>
      </c>
      <c r="D50" s="205"/>
      <c r="E50" s="207">
        <f t="shared" si="1"/>
        <v>85996</v>
      </c>
      <c r="F50" s="208">
        <f t="shared" si="2"/>
        <v>2.9300521855699646E-2</v>
      </c>
      <c r="G50" s="208">
        <f t="shared" si="5"/>
        <v>-9.6538320113463305E-2</v>
      </c>
      <c r="H50" s="205"/>
      <c r="I50" s="207">
        <f t="shared" si="3"/>
        <v>360566</v>
      </c>
      <c r="J50" s="208">
        <f t="shared" si="6"/>
        <v>-4.1017266508505568E-2</v>
      </c>
    </row>
    <row r="51" spans="1:10" x14ac:dyDescent="0.25">
      <c r="A51" s="174">
        <f t="shared" si="0"/>
        <v>45657</v>
      </c>
      <c r="B51">
        <v>25054</v>
      </c>
      <c r="C51" s="206">
        <f t="shared" si="4"/>
        <v>-8.662048851622306E-2</v>
      </c>
      <c r="D51" s="205"/>
      <c r="E51" s="207">
        <f t="shared" si="1"/>
        <v>85315</v>
      </c>
      <c r="F51" s="208">
        <f t="shared" si="2"/>
        <v>-7.9189729754872706E-3</v>
      </c>
      <c r="G51" s="208">
        <f t="shared" si="5"/>
        <v>-7.4031865937310037E-2</v>
      </c>
      <c r="H51" s="205"/>
      <c r="I51" s="207">
        <f t="shared" si="3"/>
        <v>358190</v>
      </c>
      <c r="J51" s="208">
        <f t="shared" si="6"/>
        <v>-4.4872512786052976E-2</v>
      </c>
    </row>
    <row r="52" spans="1:10" x14ac:dyDescent="0.25">
      <c r="A52" s="174">
        <f t="shared" si="0"/>
        <v>45688</v>
      </c>
      <c r="B52">
        <v>32445</v>
      </c>
      <c r="C52" s="206">
        <f t="shared" si="4"/>
        <v>-4.5103092783504994E-3</v>
      </c>
      <c r="D52" s="205"/>
      <c r="E52" s="207">
        <f t="shared" si="1"/>
        <v>86060</v>
      </c>
      <c r="F52" s="208">
        <f t="shared" si="2"/>
        <v>8.7323448397116366E-3</v>
      </c>
      <c r="G52" s="208">
        <f t="shared" si="5"/>
        <v>-5.6090552131090043E-2</v>
      </c>
      <c r="H52" s="205"/>
      <c r="I52" s="207">
        <f t="shared" si="3"/>
        <v>358043</v>
      </c>
      <c r="J52" s="208">
        <f t="shared" si="6"/>
        <v>-4.0541626917346418E-2</v>
      </c>
    </row>
    <row r="53" spans="1:10" x14ac:dyDescent="0.25">
      <c r="A53" s="174">
        <f t="shared" si="0"/>
        <v>45716</v>
      </c>
      <c r="B53">
        <v>27965</v>
      </c>
      <c r="C53" s="206">
        <f t="shared" si="4"/>
        <v>-0.16141897565071373</v>
      </c>
      <c r="D53" s="205"/>
      <c r="E53" s="207">
        <f t="shared" si="1"/>
        <v>85464</v>
      </c>
      <c r="F53" s="208">
        <f t="shared" si="2"/>
        <v>-6.925400883104782E-3</v>
      </c>
      <c r="G53" s="208">
        <f t="shared" si="5"/>
        <v>-8.4673878119310264E-2</v>
      </c>
      <c r="H53" s="205"/>
      <c r="I53" s="207">
        <f t="shared" si="3"/>
        <v>352660</v>
      </c>
      <c r="J53" s="208">
        <f t="shared" si="6"/>
        <v>-5.6889870645276064E-2</v>
      </c>
    </row>
    <row r="54" spans="1:10" x14ac:dyDescent="0.25">
      <c r="A54" s="174">
        <f t="shared" si="0"/>
        <v>45747</v>
      </c>
      <c r="B54">
        <v>31808</v>
      </c>
      <c r="C54" s="206">
        <f t="shared" si="4"/>
        <v>-7.0919499941581976E-2</v>
      </c>
      <c r="D54" s="205"/>
      <c r="E54" s="207">
        <f t="shared" si="1"/>
        <v>92218</v>
      </c>
      <c r="F54" s="208">
        <f t="shared" si="2"/>
        <v>7.9027426752784846E-2</v>
      </c>
      <c r="G54" s="208">
        <f t="shared" si="5"/>
        <v>-7.944018527391794E-2</v>
      </c>
      <c r="H54" s="205"/>
      <c r="I54" s="207">
        <f t="shared" si="3"/>
        <v>350232</v>
      </c>
      <c r="J54" s="208">
        <f t="shared" si="6"/>
        <v>-5.3355389056469193E-2</v>
      </c>
    </row>
    <row r="55" spans="1:10" x14ac:dyDescent="0.25">
      <c r="A55" s="174">
        <f t="shared" si="0"/>
        <v>45777</v>
      </c>
      <c r="B55">
        <v>32007</v>
      </c>
      <c r="C55" s="206">
        <f t="shared" si="4"/>
        <v>-4.8797884038158656E-2</v>
      </c>
      <c r="D55" s="205"/>
      <c r="E55" s="207">
        <f t="shared" si="1"/>
        <v>91780</v>
      </c>
      <c r="F55" s="208">
        <f t="shared" si="2"/>
        <v>-4.7496150426163952E-3</v>
      </c>
      <c r="G55" s="208">
        <f t="shared" si="5"/>
        <v>-9.3378641352128255E-2</v>
      </c>
      <c r="H55" s="205"/>
      <c r="I55" s="207">
        <f t="shared" si="3"/>
        <v>348590</v>
      </c>
      <c r="J55" s="208">
        <f t="shared" si="6"/>
        <v>-5.5741559398431062E-2</v>
      </c>
    </row>
    <row r="56" spans="1:10" x14ac:dyDescent="0.25">
      <c r="A56" s="174">
        <f t="shared" si="0"/>
        <v>45808</v>
      </c>
      <c r="B56">
        <v>27469</v>
      </c>
      <c r="C56" s="206">
        <f t="shared" si="4"/>
        <v>-0.10768581081081086</v>
      </c>
      <c r="D56" s="205"/>
      <c r="E56" s="207">
        <f t="shared" si="1"/>
        <v>91284</v>
      </c>
      <c r="F56" s="208">
        <f t="shared" si="2"/>
        <v>-5.4042275005448115E-3</v>
      </c>
      <c r="G56" s="208">
        <f t="shared" si="5"/>
        <v>-7.4846202961416419E-2</v>
      </c>
      <c r="H56" s="205"/>
      <c r="I56" s="207">
        <f t="shared" si="3"/>
        <v>345275</v>
      </c>
      <c r="J56" s="208">
        <f t="shared" si="6"/>
        <v>-7.3005125286267014E-2</v>
      </c>
    </row>
    <row r="57" spans="1:10" x14ac:dyDescent="0.25">
      <c r="A57" s="174">
        <f t="shared" si="0"/>
        <v>45838</v>
      </c>
      <c r="B57">
        <v>25768</v>
      </c>
      <c r="C57" s="206">
        <f t="shared" si="4"/>
        <v>-5.2925610114672117E-2</v>
      </c>
      <c r="D57" s="205"/>
      <c r="E57" s="207">
        <f t="shared" si="1"/>
        <v>85244</v>
      </c>
      <c r="F57" s="208">
        <f t="shared" si="2"/>
        <v>-6.6167126769203777E-2</v>
      </c>
      <c r="G57" s="208">
        <f t="shared" si="5"/>
        <v>-6.9804999945439317E-2</v>
      </c>
      <c r="H57" s="205"/>
      <c r="I57" s="207">
        <f t="shared" si="3"/>
        <v>343835</v>
      </c>
      <c r="J57" s="208">
        <f t="shared" si="6"/>
        <v>-7.587880677404879E-2</v>
      </c>
    </row>
    <row r="58" spans="1:10" x14ac:dyDescent="0.25">
      <c r="A58" s="174">
        <f t="shared" si="0"/>
        <v>45869</v>
      </c>
      <c r="B58">
        <v>26925</v>
      </c>
      <c r="C58" s="206">
        <f t="shared" si="4"/>
        <v>-7.8226634714139043E-2</v>
      </c>
      <c r="D58" s="205"/>
      <c r="E58" s="207">
        <f t="shared" si="1"/>
        <v>80162</v>
      </c>
      <c r="F58" s="208">
        <f t="shared" si="2"/>
        <v>-5.9617099150673369E-2</v>
      </c>
      <c r="G58" s="208">
        <f t="shared" si="5"/>
        <v>-8.0732093300612373E-2</v>
      </c>
      <c r="H58" s="205"/>
      <c r="I58" s="207">
        <f t="shared" si="3"/>
        <v>341550</v>
      </c>
      <c r="J58" s="208">
        <f t="shared" si="6"/>
        <v>-8.3901285032628725E-2</v>
      </c>
    </row>
    <row r="59" spans="1:10" x14ac:dyDescent="0.25">
      <c r="A59" s="174">
        <f t="shared" si="0"/>
        <v>45900</v>
      </c>
      <c r="B59">
        <v>25521</v>
      </c>
      <c r="C59" s="206">
        <f t="shared" si="4"/>
        <v>-2.2670700417416589E-2</v>
      </c>
      <c r="D59" s="205"/>
      <c r="E59" s="207">
        <f t="shared" si="1"/>
        <v>78214</v>
      </c>
      <c r="F59" s="208">
        <f t="shared" si="2"/>
        <v>-2.4300790898430624E-2</v>
      </c>
      <c r="G59" s="208">
        <f t="shared" si="5"/>
        <v>-5.2307617743635682E-2</v>
      </c>
      <c r="H59" s="205"/>
      <c r="I59" s="207">
        <f t="shared" si="3"/>
        <v>340958</v>
      </c>
      <c r="J59" s="208">
        <f t="shared" si="6"/>
        <v>-7.7881299779583801E-2</v>
      </c>
    </row>
    <row r="60" spans="1:10" x14ac:dyDescent="0.25">
      <c r="A60" s="174">
        <f t="shared" si="0"/>
        <v>45930</v>
      </c>
      <c r="B60">
        <v>24674</v>
      </c>
      <c r="C60" s="206">
        <f t="shared" si="4"/>
        <v>-4.1227899747425689E-2</v>
      </c>
      <c r="D60" s="205"/>
      <c r="E60" s="207">
        <f t="shared" si="1"/>
        <v>77120</v>
      </c>
      <c r="F60" s="208">
        <f t="shared" si="2"/>
        <v>-1.3987265706906671E-2</v>
      </c>
      <c r="G60" s="208">
        <f t="shared" si="5"/>
        <v>-4.8582496483999149E-2</v>
      </c>
      <c r="H60" s="205"/>
      <c r="I60" s="207">
        <f t="shared" si="3"/>
        <v>339897</v>
      </c>
      <c r="J60" s="208">
        <f t="shared" si="6"/>
        <v>-6.8803405924752981E-2</v>
      </c>
    </row>
    <row r="61" spans="1:10" x14ac:dyDescent="0.25">
      <c r="A61" s="174">
        <f t="shared" si="0"/>
        <v>45961</v>
      </c>
      <c r="B61">
        <v>36112</v>
      </c>
      <c r="C61" s="206">
        <f t="shared" si="4"/>
        <v>0.13917981072555197</v>
      </c>
      <c r="D61" s="205"/>
      <c r="E61" s="207">
        <f t="shared" si="1"/>
        <v>86307</v>
      </c>
      <c r="F61" s="208">
        <f t="shared" si="2"/>
        <v>0.11912603734439831</v>
      </c>
      <c r="G61" s="208">
        <f t="shared" si="5"/>
        <v>3.3022932924785753E-2</v>
      </c>
      <c r="H61" s="205"/>
      <c r="I61" s="207">
        <f t="shared" si="3"/>
        <v>344309</v>
      </c>
      <c r="J61" s="208">
        <f t="shared" si="6"/>
        <v>-5.1900417725666892E-2</v>
      </c>
    </row>
    <row r="62" spans="1:10" x14ac:dyDescent="0.25">
      <c r="A62" s="174">
        <f t="shared" si="0"/>
        <v>45991</v>
      </c>
      <c r="B62">
        <v>33419</v>
      </c>
      <c r="C62" s="206">
        <f t="shared" si="4"/>
        <v>0.17009208361051775</v>
      </c>
      <c r="D62" s="205"/>
      <c r="E62" s="207">
        <f t="shared" si="1"/>
        <v>94205</v>
      </c>
      <c r="F62" s="208">
        <f t="shared" si="2"/>
        <v>9.1510537963316985E-2</v>
      </c>
      <c r="G62" s="208">
        <f t="shared" si="5"/>
        <v>9.5457928275733739E-2</v>
      </c>
      <c r="H62" s="205"/>
      <c r="I62" s="207">
        <f t="shared" si="3"/>
        <v>349167</v>
      </c>
      <c r="J62" s="208">
        <f t="shared" si="6"/>
        <v>-3.1614184365691744E-2</v>
      </c>
    </row>
    <row r="63" spans="1:10" x14ac:dyDescent="0.25">
      <c r="A63" s="174">
        <f t="shared" si="0"/>
        <v>46022</v>
      </c>
      <c r="B63">
        <v>30427</v>
      </c>
      <c r="C63" s="206">
        <f t="shared" ref="C63:C65" si="7">+B63/B51-1</f>
        <v>0.21445677336952174</v>
      </c>
      <c r="D63" s="205"/>
      <c r="E63" s="207">
        <f t="shared" ref="E63" si="8">+SUM(B61:B63)</f>
        <v>99958</v>
      </c>
      <c r="F63" s="208">
        <f t="shared" ref="F63" si="9">+E63/E62-1</f>
        <v>6.1068945385064577E-2</v>
      </c>
      <c r="G63" s="208">
        <f t="shared" ref="G63" si="10">+E63/E51-1</f>
        <v>0.17163453085623859</v>
      </c>
      <c r="H63" s="205"/>
      <c r="I63" s="207">
        <f t="shared" ref="I63" si="11">+SUM(B52:B63)</f>
        <v>354540</v>
      </c>
      <c r="J63" s="208">
        <f t="shared" ref="J63" si="12">+I63/I51-1</f>
        <v>-1.0190122560652215E-2</v>
      </c>
    </row>
    <row r="64" spans="1:10" x14ac:dyDescent="0.25">
      <c r="A64" s="174">
        <f t="shared" si="0"/>
        <v>46053</v>
      </c>
      <c r="B64">
        <v>37429</v>
      </c>
      <c r="C64" s="206">
        <f t="shared" si="7"/>
        <v>0.15361380798274005</v>
      </c>
      <c r="D64" s="205"/>
      <c r="E64" s="207">
        <f>+SUM(B62:B64)</f>
        <v>101275</v>
      </c>
      <c r="F64" s="208">
        <f>+E64/E63-1</f>
        <v>1.3175533724164135E-2</v>
      </c>
      <c r="G64" s="208">
        <f t="shared" ref="G64" si="13">+E64/E52-1</f>
        <v>0.17679525912154315</v>
      </c>
      <c r="H64" s="205"/>
      <c r="I64" s="207">
        <f>+SUM(B53:B64)</f>
        <v>359524</v>
      </c>
      <c r="J64" s="208">
        <f t="shared" ref="J64" si="14">+I64/I52-1</f>
        <v>4.1363746812532742E-3</v>
      </c>
    </row>
    <row r="65" spans="1:77" x14ac:dyDescent="0.25">
      <c r="A65" s="174">
        <f t="shared" si="0"/>
        <v>46081</v>
      </c>
      <c r="B65">
        <v>37121</v>
      </c>
      <c r="C65" s="206">
        <f t="shared" si="7"/>
        <v>0.32740926157697126</v>
      </c>
      <c r="D65" s="205"/>
      <c r="E65" s="207">
        <f>+SUM(B63:B65)</f>
        <v>104977</v>
      </c>
      <c r="F65" s="208">
        <f>+E65/E64-1</f>
        <v>3.6553937299432349E-2</v>
      </c>
      <c r="G65" s="208">
        <f t="shared" ref="G65" si="15">+E65/E53-1</f>
        <v>0.22831835626696617</v>
      </c>
      <c r="H65" s="205"/>
      <c r="I65" s="207">
        <f>+SUM(B54:B65)</f>
        <v>368680</v>
      </c>
      <c r="J65" s="208">
        <f t="shared" ref="J65" si="16">+I65/I53-1</f>
        <v>4.5426189530993089E-2</v>
      </c>
    </row>
    <row r="66" spans="1:77" x14ac:dyDescent="0.25">
      <c r="A66" s="174">
        <f t="shared" si="0"/>
        <v>46112</v>
      </c>
      <c r="B66">
        <v>37961</v>
      </c>
      <c r="C66" s="206">
        <f t="shared" ref="C66" si="17">+B66/B54-1</f>
        <v>0.19344190140845074</v>
      </c>
      <c r="D66" s="205"/>
      <c r="E66" s="207">
        <f>+SUM(B64:B66)</f>
        <v>112511</v>
      </c>
      <c r="F66" s="208">
        <f>+E66/E65-1</f>
        <v>7.1768101584156474E-2</v>
      </c>
      <c r="G66" s="208">
        <f t="shared" ref="G66" si="18">+E66/E54-1</f>
        <v>0.22005465310459993</v>
      </c>
      <c r="H66" s="205"/>
      <c r="I66" s="207">
        <f>+SUM(B55:B66)</f>
        <v>374833</v>
      </c>
      <c r="J66" s="208">
        <f t="shared" ref="J66" si="19">+I66/I54-1</f>
        <v>7.0242011009844951E-2</v>
      </c>
    </row>
    <row r="67" spans="1:77" x14ac:dyDescent="0.25">
      <c r="A67" s="174">
        <f t="shared" si="0"/>
        <v>46142</v>
      </c>
      <c r="B67">
        <v>38720</v>
      </c>
      <c r="C67" s="206">
        <f t="shared" ref="C67" si="20">+B67/B55-1</f>
        <v>0.2097353703877276</v>
      </c>
      <c r="D67" s="205"/>
      <c r="E67" s="207">
        <f t="shared" ref="E67" si="21">+SUM(B65:B67)</f>
        <v>113802</v>
      </c>
      <c r="F67" s="208">
        <f t="shared" ref="F67" si="22">+E67/E66-1</f>
        <v>1.1474433610935808E-2</v>
      </c>
      <c r="G67" s="208">
        <f t="shared" ref="G67" si="23">+E67/E55-1</f>
        <v>0.23994334277620388</v>
      </c>
      <c r="H67" s="205"/>
      <c r="I67" s="207">
        <f t="shared" ref="I67" si="24">+SUM(B56:B67)</f>
        <v>381546</v>
      </c>
      <c r="J67" s="208">
        <f t="shared" ref="J67" si="25">+I67/I55-1</f>
        <v>9.4540864626065035E-2</v>
      </c>
    </row>
    <row r="68" spans="1:77" x14ac:dyDescent="0.25">
      <c r="A68" s="174">
        <f t="shared" si="0"/>
        <v>46173</v>
      </c>
      <c r="B68">
        <v>30908</v>
      </c>
      <c r="C68" s="206">
        <f t="shared" ref="C68" si="26">+B68/B56-1</f>
        <v>0.1251956751246861</v>
      </c>
      <c r="D68" s="205"/>
      <c r="E68" s="207">
        <f t="shared" ref="E68" si="27">+SUM(B66:B68)</f>
        <v>107589</v>
      </c>
      <c r="F68" s="208">
        <f t="shared" ref="F68" si="28">+E68/E67-1</f>
        <v>-5.4594822586597758E-2</v>
      </c>
      <c r="G68" s="208">
        <f t="shared" ref="G68" si="29">+E68/E56-1</f>
        <v>0.17861837780991197</v>
      </c>
      <c r="H68" s="205"/>
      <c r="I68" s="207">
        <f t="shared" ref="I68" si="30">+SUM(B57:B68)</f>
        <v>384985</v>
      </c>
      <c r="J68" s="208">
        <f t="shared" ref="J68" si="31">+I68/I56-1</f>
        <v>0.11500977481717478</v>
      </c>
    </row>
    <row r="69" spans="1:77" s="205" customFormat="1" x14ac:dyDescent="0.25">
      <c r="A69" s="203">
        <f t="shared" si="0"/>
        <v>46203</v>
      </c>
      <c r="B69" s="203"/>
      <c r="C69" s="202"/>
      <c r="D69" s="202"/>
      <c r="E69" s="202"/>
      <c r="F69" s="202"/>
      <c r="G69" s="204"/>
      <c r="H69" s="204"/>
      <c r="I69" s="202"/>
      <c r="J69" s="202"/>
      <c r="K69" s="204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</row>
    <row r="70" spans="1:77" s="205" customFormat="1" x14ac:dyDescent="0.25">
      <c r="A70" s="203">
        <f t="shared" ref="A70:A80" si="32">+EOMONTH(A69,1)</f>
        <v>46234</v>
      </c>
      <c r="B70" s="203"/>
      <c r="C70" s="202"/>
      <c r="D70" s="202"/>
      <c r="E70" s="202"/>
      <c r="F70" s="202"/>
      <c r="G70" s="204"/>
      <c r="H70" s="204"/>
      <c r="I70" s="202"/>
      <c r="J70" s="202"/>
      <c r="K70" s="204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</row>
    <row r="71" spans="1:77" s="205" customFormat="1" x14ac:dyDescent="0.25">
      <c r="A71" s="203">
        <f t="shared" si="32"/>
        <v>46265</v>
      </c>
      <c r="B71" s="203"/>
      <c r="C71" s="202"/>
      <c r="D71" s="202"/>
      <c r="E71" s="202"/>
      <c r="F71" s="202"/>
      <c r="G71" s="204"/>
      <c r="H71" s="204"/>
      <c r="I71" s="202"/>
      <c r="J71" s="202"/>
      <c r="K71" s="204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</row>
    <row r="72" spans="1:77" s="205" customFormat="1" x14ac:dyDescent="0.25">
      <c r="A72" s="203">
        <f t="shared" si="32"/>
        <v>46295</v>
      </c>
      <c r="B72" s="203"/>
      <c r="C72" s="202"/>
      <c r="D72" s="202"/>
      <c r="E72" s="202"/>
      <c r="F72" s="202"/>
      <c r="G72" s="204"/>
      <c r="H72" s="204"/>
      <c r="I72" s="202"/>
      <c r="J72" s="202"/>
      <c r="K72" s="204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</row>
    <row r="73" spans="1:77" s="205" customFormat="1" x14ac:dyDescent="0.25">
      <c r="A73" s="203">
        <f t="shared" si="32"/>
        <v>46326</v>
      </c>
      <c r="B73" s="203"/>
      <c r="C73" s="202"/>
      <c r="D73" s="202"/>
      <c r="E73" s="202"/>
      <c r="F73" s="202"/>
      <c r="G73" s="204"/>
      <c r="H73" s="204"/>
      <c r="I73" s="202"/>
      <c r="J73" s="202"/>
      <c r="K73" s="204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</row>
    <row r="74" spans="1:77" s="205" customFormat="1" x14ac:dyDescent="0.25">
      <c r="A74" s="203">
        <f t="shared" si="32"/>
        <v>46356</v>
      </c>
      <c r="B74" s="203"/>
      <c r="C74" s="202"/>
      <c r="D74" s="202"/>
      <c r="E74" s="202"/>
      <c r="F74" s="202"/>
      <c r="G74" s="204"/>
      <c r="H74" s="204"/>
      <c r="I74" s="202"/>
      <c r="J74" s="202"/>
      <c r="K74" s="204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</row>
    <row r="75" spans="1:77" s="205" customFormat="1" x14ac:dyDescent="0.25">
      <c r="A75" s="203">
        <f t="shared" si="32"/>
        <v>46387</v>
      </c>
      <c r="B75" s="203"/>
      <c r="C75" s="202"/>
      <c r="D75" s="202"/>
      <c r="E75" s="202"/>
      <c r="F75" s="202"/>
      <c r="G75" s="204"/>
      <c r="H75" s="204"/>
      <c r="I75" s="202"/>
      <c r="J75" s="202"/>
      <c r="K75" s="204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</row>
    <row r="76" spans="1:77" s="205" customFormat="1" x14ac:dyDescent="0.25">
      <c r="A76" s="203">
        <f t="shared" si="32"/>
        <v>46418</v>
      </c>
      <c r="B76" s="203"/>
      <c r="C76" s="202"/>
      <c r="D76" s="202"/>
      <c r="E76" s="202"/>
      <c r="F76" s="202"/>
      <c r="G76" s="204"/>
      <c r="H76" s="204"/>
      <c r="I76" s="202"/>
      <c r="J76" s="202"/>
      <c r="K76" s="204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</row>
    <row r="77" spans="1:77" s="205" customFormat="1" x14ac:dyDescent="0.25">
      <c r="A77" s="203">
        <f t="shared" si="32"/>
        <v>46446</v>
      </c>
      <c r="B77" s="203"/>
      <c r="C77" s="202"/>
      <c r="D77" s="202"/>
      <c r="E77" s="202"/>
      <c r="F77" s="202"/>
      <c r="G77" s="204"/>
      <c r="H77" s="204"/>
      <c r="I77" s="202"/>
      <c r="J77" s="202"/>
      <c r="K77" s="204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</row>
    <row r="78" spans="1:77" s="205" customFormat="1" x14ac:dyDescent="0.25">
      <c r="A78" s="203">
        <f t="shared" si="32"/>
        <v>46477</v>
      </c>
      <c r="B78" s="203"/>
      <c r="C78" s="202"/>
      <c r="D78" s="202"/>
      <c r="E78" s="202"/>
      <c r="F78" s="202"/>
      <c r="G78" s="204"/>
      <c r="H78" s="204"/>
      <c r="I78" s="202"/>
      <c r="J78" s="202"/>
      <c r="K78" s="204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</row>
    <row r="79" spans="1:77" s="205" customFormat="1" x14ac:dyDescent="0.25">
      <c r="A79" s="203">
        <f t="shared" si="32"/>
        <v>46507</v>
      </c>
      <c r="B79" s="203"/>
      <c r="C79" s="202"/>
      <c r="D79" s="202"/>
      <c r="E79" s="202"/>
      <c r="F79" s="202"/>
      <c r="G79" s="204"/>
      <c r="H79" s="204"/>
      <c r="I79" s="202"/>
      <c r="J79" s="202"/>
      <c r="K79" s="204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</row>
    <row r="80" spans="1:77" s="205" customFormat="1" x14ac:dyDescent="0.25">
      <c r="A80" s="203">
        <f t="shared" si="32"/>
        <v>46538</v>
      </c>
      <c r="B80" s="203"/>
      <c r="C80" s="202"/>
      <c r="D80" s="202"/>
      <c r="E80" s="202"/>
      <c r="F80" s="202"/>
      <c r="G80" s="204"/>
      <c r="H80" s="204"/>
      <c r="I80" s="202"/>
      <c r="J80" s="202"/>
      <c r="K80" s="204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B67" activePane="bottomRight" state="frozen"/>
      <selection activeCell="A2" sqref="A2"/>
      <selection pane="topRight" activeCell="A2" sqref="A2"/>
      <selection pane="bottomLeft" activeCell="A2" sqref="A2"/>
      <selection pane="bottomRight" activeCell="BD56" sqref="BD5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322918</v>
      </c>
      <c r="C1">
        <v>0</v>
      </c>
      <c r="D1">
        <v>0</v>
      </c>
      <c r="E1">
        <v>0</v>
      </c>
      <c r="F1">
        <v>0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Motors Ltd.</v>
      </c>
    </row>
    <row r="5" spans="1:74" x14ac:dyDescent="0.25">
      <c r="A5" t="s">
        <v>251</v>
      </c>
      <c r="B5" t="s">
        <v>274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0</v>
      </c>
      <c r="AY5">
        <f>_xll.EQNXTDZ($A$1,$B5,AY$1,$B$1)</f>
        <v>0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0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275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0</v>
      </c>
      <c r="AY6">
        <f>_xll.EQNXTDZ($A$1,$B6,AY$1,$B$1)</f>
        <v>0</v>
      </c>
      <c r="AZ6">
        <f>_xll.EQNXTDZ($A$1,$B6,AZ$1,$B$1)</f>
        <v>15371</v>
      </c>
      <c r="BA6">
        <f>_xll.EQNXTDZ($A$1,$B6,BA$1,$B$1)</f>
        <v>16897</v>
      </c>
      <c r="BB6">
        <f>_xll.EQNXTDZ($A$1,$B6,BB$1,$B$1)</f>
        <v>19869</v>
      </c>
      <c r="BC6">
        <f>_xll.EQNXTDZ($A$1,$B6,BC$1,$B$1)</f>
        <v>0</v>
      </c>
      <c r="BD6">
        <f>_xll.EQNXTDZ($A$1,$B6,BD$1,$B$1)</f>
        <v>16804</v>
      </c>
      <c r="BE6">
        <f>_xll.EQNXTDZ($A$1,$B6,BE$1,$B$1)</f>
        <v>20315</v>
      </c>
      <c r="BF6">
        <f>_xll.EQNXTDZ($A$1,$B6,BF$1,$B$1)</f>
        <v>24281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252</v>
      </c>
      <c r="B7" t="s">
        <v>276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253</v>
      </c>
      <c r="B8" t="s">
        <v>277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147</v>
      </c>
      <c r="BA8">
        <f>_xll.EQNXTDZ($A$1,$B8,BA$1,$B$1)</f>
        <v>143</v>
      </c>
      <c r="BB8">
        <f>_xll.EQNXTDZ($A$1,$B8,BB$1,$B$1)</f>
        <v>130</v>
      </c>
      <c r="BC8">
        <f>_xll.EQNXTDZ($A$1,$B8,BC$1,$B$1)</f>
        <v>0</v>
      </c>
      <c r="BD8">
        <f>_xll.EQNXTDZ($A$1,$B8,BD$1,$B$1)</f>
        <v>57</v>
      </c>
      <c r="BE8">
        <f>_xll.EQNXTDZ($A$1,$B8,BE$1,$B$1)</f>
        <v>89</v>
      </c>
      <c r="BF8">
        <f>_xll.EQNXTDZ($A$1,$B8,BF$1,$B$1)</f>
        <v>171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254</v>
      </c>
      <c r="B9" t="s">
        <v>278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0</v>
      </c>
      <c r="AY9">
        <f>_xll.EQNXTDZ($A$1,$B9,AY$1,$B$1)</f>
        <v>0</v>
      </c>
      <c r="AZ9">
        <f>_xll.EQNXTDZ($A$1,$B9,AZ$1,$B$1)</f>
        <v>15518</v>
      </c>
      <c r="BA9">
        <f>_xll.EQNXTDZ($A$1,$B9,BA$1,$B$1)</f>
        <v>17040</v>
      </c>
      <c r="BB9">
        <f>_xll.EQNXTDZ($A$1,$B9,BB$1,$B$1)</f>
        <v>19999</v>
      </c>
      <c r="BC9">
        <f>_xll.EQNXTDZ($A$1,$B9,BC$1,$B$1)</f>
        <v>0</v>
      </c>
      <c r="BD9">
        <f>_xll.EQNXTDZ($A$1,$B9,BD$1,$B$1)</f>
        <v>16861</v>
      </c>
      <c r="BE9">
        <f>_xll.EQNXTDZ($A$1,$B9,BE$1,$B$1)</f>
        <v>20404</v>
      </c>
      <c r="BF9">
        <f>_xll.EQNXTDZ($A$1,$B9,BF$1,$B$1)</f>
        <v>24452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255</v>
      </c>
      <c r="B10" t="s">
        <v>279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222</v>
      </c>
      <c r="BA10">
        <f>_xll.EQNXTDZ($A$1,$B10,BA$1,$B$1)</f>
        <v>229</v>
      </c>
      <c r="BB10">
        <f>_xll.EQNXTDZ($A$1,$B10,BB$1,$B$1)</f>
        <v>555</v>
      </c>
      <c r="BC10">
        <f>_xll.EQNXTDZ($A$1,$B10,BC$1,$B$1)</f>
        <v>0</v>
      </c>
      <c r="BD10">
        <f>_xll.EQNXTDZ($A$1,$B10,BD$1,$B$1)</f>
        <v>263</v>
      </c>
      <c r="BE10">
        <f>_xll.EQNXTDZ($A$1,$B10,BE$1,$B$1)</f>
        <v>317</v>
      </c>
      <c r="BF10">
        <f>_xll.EQNXTDZ($A$1,$B10,BF$1,$B$1)</f>
        <v>164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256</v>
      </c>
      <c r="B11" t="s">
        <v>280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8756</v>
      </c>
      <c r="BA11">
        <f>_xll.EQNXTDZ($A$1,$B11,BA$1,$B$1)</f>
        <v>9741</v>
      </c>
      <c r="BB11">
        <f>_xll.EQNXTDZ($A$1,$B11,BB$1,$B$1)</f>
        <v>11104</v>
      </c>
      <c r="BC11">
        <f>_xll.EQNXTDZ($A$1,$B11,BC$1,$B$1)</f>
        <v>0</v>
      </c>
      <c r="BD11">
        <f>_xll.EQNXTDZ($A$1,$B11,BD$1,$B$1)</f>
        <v>9625</v>
      </c>
      <c r="BE11">
        <f>_xll.EQNXTDZ($A$1,$B11,BE$1,$B$1)</f>
        <v>12000</v>
      </c>
      <c r="BF11">
        <f>_xll.EQNXTDZ($A$1,$B11,BF$1,$B$1)</f>
        <v>14398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281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1551</v>
      </c>
      <c r="BA12">
        <f>_xll.EQNXTDZ($A$1,$B12,BA$1,$B$1)</f>
        <v>1747</v>
      </c>
      <c r="BB12">
        <f>_xll.EQNXTDZ($A$1,$B12,BB$1,$B$1)</f>
        <v>2054</v>
      </c>
      <c r="BC12">
        <f>_xll.EQNXTDZ($A$1,$B12,BC$1,$B$1)</f>
        <v>0</v>
      </c>
      <c r="BD12">
        <f>_xll.EQNXTDZ($A$1,$B12,BD$1,$B$1)</f>
        <v>1744</v>
      </c>
      <c r="BE12">
        <f>_xll.EQNXTDZ($A$1,$B12,BE$1,$B$1)</f>
        <v>1954</v>
      </c>
      <c r="BF12">
        <f>_xll.EQNXTDZ($A$1,$B12,BF$1,$B$1)</f>
        <v>2488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257</v>
      </c>
      <c r="B13" t="s">
        <v>282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283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0</v>
      </c>
      <c r="AY14">
        <f>_xll.EQNXTDZ($A$1,$B14,AY$1,$B$1)</f>
        <v>0</v>
      </c>
      <c r="AZ14">
        <f>_xll.EQNXTDZ($A$1,$B14,AZ$1,$B$1)</f>
        <v>2494</v>
      </c>
      <c r="BA14">
        <f>_xll.EQNXTDZ($A$1,$B14,BA$1,$B$1)</f>
        <v>2516</v>
      </c>
      <c r="BB14">
        <f>_xll.EQNXTDZ($A$1,$B14,BB$1,$B$1)</f>
        <v>2994</v>
      </c>
      <c r="BC14">
        <f>_xll.EQNXTDZ($A$1,$B14,BC$1,$B$1)</f>
        <v>0</v>
      </c>
      <c r="BD14">
        <f>_xll.EQNXTDZ($A$1,$B14,BD$1,$B$1)</f>
        <v>2279</v>
      </c>
      <c r="BE14">
        <f>_xll.EQNXTDZ($A$1,$B14,BE$1,$B$1)</f>
        <v>2602</v>
      </c>
      <c r="BF14">
        <f>_xll.EQNXTDZ($A$1,$B14,BF$1,$B$1)</f>
        <v>3179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258</v>
      </c>
      <c r="B15" t="s">
        <v>284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285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0</v>
      </c>
      <c r="AY16">
        <f>_xll.EQNXTDZ($A$1,$B16,AY$1,$B$1)</f>
        <v>0</v>
      </c>
      <c r="AZ16">
        <f>_xll.EQNXTDZ($A$1,$B16,AZ$1,$B$1)</f>
        <v>1141</v>
      </c>
      <c r="BA16">
        <f>_xll.EQNXTDZ($A$1,$B16,BA$1,$B$1)</f>
        <v>1112</v>
      </c>
      <c r="BB16">
        <f>_xll.EQNXTDZ($A$1,$B16,BB$1,$B$1)</f>
        <v>1110</v>
      </c>
      <c r="BC16">
        <f>_xll.EQNXTDZ($A$1,$B16,BC$1,$B$1)</f>
        <v>0</v>
      </c>
      <c r="BD16">
        <f>_xll.EQNXTDZ($A$1,$B16,BD$1,$B$1)</f>
        <v>1160</v>
      </c>
      <c r="BE16">
        <f>_xll.EQNXTDZ($A$1,$B16,BE$1,$B$1)</f>
        <v>1152</v>
      </c>
      <c r="BF16">
        <f>_xll.EQNXTDZ($A$1,$B16,BF$1,$B$1)</f>
        <v>1180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259</v>
      </c>
      <c r="B17" t="s">
        <v>286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260</v>
      </c>
      <c r="B18" t="s">
        <v>287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261</v>
      </c>
      <c r="B19" t="s">
        <v>288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12</v>
      </c>
      <c r="BA19">
        <f>_xll.EQNXTDZ($A$1,$B19,BA$1,$B$1)</f>
        <v>10</v>
      </c>
      <c r="BB19">
        <f>_xll.EQNXTDZ($A$1,$B19,BB$1,$B$1)</f>
        <v>60</v>
      </c>
      <c r="BC19">
        <f>_xll.EQNXTDZ($A$1,$B19,BC$1,$B$1)</f>
        <v>0</v>
      </c>
      <c r="BD19">
        <f>_xll.EQNXTDZ($A$1,$B19,BD$1,$B$1)</f>
        <v>6</v>
      </c>
      <c r="BE19">
        <f>_xll.EQNXTDZ($A$1,$B19,BE$1,$B$1)</f>
        <v>0</v>
      </c>
      <c r="BF19">
        <f>_xll.EQNXTDZ($A$1,$B19,BF$1,$B$1)</f>
        <v>29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262</v>
      </c>
      <c r="B20" t="s">
        <v>289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290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-299</v>
      </c>
      <c r="BA21">
        <f>_xll.EQNXTDZ($A$1,$B21,BA$1,$B$1)</f>
        <v>-320</v>
      </c>
      <c r="BB21">
        <f>_xll.EQNXTDZ($A$1,$B21,BB$1,$B$1)</f>
        <v>-316</v>
      </c>
      <c r="BC21">
        <f>_xll.EQNXTDZ($A$1,$B21,BC$1,$B$1)</f>
        <v>0</v>
      </c>
      <c r="BD21">
        <f>_xll.EQNXTDZ($A$1,$B21,BD$1,$B$1)</f>
        <v>-293</v>
      </c>
      <c r="BE21">
        <f>_xll.EQNXTDZ($A$1,$B21,BE$1,$B$1)</f>
        <v>-227</v>
      </c>
      <c r="BF21">
        <f>_xll.EQNXTDZ($A$1,$B21,BF$1,$B$1)</f>
        <v>-293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291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0</v>
      </c>
      <c r="AY22">
        <f>_xll.EQNXTDZ($A$1,$B22,AY$1,$B$1)</f>
        <v>0</v>
      </c>
      <c r="AZ22">
        <f>_xll.EQNXTDZ($A$1,$B22,AZ$1,$B$1)</f>
        <v>1641</v>
      </c>
      <c r="BA22">
        <f>_xll.EQNXTDZ($A$1,$B22,BA$1,$B$1)</f>
        <v>2005</v>
      </c>
      <c r="BB22">
        <f>_xll.EQNXTDZ($A$1,$B22,BB$1,$B$1)</f>
        <v>2438</v>
      </c>
      <c r="BC22">
        <f>_xll.EQNXTDZ($A$1,$B22,BC$1,$B$1)</f>
        <v>0</v>
      </c>
      <c r="BD22">
        <f>_xll.EQNXTDZ($A$1,$B22,BD$1,$B$1)</f>
        <v>2077</v>
      </c>
      <c r="BE22">
        <f>_xll.EQNXTDZ($A$1,$B22,BE$1,$B$1)</f>
        <v>2606</v>
      </c>
      <c r="BF22">
        <f>_xll.EQNXTDZ($A$1,$B22,BF$1,$B$1)</f>
        <v>3307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292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</v>
      </c>
      <c r="AY23">
        <f>_xll.EQNXTDZ($A$1,$B23,AY$1,$B$1)</f>
        <v>0</v>
      </c>
      <c r="AZ23">
        <f>_xll.EQNXTDZ($A$1,$B23,AZ$1,$B$1)</f>
        <v>176</v>
      </c>
      <c r="BA23">
        <f>_xll.EQNXTDZ($A$1,$B23,BA$1,$B$1)</f>
        <v>306</v>
      </c>
      <c r="BB23">
        <f>_xll.EQNXTDZ($A$1,$B23,BB$1,$B$1)</f>
        <v>196</v>
      </c>
      <c r="BC23">
        <f>_xll.EQNXTDZ($A$1,$B23,BC$1,$B$1)</f>
        <v>0</v>
      </c>
      <c r="BD23">
        <f>_xll.EQNXTDZ($A$1,$B23,BD$1,$B$1)</f>
        <v>278</v>
      </c>
      <c r="BE23">
        <f>_xll.EQNXTDZ($A$1,$B23,BE$1,$B$1)</f>
        <v>272</v>
      </c>
      <c r="BF23">
        <f>_xll.EQNXTDZ($A$1,$B23,BF$1,$B$1)</f>
        <v>240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293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0</v>
      </c>
      <c r="AY24">
        <f>_xll.EQNXTDZ($A$1,$B24,AY$1,$B$1)</f>
        <v>0</v>
      </c>
      <c r="AZ24">
        <f>_xll.EQNXTDZ($A$1,$B24,AZ$1,$B$1)</f>
        <v>1817</v>
      </c>
      <c r="BA24">
        <f>_xll.EQNXTDZ($A$1,$B24,BA$1,$B$1)</f>
        <v>2311</v>
      </c>
      <c r="BB24">
        <f>_xll.EQNXTDZ($A$1,$B24,BB$1,$B$1)</f>
        <v>2634</v>
      </c>
      <c r="BC24">
        <f>_xll.EQNXTDZ($A$1,$B24,BC$1,$B$1)</f>
        <v>0</v>
      </c>
      <c r="BD24">
        <f>_xll.EQNXTDZ($A$1,$B24,BD$1,$B$1)</f>
        <v>2355</v>
      </c>
      <c r="BE24">
        <f>_xll.EQNXTDZ($A$1,$B24,BE$1,$B$1)</f>
        <v>2878</v>
      </c>
      <c r="BF24">
        <f>_xll.EQNXTDZ($A$1,$B24,BF$1,$B$1)</f>
        <v>3547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294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211</v>
      </c>
      <c r="BA25">
        <f>_xll.EQNXTDZ($A$1,$B25,BA$1,$B$1)</f>
        <v>220</v>
      </c>
      <c r="BB25">
        <f>_xll.EQNXTDZ($A$1,$B25,BB$1,$B$1)</f>
        <v>219</v>
      </c>
      <c r="BC25">
        <f>_xll.EQNXTDZ($A$1,$B25,BC$1,$B$1)</f>
        <v>0</v>
      </c>
      <c r="BD25">
        <f>_xll.EQNXTDZ($A$1,$B25,BD$1,$B$1)</f>
        <v>186</v>
      </c>
      <c r="BE25">
        <f>_xll.EQNXTDZ($A$1,$B25,BE$1,$B$1)</f>
        <v>143</v>
      </c>
      <c r="BF25">
        <f>_xll.EQNXTDZ($A$1,$B25,BF$1,$B$1)</f>
        <v>126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263</v>
      </c>
      <c r="B26" t="s">
        <v>295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-33</v>
      </c>
      <c r="BA26">
        <f>_xll.EQNXTDZ($A$1,$B26,BA$1,$B$1)</f>
        <v>-24</v>
      </c>
      <c r="BB26">
        <f>_xll.EQNXTDZ($A$1,$B26,BB$1,$B$1)</f>
        <v>-228</v>
      </c>
      <c r="BC26">
        <f>_xll.EQNXTDZ($A$1,$B26,BC$1,$B$1)</f>
        <v>0</v>
      </c>
      <c r="BD26">
        <f>_xll.EQNXTDZ($A$1,$B26,BD$1,$B$1)</f>
        <v>-2366</v>
      </c>
      <c r="BE26">
        <f>_xll.EQNXTDZ($A$1,$B26,BE$1,$B$1)</f>
        <v>-1545</v>
      </c>
      <c r="BF26">
        <f>_xll.EQNXTDZ($A$1,$B26,BF$1,$B$1)</f>
        <v>220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296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0</v>
      </c>
      <c r="AY27">
        <f>_xll.EQNXTDZ($A$1,$B27,AY$1,$B$1)</f>
        <v>0</v>
      </c>
      <c r="AZ27">
        <f>_xll.EQNXTDZ($A$1,$B27,AZ$1,$B$1)</f>
        <v>1573</v>
      </c>
      <c r="BA27">
        <f>_xll.EQNXTDZ($A$1,$B27,BA$1,$B$1)</f>
        <v>2067</v>
      </c>
      <c r="BB27">
        <f>_xll.EQNXTDZ($A$1,$B27,BB$1,$B$1)</f>
        <v>2187</v>
      </c>
      <c r="BC27">
        <f>_xll.EQNXTDZ($A$1,$B27,BC$1,$B$1)</f>
        <v>0</v>
      </c>
      <c r="BD27">
        <f>_xll.EQNXTDZ($A$1,$B27,BD$1,$B$1)</f>
        <v>-197</v>
      </c>
      <c r="BE27">
        <f>_xll.EQNXTDZ($A$1,$B27,BE$1,$B$1)</f>
        <v>1190</v>
      </c>
      <c r="BF27">
        <f>_xll.EQNXTDZ($A$1,$B27,BF$1,$B$1)</f>
        <v>3641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297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484</v>
      </c>
      <c r="BA28">
        <f>_xll.EQNXTDZ($A$1,$B28,BA$1,$B$1)</f>
        <v>488</v>
      </c>
      <c r="BB28">
        <f>_xll.EQNXTDZ($A$1,$B28,BB$1,$B$1)</f>
        <v>532</v>
      </c>
      <c r="BC28">
        <f>_xll.EQNXTDZ($A$1,$B28,BC$1,$B$1)</f>
        <v>0</v>
      </c>
      <c r="BD28">
        <f>_xll.EQNXTDZ($A$1,$B28,BD$1,$B$1)</f>
        <v>412</v>
      </c>
      <c r="BE28">
        <f>_xll.EQNXTDZ($A$1,$B28,BE$1,$B$1)</f>
        <v>417</v>
      </c>
      <c r="BF28">
        <f>_xll.EQNXTDZ($A$1,$B28,BF$1,$B$1)</f>
        <v>449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298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0</v>
      </c>
      <c r="AZ29">
        <f>_xll.EQNXTDZ($A$1,$B29,AZ$1,$B$1)</f>
        <v>446</v>
      </c>
      <c r="BA29">
        <f>_xll.EQNXTDZ($A$1,$B29,BA$1,$B$1)</f>
        <v>162</v>
      </c>
      <c r="BB29">
        <f>_xll.EQNXTDZ($A$1,$B29,BB$1,$B$1)</f>
        <v>236</v>
      </c>
      <c r="BC29">
        <f>_xll.EQNXTDZ($A$1,$B29,BC$1,$B$1)</f>
        <v>0</v>
      </c>
      <c r="BD29">
        <f>_xll.EQNXTDZ($A$1,$B29,BD$1,$B$1)</f>
        <v>412</v>
      </c>
      <c r="BE29">
        <f>_xll.EQNXTDZ($A$1,$B29,BE$1,$B$1)</f>
        <v>212</v>
      </c>
      <c r="BF29">
        <f>_xll.EQNXTDZ($A$1,$B29,BF$1,$B$1)</f>
        <v>786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264</v>
      </c>
      <c r="B30" t="s">
        <v>299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0</v>
      </c>
      <c r="AY30">
        <f>_xll.EQNXTDZ($A$1,$B30,AY$1,$B$1)</f>
        <v>0</v>
      </c>
      <c r="AZ30">
        <f>_xll.EQNXTDZ($A$1,$B30,AZ$1,$B$1)</f>
        <v>643</v>
      </c>
      <c r="BA30">
        <f>_xll.EQNXTDZ($A$1,$B30,BA$1,$B$1)</f>
        <v>1417</v>
      </c>
      <c r="BB30">
        <f>_xll.EQNXTDZ($A$1,$B30,BB$1,$B$1)</f>
        <v>1419</v>
      </c>
      <c r="BC30">
        <f>_xll.EQNXTDZ($A$1,$B30,BC$1,$B$1)</f>
        <v>0</v>
      </c>
      <c r="BD30">
        <f>_xll.EQNXTDZ($A$1,$B30,BD$1,$B$1)</f>
        <v>-1021</v>
      </c>
      <c r="BE30">
        <f>_xll.EQNXTDZ($A$1,$B30,BE$1,$B$1)</f>
        <v>561</v>
      </c>
      <c r="BF30">
        <f>_xll.EQNXTDZ($A$1,$B30,BF$1,$B$1)</f>
        <v>2406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265</v>
      </c>
      <c r="B31" t="s">
        <v>300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266</v>
      </c>
      <c r="B32" t="s">
        <v>301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267</v>
      </c>
      <c r="B33" t="s">
        <v>302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303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268</v>
      </c>
      <c r="B35" t="s">
        <v>304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269</v>
      </c>
      <c r="B36" t="s">
        <v>305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270</v>
      </c>
      <c r="B37" t="s">
        <v>306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222</v>
      </c>
      <c r="B38" t="s">
        <v>307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0</v>
      </c>
      <c r="AY38">
        <f>_xll.EQNXTDZ($A$1,$B38,AY$1,$B$1)</f>
        <v>0</v>
      </c>
      <c r="AZ38">
        <f>_xll.EQNXTDZ($A$1,$B38,AZ$1,$B$1)</f>
        <v>643</v>
      </c>
      <c r="BA38">
        <f>_xll.EQNXTDZ($A$1,$B38,BA$1,$B$1)</f>
        <v>1417</v>
      </c>
      <c r="BB38">
        <f>_xll.EQNXTDZ($A$1,$B38,BB$1,$B$1)</f>
        <v>1419</v>
      </c>
      <c r="BC38">
        <f>_xll.EQNXTDZ($A$1,$B38,BC$1,$B$1)</f>
        <v>0</v>
      </c>
      <c r="BD38">
        <f>_xll.EQNXTDZ($A$1,$B38,BD$1,$B$1)</f>
        <v>-1021</v>
      </c>
      <c r="BE38">
        <f>_xll.EQNXTDZ($A$1,$B38,BE$1,$B$1)</f>
        <v>561</v>
      </c>
      <c r="BF38">
        <f>_xll.EQNXTDZ($A$1,$B38,BF$1,$B$1)</f>
        <v>2406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271</v>
      </c>
      <c r="B39" t="s">
        <v>308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272</v>
      </c>
      <c r="B40" t="s">
        <v>309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-3</v>
      </c>
      <c r="BA40">
        <f>_xll.EQNXTDZ($A$1,$B40,BA$1,$B$1)</f>
        <v>-13</v>
      </c>
      <c r="BB40">
        <f>_xll.EQNXTDZ($A$1,$B40,BB$1,$B$1)</f>
        <v>128</v>
      </c>
      <c r="BC40">
        <f>_xll.EQNXTDZ($A$1,$B40,BC$1,$B$1)</f>
        <v>0</v>
      </c>
      <c r="BD40">
        <f>_xll.EQNXTDZ($A$1,$B40,BD$1,$B$1)</f>
        <v>-86</v>
      </c>
      <c r="BE40">
        <f>_xll.EQNXTDZ($A$1,$B40,BE$1,$B$1)</f>
        <v>-13</v>
      </c>
      <c r="BF40">
        <f>_xll.EQNXTDZ($A$1,$B40,BF$1,$B$1)</f>
        <v>-23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273</v>
      </c>
      <c r="B41" t="s">
        <v>310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0</v>
      </c>
      <c r="AY41">
        <f>_xll.EQNXTDZ($A$1,$B41,AY$1,$B$1)</f>
        <v>0</v>
      </c>
      <c r="AZ41">
        <f>_xll.EQNXTDZ($A$1,$B41,AZ$1,$B$1)</f>
        <v>640</v>
      </c>
      <c r="BA41">
        <f>_xll.EQNXTDZ($A$1,$B41,BA$1,$B$1)</f>
        <v>1404</v>
      </c>
      <c r="BB41">
        <f>_xll.EQNXTDZ($A$1,$B41,BB$1,$B$1)</f>
        <v>1547</v>
      </c>
      <c r="BC41">
        <f>_xll.EQNXTDZ($A$1,$B41,BC$1,$B$1)</f>
        <v>0</v>
      </c>
      <c r="BD41">
        <f>_xll.EQNXTDZ($A$1,$B41,BD$1,$B$1)</f>
        <v>-1107</v>
      </c>
      <c r="BE41">
        <f>_xll.EQNXTDZ($A$1,$B41,BE$1,$B$1)</f>
        <v>548</v>
      </c>
      <c r="BF41">
        <f>_xll.EQNXTDZ($A$1,$B41,BF$1,$B$1)</f>
        <v>2383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311</v>
      </c>
      <c r="B42" t="s">
        <v>312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0</v>
      </c>
      <c r="AY42">
        <f>_xll.EQNXTDZ($A$1,$B42,AY$1,$B$1)</f>
        <v>0</v>
      </c>
      <c r="AZ42">
        <f>_xll.EQNXTDZ($A$1,$B42,AZ$1,$B$1)</f>
        <v>643</v>
      </c>
      <c r="BA42">
        <f>_xll.EQNXTDZ($A$1,$B42,BA$1,$B$1)</f>
        <v>1417</v>
      </c>
      <c r="BB42">
        <f>_xll.EQNXTDZ($A$1,$B42,BB$1,$B$1)</f>
        <v>1419</v>
      </c>
      <c r="BC42">
        <f>_xll.EQNXTDZ($A$1,$B42,BC$1,$B$1)</f>
        <v>0</v>
      </c>
      <c r="BD42">
        <f>_xll.EQNXTDZ($A$1,$B42,BD$1,$B$1)</f>
        <v>-1021</v>
      </c>
      <c r="BE42">
        <f>_xll.EQNXTDZ($A$1,$B42,BE$1,$B$1)</f>
        <v>561</v>
      </c>
      <c r="BF42">
        <f>_xll.EQNXTDZ($A$1,$B42,BF$1,$B$1)</f>
        <v>2406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332</v>
      </c>
      <c r="B45" t="s">
        <v>333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0</v>
      </c>
      <c r="AY45">
        <f>_xll.EQNXTDZ($A$1,$B45,AY$1,$B$1)</f>
        <v>0</v>
      </c>
      <c r="AZ45">
        <f>_xll.EQNXTDZ($A$1,$B45,AZ$1,$B$1)</f>
        <v>736.46600000000001</v>
      </c>
      <c r="BA45">
        <f>_xll.EQNXTDZ($A$1,$B45,BA$1,$B$1)</f>
        <v>736.46600000000001</v>
      </c>
      <c r="BB45">
        <f>_xll.EQNXTDZ($A$1,$B45,BB$1,$B$1)</f>
        <v>736</v>
      </c>
      <c r="BC45">
        <f>_xll.EQNXTDZ($A$1,$B45,BC$1,$B$1)</f>
        <v>0</v>
      </c>
      <c r="BD45">
        <f>_xll.EQNXTDZ($A$1,$B45,BD$1,$B$1)</f>
        <v>736.46600000000001</v>
      </c>
      <c r="BE45">
        <f>_xll.EQNXTDZ($A$1,$B45,BE$1,$B$1)</f>
        <v>736</v>
      </c>
      <c r="BF45">
        <f>_xll.EQNXTDZ($A$1,$B45,BF$1,$B$1)</f>
        <v>736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314</v>
      </c>
      <c r="B46" t="s">
        <v>334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0</v>
      </c>
      <c r="AY46">
        <f>_xll.EQNXTDZ($A$1,$B46,AY$1,$B$1)</f>
        <v>0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0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336</v>
      </c>
      <c r="B47" t="s">
        <v>337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0</v>
      </c>
      <c r="BD47">
        <f>_xll.EQNXTDZ($A$1,$B47,BD$5)</f>
        <v>0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335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0</v>
      </c>
      <c r="BD48" s="55">
        <f>_xll.EQNXTDZ($A$1,$B48,BD$5)</f>
        <v>0</v>
      </c>
      <c r="BE48" s="55">
        <f>_xll.EQNXTDZ($A$1,$B48,BE$5)</f>
        <v>415.45</v>
      </c>
      <c r="BF48" s="55">
        <f>_xll.EQNXTDZ($A$1,$B48,BF$5)</f>
        <v>394.6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326</v>
      </c>
      <c r="B49" t="s">
        <v>329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0</v>
      </c>
      <c r="BE49" s="55">
        <f>_xll.EQNXTDZ($A$1,$B49,BE$5)</f>
        <v>42.56</v>
      </c>
      <c r="BF49" s="55">
        <f>_xll.EQNXTDZ($A$1,$B49,BF$5)</f>
        <v>42.56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331</v>
      </c>
      <c r="B50" t="s">
        <v>330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x14ac:dyDescent="0.25">
      <c r="A55" t="s">
        <v>113</v>
      </c>
      <c r="B55" t="s">
        <v>372</v>
      </c>
      <c r="C55" s="55">
        <f>_xll.EQNXTDZ($A$1,$B55,C$5,$B$1)</f>
        <v>0</v>
      </c>
      <c r="D55" s="55">
        <f>_xll.EQNXTDZ($A$1,$B55,D$5,$B$1)</f>
        <v>0</v>
      </c>
      <c r="E55" s="55">
        <f>_xll.EQNXTDZ($A$1,$B55,E$5,$B$1)</f>
        <v>0</v>
      </c>
      <c r="F55" s="55">
        <f>_xll.EQNXTDZ($A$1,$B55,F$5,$B$1)</f>
        <v>0</v>
      </c>
      <c r="G55" s="55">
        <f>_xll.EQNXTDZ($A$1,$B55,G$5,$B$1)</f>
        <v>0</v>
      </c>
      <c r="H55" s="55">
        <f>_xll.EQNXTDZ($A$1,$B55,H$5,$B$1)</f>
        <v>0</v>
      </c>
      <c r="I55" s="55">
        <f>_xll.EQNXTDZ($A$1,$B55,I$5,$B$1)</f>
        <v>0</v>
      </c>
      <c r="J55" s="55">
        <f>_xll.EQNXTDZ($A$1,$B55,J$5,$B$1)</f>
        <v>0</v>
      </c>
      <c r="K55" s="55">
        <f>_xll.EQNXTDZ($A$1,$B55,K$5,$B$1)</f>
        <v>0</v>
      </c>
      <c r="L55" s="55">
        <f>_xll.EQNXTDZ($A$1,$B55,L$5,$B$1)</f>
        <v>0</v>
      </c>
      <c r="M55" s="55">
        <f>_xll.EQNXTDZ($A$1,$B55,M$5,$B$1)</f>
        <v>0</v>
      </c>
      <c r="N55" s="55">
        <f>_xll.EQNXTDZ($A$1,$B55,N$5,$B$1)</f>
        <v>0</v>
      </c>
      <c r="O55" s="55">
        <f>_xll.EQNXTDZ($A$1,$B55,O$5,$B$1)</f>
        <v>0</v>
      </c>
      <c r="P55" s="55">
        <f>_xll.EQNXTDZ($A$1,$B55,P$5,$B$1)</f>
        <v>0</v>
      </c>
      <c r="Q55" s="55">
        <f>_xll.EQNXTDZ($A$1,$B55,Q$5,$B$1)</f>
        <v>0</v>
      </c>
      <c r="R55" s="55">
        <f>_xll.EQNXTDZ($A$1,$B55,R$5,$B$1)</f>
        <v>0</v>
      </c>
      <c r="S55" s="55">
        <f>_xll.EQNXTDZ($A$1,$B55,S$5,$B$1)</f>
        <v>0</v>
      </c>
      <c r="T55" s="55">
        <f>_xll.EQNXTDZ($A$1,$B55,T$5,$B$1)</f>
        <v>0</v>
      </c>
      <c r="U55" s="55">
        <f>_xll.EQNXTDZ($A$1,$B55,U$5,$B$1)</f>
        <v>0</v>
      </c>
      <c r="V55" s="55">
        <f>_xll.EQNXTDZ($A$1,$B55,V$5,$B$1)</f>
        <v>0</v>
      </c>
      <c r="W55" s="55">
        <f>_xll.EQNXTDZ($A$1,$B55,W$5,$B$1)</f>
        <v>0</v>
      </c>
      <c r="X55" s="55">
        <f>_xll.EQNXTDZ($A$1,$B55,X$5,$B$1)</f>
        <v>0</v>
      </c>
      <c r="Y55" s="55">
        <f>_xll.EQNXTDZ($A$1,$B55,Y$5,$B$1)</f>
        <v>0</v>
      </c>
      <c r="Z55" s="55">
        <f>_xll.EQNXTDZ($A$1,$B55,Z$5,$B$1)</f>
        <v>0</v>
      </c>
      <c r="AA55" s="55">
        <f>_xll.EQNXTDZ($A$1,$B55,AA$5,$B$1)</f>
        <v>0</v>
      </c>
      <c r="AB55" s="55">
        <f>_xll.EQNXTDZ($A$1,$B55,AB$5,$B$1)</f>
        <v>0</v>
      </c>
      <c r="AC55" s="55">
        <f>_xll.EQNXTDZ($A$1,$B55,AC$5,$B$1)</f>
        <v>0</v>
      </c>
      <c r="AD55" s="55">
        <f>_xll.EQNXTDZ($A$1,$B55,AD$5,$B$1)</f>
        <v>0</v>
      </c>
      <c r="AE55" s="55">
        <f>_xll.EQNXTDZ($A$1,$B55,AE$5,$B$1)</f>
        <v>0</v>
      </c>
      <c r="AF55" s="55">
        <f>_xll.EQNXTDZ($A$1,$B55,AF$5,$B$1)</f>
        <v>0</v>
      </c>
      <c r="AG55" s="55">
        <f>_xll.EQNXTDZ($A$1,$B55,AG$5,$B$1)</f>
        <v>0</v>
      </c>
      <c r="AH55" s="55">
        <f>_xll.EQNXTDZ($A$1,$B55,AH$5,$B$1)</f>
        <v>0</v>
      </c>
      <c r="AI55" s="55">
        <f>_xll.EQNXTDZ($A$1,$B55,AI$5,$B$1)</f>
        <v>0</v>
      </c>
      <c r="AJ55" s="55">
        <f>_xll.EQNXTDZ($A$1,$B55,AJ$5,$B$1)</f>
        <v>0</v>
      </c>
      <c r="AK55" s="55">
        <f>_xll.EQNXTDZ($A$1,$B55,AK$5,$B$1)</f>
        <v>0</v>
      </c>
      <c r="AL55" s="55">
        <f>_xll.EQNXTDZ($A$1,$B55,AL$5,$B$1)</f>
        <v>0</v>
      </c>
      <c r="AM55" s="55">
        <f>_xll.EQNXTDZ($A$1,$B55,AM$5,$B$1)</f>
        <v>0</v>
      </c>
      <c r="AN55" s="55">
        <f>_xll.EQNXTDZ($A$1,$B55,AN$5,$B$1)</f>
        <v>0</v>
      </c>
      <c r="AO55" s="55">
        <f>_xll.EQNXTDZ($A$1,$B55,AO$5,$B$1)</f>
        <v>0</v>
      </c>
      <c r="AP55" s="55">
        <f>_xll.EQNXTDZ($A$1,$B55,AP$5,$B$1)</f>
        <v>0</v>
      </c>
      <c r="AQ55" s="55">
        <f>_xll.EQNXTDZ($A$1,$B55,AQ$5,$B$1)</f>
        <v>0</v>
      </c>
      <c r="AR55" s="55">
        <f>_xll.EQNXTDZ($A$1,$B55,AR$5,$B$1)</f>
        <v>0</v>
      </c>
      <c r="AS55" s="55">
        <f>_xll.EQNXTDZ($A$1,$B55,AS$5,$B$1)</f>
        <v>0</v>
      </c>
      <c r="AT55" s="55">
        <f>_xll.EQNXTDZ($A$1,$B55,AT$5,$B$1)</f>
        <v>0</v>
      </c>
      <c r="AU55" s="55">
        <f>_xll.EQNXTDZ($A$1,$B55,AU$5,$B$1)</f>
        <v>0</v>
      </c>
      <c r="AV55" s="55">
        <f>_xll.EQNXTDZ($A$1,$B55,AV$5,$B$1)</f>
        <v>0</v>
      </c>
      <c r="AW55" s="55">
        <f>_xll.EQNXTDZ($A$1,$B55,AW$5,$B$1)</f>
        <v>0</v>
      </c>
      <c r="AX55" s="55">
        <f>_xll.EQNXTDZ($A$1,$B55,AX$5,$B$1)</f>
        <v>0</v>
      </c>
      <c r="AY55" s="55">
        <f>_xll.EQNXTDZ($A$1,$B55,AY$5,$B$1)</f>
        <v>0</v>
      </c>
      <c r="AZ55" s="55">
        <f>_xll.EQNXTDZ($A$1,$B55,AZ$5,$B$1)</f>
        <v>0</v>
      </c>
      <c r="BA55" s="55">
        <f>_xll.EQNXTDZ($A$1,$B55,BA$5,$B$1)</f>
        <v>0</v>
      </c>
      <c r="BB55" s="55">
        <f>_xll.EQNXTDZ($A$1,$B55,BB$5,$B$1)</f>
        <v>202503</v>
      </c>
      <c r="BC55" s="55">
        <f>_xll.EQNXTDZ($A$1,$B55,BC$5,$B$1)</f>
        <v>0</v>
      </c>
      <c r="BD55" s="55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373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0</v>
      </c>
      <c r="AY56" s="55">
        <f>_xll.EQNXTDZ($A$1,$B56,AY$5,$B$1)</f>
        <v>0</v>
      </c>
      <c r="AZ56" s="55">
        <f>_xll.EQNXTDZ($A$1,$B56,AZ$5,$B$1)</f>
        <v>0</v>
      </c>
      <c r="BA56" s="55">
        <f>_xll.EQNXTDZ($A$1,$B56,BA$5,$B$1)</f>
        <v>0</v>
      </c>
      <c r="BB56" s="55">
        <f>_xll.EQNXTDZ($A$1,$B56,BB$5,$B$1)</f>
        <v>736</v>
      </c>
      <c r="BC56" s="55">
        <f>_xll.EQNXTDZ($A$1,$B56,BC$5,$B$1)</f>
        <v>0</v>
      </c>
      <c r="BD56" s="55">
        <f>_xll.EQNXTDZ($A$1,$B56,BD$5,$B$1)</f>
        <v>736</v>
      </c>
      <c r="BE56" s="55">
        <f>_xll.EQNXTDZ($A$1,$B56,BE$5,$B$1)</f>
        <v>0</v>
      </c>
      <c r="BF56" s="55">
        <f>_xll.EQNXTDZ($A$1,$B56,BF$5,$B$1)</f>
        <v>736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354</v>
      </c>
      <c r="B57" t="s">
        <v>374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355</v>
      </c>
      <c r="B58" t="s">
        <v>375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0</v>
      </c>
      <c r="AY58" s="55">
        <f>_xll.EQNXTDZ($A$1,$B58,AY$5,$B$1)</f>
        <v>0</v>
      </c>
      <c r="AZ58" s="55">
        <f>_xll.EQNXTDZ($A$1,$B58,AZ$5,$B$1)</f>
        <v>0</v>
      </c>
      <c r="BA58" s="55">
        <f>_xll.EQNXTDZ($A$1,$B58,BA$5,$B$1)</f>
        <v>0</v>
      </c>
      <c r="BB58" s="55">
        <f>_xll.EQNXTDZ($A$1,$B58,BB$5,$B$1)</f>
        <v>7745</v>
      </c>
      <c r="BC58" s="55">
        <f>_xll.EQNXTDZ($A$1,$B58,BC$5,$B$1)</f>
        <v>0</v>
      </c>
      <c r="BD58" s="55">
        <f>_xll.EQNXTDZ($A$1,$B58,BD$5,$B$1)</f>
        <v>9708</v>
      </c>
      <c r="BE58" s="55">
        <f>_xll.EQNXTDZ($A$1,$B58,BE$5,$B$1)</f>
        <v>0</v>
      </c>
      <c r="BF58" s="55">
        <f>_xll.EQNXTDZ($A$1,$B58,BF$5,$B$1)</f>
        <v>12663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376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0</v>
      </c>
      <c r="AY59" s="55">
        <f>_xll.EQNXTDZ($A$1,$B59,AY$5,$B$1)</f>
        <v>0</v>
      </c>
      <c r="AZ59" s="55">
        <f>_xll.EQNXTDZ($A$1,$B59,AZ$5,$B$1)</f>
        <v>0</v>
      </c>
      <c r="BA59" s="55">
        <f>_xll.EQNXTDZ($A$1,$B59,BA$5,$B$1)</f>
        <v>0</v>
      </c>
      <c r="BB59" s="55">
        <f>_xll.EQNXTDZ($A$1,$B59,BB$5,$B$1)</f>
        <v>8481</v>
      </c>
      <c r="BC59" s="55">
        <f>_xll.EQNXTDZ($A$1,$B59,BC$5,$B$1)</f>
        <v>0</v>
      </c>
      <c r="BD59" s="55">
        <f>_xll.EQNXTDZ($A$1,$B59,BD$5,$B$1)</f>
        <v>10444</v>
      </c>
      <c r="BE59" s="55">
        <f>_xll.EQNXTDZ($A$1,$B59,BE$5,$B$1)</f>
        <v>0</v>
      </c>
      <c r="BF59" s="55">
        <f>_xll.EQNXTDZ($A$1,$B59,BF$5,$B$1)</f>
        <v>13399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377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356</v>
      </c>
      <c r="B61" t="s">
        <v>378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2518</v>
      </c>
      <c r="BC61" s="55">
        <f>_xll.EQNXTDZ($A$1,$B61,BC$5,$B$1)</f>
        <v>0</v>
      </c>
      <c r="BD61" s="55">
        <f>_xll.EQNXTDZ($A$1,$B61,BD$5,$B$1)</f>
        <v>1881</v>
      </c>
      <c r="BE61" s="55">
        <f>_xll.EQNXTDZ($A$1,$B61,BE$5,$B$1)</f>
        <v>0</v>
      </c>
      <c r="BF61" s="55">
        <f>_xll.EQNXTDZ($A$1,$B61,BF$5,$B$1)</f>
        <v>896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357</v>
      </c>
      <c r="B62" t="s">
        <v>379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380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2518</v>
      </c>
      <c r="BC63" s="55">
        <f>_xll.EQNXTDZ($A$1,$B63,BC$5,$B$1)</f>
        <v>0</v>
      </c>
      <c r="BD63" s="55">
        <f>_xll.EQNXTDZ($A$1,$B63,BD$5,$B$1)</f>
        <v>1881</v>
      </c>
      <c r="BE63" s="55">
        <f>_xll.EQNXTDZ($A$1,$B63,BE$5,$B$1)</f>
        <v>0</v>
      </c>
      <c r="BF63" s="55">
        <f>_xll.EQNXTDZ($A$1,$B63,BF$5,$B$1)</f>
        <v>896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381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1276</v>
      </c>
      <c r="BC64" s="55">
        <f>_xll.EQNXTDZ($A$1,$B64,BC$5,$B$1)</f>
        <v>0</v>
      </c>
      <c r="BD64" s="55">
        <f>_xll.EQNXTDZ($A$1,$B64,BD$5,$B$1)</f>
        <v>1260</v>
      </c>
      <c r="BE64" s="55">
        <f>_xll.EQNXTDZ($A$1,$B64,BE$5,$B$1)</f>
        <v>0</v>
      </c>
      <c r="BF64" s="55">
        <f>_xll.EQNXTDZ($A$1,$B64,BF$5,$B$1)</f>
        <v>1479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382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358</v>
      </c>
      <c r="B66" t="s">
        <v>383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2123</v>
      </c>
      <c r="BC66" s="55">
        <f>_xll.EQNXTDZ($A$1,$B66,BC$5,$B$1)</f>
        <v>0</v>
      </c>
      <c r="BD66" s="55">
        <f>_xll.EQNXTDZ($A$1,$B66,BD$5,$B$1)</f>
        <v>2303</v>
      </c>
      <c r="BE66" s="55">
        <f>_xll.EQNXTDZ($A$1,$B66,BE$5,$B$1)</f>
        <v>0</v>
      </c>
      <c r="BF66" s="55">
        <f>_xll.EQNXTDZ($A$1,$B66,BF$5,$B$1)</f>
        <v>2975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384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0</v>
      </c>
      <c r="AY67" s="55">
        <f>_xll.EQNXTDZ($A$1,$B67,AY$5,$B$1)</f>
        <v>0</v>
      </c>
      <c r="AZ67" s="55">
        <f>_xll.EQNXTDZ($A$1,$B67,AZ$5,$B$1)</f>
        <v>0</v>
      </c>
      <c r="BA67" s="55">
        <f>_xll.EQNXTDZ($A$1,$B67,BA$5,$B$1)</f>
        <v>0</v>
      </c>
      <c r="BB67" s="55">
        <f>_xll.EQNXTDZ($A$1,$B67,BB$5,$B$1)</f>
        <v>14398</v>
      </c>
      <c r="BC67" s="55">
        <f>_xll.EQNXTDZ($A$1,$B67,BC$5,$B$1)</f>
        <v>0</v>
      </c>
      <c r="BD67" s="55">
        <f>_xll.EQNXTDZ($A$1,$B67,BD$5,$B$1)</f>
        <v>15888</v>
      </c>
      <c r="BE67" s="55">
        <f>_xll.EQNXTDZ($A$1,$B67,BE$5,$B$1)</f>
        <v>0</v>
      </c>
      <c r="BF67" s="55">
        <f>_xll.EQNXTDZ($A$1,$B67,BF$5,$B$1)</f>
        <v>18749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359</v>
      </c>
      <c r="B68" t="s">
        <v>385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0</v>
      </c>
      <c r="AY68" s="55">
        <f>_xll.EQNXTDZ($A$1,$B68,AY$5,$B$1)</f>
        <v>0</v>
      </c>
      <c r="AZ68" s="55">
        <f>_xll.EQNXTDZ($A$1,$B68,AZ$5,$B$1)</f>
        <v>0</v>
      </c>
      <c r="BA68" s="55">
        <f>_xll.EQNXTDZ($A$1,$B68,BA$5,$B$1)</f>
        <v>0</v>
      </c>
      <c r="BB68" s="55">
        <f>_xll.EQNXTDZ($A$1,$B68,BB$5,$B$1)</f>
        <v>12523</v>
      </c>
      <c r="BC68" s="55">
        <f>_xll.EQNXTDZ($A$1,$B68,BC$5,$B$1)</f>
        <v>0</v>
      </c>
      <c r="BD68" s="55">
        <f>_xll.EQNXTDZ($A$1,$B68,BD$5,$B$1)</f>
        <v>12653</v>
      </c>
      <c r="BE68" s="55">
        <f>_xll.EQNXTDZ($A$1,$B68,BE$5,$B$1)</f>
        <v>0</v>
      </c>
      <c r="BF68" s="55">
        <f>_xll.EQNXTDZ($A$1,$B68,BF$5,$B$1)</f>
        <v>12931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386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387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360</v>
      </c>
      <c r="B71" t="s">
        <v>388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0</v>
      </c>
      <c r="AY71" s="55">
        <f>_xll.EQNXTDZ($A$1,$B71,AY$5,$B$1)</f>
        <v>0</v>
      </c>
      <c r="AZ71" s="55">
        <f>_xll.EQNXTDZ($A$1,$B71,AZ$5,$B$1)</f>
        <v>0</v>
      </c>
      <c r="BA71" s="55">
        <f>_xll.EQNXTDZ($A$1,$B71,BA$5,$B$1)</f>
        <v>0</v>
      </c>
      <c r="BB71" s="55">
        <f>_xll.EQNXTDZ($A$1,$B71,BB$5,$B$1)</f>
        <v>12523</v>
      </c>
      <c r="BC71" s="55">
        <f>_xll.EQNXTDZ($A$1,$B71,BC$5,$B$1)</f>
        <v>0</v>
      </c>
      <c r="BD71" s="55">
        <f>_xll.EQNXTDZ($A$1,$B71,BD$5,$B$1)</f>
        <v>12653</v>
      </c>
      <c r="BE71" s="55">
        <f>_xll.EQNXTDZ($A$1,$B71,BE$5,$B$1)</f>
        <v>0</v>
      </c>
      <c r="BF71" s="55">
        <f>_xll.EQNXTDZ($A$1,$B71,BF$5,$B$1)</f>
        <v>12931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361</v>
      </c>
      <c r="B72" t="s">
        <v>389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362</v>
      </c>
      <c r="B73" t="s">
        <v>390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363</v>
      </c>
      <c r="B74" t="s">
        <v>391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650</v>
      </c>
      <c r="BC74" s="55">
        <f>_xll.EQNXTDZ($A$1,$B74,BC$5,$B$1)</f>
        <v>0</v>
      </c>
      <c r="BD74" s="55">
        <f>_xll.EQNXTDZ($A$1,$B74,BD$5,$B$1)</f>
        <v>626</v>
      </c>
      <c r="BE74" s="55">
        <f>_xll.EQNXTDZ($A$1,$B74,BE$5,$B$1)</f>
        <v>0</v>
      </c>
      <c r="BF74" s="55">
        <f>_xll.EQNXTDZ($A$1,$B74,BF$5,$B$1)</f>
        <v>673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364</v>
      </c>
      <c r="B75" t="s">
        <v>392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365</v>
      </c>
      <c r="B76" t="s">
        <v>393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366</v>
      </c>
      <c r="B77" t="s">
        <v>394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7153</v>
      </c>
      <c r="BC77" s="55">
        <f>_xll.EQNXTDZ($A$1,$B77,BC$5,$B$1)</f>
        <v>0</v>
      </c>
      <c r="BD77" s="55">
        <f>_xll.EQNXTDZ($A$1,$B77,BD$5,$B$1)</f>
        <v>9167</v>
      </c>
      <c r="BE77" s="55">
        <f>_xll.EQNXTDZ($A$1,$B77,BE$5,$B$1)</f>
        <v>0</v>
      </c>
      <c r="BF77" s="55">
        <f>_xll.EQNXTDZ($A$1,$B77,BF$5,$B$1)</f>
        <v>10036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395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255</v>
      </c>
      <c r="BC78" s="55">
        <f>_xll.EQNXTDZ($A$1,$B78,BC$5,$B$1)</f>
        <v>0</v>
      </c>
      <c r="BD78" s="55">
        <f>_xll.EQNXTDZ($A$1,$B78,BD$5,$B$1)</f>
        <v>236</v>
      </c>
      <c r="BE78" s="55">
        <f>_xll.EQNXTDZ($A$1,$B78,BE$5,$B$1)</f>
        <v>0</v>
      </c>
      <c r="BF78" s="55">
        <f>_xll.EQNXTDZ($A$1,$B78,BF$5,$B$1)</f>
        <v>217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396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2019</v>
      </c>
      <c r="BC79" s="55">
        <f>_xll.EQNXTDZ($A$1,$B79,BC$5,$B$1)</f>
        <v>0</v>
      </c>
      <c r="BD79" s="55">
        <f>_xll.EQNXTDZ($A$1,$B79,BD$5,$B$1)</f>
        <v>2125</v>
      </c>
      <c r="BE79" s="55">
        <f>_xll.EQNXTDZ($A$1,$B79,BE$5,$B$1)</f>
        <v>0</v>
      </c>
      <c r="BF79" s="55">
        <f>_xll.EQNXTDZ($A$1,$B79,BF$5,$B$1)</f>
        <v>2002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367</v>
      </c>
      <c r="B80" t="s">
        <v>397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2857</v>
      </c>
      <c r="BC80" s="55">
        <f>_xll.EQNXTDZ($A$1,$B80,BC$5,$B$1)</f>
        <v>0</v>
      </c>
      <c r="BD80" s="55">
        <f>_xll.EQNXTDZ($A$1,$B80,BD$5,$B$1)</f>
        <v>423</v>
      </c>
      <c r="BE80" s="55">
        <f>_xll.EQNXTDZ($A$1,$B80,BE$5,$B$1)</f>
        <v>0</v>
      </c>
      <c r="BF80" s="55">
        <f>_xll.EQNXTDZ($A$1,$B80,BF$5,$B$1)</f>
        <v>5123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398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3154</v>
      </c>
      <c r="BC81" s="55">
        <f>_xll.EQNXTDZ($A$1,$B81,BC$5,$B$1)</f>
        <v>0</v>
      </c>
      <c r="BD81" s="55">
        <f>_xll.EQNXTDZ($A$1,$B81,BD$5,$B$1)</f>
        <v>4199</v>
      </c>
      <c r="BE81" s="55">
        <f>_xll.EQNXTDZ($A$1,$B81,BE$5,$B$1)</f>
        <v>0</v>
      </c>
      <c r="BF81" s="55">
        <f>_xll.EQNXTDZ($A$1,$B81,BF$5,$B$1)</f>
        <v>3802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399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2278</v>
      </c>
      <c r="BC82" s="55">
        <f>_xll.EQNXTDZ($A$1,$B82,BC$5,$B$1)</f>
        <v>0</v>
      </c>
      <c r="BD82" s="55">
        <f>_xll.EQNXTDZ($A$1,$B82,BD$5,$B$1)</f>
        <v>2804</v>
      </c>
      <c r="BE82" s="55">
        <f>_xll.EQNXTDZ($A$1,$B82,BE$5,$B$1)</f>
        <v>0</v>
      </c>
      <c r="BF82" s="55">
        <f>_xll.EQNXTDZ($A$1,$B82,BF$5,$B$1)</f>
        <v>1845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400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0</v>
      </c>
      <c r="AY83" s="55">
        <f>_xll.EQNXTDZ($A$1,$B83,AY$5,$B$1)</f>
        <v>0</v>
      </c>
      <c r="AZ83" s="55">
        <f>_xll.EQNXTDZ($A$1,$B83,AZ$5,$B$1)</f>
        <v>0</v>
      </c>
      <c r="BA83" s="55">
        <f>_xll.EQNXTDZ($A$1,$B83,BA$5,$B$1)</f>
        <v>0</v>
      </c>
      <c r="BB83" s="55">
        <f>_xll.EQNXTDZ($A$1,$B83,BB$5,$B$1)</f>
        <v>1579</v>
      </c>
      <c r="BC83" s="55">
        <f>_xll.EQNXTDZ($A$1,$B83,BC$5,$B$1)</f>
        <v>0</v>
      </c>
      <c r="BD83" s="55">
        <f>_xll.EQNXTDZ($A$1,$B83,BD$5,$B$1)</f>
        <v>660</v>
      </c>
      <c r="BE83" s="55">
        <f>_xll.EQNXTDZ($A$1,$B83,BE$5,$B$1)</f>
        <v>0</v>
      </c>
      <c r="BF83" s="55">
        <f>_xll.EQNXTDZ($A$1,$B83,BF$5,$B$1)</f>
        <v>2929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401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1685</v>
      </c>
      <c r="BC84" s="55">
        <f>_xll.EQNXTDZ($A$1,$B84,BC$5,$B$1)</f>
        <v>0</v>
      </c>
      <c r="BD84" s="55">
        <f>_xll.EQNXTDZ($A$1,$B84,BD$5,$B$1)</f>
        <v>2389</v>
      </c>
      <c r="BE84" s="55">
        <f>_xll.EQNXTDZ($A$1,$B84,BE$5,$B$1)</f>
        <v>0</v>
      </c>
      <c r="BF84" s="55">
        <f>_xll.EQNXTDZ($A$1,$B84,BF$5,$B$1)</f>
        <v>1331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368</v>
      </c>
      <c r="B85" t="s">
        <v>402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3060</v>
      </c>
      <c r="BC85" s="55">
        <f>_xll.EQNXTDZ($A$1,$B85,BC$5,$B$1)</f>
        <v>0</v>
      </c>
      <c r="BD85" s="55">
        <f>_xll.EQNXTDZ($A$1,$B85,BD$5,$B$1)</f>
        <v>3591</v>
      </c>
      <c r="BE85" s="55">
        <f>_xll.EQNXTDZ($A$1,$B85,BE$5,$B$1)</f>
        <v>0</v>
      </c>
      <c r="BF85" s="55">
        <f>_xll.EQNXTDZ($A$1,$B85,BF$5,$B$1)</f>
        <v>2807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403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0</v>
      </c>
      <c r="AY86" s="55">
        <f>_xll.EQNXTDZ($A$1,$B86,AY$5,$B$1)</f>
        <v>0</v>
      </c>
      <c r="AZ86" s="55">
        <f>_xll.EQNXTDZ($A$1,$B86,AZ$5,$B$1)</f>
        <v>0</v>
      </c>
      <c r="BA86" s="55">
        <f>_xll.EQNXTDZ($A$1,$B86,BA$5,$B$1)</f>
        <v>0</v>
      </c>
      <c r="BB86" s="55">
        <f>_xll.EQNXTDZ($A$1,$B86,BB$5,$B$1)</f>
        <v>14613</v>
      </c>
      <c r="BC86" s="55">
        <f>_xll.EQNXTDZ($A$1,$B86,BC$5,$B$1)</f>
        <v>0</v>
      </c>
      <c r="BD86" s="55">
        <f>_xll.EQNXTDZ($A$1,$B86,BD$5,$B$1)</f>
        <v>14066</v>
      </c>
      <c r="BE86" s="55">
        <f>_xll.EQNXTDZ($A$1,$B86,BE$5,$B$1)</f>
        <v>0</v>
      </c>
      <c r="BF86" s="55">
        <f>_xll.EQNXTDZ($A$1,$B86,BF$5,$B$1)</f>
        <v>17837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404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405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2946</v>
      </c>
      <c r="BC88" s="55">
        <f>_xll.EQNXTDZ($A$1,$B88,BC$5,$B$1)</f>
        <v>0</v>
      </c>
      <c r="BD88" s="55">
        <f>_xll.EQNXTDZ($A$1,$B88,BD$5,$B$1)</f>
        <v>3741</v>
      </c>
      <c r="BE88" s="55">
        <f>_xll.EQNXTDZ($A$1,$B88,BE$5,$B$1)</f>
        <v>0</v>
      </c>
      <c r="BF88" s="55">
        <f>_xll.EQNXTDZ($A$1,$B88,BF$5,$B$1)</f>
        <v>2033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406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13263</v>
      </c>
      <c r="BC89" s="55">
        <f>_xll.EQNXTDZ($A$1,$B89,BC$5,$B$1)</f>
        <v>0</v>
      </c>
      <c r="BD89" s="55">
        <f>_xll.EQNXTDZ($A$1,$B89,BD$5,$B$1)</f>
        <v>13260</v>
      </c>
      <c r="BE89" s="55">
        <f>_xll.EQNXTDZ($A$1,$B89,BE$5,$B$1)</f>
        <v>0</v>
      </c>
      <c r="BF89" s="55">
        <f>_xll.EQNXTDZ($A$1,$B89,BF$5,$B$1)</f>
        <v>14446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369</v>
      </c>
      <c r="B90" t="s">
        <v>407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408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0</v>
      </c>
      <c r="AY91" s="55">
        <f>_xll.EQNXTDZ($A$1,$B91,AY$5,$B$1)</f>
        <v>0</v>
      </c>
      <c r="AZ91" s="55">
        <f>_xll.EQNXTDZ($A$1,$B91,AZ$5,$B$1)</f>
        <v>0</v>
      </c>
      <c r="BA91" s="55">
        <f>_xll.EQNXTDZ($A$1,$B91,BA$5,$B$1)</f>
        <v>0</v>
      </c>
      <c r="BB91" s="55">
        <f>_xll.EQNXTDZ($A$1,$B91,BB$5,$B$1)</f>
        <v>3856</v>
      </c>
      <c r="BC91" s="55">
        <f>_xll.EQNXTDZ($A$1,$B91,BC$5,$B$1)</f>
        <v>0</v>
      </c>
      <c r="BD91" s="55">
        <f>_xll.EQNXTDZ($A$1,$B91,BD$5,$B$1)</f>
        <v>2838</v>
      </c>
      <c r="BE91" s="55">
        <f>_xll.EQNXTDZ($A$1,$B91,BE$5,$B$1)</f>
        <v>0</v>
      </c>
      <c r="BF91" s="55">
        <f>_xll.EQNXTDZ($A$1,$B91,BF$5,$B$1)</f>
        <v>4904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370</v>
      </c>
      <c r="B92" t="s">
        <v>409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2115</v>
      </c>
      <c r="BC92" s="55">
        <f>_xll.EQNXTDZ($A$1,$B92,BC$5,$B$1)</f>
        <v>0</v>
      </c>
      <c r="BD92" s="55">
        <f>_xll.EQNXTDZ($A$1,$B92,BD$5,$B$1)</f>
        <v>2214</v>
      </c>
      <c r="BE92" s="55">
        <f>_xll.EQNXTDZ($A$1,$B92,BE$5,$B$1)</f>
        <v>0</v>
      </c>
      <c r="BF92" s="55">
        <f>_xll.EQNXTDZ($A$1,$B92,BF$5,$B$1)</f>
        <v>2347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410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0</v>
      </c>
      <c r="AY93" s="55">
        <f>_xll.EQNXTDZ($A$1,$B93,AY$5,$B$1)</f>
        <v>0</v>
      </c>
      <c r="AZ93" s="55">
        <f>_xll.EQNXTDZ($A$1,$B93,AZ$5,$B$1)</f>
        <v>0</v>
      </c>
      <c r="BA93" s="55">
        <f>_xll.EQNXTDZ($A$1,$B93,BA$5,$B$1)</f>
        <v>0</v>
      </c>
      <c r="BB93" s="55">
        <f>_xll.EQNXTDZ($A$1,$B93,BB$5,$B$1)</f>
        <v>22180</v>
      </c>
      <c r="BC93" s="55">
        <f>_xll.EQNXTDZ($A$1,$B93,BC$5,$B$1)</f>
        <v>0</v>
      </c>
      <c r="BD93" s="55">
        <f>_xll.EQNXTDZ($A$1,$B93,BD$5,$B$1)</f>
        <v>22053</v>
      </c>
      <c r="BE93" s="55">
        <f>_xll.EQNXTDZ($A$1,$B93,BE$5,$B$1)</f>
        <v>0</v>
      </c>
      <c r="BF93" s="55">
        <f>_xll.EQNXTDZ($A$1,$B93,BF$5,$B$1)</f>
        <v>23730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371</v>
      </c>
      <c r="B94" t="s">
        <v>411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0</v>
      </c>
      <c r="AY94" s="55">
        <f>_xll.EQNXTDZ($A$1,$B94,AY$5,$B$1)</f>
        <v>0</v>
      </c>
      <c r="AZ94" s="55">
        <f>_xll.EQNXTDZ($A$1,$B94,AZ$5,$B$1)</f>
        <v>0</v>
      </c>
      <c r="BA94" s="55">
        <f>_xll.EQNXTDZ($A$1,$B94,BA$5,$B$1)</f>
        <v>0</v>
      </c>
      <c r="BB94" s="55">
        <f>_xll.EQNXTDZ($A$1,$B94,BB$5,$B$1)</f>
        <v>-7567</v>
      </c>
      <c r="BC94" s="55">
        <f>_xll.EQNXTDZ($A$1,$B94,BC$5,$B$1)</f>
        <v>0</v>
      </c>
      <c r="BD94" s="55">
        <f>_xll.EQNXTDZ($A$1,$B94,BD$5,$B$1)</f>
        <v>-7987</v>
      </c>
      <c r="BE94" s="55">
        <f>_xll.EQNXTDZ($A$1,$B94,BE$5,$B$1)</f>
        <v>0</v>
      </c>
      <c r="BF94" s="55">
        <f>_xll.EQNXTDZ($A$1,$B94,BF$5,$B$1)</f>
        <v>-5893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412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413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-635</v>
      </c>
      <c r="BC96" s="55">
        <f>_xll.EQNXTDZ($A$1,$B96,BC$5,$B$1)</f>
        <v>0</v>
      </c>
      <c r="BD96" s="55">
        <f>_xll.EQNXTDZ($A$1,$B96,BD$5,$B$1)</f>
        <v>-932</v>
      </c>
      <c r="BE96" s="55">
        <f>_xll.EQNXTDZ($A$1,$B96,BE$5,$B$1)</f>
        <v>0</v>
      </c>
      <c r="BF96" s="55">
        <f>_xll.EQNXTDZ($A$1,$B96,BF$5,$B$1)</f>
        <v>-1217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414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0</v>
      </c>
      <c r="AY97" s="55">
        <f>_xll.EQNXTDZ($A$1,$B97,AY$5,$B$1)</f>
        <v>0</v>
      </c>
      <c r="AZ97" s="55">
        <f>_xll.EQNXTDZ($A$1,$B97,AZ$5,$B$1)</f>
        <v>0</v>
      </c>
      <c r="BA97" s="55">
        <f>_xll.EQNXTDZ($A$1,$B97,BA$5,$B$1)</f>
        <v>0</v>
      </c>
      <c r="BB97" s="55">
        <f>_xll.EQNXTDZ($A$1,$B97,BB$5,$B$1)</f>
        <v>14398</v>
      </c>
      <c r="BC97" s="55">
        <f>_xll.EQNXTDZ($A$1,$B97,BC$5,$B$1)</f>
        <v>0</v>
      </c>
      <c r="BD97" s="55">
        <f>_xll.EQNXTDZ($A$1,$B97,BD$5,$B$1)</f>
        <v>15888</v>
      </c>
      <c r="BE97" s="55">
        <f>_xll.EQNXTDZ($A$1,$B97,BE$5,$B$1)</f>
        <v>0</v>
      </c>
      <c r="BF97" s="55">
        <f>_xll.EQNXTDZ($A$1,$B97,BF$5,$B$1)</f>
        <v>18749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U37" activePane="bottomRight" state="frozen"/>
      <selection pane="topRight" activeCell="C1" sqref="C1"/>
      <selection pane="bottomLeft" activeCell="A6" sqref="A6"/>
      <selection pane="bottomRight" activeCell="B2" sqref="B2"/>
    </sheetView>
  </sheetViews>
  <sheetFormatPr defaultRowHeight="15" x14ac:dyDescent="0.25"/>
  <cols>
    <col min="1" max="1" width="35.42578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  <col min="28" max="32" width="9.7109375" bestFit="1" customWidth="1"/>
  </cols>
  <sheetData>
    <row r="1" spans="1:32" x14ac:dyDescent="0.25">
      <c r="A1" s="57">
        <v>322918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Motors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 s="100">
        <f>_xll.EQNXTDZ($A$1,$B6,AB$1,$B$1)</f>
        <v>77399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 s="100">
        <f>_xll.EQNXTDZ($A$1,$B10,AB$1,$B$1)</f>
        <v>77399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 s="100">
        <f>_xll.EQNXTDZ($A$1,$B11,AB$1,$B$1)</f>
        <v>-432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 s="100">
        <f>_xll.EQNXTDZ($A$1,$B12,AB$1,$B$1)</f>
        <v>53905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 s="100">
        <f>_xll.EQNXTDZ($A$1,$B13,AB$1,$B$1)</f>
        <v>423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 s="100">
        <f>_xll.EQNXTDZ($A$1,$B14,AB$1,$B$1)</f>
        <v>4656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 s="100">
        <f>_xll.EQNXTDZ($A$1,$B15,AB$1,$B$1)</f>
        <v>4308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7.8399999999999997E-2</v>
      </c>
      <c r="AB17" s="100">
        <f>_xll.EQNXTDZ($A$1,$B17,AB$1,$B$1)</f>
        <v>1026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 s="100">
        <f>_xll.EQNXTDZ($A$1,$B18,AB$1,$B$1)</f>
        <v>4639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 s="100">
        <f>_xll.EQNXTDZ($A$1,$B19,AB$1,$B$1)</f>
        <v>-1042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7.8399999999999997E-2</v>
      </c>
      <c r="AB21" s="100">
        <f>_xll.EQNXTDZ($A$1,$B21,AB$1,$B$1)</f>
        <v>67483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-7.8399999999999997E-2</v>
      </c>
      <c r="AB22" s="100">
        <f>_xll.EQNXTDZ($A$1,$B22,AB$1,$B$1)</f>
        <v>9916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 s="100">
        <f>_xll.EQNXTDZ($A$1,$B23,AB$1,$B$1)</f>
        <v>1097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-7.8399999999999997E-2</v>
      </c>
      <c r="AB24" s="100">
        <f>_xll.EQNXTDZ($A$1,$B24,AB$1,$B$1)</f>
        <v>11013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 s="100">
        <f>_xll.EQNXTDZ($A$1,$B25,AB$1,$B$1)</f>
        <v>629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-7.8399999999999997E-2</v>
      </c>
      <c r="AB26" s="100">
        <f>_xll.EQNXTDZ($A$1,$B26,AB$1,$B$1)</f>
        <v>10384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 s="100">
        <f>_xll.EQNXTDZ($A$1,$B27,AB$1,$B$1)</f>
        <v>1702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 s="100">
        <f>_xll.EQNXTDZ($A$1,$B29,AB$1,$B$1)</f>
        <v>-3700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 s="100">
        <f>_xll.EQNXTDZ($A$1,$B30,AB$1,$B$1)</f>
        <v>1620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x14ac:dyDescent="0.25">
      <c r="A35" t="s">
        <v>222</v>
      </c>
      <c r="B35" t="s">
        <v>223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-7.8399999999999997E-2</v>
      </c>
      <c r="AB35" s="100">
        <f>_xll.EQNXTDZ($A$1,$B35,AB$1,$B$1)</f>
        <v>3362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224</v>
      </c>
      <c r="B36" t="s">
        <v>225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</v>
      </c>
      <c r="Y41" s="55">
        <f>_xll.EQNXTDZ($A$1,$B41,Y$1,$B$1)</f>
        <v>0</v>
      </c>
      <c r="Z41" s="55">
        <f>_xll.EQNXTDZ($A$1,$B41,Z$1,$B$1)</f>
        <v>0</v>
      </c>
      <c r="AA41" s="55">
        <f>_xll.EQNXTDZ($A$1,$B41,AA$1,$B$1)</f>
        <v>0.1</v>
      </c>
      <c r="AB41" s="55">
        <f>_xll.EQNXTDZ($A$1,$B41,AB$1,$B$1)</f>
        <v>736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32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0</v>
      </c>
      <c r="Y43" s="55">
        <f>_xll.EQNXTDZ($A$1,$B43,Y$1,$B$1)</f>
        <v>0</v>
      </c>
      <c r="Z43" s="55">
        <f>_xll.EQNXTDZ($A$1,$B43,Z$1,$B$1)</f>
        <v>0</v>
      </c>
      <c r="AA43" s="55">
        <f>_xll.EQNXTDZ($A$1,$B43,AA$1,$B$1)</f>
        <v>-7.8399999999999997E-2</v>
      </c>
      <c r="AB43" s="55">
        <f>_xll.EQNXTDZ($A$1,$B43,AB$1,$B$1)</f>
        <v>12631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0</v>
      </c>
      <c r="Z44" s="55">
        <f>_xll.EQNXTDZ($A$1,$B44,Z$1,$B$1)</f>
        <v>0</v>
      </c>
      <c r="AA44" s="55">
        <f>_xll.EQNXTDZ($A$1,$B44,AA$1,$B$1)</f>
        <v>2.1600000000000001E-2</v>
      </c>
      <c r="AB44" s="55">
        <f>_xll.EQNXTDZ($A$1,$B44,AB$1,$B$1)</f>
        <v>13399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96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800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0</v>
      </c>
      <c r="AB49" s="55">
        <f>_xll.EQNXTDZ($A$1,$B49,AB$1,$B$1)</f>
        <v>1217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1479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2975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0</v>
      </c>
      <c r="AA53" s="55">
        <f>_xll.EQNXTDZ($A$1,$B53,AA$1,$B$1)</f>
        <v>0</v>
      </c>
      <c r="AB53" s="55">
        <f>_xll.EQNXTDZ($A$1,$B53,AB$1,$B$1)</f>
        <v>6567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0.05</v>
      </c>
      <c r="AB54" s="55">
        <f>_xll.EQNXTDZ($A$1,$B54,AB$1,$B$1)</f>
        <v>14446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0</v>
      </c>
      <c r="Z55" s="55">
        <f>_xll.EQNXTDZ($A$1,$B55,Z$1,$B$1)</f>
        <v>0</v>
      </c>
      <c r="AA55" s="55">
        <f>_xll.EQNXTDZ($A$1,$B55,AA$1,$B$1)</f>
        <v>2.8400000000000002E-2</v>
      </c>
      <c r="AB55" s="55">
        <f>_xll.EQNXTDZ($A$1,$B55,AB$1,$B$1)</f>
        <v>6472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393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0</v>
      </c>
      <c r="Z57" s="55">
        <f>_xll.EQNXTDZ($A$1,$B57,Z$1,$B$1)</f>
        <v>0</v>
      </c>
      <c r="AA57" s="55">
        <f>_xll.EQNXTDZ($A$1,$B57,AA$1,$B$1)</f>
        <v>0</v>
      </c>
      <c r="AB57" s="55">
        <f>_xll.EQNXTDZ($A$1,$B57,AB$1,$B$1)</f>
        <v>2419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7.8399999999999997E-2</v>
      </c>
      <c r="AB59" s="55">
        <f>_xll.EQNXTDZ($A$1,$B59,AB$1,$B$1)</f>
        <v>23730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0</v>
      </c>
      <c r="Z60" s="55">
        <f>_xll.EQNXTDZ($A$1,$B60,Z$1,$B$1)</f>
        <v>0</v>
      </c>
      <c r="AA60" s="55">
        <f>_xll.EQNXTDZ($A$1,$B60,AA$1,$B$1)</f>
        <v>0.1</v>
      </c>
      <c r="AB60" s="55">
        <f>_xll.EQNXTDZ($A$1,$B60,AB$1,$B$1)</f>
        <v>43696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0</v>
      </c>
      <c r="Z62" s="55">
        <f>_xll.EQNXTDZ($A$1,$B62,Z$1,$B$1)</f>
        <v>0</v>
      </c>
      <c r="AA62" s="55">
        <f>_xll.EQNXTDZ($A$1,$B62,AA$1,$B$1)</f>
        <v>0</v>
      </c>
      <c r="AB62" s="55">
        <f>_xll.EQNXTDZ($A$1,$B62,AB$1,$B$1)</f>
        <v>33647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0</v>
      </c>
      <c r="Z63" s="55">
        <f>_xll.EQNXTDZ($A$1,$B63,Z$1,$B$1)</f>
        <v>0</v>
      </c>
      <c r="AA63" s="55">
        <f>_xll.EQNXTDZ($A$1,$B63,AA$1,$B$1)</f>
        <v>0</v>
      </c>
      <c r="AB63" s="55">
        <f>_xll.EQNXTDZ($A$1,$B63,AB$1,$B$1)</f>
        <v>21569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0</v>
      </c>
      <c r="Z65" s="55">
        <f>_xll.EQNXTDZ($A$1,$B65,Z$1,$B$1)</f>
        <v>0</v>
      </c>
      <c r="AA65" s="55">
        <f>_xll.EQNXTDZ($A$1,$B65,AA$1,$B$1)</f>
        <v>0</v>
      </c>
      <c r="AB65" s="55">
        <f>_xll.EQNXTDZ($A$1,$B65,AB$1,$B$1)</f>
        <v>12078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673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1297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10036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560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1215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0</v>
      </c>
      <c r="Z74" s="55">
        <f>_xll.EQNXTDZ($A$1,$B74,Z$1,$B$1)</f>
        <v>0</v>
      </c>
      <c r="AA74" s="55">
        <f>_xll.EQNXTDZ($A$1,$B74,AA$1,$B$1)</f>
        <v>0</v>
      </c>
      <c r="AB74" s="55">
        <f>_xll.EQNXTDZ($A$1,$B74,AB$1,$B$1)</f>
        <v>25859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5123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3802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1845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0</v>
      </c>
      <c r="Y78" s="55">
        <f>_xll.EQNXTDZ($A$1,$B78,Y$1,$B$1)</f>
        <v>0</v>
      </c>
      <c r="Z78" s="55">
        <f>_xll.EQNXTDZ($A$1,$B78,Z$1,$B$1)</f>
        <v>0</v>
      </c>
      <c r="AA78" s="55">
        <f>_xll.EQNXTDZ($A$1,$B78,AA$1,$B$1)</f>
        <v>0.1</v>
      </c>
      <c r="AB78" s="55">
        <f>_xll.EQNXTDZ($A$1,$B78,AB$1,$B$1)</f>
        <v>2929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0</v>
      </c>
      <c r="Z79" s="55">
        <f>_xll.EQNXTDZ($A$1,$B79,Z$1,$B$1)</f>
        <v>0</v>
      </c>
      <c r="AA79" s="55">
        <f>_xll.EQNXTDZ($A$1,$B79,AA$1,$B$1)</f>
        <v>0</v>
      </c>
      <c r="AB79" s="55">
        <f>_xll.EQNXTDZ($A$1,$B79,AB$1,$B$1)</f>
        <v>592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3546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0.1</v>
      </c>
      <c r="AB82" s="55">
        <f>_xll.EQNXTDZ($A$1,$B82,AB$1,$B$1)</f>
        <v>17837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0</v>
      </c>
      <c r="Z84" s="55">
        <f>_xll.EQNXTDZ($A$1,$B84,Z$1,$B$1)</f>
        <v>0</v>
      </c>
      <c r="AA84" s="55">
        <f>_xll.EQNXTDZ($A$1,$B84,AA$1,$B$1)</f>
        <v>0.1</v>
      </c>
      <c r="AB84" s="55">
        <f>_xll.EQNXTDZ($A$1,$B84,AB$1,$B$1)</f>
        <v>43696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1707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238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226</v>
      </c>
      <c r="B87" t="s">
        <v>230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1500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227</v>
      </c>
      <c r="B88" t="s">
        <v>231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140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228</v>
      </c>
      <c r="B89" t="s">
        <v>232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229</v>
      </c>
      <c r="B90" t="s">
        <v>233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237</v>
      </c>
      <c r="B91" t="s">
        <v>234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236</v>
      </c>
      <c r="B92" t="s">
        <v>235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244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1707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239</v>
      </c>
      <c r="B94" t="s">
        <v>245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246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240</v>
      </c>
      <c r="B96" t="s">
        <v>247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241</v>
      </c>
      <c r="B97" t="s">
        <v>248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242</v>
      </c>
      <c r="B98" t="s">
        <v>249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243</v>
      </c>
      <c r="B99" t="s">
        <v>250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313</v>
      </c>
      <c r="B104" t="s">
        <v>319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0</v>
      </c>
      <c r="Y104" s="55">
        <f>_xll.EQNXTDZ($A$1,$B104,Y$1,$B$1)</f>
        <v>0</v>
      </c>
      <c r="Z104" s="55">
        <f>_xll.EQNXTDZ($A$1,$B104,Z$1,$B$1)</f>
        <v>0</v>
      </c>
      <c r="AA104" s="55">
        <f>_xll.EQNXTDZ($A$1,$B104,AA$1,$B$1)</f>
        <v>0.1</v>
      </c>
      <c r="AB104" s="55">
        <f>_xll.EQNXTDZ($A$1,$B104,AB$1,$B$1)</f>
        <v>736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314</v>
      </c>
      <c r="B105" t="s">
        <v>320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0</v>
      </c>
      <c r="Y105" s="55">
        <f>_xll.EQNXTDZ($A$1,$B105,Y$1,$B$1)</f>
        <v>0</v>
      </c>
      <c r="Z105" s="55">
        <f>_xll.EQNXTDZ($A$1,$B105,Z$1,$B$1)</f>
        <v>0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315</v>
      </c>
      <c r="B106" t="s">
        <v>321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394.6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316</v>
      </c>
      <c r="B107" t="s">
        <v>322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508.95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317</v>
      </c>
      <c r="B108" t="s">
        <v>323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306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318</v>
      </c>
      <c r="B109" t="s">
        <v>324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145212.79999999999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325</v>
      </c>
      <c r="B110" t="s">
        <v>327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4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251</v>
      </c>
      <c r="B111" t="s">
        <v>328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0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326</v>
      </c>
      <c r="B112" t="s">
        <v>329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42.56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331</v>
      </c>
      <c r="B113" t="s">
        <v>330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JR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JR7" sqref="JR7"/>
    </sheetView>
  </sheetViews>
  <sheetFormatPr defaultRowHeight="15" x14ac:dyDescent="0.25"/>
  <cols>
    <col min="1" max="1" width="16.28515625" bestFit="1" customWidth="1"/>
    <col min="2" max="2" width="21.28515625" bestFit="1" customWidth="1"/>
  </cols>
  <sheetData>
    <row r="1" spans="1:278" x14ac:dyDescent="0.25">
      <c r="A1" s="97">
        <f>'QTR Raw'!A1</f>
        <v>322918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</row>
    <row r="2" spans="1:278" x14ac:dyDescent="0.25">
      <c r="FF2" s="174">
        <v>45901</v>
      </c>
      <c r="FG2" s="174">
        <f>+EOMONTH(FF2,1)</f>
        <v>45961</v>
      </c>
      <c r="FH2" s="174">
        <f t="shared" ref="FH2:HH2" si="0">+EOMONTH(FG2,1)</f>
        <v>45991</v>
      </c>
      <c r="FI2" s="174">
        <f t="shared" si="0"/>
        <v>46022</v>
      </c>
      <c r="FJ2" s="174">
        <f t="shared" si="0"/>
        <v>46053</v>
      </c>
      <c r="FK2" s="174">
        <f t="shared" si="0"/>
        <v>46081</v>
      </c>
      <c r="FL2" s="174">
        <f t="shared" si="0"/>
        <v>46112</v>
      </c>
      <c r="FM2" s="174">
        <f t="shared" si="0"/>
        <v>46142</v>
      </c>
      <c r="FN2" s="174">
        <f t="shared" si="0"/>
        <v>46173</v>
      </c>
      <c r="FO2" s="174">
        <f t="shared" si="0"/>
        <v>46203</v>
      </c>
      <c r="FP2" s="174">
        <f t="shared" si="0"/>
        <v>46234</v>
      </c>
      <c r="FQ2" s="174">
        <f t="shared" si="0"/>
        <v>46265</v>
      </c>
      <c r="FR2" s="174">
        <f t="shared" si="0"/>
        <v>46295</v>
      </c>
      <c r="FS2" s="174">
        <f t="shared" si="0"/>
        <v>46326</v>
      </c>
      <c r="FT2" s="174">
        <f t="shared" si="0"/>
        <v>46356</v>
      </c>
      <c r="FU2" s="174">
        <f t="shared" si="0"/>
        <v>46387</v>
      </c>
      <c r="FV2" s="174">
        <f t="shared" si="0"/>
        <v>46418</v>
      </c>
      <c r="FW2" s="174">
        <f t="shared" si="0"/>
        <v>46446</v>
      </c>
      <c r="FX2" s="174">
        <f t="shared" si="0"/>
        <v>46477</v>
      </c>
      <c r="FY2" s="174">
        <f t="shared" si="0"/>
        <v>46507</v>
      </c>
      <c r="FZ2" s="174">
        <f t="shared" si="0"/>
        <v>46538</v>
      </c>
      <c r="GA2" s="174">
        <f t="shared" si="0"/>
        <v>46568</v>
      </c>
      <c r="GB2" s="174">
        <f t="shared" si="0"/>
        <v>46599</v>
      </c>
      <c r="GC2" s="174">
        <f t="shared" si="0"/>
        <v>46630</v>
      </c>
      <c r="GD2" s="174">
        <f t="shared" si="0"/>
        <v>46660</v>
      </c>
      <c r="GE2" s="174">
        <f t="shared" si="0"/>
        <v>46691</v>
      </c>
      <c r="GF2" s="174">
        <f t="shared" si="0"/>
        <v>46721</v>
      </c>
      <c r="GG2" s="174">
        <f t="shared" si="0"/>
        <v>46752</v>
      </c>
      <c r="GH2" s="174">
        <f t="shared" si="0"/>
        <v>46783</v>
      </c>
      <c r="GI2" s="174">
        <f t="shared" si="0"/>
        <v>46812</v>
      </c>
      <c r="GJ2" s="174">
        <f t="shared" si="0"/>
        <v>46843</v>
      </c>
      <c r="GK2" s="174">
        <f t="shared" si="0"/>
        <v>46873</v>
      </c>
      <c r="GL2" s="174">
        <f t="shared" si="0"/>
        <v>46904</v>
      </c>
      <c r="GM2" s="174">
        <f t="shared" si="0"/>
        <v>46934</v>
      </c>
      <c r="GN2" s="174">
        <f t="shared" si="0"/>
        <v>46965</v>
      </c>
      <c r="GO2" s="174">
        <f t="shared" si="0"/>
        <v>46996</v>
      </c>
      <c r="GP2" s="174">
        <f t="shared" si="0"/>
        <v>47026</v>
      </c>
      <c r="GQ2" s="174">
        <f t="shared" si="0"/>
        <v>47057</v>
      </c>
      <c r="GR2" s="174">
        <f t="shared" si="0"/>
        <v>47087</v>
      </c>
      <c r="GS2" s="174">
        <f t="shared" si="0"/>
        <v>47118</v>
      </c>
      <c r="GT2" s="174">
        <f t="shared" si="0"/>
        <v>47149</v>
      </c>
      <c r="GU2" s="174">
        <f t="shared" si="0"/>
        <v>47177</v>
      </c>
      <c r="GV2" s="174">
        <f t="shared" si="0"/>
        <v>47208</v>
      </c>
      <c r="GW2" s="174">
        <f t="shared" si="0"/>
        <v>47238</v>
      </c>
      <c r="GX2" s="174">
        <f t="shared" si="0"/>
        <v>47269</v>
      </c>
      <c r="GY2" s="174">
        <f t="shared" si="0"/>
        <v>47299</v>
      </c>
      <c r="GZ2" s="174">
        <f t="shared" si="0"/>
        <v>47330</v>
      </c>
      <c r="HA2" s="174">
        <f t="shared" si="0"/>
        <v>47361</v>
      </c>
      <c r="HB2" s="174">
        <f t="shared" si="0"/>
        <v>47391</v>
      </c>
      <c r="HC2" s="174">
        <f t="shared" si="0"/>
        <v>47422</v>
      </c>
      <c r="HD2" s="174">
        <f t="shared" si="0"/>
        <v>47452</v>
      </c>
      <c r="HE2" s="174">
        <f t="shared" si="0"/>
        <v>47483</v>
      </c>
      <c r="HF2" s="174">
        <f t="shared" si="0"/>
        <v>47514</v>
      </c>
      <c r="HG2" s="174">
        <f t="shared" si="0"/>
        <v>47542</v>
      </c>
      <c r="HH2" s="174">
        <f t="shared" si="0"/>
        <v>47573</v>
      </c>
      <c r="HI2" s="174"/>
      <c r="HJ2" s="174"/>
      <c r="HK2" s="174"/>
      <c r="HL2" s="174"/>
    </row>
    <row r="4" spans="1:278" x14ac:dyDescent="0.25">
      <c r="A4" t="s">
        <v>110</v>
      </c>
      <c r="B4" t="s">
        <v>111</v>
      </c>
    </row>
    <row r="5" spans="1:278" x14ac:dyDescent="0.25">
      <c r="A5" t="s">
        <v>415</v>
      </c>
      <c r="B5" t="s">
        <v>417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78" x14ac:dyDescent="0.25">
      <c r="A6" t="s">
        <v>416</v>
      </c>
      <c r="B6" t="s">
        <v>418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335</v>
      </c>
      <c r="FI6" cm="1">
        <f t="array" ref="FI6">_xll.EQNXTDZ($A$1,$B6,FI$1)</f>
        <v>352.45</v>
      </c>
      <c r="FJ6" cm="1">
        <f t="array" ref="FJ6">_xll.EQNXTDZ($A$1,$B6,FJ$1)</f>
        <v>419.2</v>
      </c>
      <c r="FK6" cm="1">
        <f t="array" ref="FK6">_xll.EQNXTDZ($A$1,$B6,FK$1)</f>
        <v>458.5</v>
      </c>
      <c r="FL6" cm="1">
        <f t="array" ref="FL6">_xll.EQNXTDZ($A$1,$B6,FL$1)</f>
        <v>485</v>
      </c>
      <c r="FM6" cm="1">
        <f t="array" ref="FM6">_xll.EQNXTDZ($A$1,$B6,FM$1)</f>
        <v>414.5</v>
      </c>
      <c r="FN6" cm="1">
        <f t="array" ref="FN6">_xll.EQNXTDZ($A$1,$B6,FN$1)</f>
        <v>415</v>
      </c>
      <c r="FO6" cm="1">
        <f t="array" ref="FO6">_xll.EQNXTDZ($A$1,$B6,FO$1)</f>
        <v>385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78" s="116" customFormat="1" x14ac:dyDescent="0.25">
      <c r="A7" s="116" t="s">
        <v>38</v>
      </c>
      <c r="B7" s="116" t="s">
        <v>419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359.9</v>
      </c>
      <c r="FI7" s="116" cm="1">
        <f t="array" ref="FI7">_xll.EQNXTDZ($A$1,$B7,FI$1)</f>
        <v>432.3</v>
      </c>
      <c r="FJ7" s="116" cm="1">
        <f t="array" ref="FJ7">_xll.EQNXTDZ($A$1,$B7,FJ$1)</f>
        <v>485.4</v>
      </c>
      <c r="FK7" s="116" cm="1">
        <f t="array" ref="FK7">_xll.EQNXTDZ($A$1,$B7,FK$1)</f>
        <v>509</v>
      </c>
      <c r="FL7" s="116" cm="1">
        <f t="array" ref="FL7">_xll.EQNXTDZ($A$1,$B7,FL$1)</f>
        <v>506.5</v>
      </c>
      <c r="FM7" s="116" cm="1">
        <f t="array" ref="FM7">_xll.EQNXTDZ($A$1,$B7,FM$1)</f>
        <v>449.9</v>
      </c>
      <c r="FN7" s="116" cm="1">
        <f t="array" ref="FN7">_xll.EQNXTDZ($A$1,$B7,FN$1)</f>
        <v>437.8</v>
      </c>
      <c r="FO7" s="116" cm="1">
        <f t="array" ref="FO7">_xll.EQNXTDZ($A$1,$B7,FO$1)</f>
        <v>426.65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432.3</v>
      </c>
      <c r="JR7" s="116">
        <f>MAX(FJ7:FL7)</f>
        <v>509</v>
      </c>
    </row>
    <row r="8" spans="1:278" s="116" customFormat="1" x14ac:dyDescent="0.25">
      <c r="A8" s="116" t="s">
        <v>39</v>
      </c>
      <c r="B8" s="116" t="s">
        <v>420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306.3</v>
      </c>
      <c r="FI8" s="116" cm="1">
        <f t="array" ref="FI8">_xll.EQNXTDZ($A$1,$B8,FI$1)</f>
        <v>346.5</v>
      </c>
      <c r="FJ8" s="116" cm="1">
        <f t="array" ref="FJ8">_xll.EQNXTDZ($A$1,$B8,FJ$1)</f>
        <v>414.7</v>
      </c>
      <c r="FK8" s="116" cm="1">
        <f t="array" ref="FK8">_xll.EQNXTDZ($A$1,$B8,FK$1)</f>
        <v>431</v>
      </c>
      <c r="FL8" s="116" cm="1">
        <f t="array" ref="FL8">_xll.EQNXTDZ($A$1,$B8,FL$1)</f>
        <v>388.75</v>
      </c>
      <c r="FM8" s="116" cm="1">
        <f t="array" ref="FM8">_xll.EQNXTDZ($A$1,$B8,FM$1)</f>
        <v>375.8</v>
      </c>
      <c r="FN8" s="116" cm="1">
        <f t="array" ref="FN8">_xll.EQNXTDZ($A$1,$B8,FN$1)</f>
        <v>365.9</v>
      </c>
      <c r="FO8" s="116" cm="1">
        <f t="array" ref="FO8">_xll.EQNXTDZ($A$1,$B8,FO$1)</f>
        <v>357.05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388.75</v>
      </c>
    </row>
    <row r="9" spans="1:278" s="116" customFormat="1" x14ac:dyDescent="0.25">
      <c r="A9" s="116" t="s">
        <v>37</v>
      </c>
      <c r="B9" s="116" t="s">
        <v>421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352</v>
      </c>
      <c r="FI9" s="116" cm="1">
        <f t="array" ref="FI9">_xll.EQNXTDZ($A$1,$B9,FI$1)</f>
        <v>415.5</v>
      </c>
      <c r="FJ9" s="116" cm="1">
        <f t="array" ref="FJ9">_xll.EQNXTDZ($A$1,$B9,FJ$1)</f>
        <v>458.5</v>
      </c>
      <c r="FK9" s="116" cm="1">
        <f t="array" ref="FK9">_xll.EQNXTDZ($A$1,$B9,FK$1)</f>
        <v>505.3</v>
      </c>
      <c r="FL9" s="116" cm="1">
        <f t="array" ref="FL9">_xll.EQNXTDZ($A$1,$B9,FL$1)</f>
        <v>394.8</v>
      </c>
      <c r="FM9" s="116" cm="1">
        <f t="array" ref="FM9">_xll.EQNXTDZ($A$1,$B9,FM$1)</f>
        <v>409.9</v>
      </c>
      <c r="FN9" s="116" cm="1">
        <f t="array" ref="FN9">_xll.EQNXTDZ($A$1,$B9,FN$1)</f>
        <v>379.5</v>
      </c>
      <c r="FO9" s="116" cm="1">
        <f t="array" ref="FO9">_xll.EQNXTDZ($A$1,$B9,FO$1)</f>
        <v>406.7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 t="shared" ref="JG9" si="1"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415.5</v>
      </c>
      <c r="JR9" s="116">
        <f>FL9</f>
        <v>394.8</v>
      </c>
    </row>
    <row r="11" spans="1:278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78" x14ac:dyDescent="0.25">
      <c r="A12" t="s">
        <v>336</v>
      </c>
      <c r="B12" t="s">
        <v>337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0</v>
      </c>
      <c r="FG12" cm="1">
        <f t="array" ref="FG12">_xll.EQNXTDZ($A$1,$B12,FG$1)</f>
        <v>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78" x14ac:dyDescent="0.25">
      <c r="A13" t="s">
        <v>416</v>
      </c>
      <c r="B13" t="s">
        <v>422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0</v>
      </c>
      <c r="FG13" cm="1">
        <f t="array" ref="FG13">_xll.EQNXTDZ($A$1,$B13,FG$1)</f>
        <v>0</v>
      </c>
      <c r="FH13" cm="1">
        <f t="array" ref="FH13">_xll.EQNXTDZ($A$1,$B13,FH$1)</f>
        <v>330.25</v>
      </c>
      <c r="FI13" cm="1">
        <f t="array" ref="FI13">_xll.EQNXTDZ($A$1,$B13,FI$1)</f>
        <v>351.55</v>
      </c>
      <c r="FJ13" cm="1">
        <f t="array" ref="FJ13">_xll.EQNXTDZ($A$1,$B13,FJ$1)</f>
        <v>419.45</v>
      </c>
      <c r="FK13" cm="1">
        <f t="array" ref="FK13">_xll.EQNXTDZ($A$1,$B13,FK$1)</f>
        <v>458.25</v>
      </c>
      <c r="FL13" cm="1">
        <f t="array" ref="FL13">_xll.EQNXTDZ($A$1,$B13,FL$1)</f>
        <v>411.05</v>
      </c>
      <c r="FM13" cm="1">
        <f t="array" ref="FM13">_xll.EQNXTDZ($A$1,$B13,FM$1)</f>
        <v>422.05</v>
      </c>
      <c r="FN13" cm="1">
        <f t="array" ref="FN13">_xll.EQNXTDZ($A$1,$B13,FN$1)</f>
        <v>414.8</v>
      </c>
      <c r="FO13" cm="1">
        <f t="array" ref="FO13">_xll.EQNXTDZ($A$1,$B13,FO$1)</f>
        <v>383.5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78" s="116" customFormat="1" x14ac:dyDescent="0.25">
      <c r="A14" s="116" t="s">
        <v>38</v>
      </c>
      <c r="B14" s="116" t="s">
        <v>423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0</v>
      </c>
      <c r="FD14" s="116" cm="1">
        <f t="array" ref="FD14">_xll.EQNXTDZ($A$1,$B14,FD$1)</f>
        <v>0</v>
      </c>
      <c r="FE14" s="116" cm="1">
        <f t="array" ref="FE14">_xll.EQNXTDZ($A$1,$B14,FE$1)</f>
        <v>0</v>
      </c>
      <c r="FF14" s="116" cm="1">
        <f t="array" ref="FF14">_xll.EQNXTDZ($A$1,$B14,FF$1)</f>
        <v>0</v>
      </c>
      <c r="FG14" s="116" cm="1">
        <f t="array" ref="FG14">_xll.EQNXTDZ($A$1,$B14,FG$1)</f>
        <v>0</v>
      </c>
      <c r="FH14" s="116" cm="1">
        <f t="array" ref="FH14">_xll.EQNXTDZ($A$1,$B14,FH$1)</f>
        <v>359.9</v>
      </c>
      <c r="FI14" s="116" cm="1">
        <f t="array" ref="FI14">_xll.EQNXTDZ($A$1,$B14,FI$1)</f>
        <v>433.65</v>
      </c>
      <c r="FJ14" s="116" cm="1">
        <f t="array" ref="FJ14">_xll.EQNXTDZ($A$1,$B14,FJ$1)</f>
        <v>485</v>
      </c>
      <c r="FK14" s="116" cm="1">
        <f t="array" ref="FK14">_xll.EQNXTDZ($A$1,$B14,FK$1)</f>
        <v>508.95</v>
      </c>
      <c r="FL14" s="116" cm="1">
        <f t="array" ref="FL14">_xll.EQNXTDZ($A$1,$B14,FL$1)</f>
        <v>506.4</v>
      </c>
      <c r="FM14" s="116" cm="1">
        <f t="array" ref="FM14">_xll.EQNXTDZ($A$1,$B14,FM$1)</f>
        <v>449.95</v>
      </c>
      <c r="FN14" s="116" cm="1">
        <f t="array" ref="FN14">_xll.EQNXTDZ($A$1,$B14,FN$1)</f>
        <v>437.7</v>
      </c>
      <c r="FO14" s="116" cm="1">
        <f t="array" ref="FO14">_xll.EQNXTDZ($A$1,$B14,FO$1)</f>
        <v>426.4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0</v>
      </c>
      <c r="JP14" s="116">
        <f>MAX(FD14:FF14)</f>
        <v>0</v>
      </c>
      <c r="JQ14" s="116">
        <f>MAX(FG14:FI14)</f>
        <v>433.65</v>
      </c>
      <c r="JR14" s="116">
        <f>MAX(FJ14:FL14)</f>
        <v>508.95</v>
      </c>
    </row>
    <row r="15" spans="1:278" s="116" customFormat="1" x14ac:dyDescent="0.25">
      <c r="A15" s="116" t="s">
        <v>39</v>
      </c>
      <c r="B15" s="116" t="s">
        <v>424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0</v>
      </c>
      <c r="FD15" s="116" cm="1">
        <f t="array" ref="FD15">_xll.EQNXTDZ($A$1,$B15,FD$1)</f>
        <v>0</v>
      </c>
      <c r="FE15" s="116" cm="1">
        <f t="array" ref="FE15">_xll.EQNXTDZ($A$1,$B15,FE$1)</f>
        <v>0</v>
      </c>
      <c r="FF15" s="116" cm="1">
        <f t="array" ref="FF15">_xll.EQNXTDZ($A$1,$B15,FF$1)</f>
        <v>0</v>
      </c>
      <c r="FG15" s="116" cm="1">
        <f t="array" ref="FG15">_xll.EQNXTDZ($A$1,$B15,FG$1)</f>
        <v>0</v>
      </c>
      <c r="FH15" s="116" cm="1">
        <f t="array" ref="FH15">_xll.EQNXTDZ($A$1,$B15,FH$1)</f>
        <v>306</v>
      </c>
      <c r="FI15" s="116" cm="1">
        <f t="array" ref="FI15">_xll.EQNXTDZ($A$1,$B15,FI$1)</f>
        <v>346.2</v>
      </c>
      <c r="FJ15" s="116" cm="1">
        <f t="array" ref="FJ15">_xll.EQNXTDZ($A$1,$B15,FJ$1)</f>
        <v>414.8</v>
      </c>
      <c r="FK15" s="116" cm="1">
        <f t="array" ref="FK15">_xll.EQNXTDZ($A$1,$B15,FK$1)</f>
        <v>431</v>
      </c>
      <c r="FL15" s="116" cm="1">
        <f t="array" ref="FL15">_xll.EQNXTDZ($A$1,$B15,FL$1)</f>
        <v>389.05</v>
      </c>
      <c r="FM15" s="116" cm="1">
        <f t="array" ref="FM15">_xll.EQNXTDZ($A$1,$B15,FM$1)</f>
        <v>375.9</v>
      </c>
      <c r="FN15" s="116" cm="1">
        <f t="array" ref="FN15">_xll.EQNXTDZ($A$1,$B15,FN$1)</f>
        <v>365.9</v>
      </c>
      <c r="FO15" s="116" cm="1">
        <f t="array" ref="FO15">_xll.EQNXTDZ($A$1,$B15,FO$1)</f>
        <v>357.1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0</v>
      </c>
      <c r="JQ15" s="116">
        <f>MIN(FG15:FI15)</f>
        <v>0</v>
      </c>
      <c r="JR15" s="116">
        <f>MIN(FJ15:FL15)</f>
        <v>389.05</v>
      </c>
    </row>
    <row r="16" spans="1:278" s="116" customFormat="1" x14ac:dyDescent="0.25">
      <c r="A16" s="116" t="s">
        <v>37</v>
      </c>
      <c r="B16" s="116" t="s">
        <v>335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0</v>
      </c>
      <c r="FD16" s="116" cm="1">
        <f t="array" ref="FD16">_xll.EQNXTDZ($A$1,$B16,FD$1)</f>
        <v>0</v>
      </c>
      <c r="FE16" s="116" cm="1">
        <f t="array" ref="FE16">_xll.EQNXTDZ($A$1,$B16,FE$1)</f>
        <v>0</v>
      </c>
      <c r="FF16" s="116" cm="1">
        <f t="array" ref="FF16">_xll.EQNXTDZ($A$1,$B16,FF$1)</f>
        <v>0</v>
      </c>
      <c r="FG16" s="116" cm="1">
        <f t="array" ref="FG16">_xll.EQNXTDZ($A$1,$B16,FG$1)</f>
        <v>0</v>
      </c>
      <c r="FH16" s="116" cm="1">
        <f t="array" ref="FH16">_xll.EQNXTDZ($A$1,$B16,FH$1)</f>
        <v>352.25</v>
      </c>
      <c r="FI16" s="116" cm="1">
        <f t="array" ref="FI16">_xll.EQNXTDZ($A$1,$B16,FI$1)</f>
        <v>415.45</v>
      </c>
      <c r="FJ16" s="116" cm="1">
        <f t="array" ref="FJ16">_xll.EQNXTDZ($A$1,$B16,FJ$1)</f>
        <v>458.25</v>
      </c>
      <c r="FK16" s="116" cm="1">
        <f t="array" ref="FK16">_xll.EQNXTDZ($A$1,$B16,FK$1)</f>
        <v>504.9</v>
      </c>
      <c r="FL16" s="116" cm="1">
        <f t="array" ref="FL16">_xll.EQNXTDZ($A$1,$B16,FL$1)</f>
        <v>394.6</v>
      </c>
      <c r="FM16" s="116" cm="1">
        <f t="array" ref="FM16">_xll.EQNXTDZ($A$1,$B16,FM$1)</f>
        <v>409.95</v>
      </c>
      <c r="FN16" s="116" cm="1">
        <f t="array" ref="FN16">_xll.EQNXTDZ($A$1,$B16,FN$1)</f>
        <v>380.15</v>
      </c>
      <c r="FO16" s="116" cm="1">
        <f t="array" ref="FO16">_xll.EQNXTDZ($A$1,$B16,FO$1)</f>
        <v>406.35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 t="shared" ref="JG16" si="2"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0</v>
      </c>
      <c r="JP16" s="116">
        <f>FF16</f>
        <v>0</v>
      </c>
      <c r="JQ16" s="116">
        <f>FI16</f>
        <v>415.45</v>
      </c>
      <c r="JR16" s="116">
        <f>FL16</f>
        <v>394.6</v>
      </c>
    </row>
    <row r="17" spans="1:278" s="116" customFormat="1" x14ac:dyDescent="0.25"/>
    <row r="18" spans="1:278" s="116" customFormat="1" x14ac:dyDescent="0.25"/>
    <row r="19" spans="1:278" s="116" customFormat="1" x14ac:dyDescent="0.25">
      <c r="A19" s="116" t="s">
        <v>38</v>
      </c>
      <c r="HP19" s="116">
        <f>+IF(HP14=0,HP7,HP14)</f>
        <v>0</v>
      </c>
      <c r="HQ19" s="116">
        <f t="shared" ref="HQ19:JI21" si="3">+IF(HQ14=0,HQ7,HQ14)</f>
        <v>0</v>
      </c>
      <c r="HR19" s="116">
        <f t="shared" si="3"/>
        <v>0</v>
      </c>
      <c r="HS19" s="116">
        <f t="shared" si="3"/>
        <v>0</v>
      </c>
      <c r="HT19" s="116">
        <f t="shared" si="3"/>
        <v>0</v>
      </c>
      <c r="HU19" s="116">
        <f t="shared" si="3"/>
        <v>0</v>
      </c>
      <c r="HV19" s="116">
        <f t="shared" si="3"/>
        <v>0</v>
      </c>
      <c r="HW19" s="116">
        <f t="shared" si="3"/>
        <v>0</v>
      </c>
      <c r="HX19" s="116">
        <f t="shared" si="3"/>
        <v>0</v>
      </c>
      <c r="HY19" s="116">
        <f t="shared" si="3"/>
        <v>0</v>
      </c>
      <c r="HZ19" s="116">
        <f t="shared" si="3"/>
        <v>0</v>
      </c>
      <c r="IA19" s="116">
        <f t="shared" si="3"/>
        <v>0</v>
      </c>
      <c r="IB19" s="116">
        <f t="shared" si="3"/>
        <v>0</v>
      </c>
      <c r="IC19" s="116">
        <f t="shared" si="3"/>
        <v>0</v>
      </c>
      <c r="ID19" s="116">
        <f t="shared" si="3"/>
        <v>0</v>
      </c>
      <c r="IE19" s="116">
        <f t="shared" si="3"/>
        <v>0</v>
      </c>
      <c r="IF19" s="116">
        <f t="shared" si="3"/>
        <v>0</v>
      </c>
      <c r="IG19" s="116">
        <f t="shared" si="3"/>
        <v>0</v>
      </c>
      <c r="IH19" s="116">
        <f t="shared" si="3"/>
        <v>0</v>
      </c>
      <c r="II19" s="116">
        <f t="shared" si="3"/>
        <v>0</v>
      </c>
      <c r="IJ19" s="116">
        <f t="shared" si="3"/>
        <v>0</v>
      </c>
      <c r="IK19" s="116">
        <f t="shared" si="3"/>
        <v>0</v>
      </c>
      <c r="IL19" s="116">
        <f t="shared" si="3"/>
        <v>0</v>
      </c>
      <c r="IM19" s="116">
        <f t="shared" si="3"/>
        <v>0</v>
      </c>
      <c r="IN19" s="116">
        <f t="shared" si="3"/>
        <v>0</v>
      </c>
      <c r="IO19" s="116">
        <f t="shared" si="3"/>
        <v>0</v>
      </c>
      <c r="IP19" s="116">
        <f t="shared" si="3"/>
        <v>0</v>
      </c>
      <c r="IQ19" s="116">
        <f t="shared" si="3"/>
        <v>0</v>
      </c>
      <c r="IR19" s="116">
        <f t="shared" si="3"/>
        <v>0</v>
      </c>
      <c r="IS19" s="116">
        <f t="shared" si="3"/>
        <v>0</v>
      </c>
      <c r="IT19" s="116">
        <f t="shared" si="3"/>
        <v>0</v>
      </c>
      <c r="IU19" s="116">
        <f t="shared" si="3"/>
        <v>0</v>
      </c>
      <c r="IV19" s="116">
        <f t="shared" si="3"/>
        <v>0</v>
      </c>
      <c r="IW19" s="116">
        <f t="shared" si="3"/>
        <v>0</v>
      </c>
      <c r="IX19" s="116">
        <f t="shared" si="3"/>
        <v>0</v>
      </c>
      <c r="IY19" s="116">
        <f t="shared" si="3"/>
        <v>0</v>
      </c>
      <c r="IZ19" s="116">
        <f t="shared" si="3"/>
        <v>0</v>
      </c>
      <c r="JA19" s="116">
        <f t="shared" si="3"/>
        <v>0</v>
      </c>
      <c r="JB19" s="116">
        <f t="shared" si="3"/>
        <v>0</v>
      </c>
      <c r="JC19" s="116">
        <f t="shared" si="3"/>
        <v>0</v>
      </c>
      <c r="JD19" s="116">
        <f t="shared" si="3"/>
        <v>0</v>
      </c>
      <c r="JE19" s="116">
        <f t="shared" si="3"/>
        <v>0</v>
      </c>
      <c r="JF19" s="116">
        <f t="shared" si="3"/>
        <v>0</v>
      </c>
      <c r="JG19" s="116">
        <f t="shared" si="3"/>
        <v>0</v>
      </c>
      <c r="JH19" s="116">
        <f t="shared" si="3"/>
        <v>0</v>
      </c>
      <c r="JI19" s="116">
        <f t="shared" si="3"/>
        <v>0</v>
      </c>
      <c r="JJ19" s="116">
        <f t="shared" ref="JJ19:JJ21" si="4">+IF(JJ14=0,JJ7,JJ14)</f>
        <v>0</v>
      </c>
      <c r="JK19" s="116">
        <f t="shared" ref="JK19" si="5">+IF(JK14=0,JK7,JK14)</f>
        <v>0</v>
      </c>
      <c r="JL19" s="116">
        <f t="shared" ref="JL19:JM19" si="6">+IF(JL14=0,JL7,JL14)</f>
        <v>0</v>
      </c>
      <c r="JM19" s="116">
        <f t="shared" si="6"/>
        <v>0</v>
      </c>
      <c r="JN19" s="116">
        <f t="shared" ref="JN19:JO19" si="7">+IF(JN14=0,JN7,JN14)</f>
        <v>0</v>
      </c>
      <c r="JO19" s="116">
        <f t="shared" si="7"/>
        <v>0</v>
      </c>
      <c r="JP19" s="116">
        <f t="shared" ref="JP19:JR21" si="8">+IF(JP14=0,JP7,JP14)</f>
        <v>0</v>
      </c>
      <c r="JQ19" s="116">
        <f t="shared" si="8"/>
        <v>433.65</v>
      </c>
      <c r="JR19" s="116">
        <f t="shared" si="8"/>
        <v>508.95</v>
      </c>
    </row>
    <row r="20" spans="1:278" s="116" customFormat="1" x14ac:dyDescent="0.25">
      <c r="A20" s="116" t="s">
        <v>39</v>
      </c>
      <c r="HP20" s="116">
        <f t="shared" ref="HP20:IE21" si="9">+IF(HP15=0,HP8,HP15)</f>
        <v>0</v>
      </c>
      <c r="HQ20" s="116">
        <f t="shared" si="9"/>
        <v>0</v>
      </c>
      <c r="HR20" s="116">
        <f t="shared" si="9"/>
        <v>0</v>
      </c>
      <c r="HS20" s="116">
        <f t="shared" si="9"/>
        <v>0</v>
      </c>
      <c r="HT20" s="116">
        <f t="shared" si="9"/>
        <v>0</v>
      </c>
      <c r="HU20" s="116">
        <f t="shared" si="9"/>
        <v>0</v>
      </c>
      <c r="HV20" s="116">
        <f t="shared" si="9"/>
        <v>0</v>
      </c>
      <c r="HW20" s="116">
        <f t="shared" si="9"/>
        <v>0</v>
      </c>
      <c r="HX20" s="116">
        <f t="shared" si="9"/>
        <v>0</v>
      </c>
      <c r="HY20" s="116">
        <f t="shared" si="9"/>
        <v>0</v>
      </c>
      <c r="HZ20" s="116">
        <f t="shared" si="9"/>
        <v>0</v>
      </c>
      <c r="IA20" s="116">
        <f t="shared" si="9"/>
        <v>0</v>
      </c>
      <c r="IB20" s="116">
        <f t="shared" si="9"/>
        <v>0</v>
      </c>
      <c r="IC20" s="116">
        <f t="shared" si="9"/>
        <v>0</v>
      </c>
      <c r="ID20" s="116">
        <f t="shared" si="9"/>
        <v>0</v>
      </c>
      <c r="IE20" s="116">
        <f t="shared" si="9"/>
        <v>0</v>
      </c>
      <c r="IF20" s="116">
        <f t="shared" si="3"/>
        <v>0</v>
      </c>
      <c r="IG20" s="116">
        <f t="shared" si="3"/>
        <v>0</v>
      </c>
      <c r="IH20" s="116">
        <f t="shared" si="3"/>
        <v>0</v>
      </c>
      <c r="II20" s="116">
        <f t="shared" si="3"/>
        <v>0</v>
      </c>
      <c r="IJ20" s="116">
        <f t="shared" si="3"/>
        <v>0</v>
      </c>
      <c r="IK20" s="116">
        <f t="shared" si="3"/>
        <v>0</v>
      </c>
      <c r="IL20" s="116">
        <f t="shared" si="3"/>
        <v>0</v>
      </c>
      <c r="IM20" s="116">
        <f t="shared" si="3"/>
        <v>0</v>
      </c>
      <c r="IN20" s="116">
        <f t="shared" si="3"/>
        <v>0</v>
      </c>
      <c r="IO20" s="116">
        <f t="shared" si="3"/>
        <v>0</v>
      </c>
      <c r="IP20" s="116">
        <f t="shared" si="3"/>
        <v>0</v>
      </c>
      <c r="IQ20" s="116">
        <f t="shared" si="3"/>
        <v>0</v>
      </c>
      <c r="IR20" s="116">
        <f t="shared" si="3"/>
        <v>0</v>
      </c>
      <c r="IS20" s="116">
        <f t="shared" si="3"/>
        <v>0</v>
      </c>
      <c r="IT20" s="116">
        <f t="shared" si="3"/>
        <v>0</v>
      </c>
      <c r="IU20" s="116">
        <f t="shared" si="3"/>
        <v>0</v>
      </c>
      <c r="IV20" s="116">
        <f t="shared" si="3"/>
        <v>0</v>
      </c>
      <c r="IW20" s="116">
        <f t="shared" si="3"/>
        <v>0</v>
      </c>
      <c r="IX20" s="116">
        <f t="shared" si="3"/>
        <v>0</v>
      </c>
      <c r="IY20" s="116">
        <f t="shared" si="3"/>
        <v>0</v>
      </c>
      <c r="IZ20" s="116">
        <f t="shared" si="3"/>
        <v>0</v>
      </c>
      <c r="JA20" s="116">
        <f t="shared" si="3"/>
        <v>0</v>
      </c>
      <c r="JB20" s="116">
        <f t="shared" si="3"/>
        <v>0</v>
      </c>
      <c r="JC20" s="116">
        <f t="shared" si="3"/>
        <v>0</v>
      </c>
      <c r="JD20" s="116">
        <f t="shared" si="3"/>
        <v>0</v>
      </c>
      <c r="JE20" s="116">
        <f t="shared" si="3"/>
        <v>0</v>
      </c>
      <c r="JF20" s="116">
        <f t="shared" si="3"/>
        <v>0</v>
      </c>
      <c r="JG20" s="116">
        <f t="shared" si="3"/>
        <v>0</v>
      </c>
      <c r="JH20" s="116">
        <f t="shared" si="3"/>
        <v>0</v>
      </c>
      <c r="JI20" s="116">
        <f t="shared" si="3"/>
        <v>0</v>
      </c>
      <c r="JJ20" s="116">
        <f t="shared" si="4"/>
        <v>0</v>
      </c>
      <c r="JK20" s="116">
        <f t="shared" ref="JK20" si="10">+IF(JK15=0,JK8,JK15)</f>
        <v>0</v>
      </c>
      <c r="JL20" s="116">
        <f t="shared" ref="JL20:JM20" si="11">+IF(JL15=0,JL8,JL15)</f>
        <v>0</v>
      </c>
      <c r="JM20" s="116">
        <f t="shared" si="11"/>
        <v>0</v>
      </c>
      <c r="JN20" s="116">
        <f t="shared" ref="JN20:JO20" si="12">+IF(JN15=0,JN8,JN15)</f>
        <v>0</v>
      </c>
      <c r="JO20" s="116">
        <f t="shared" si="12"/>
        <v>0</v>
      </c>
      <c r="JP20" s="116">
        <f t="shared" ref="JP20" si="13">+IF(JP15=0,JP8,JP15)</f>
        <v>0</v>
      </c>
      <c r="JQ20" s="116">
        <f t="shared" si="8"/>
        <v>0</v>
      </c>
      <c r="JR20" s="116">
        <f t="shared" si="8"/>
        <v>389.05</v>
      </c>
    </row>
    <row r="21" spans="1:278" s="116" customFormat="1" x14ac:dyDescent="0.25">
      <c r="A21" s="116" t="s">
        <v>37</v>
      </c>
      <c r="HP21" s="116">
        <f t="shared" si="9"/>
        <v>0</v>
      </c>
      <c r="HQ21" s="116">
        <f t="shared" si="3"/>
        <v>0</v>
      </c>
      <c r="HR21" s="116">
        <f t="shared" si="3"/>
        <v>0</v>
      </c>
      <c r="HS21" s="116">
        <f t="shared" si="3"/>
        <v>0</v>
      </c>
      <c r="HT21" s="116">
        <f t="shared" si="3"/>
        <v>0</v>
      </c>
      <c r="HU21" s="116">
        <f t="shared" si="3"/>
        <v>0</v>
      </c>
      <c r="HV21" s="116">
        <f t="shared" si="3"/>
        <v>0</v>
      </c>
      <c r="HW21" s="116">
        <f t="shared" si="3"/>
        <v>0</v>
      </c>
      <c r="HX21" s="116">
        <f t="shared" si="3"/>
        <v>0</v>
      </c>
      <c r="HY21" s="116">
        <f t="shared" si="3"/>
        <v>0</v>
      </c>
      <c r="HZ21" s="116">
        <f t="shared" si="3"/>
        <v>0</v>
      </c>
      <c r="IA21" s="116">
        <f t="shared" si="3"/>
        <v>0</v>
      </c>
      <c r="IB21" s="116">
        <f t="shared" si="3"/>
        <v>0</v>
      </c>
      <c r="IC21" s="116">
        <f t="shared" si="3"/>
        <v>0</v>
      </c>
      <c r="ID21" s="116">
        <f t="shared" si="3"/>
        <v>0</v>
      </c>
      <c r="IE21" s="116">
        <f t="shared" si="3"/>
        <v>0</v>
      </c>
      <c r="IF21" s="116">
        <f t="shared" si="3"/>
        <v>0</v>
      </c>
      <c r="IG21" s="116">
        <f t="shared" si="3"/>
        <v>0</v>
      </c>
      <c r="IH21" s="116">
        <f t="shared" si="3"/>
        <v>0</v>
      </c>
      <c r="II21" s="116">
        <f t="shared" si="3"/>
        <v>0</v>
      </c>
      <c r="IJ21" s="116">
        <f t="shared" si="3"/>
        <v>0</v>
      </c>
      <c r="IK21" s="116">
        <f t="shared" si="3"/>
        <v>0</v>
      </c>
      <c r="IL21" s="116">
        <f t="shared" si="3"/>
        <v>0</v>
      </c>
      <c r="IM21" s="116">
        <f t="shared" si="3"/>
        <v>0</v>
      </c>
      <c r="IN21" s="116">
        <f t="shared" si="3"/>
        <v>0</v>
      </c>
      <c r="IO21" s="116">
        <f t="shared" si="3"/>
        <v>0</v>
      </c>
      <c r="IP21" s="116">
        <f t="shared" si="3"/>
        <v>0</v>
      </c>
      <c r="IQ21" s="116">
        <f t="shared" si="3"/>
        <v>0</v>
      </c>
      <c r="IR21" s="116">
        <f t="shared" si="3"/>
        <v>0</v>
      </c>
      <c r="IS21" s="116">
        <f t="shared" si="3"/>
        <v>0</v>
      </c>
      <c r="IT21" s="116">
        <f t="shared" si="3"/>
        <v>0</v>
      </c>
      <c r="IU21" s="116">
        <f t="shared" si="3"/>
        <v>0</v>
      </c>
      <c r="IV21" s="116">
        <f t="shared" si="3"/>
        <v>0</v>
      </c>
      <c r="IW21" s="116">
        <f t="shared" si="3"/>
        <v>0</v>
      </c>
      <c r="IX21" s="116">
        <f t="shared" si="3"/>
        <v>0</v>
      </c>
      <c r="IY21" s="116">
        <f t="shared" si="3"/>
        <v>0</v>
      </c>
      <c r="IZ21" s="116">
        <f t="shared" si="3"/>
        <v>0</v>
      </c>
      <c r="JA21" s="116">
        <f t="shared" si="3"/>
        <v>0</v>
      </c>
      <c r="JB21" s="116">
        <f t="shared" si="3"/>
        <v>0</v>
      </c>
      <c r="JC21" s="116">
        <f t="shared" si="3"/>
        <v>0</v>
      </c>
      <c r="JD21" s="116">
        <f t="shared" si="3"/>
        <v>0</v>
      </c>
      <c r="JE21" s="116">
        <f t="shared" si="3"/>
        <v>0</v>
      </c>
      <c r="JF21" s="116">
        <f t="shared" si="3"/>
        <v>0</v>
      </c>
      <c r="JG21" s="116">
        <f t="shared" si="3"/>
        <v>0</v>
      </c>
      <c r="JH21" s="116">
        <f t="shared" si="3"/>
        <v>0</v>
      </c>
      <c r="JI21" s="116">
        <f t="shared" si="3"/>
        <v>0</v>
      </c>
      <c r="JJ21" s="116">
        <f t="shared" si="4"/>
        <v>0</v>
      </c>
      <c r="JK21" s="116">
        <f t="shared" ref="JK21" si="14">+IF(JK16=0,JK9,JK16)</f>
        <v>0</v>
      </c>
      <c r="JL21" s="116">
        <f t="shared" ref="JL21:JM21" si="15">+IF(JL16=0,JL9,JL16)</f>
        <v>0</v>
      </c>
      <c r="JM21" s="116">
        <f t="shared" si="15"/>
        <v>0</v>
      </c>
      <c r="JN21" s="116">
        <f t="shared" ref="JN21:JO21" si="16">+IF(JN16=0,JN9,JN16)</f>
        <v>0</v>
      </c>
      <c r="JO21" s="116">
        <f t="shared" si="16"/>
        <v>0</v>
      </c>
      <c r="JP21" s="116">
        <f t="shared" ref="JP21" si="17">+IF(JP16=0,JP9,JP16)</f>
        <v>0</v>
      </c>
      <c r="JQ21" s="116">
        <f t="shared" si="8"/>
        <v>415.45</v>
      </c>
      <c r="JR21" s="116">
        <f t="shared" si="8"/>
        <v>394.6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topLeftCell="AF1" workbookViewId="0">
      <selection activeCell="AY6" sqref="AY6"/>
    </sheetView>
  </sheetViews>
  <sheetFormatPr defaultRowHeight="15" x14ac:dyDescent="0.25"/>
  <cols>
    <col min="1" max="1" width="16.28515625" bestFit="1" customWidth="1"/>
    <col min="2" max="2" width="20.28515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322918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251</v>
      </c>
      <c r="B5" t="s">
        <v>328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428</v>
      </c>
      <c r="B6" t="s">
        <v>429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430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0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Monthly Nos Company</vt:lpstr>
      <vt:lpstr>Monthly Nos Vahan</vt:lpstr>
      <vt:lpstr>QTR Raw</vt:lpstr>
      <vt:lpstr>Annual Raw</vt:lpstr>
      <vt:lpstr>QTR Share Price</vt:lpstr>
      <vt:lpstr>QTR No. of Shares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2026-06-17T16:49:23Z</dcterms:modified>
  <cp:category/>
  <cp:contentStatus/>
</cp:coreProperties>
</file>