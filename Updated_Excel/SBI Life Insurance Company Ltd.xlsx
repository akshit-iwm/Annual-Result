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830DF57-248E-43A3-8947-976333EBC03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C66" i="2"/>
  <c r="AC90" i="2"/>
  <c r="AE96" i="2"/>
  <c r="AC61" i="2"/>
  <c r="AC73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F18" i="2"/>
  <c r="AF53" i="2"/>
  <c r="AE13" i="2"/>
  <c r="AE40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3" i="2"/>
  <c r="AD107" i="2"/>
  <c r="AF76" i="2"/>
  <c r="AF92" i="2"/>
  <c r="AE73" i="2"/>
  <c r="AE97" i="2"/>
  <c r="AD54" i="2"/>
  <c r="AC76" i="2"/>
  <c r="AB98" i="2"/>
  <c r="AE19" i="2"/>
  <c r="AE7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E67" i="2"/>
  <c r="AE91" i="2"/>
  <c r="AE42" i="2"/>
  <c r="AC16" i="2"/>
  <c r="AB8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C8" i="2"/>
  <c r="AC74" i="2"/>
  <c r="AC98" i="2"/>
  <c r="AB78" i="2"/>
  <c r="AB94" i="2"/>
  <c r="AE11" i="2"/>
  <c r="AE77" i="2"/>
  <c r="AE105" i="2"/>
  <c r="AF20" i="2"/>
  <c r="AF55" i="2"/>
  <c r="AB81" i="2"/>
  <c r="AF62" i="2"/>
  <c r="AE66" i="2"/>
  <c r="AE90" i="2"/>
  <c r="AD81" i="2"/>
  <c r="AE27" i="2"/>
  <c r="AB57" i="2"/>
  <c r="AD98" i="2"/>
  <c r="AC26" i="2"/>
  <c r="AF68" i="2"/>
  <c r="AE8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F36" i="2"/>
  <c r="AB73" i="2"/>
  <c r="AB89" i="2"/>
  <c r="AB97" i="2"/>
  <c r="AB109" i="2"/>
  <c r="AD31" i="2"/>
  <c r="AC22" i="2"/>
  <c r="AC49" i="2"/>
  <c r="AE78" i="2"/>
  <c r="AF14" i="2"/>
  <c r="AF49" i="2"/>
  <c r="AE31" i="2"/>
  <c r="AD75" i="2"/>
  <c r="AC72" i="2"/>
  <c r="AC60" i="2"/>
  <c r="AF80" i="2"/>
  <c r="AF96" i="2"/>
  <c r="AC24" i="2"/>
  <c r="AC78" i="2"/>
  <c r="AC106" i="2"/>
  <c r="AB16" i="2"/>
  <c r="AC47" i="2"/>
  <c r="AC48" i="2"/>
  <c r="AD110" i="2"/>
  <c r="AC53" i="2"/>
  <c r="AE80" i="2"/>
  <c r="AD19" i="2"/>
  <c r="AF78" i="2"/>
  <c r="AB66" i="2"/>
  <c r="AC82" i="2"/>
  <c r="AC110" i="2"/>
  <c r="AE46" i="2"/>
  <c r="AF9" i="2"/>
  <c r="AF17" i="2"/>
  <c r="AF25" i="2"/>
  <c r="AF33" i="2"/>
  <c r="AF44" i="2"/>
  <c r="AF52" i="2"/>
  <c r="AC7" i="2"/>
  <c r="AC19" i="2"/>
  <c r="AC31" i="2"/>
  <c r="AC46" i="2"/>
  <c r="AC58" i="2"/>
  <c r="AB65" i="2"/>
  <c r="AC109" i="2"/>
  <c r="AD91" i="2"/>
  <c r="AC96" i="2"/>
  <c r="AB51" i="2"/>
  <c r="AB76" i="2"/>
  <c r="AE99" i="2"/>
  <c r="AE109" i="2"/>
  <c r="AB22" i="2"/>
  <c r="AF94" i="2"/>
  <c r="AD79" i="2"/>
  <c r="AF84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92" i="2"/>
  <c r="AE75" i="2"/>
  <c r="AE63" i="2"/>
  <c r="AD97" i="2"/>
  <c r="AE81" i="2"/>
  <c r="AB6" i="2"/>
  <c r="AB41" i="2"/>
  <c r="AD66" i="2"/>
  <c r="AB36" i="2"/>
  <c r="AB64" i="2"/>
  <c r="AE68" i="2"/>
  <c r="AE92" i="2"/>
  <c r="AB11" i="2"/>
  <c r="AB19" i="2"/>
  <c r="AB27" i="2"/>
  <c r="AB35" i="2"/>
  <c r="AB46" i="2"/>
  <c r="AB54" i="2"/>
  <c r="AC9" i="2"/>
  <c r="AC21" i="2"/>
  <c r="AC33" i="2"/>
  <c r="AD74" i="2"/>
  <c r="AD82" i="2"/>
  <c r="AD90" i="2"/>
  <c r="AF6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57" i="2"/>
  <c r="AD95" i="2"/>
  <c r="AE107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C62" i="2"/>
  <c r="AC86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E65" i="2"/>
  <c r="AE89" i="2"/>
  <c r="AE50" i="2"/>
  <c r="AC104" i="2"/>
  <c r="AC43" i="2"/>
  <c r="AF22" i="2"/>
  <c r="AE59" i="2"/>
  <c r="AF104" i="2"/>
  <c r="AA24" i="1" l="1"/>
  <c r="AA127" i="1"/>
  <c r="AA15" i="1"/>
  <c r="AF112" i="2"/>
  <c r="AB111" i="2"/>
  <c r="AA172" i="1"/>
  <c r="AA164" i="1"/>
  <c r="AA163" i="1"/>
  <c r="AA160" i="1"/>
  <c r="AA159" i="1"/>
  <c r="AA153" i="1"/>
  <c r="AA149" i="1"/>
  <c r="AA145" i="1"/>
  <c r="AA142" i="1"/>
  <c r="AA136" i="1"/>
  <c r="AA132" i="1"/>
  <c r="AA125" i="1"/>
  <c r="AA118" i="1"/>
  <c r="AA78" i="1"/>
  <c r="AA67" i="1"/>
  <c r="AA47" i="1"/>
  <c r="AA35" i="1"/>
  <c r="AA23" i="1"/>
  <c r="AA8" i="1"/>
  <c r="AA119" i="1"/>
  <c r="AA36" i="1"/>
  <c r="AA22" i="1"/>
  <c r="AA13" i="1"/>
  <c r="AA171" i="1"/>
  <c r="AA151" i="1"/>
  <c r="AA147" i="1"/>
  <c r="AA144" i="1"/>
  <c r="AA137" i="1"/>
  <c r="AA133" i="1"/>
  <c r="AA126" i="1"/>
  <c r="AA122" i="1"/>
  <c r="AA117" i="1"/>
  <c r="AA77" i="1"/>
  <c r="AA46" i="1"/>
  <c r="AA39" i="1"/>
  <c r="AA25" i="1"/>
  <c r="AA20" i="1"/>
  <c r="AA170" i="1"/>
  <c r="AA155" i="1"/>
  <c r="AA150" i="1"/>
  <c r="AA146" i="1"/>
  <c r="AA143" i="1"/>
  <c r="AA140" i="1"/>
  <c r="AA135" i="1"/>
  <c r="AA131" i="1"/>
  <c r="AA124" i="1"/>
  <c r="AA79" i="1"/>
  <c r="AA51" i="1"/>
  <c r="AA45" i="1"/>
  <c r="AA32" i="1"/>
  <c r="AA21" i="1"/>
  <c r="AA9" i="1"/>
  <c r="AA183" i="1"/>
  <c r="AA161" i="1"/>
  <c r="AA134" i="1"/>
  <c r="AA138" i="1" s="1"/>
  <c r="AA26" i="1"/>
  <c r="AB112" i="2"/>
  <c r="AA73" i="1" s="1"/>
  <c r="AC113" i="2"/>
  <c r="AF113" i="2"/>
  <c r="AF111" i="2"/>
  <c r="B1" i="9"/>
  <c r="AE111" i="2"/>
  <c r="AC111" i="2"/>
  <c r="AE113" i="2"/>
  <c r="AD112" i="2"/>
  <c r="AB113" i="2"/>
  <c r="AA74" i="1" s="1"/>
  <c r="AE112" i="2"/>
  <c r="A1" i="9"/>
  <c r="L1" i="9"/>
  <c r="AD113" i="2"/>
  <c r="AC112" i="2"/>
  <c r="AA179" i="1" l="1"/>
  <c r="AA148" i="1"/>
  <c r="AA10" i="1"/>
  <c r="AA194" i="1"/>
  <c r="AA180" i="1"/>
  <c r="AA173" i="1"/>
  <c r="AA154" i="1"/>
  <c r="AA120" i="1"/>
  <c r="AA128" i="1"/>
  <c r="AA253" i="1"/>
  <c r="AA252" i="1"/>
  <c r="AA231" i="1"/>
  <c r="AA246" i="1"/>
  <c r="AA248" i="1"/>
  <c r="AA168" i="1"/>
  <c r="AA109" i="1" s="1"/>
  <c r="AA33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182" i="1"/>
  <c r="AA98" i="1"/>
  <c r="AA16" i="1"/>
  <c r="AA244" i="1"/>
  <c r="AA37" i="1"/>
  <c r="AA27" i="1"/>
  <c r="AA175" i="1"/>
  <c r="AA156" i="1"/>
  <c r="AA157" i="1"/>
  <c r="AA181" i="1"/>
  <c r="AA28" i="1"/>
  <c r="AA17" i="1"/>
  <c r="AA185" i="1"/>
  <c r="AA184" i="1" s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232" i="1"/>
  <c r="AA233" i="1" s="1"/>
  <c r="AA34" i="1"/>
  <c r="AA112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B29" i="3"/>
  <c r="EX15" i="4" a="1"/>
  <c r="FB16" i="4" a="1"/>
  <c r="BB25" i="3"/>
  <c r="Y78" i="2"/>
  <c r="BA35" i="3"/>
  <c r="Z46" i="2"/>
  <c r="BA14" i="3"/>
  <c r="Y86" i="2"/>
  <c r="Z41" i="2"/>
  <c r="FB7" i="4" a="1"/>
  <c r="FE7" i="4" a="1"/>
  <c r="EY6" i="4" a="1"/>
  <c r="BQ21" i="3"/>
  <c r="BJ24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EZ7" i="4" a="1"/>
  <c r="EZ5" i="4" a="1"/>
  <c r="BB12" i="3"/>
  <c r="AA25" i="2"/>
  <c r="BA30" i="3"/>
  <c r="FF16" i="4" a="1"/>
  <c r="FD15" i="4" a="1"/>
  <c r="FD8" i="4" a="1"/>
  <c r="EZ16" i="4" a="1"/>
  <c r="EZ13" i="4" a="1"/>
  <c r="BD33" i="3"/>
  <c r="AA8" i="2"/>
  <c r="Y84" i="2"/>
  <c r="BA21" i="3"/>
  <c r="FB8" i="4" a="1"/>
  <c r="BQ9" i="3"/>
  <c r="BQ39" i="3"/>
  <c r="BR10" i="3"/>
  <c r="BV2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EZ12" i="4" a="1"/>
  <c r="FA12" i="4" a="1"/>
  <c r="FB14" i="4" a="1"/>
  <c r="EY8" i="4" a="1"/>
  <c r="BD23" i="3"/>
  <c r="Z44" i="2"/>
  <c r="Z19" i="2"/>
  <c r="BD6" i="3"/>
  <c r="AA104" i="2"/>
  <c r="AA43" i="2"/>
  <c r="BA38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FA5" i="4" a="1"/>
  <c r="FE13" i="4" a="1"/>
  <c r="Z87" i="2"/>
  <c r="Z28" i="2"/>
  <c r="Z7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AA31" i="2"/>
  <c r="BB35" i="3"/>
  <c r="Z24" i="2"/>
  <c r="BB36" i="3"/>
  <c r="FF13" i="4" a="1"/>
  <c r="EY9" i="4" a="1"/>
  <c r="BB17" i="3"/>
  <c r="Z79" i="2"/>
  <c r="Y69" i="2"/>
  <c r="FD14" i="4" a="1"/>
  <c r="FE6" i="4" a="1"/>
  <c r="EX7" i="4" a="1"/>
  <c r="EX12" i="4" a="1"/>
  <c r="BQ15" i="3"/>
  <c r="BQ33" i="3"/>
  <c r="BO39" i="3"/>
  <c r="BG7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Z25" i="2"/>
  <c r="Y44" i="2"/>
  <c r="BA42" i="3"/>
  <c r="Z57" i="2"/>
  <c r="AA96" i="2"/>
  <c r="AA34" i="2"/>
  <c r="BC9" i="3"/>
  <c r="Y7" i="2"/>
  <c r="Y107" i="2"/>
  <c r="BD40" i="3"/>
  <c r="BB40" i="3"/>
  <c r="EX11" i="4" a="1"/>
  <c r="BQ27" i="3"/>
  <c r="BT41" i="3"/>
  <c r="BK26" i="3"/>
  <c r="BN5" i="3"/>
  <c r="BJ25" i="3"/>
  <c r="BG27" i="3"/>
  <c r="BV15" i="3"/>
  <c r="BV27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BV33" i="3"/>
  <c r="BM6" i="3"/>
  <c r="BE13" i="3"/>
  <c r="BM14" i="3"/>
  <c r="BL17" i="3"/>
  <c r="BH42" i="3"/>
  <c r="Y22" i="2"/>
  <c r="BA17" i="3"/>
  <c r="AA30" i="2"/>
  <c r="Z12" i="2"/>
  <c r="BA28" i="3"/>
  <c r="Z92" i="2"/>
  <c r="AA89" i="2"/>
  <c r="BB7" i="3"/>
  <c r="BC6" i="3"/>
  <c r="Z8" i="2"/>
  <c r="Z82" i="2"/>
  <c r="FE5" i="4" a="1"/>
  <c r="EX13" i="4" a="1"/>
  <c r="EX9" i="4" a="1"/>
  <c r="FC15" i="4" a="1"/>
  <c r="Z21" i="2"/>
  <c r="BA5" i="3"/>
  <c r="AA85" i="2"/>
  <c r="AA92" i="2"/>
  <c r="BA24" i="3"/>
  <c r="BA23" i="3"/>
  <c r="Y54" i="2"/>
  <c r="FC12" i="4" a="1"/>
  <c r="EX5" i="4" a="1"/>
  <c r="FE14" i="4" a="1"/>
  <c r="EX14" i="4" a="1"/>
  <c r="Y17" i="2"/>
  <c r="BV39" i="3"/>
  <c r="BK27" i="3"/>
  <c r="BK14" i="3"/>
  <c r="BK21" i="3"/>
  <c r="BF16" i="3"/>
  <c r="CL20" i="1" s="1"/>
  <c r="BK7" i="3"/>
  <c r="Y88" i="2"/>
  <c r="BD18" i="3"/>
  <c r="Z5" i="2"/>
  <c r="BA25" i="3"/>
  <c r="Z50" i="2"/>
  <c r="AA42" i="2"/>
  <c r="FA13" i="4" a="1"/>
  <c r="BS5" i="3"/>
  <c r="BF26" i="3"/>
  <c r="CL47" i="1" s="1"/>
  <c r="BM17" i="3"/>
  <c r="BG35" i="3"/>
  <c r="BP6" i="3"/>
  <c r="BE18" i="3"/>
  <c r="Y51" i="2"/>
  <c r="BC41" i="3"/>
  <c r="Y33" i="2"/>
  <c r="BA15" i="3"/>
  <c r="BC45" i="3"/>
  <c r="Z90" i="2"/>
  <c r="AA21" i="2"/>
  <c r="AA97" i="2"/>
  <c r="Z71" i="2"/>
  <c r="BB23" i="3"/>
  <c r="Y41" i="2"/>
  <c r="FA8" i="4" a="1"/>
  <c r="FA15" i="4" a="1"/>
  <c r="FB12" i="4" a="1"/>
  <c r="FC13" i="4" a="1"/>
  <c r="Z42" i="2"/>
  <c r="EY15" i="4" a="1"/>
  <c r="BF15" i="3"/>
  <c r="CL24" i="1" s="1"/>
  <c r="BD9" i="3"/>
  <c r="AA15" i="2"/>
  <c r="BS11" i="3"/>
  <c r="BL5" i="3"/>
  <c r="BI19" i="3"/>
  <c r="BE42" i="3"/>
  <c r="BT25" i="3"/>
  <c r="BK23" i="3"/>
  <c r="Y28" i="2"/>
  <c r="BB30" i="3"/>
  <c r="Y62" i="2"/>
  <c r="BC13" i="3"/>
  <c r="AA88" i="2"/>
  <c r="Z94" i="2"/>
  <c r="AA82" i="2"/>
  <c r="Z83" i="2"/>
  <c r="BC5" i="3"/>
  <c r="BD15" i="3"/>
  <c r="Z17" i="2"/>
  <c r="EY11" i="4" a="1"/>
  <c r="EY13" i="4" a="1"/>
  <c r="EY12" i="4" a="1"/>
  <c r="FE11" i="4" a="1"/>
  <c r="BD17" i="3"/>
  <c r="BD5" i="3"/>
  <c r="EY7" i="4" a="1"/>
  <c r="FA11" i="4" a="1"/>
  <c r="FA9" i="4" a="1"/>
  <c r="EZ9" i="4" a="1"/>
  <c r="Z69" i="2"/>
  <c r="FF5" i="4" a="1"/>
  <c r="BP13" i="3"/>
  <c r="FE15" i="4" a="1"/>
  <c r="BS17" i="3"/>
  <c r="BT12" i="3"/>
  <c r="BK22" i="3"/>
  <c r="BH15" i="3"/>
  <c r="BP8" i="3"/>
  <c r="BI34" i="3"/>
  <c r="AA80" i="2"/>
  <c r="BA29" i="3"/>
  <c r="AA50" i="2"/>
  <c r="BB16" i="3"/>
  <c r="Z6" i="2"/>
  <c r="Y5" i="2"/>
  <c r="X6" i="2"/>
  <c r="Y67" i="2"/>
  <c r="BD31" i="3"/>
  <c r="BD27" i="3"/>
  <c r="Y29" i="2"/>
  <c r="FD7" i="4" a="1"/>
  <c r="FF14" i="4" a="1"/>
  <c r="FF12" i="4" a="1"/>
  <c r="FC6" i="4" a="1"/>
  <c r="AA33" i="2"/>
  <c r="BS23" i="3"/>
  <c r="BT28" i="3"/>
  <c r="BG24" i="3"/>
  <c r="BJ42" i="3"/>
  <c r="BP28" i="3"/>
  <c r="BE40" i="3"/>
  <c r="C4" i="2"/>
  <c r="BC12" i="3"/>
  <c r="AA35" i="2"/>
  <c r="BC17" i="3"/>
  <c r="AA28" i="2"/>
  <c r="Y31" i="2"/>
  <c r="Z88" i="2"/>
  <c r="FC16" i="4" a="1"/>
  <c r="AA26" i="2"/>
  <c r="BC34" i="3"/>
  <c r="FB6" i="4" a="1"/>
  <c r="BS29" i="3"/>
  <c r="BP33" i="3"/>
  <c r="BK36" i="3"/>
  <c r="BF14" i="3"/>
  <c r="CL23" i="1" s="1"/>
  <c r="BG32" i="3"/>
  <c r="BL35" i="3"/>
  <c r="AA7" i="2"/>
  <c r="BB38" i="3"/>
  <c r="Z61" i="2"/>
  <c r="BA32" i="3"/>
  <c r="Z23" i="2"/>
  <c r="Y45" i="2"/>
  <c r="BB33" i="3"/>
  <c r="Y66" i="2"/>
  <c r="Z26" i="2"/>
  <c r="BB28" i="3"/>
  <c r="FA7" i="4" a="1"/>
  <c r="AA99" i="2"/>
  <c r="AA75" i="2"/>
  <c r="EZ11" i="4" a="1"/>
  <c r="FF7" i="4" a="1"/>
  <c r="FD16" i="4" a="1"/>
  <c r="FE9" i="4" a="1"/>
  <c r="BO36" i="3"/>
  <c r="BP15" i="3"/>
  <c r="BI45" i="3"/>
  <c r="BJ20" i="3"/>
  <c r="BE37" i="3"/>
  <c r="BL13" i="3"/>
  <c r="AA29" i="2"/>
  <c r="AA87" i="2"/>
  <c r="Z70" i="2"/>
  <c r="BA36" i="3"/>
  <c r="AA20" i="2"/>
  <c r="AA13" i="2"/>
  <c r="AV10" i="3"/>
  <c r="BC33" i="3"/>
  <c r="Y52" i="2"/>
  <c r="Y18" i="2"/>
  <c r="AA57" i="2"/>
  <c r="EZ8" i="4" a="1"/>
  <c r="FD6" i="4" a="1"/>
  <c r="FF8" i="4" a="1"/>
  <c r="FB15" i="4" a="1"/>
  <c r="BT21" i="3"/>
  <c r="BH33" i="3"/>
  <c r="BL8" i="3"/>
  <c r="BD8" i="3"/>
  <c r="Z52" i="2"/>
  <c r="FE8" i="4" a="1"/>
  <c r="FF9" i="4" a="1"/>
  <c r="FE16" i="4" a="1"/>
  <c r="BP42" i="3"/>
  <c r="BE5" i="3"/>
  <c r="BE85" i="3" s="1"/>
  <c r="BN21" i="3"/>
  <c r="BL39" i="3"/>
  <c r="BN13" i="3"/>
  <c r="Z13" i="2"/>
  <c r="AA66" i="2"/>
  <c r="AA76" i="2"/>
  <c r="BB19" i="3"/>
  <c r="Z59" i="2"/>
  <c r="AA65" i="2"/>
  <c r="BD46" i="3"/>
  <c r="BD25" i="3"/>
  <c r="AA49" i="2"/>
  <c r="BC35" i="3"/>
  <c r="Y97" i="2"/>
  <c r="FF15" i="4" a="1"/>
  <c r="FB13" i="4" a="1"/>
  <c r="EX6" i="4" a="1"/>
  <c r="FD5" i="4" a="1"/>
  <c r="Z33" i="2"/>
  <c r="Z93" i="2"/>
  <c r="AA45" i="2"/>
  <c r="EX16" i="4" a="1"/>
  <c r="BE45" i="3"/>
  <c r="BG8" i="3"/>
  <c r="BH34" i="3"/>
  <c r="BH19" i="3"/>
  <c r="BF25" i="3"/>
  <c r="CL36" i="1" s="1"/>
  <c r="AA109" i="2"/>
  <c r="Z72" i="2"/>
  <c r="Y19" i="2"/>
  <c r="AA58" i="2"/>
  <c r="BA41" i="3"/>
  <c r="Z35" i="2"/>
  <c r="Y81" i="2"/>
  <c r="BB8" i="3"/>
  <c r="BC22" i="3"/>
  <c r="BF27" i="3"/>
  <c r="BM9" i="3"/>
  <c r="BF41" i="3"/>
  <c r="BE46" i="3"/>
  <c r="BL30" i="3"/>
  <c r="Y83" i="2"/>
  <c r="BA45" i="3"/>
  <c r="Y108" i="2"/>
  <c r="Y61" i="2"/>
  <c r="BC42" i="3"/>
  <c r="Y47" i="2"/>
  <c r="AA32" i="2"/>
  <c r="BC36" i="3"/>
  <c r="BA10" i="3"/>
  <c r="Z56" i="2"/>
  <c r="Z43" i="2"/>
  <c r="Y87" i="2"/>
  <c r="FC8" i="4" a="1"/>
  <c r="AA52" i="1" l="1"/>
  <c r="AA193" i="1"/>
  <c r="AA195" i="1" s="1"/>
  <c r="AA54" i="1"/>
  <c r="BP57" i="3"/>
  <c r="BQ56" i="3"/>
  <c r="BQ62" i="3"/>
  <c r="CL65" i="1"/>
  <c r="CL231" i="1"/>
  <c r="CL10" i="1"/>
  <c r="CL253" i="1"/>
  <c r="CL194" i="1"/>
  <c r="CL252" i="1"/>
  <c r="CL26" i="1"/>
  <c r="CL27" i="1" s="1"/>
  <c r="CK64" i="1"/>
  <c r="CK63" i="1"/>
  <c r="CK51" i="1"/>
  <c r="CK25" i="1"/>
  <c r="CK9" i="1"/>
  <c r="CK14" i="1"/>
  <c r="CK35" i="1"/>
  <c r="CK46" i="1"/>
  <c r="CK47" i="1"/>
  <c r="CK21" i="1"/>
  <c r="CK39" i="1"/>
  <c r="CK13" i="1"/>
  <c r="CK22" i="1"/>
  <c r="CK32" i="1"/>
  <c r="CK8" i="1"/>
  <c r="CK15" i="1"/>
  <c r="CK36" i="1"/>
  <c r="CK24" i="1"/>
  <c r="CK20" i="1"/>
  <c r="CK23" i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BH61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BK84" i="3"/>
  <c r="BP60" i="3"/>
  <c r="BP80" i="3"/>
  <c r="BJ88" i="3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G66" i="3"/>
  <c r="BT49" i="3"/>
  <c r="BG7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CL138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BP48" i="3"/>
  <c r="BP73" i="3"/>
  <c r="BN84" i="3"/>
  <c r="BM59" i="3"/>
  <c r="BB78" i="3"/>
  <c r="BD82" i="3"/>
  <c r="BI92" i="3"/>
  <c r="BC56" i="3"/>
  <c r="BH92" i="3"/>
  <c r="BL59" i="3"/>
  <c r="BI90" i="3"/>
  <c r="BQ79" i="3"/>
  <c r="BR50" i="3"/>
  <c r="BO97" i="3"/>
  <c r="BS83" i="3"/>
  <c r="BU57" i="3"/>
  <c r="BU88" i="3"/>
  <c r="BR94" i="3"/>
  <c r="BV92" i="3"/>
  <c r="BT55" i="3"/>
  <c r="BN64" i="3"/>
  <c r="BN97" i="3"/>
  <c r="BO56" i="3"/>
  <c r="BG62" i="3"/>
  <c r="BI63" i="3"/>
  <c r="BF56" i="3"/>
  <c r="CL117" i="1" s="1"/>
  <c r="CL120" i="1" s="1"/>
  <c r="BJ62" i="3"/>
  <c r="BK59" i="3"/>
  <c r="GT14" i="4" a="1"/>
  <c r="GK8" i="4" a="1"/>
  <c r="GX11" i="4" a="1"/>
  <c r="GW5" i="4" a="1"/>
  <c r="GB11" i="4" a="1"/>
  <c r="FW7" i="4" a="1"/>
  <c r="GZ9" i="4" a="1"/>
  <c r="FP6" i="4" a="1"/>
  <c r="FZ9" i="4" a="1"/>
  <c r="FN5" i="4" a="1"/>
  <c r="GW8" i="4" a="1"/>
  <c r="HC11" i="4" a="1"/>
  <c r="GD5" i="4" a="1"/>
  <c r="HF5" i="4" a="1"/>
  <c r="GP11" i="4" a="1"/>
  <c r="FO11" i="4" a="1"/>
  <c r="FW12" i="4" a="1"/>
  <c r="GG13" i="4" a="1"/>
  <c r="GI11" i="4" a="1"/>
  <c r="GK12" i="4" a="1"/>
  <c r="GM13" i="4" a="1"/>
  <c r="GR14" i="4" a="1"/>
  <c r="GR11" i="4" a="1"/>
  <c r="FL15" i="4" a="1"/>
  <c r="GZ15" i="4" a="1"/>
  <c r="FZ16" i="4" a="1"/>
  <c r="HD16" i="4" a="1"/>
  <c r="HB8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P13" i="4" a="1"/>
  <c r="GW14" i="4" a="1"/>
  <c r="FV12" i="4" a="1"/>
  <c r="FP15" i="4" a="1"/>
  <c r="GQ9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GB9" i="4" a="1"/>
  <c r="FQ13" i="4" a="1"/>
  <c r="GL9" i="4" a="1"/>
  <c r="FX13" i="4" a="1"/>
  <c r="GA16" i="4" a="1"/>
  <c r="BD57" i="3"/>
  <c r="BB93" i="3"/>
  <c r="FO12" i="4" a="1"/>
  <c r="GP14" i="4" a="1"/>
  <c r="HA16" i="4" a="1"/>
  <c r="BD58" i="3"/>
  <c r="BG63" i="3"/>
  <c r="BH81" i="3"/>
  <c r="BP84" i="3"/>
  <c r="BM94" i="3"/>
  <c r="BG58" i="3"/>
  <c r="BD49" i="3"/>
  <c r="BI97" i="3"/>
  <c r="BC60" i="3"/>
  <c r="BH82" i="3"/>
  <c r="BL79" i="3"/>
  <c r="BI57" i="3"/>
  <c r="BQ63" i="3"/>
  <c r="BR54" i="3"/>
  <c r="BO59" i="3"/>
  <c r="BS73" i="3"/>
  <c r="BU59" i="3"/>
  <c r="BU70" i="3"/>
  <c r="BR68" i="3"/>
  <c r="BV94" i="3"/>
  <c r="BT79" i="3"/>
  <c r="BN61" i="3"/>
  <c r="BP69" i="3"/>
  <c r="BO83" i="3"/>
  <c r="BG47" i="3"/>
  <c r="BI71" i="3"/>
  <c r="BF50" i="3"/>
  <c r="CL74" i="1" s="1"/>
  <c r="BJ92" i="3"/>
  <c r="BK66" i="3"/>
  <c r="FK15" i="4" a="1"/>
  <c r="GU8" i="4" a="1"/>
  <c r="FT12" i="4" a="1"/>
  <c r="FS6" i="4" a="1"/>
  <c r="GJ6" i="4" a="1"/>
  <c r="GU7" i="4" a="1"/>
  <c r="FJ11" i="4" a="1"/>
  <c r="GV6" i="4" a="1"/>
  <c r="GT9" i="4" a="1"/>
  <c r="FZ5" i="4" a="1"/>
  <c r="FT6" i="4" a="1"/>
  <c r="FY12" i="4" a="1"/>
  <c r="GY5" i="4" a="1"/>
  <c r="GW6" i="4" a="1"/>
  <c r="FL12" i="4" a="1"/>
  <c r="FS11" i="4" a="1"/>
  <c r="GE12" i="4" a="1"/>
  <c r="GO13" i="4" a="1"/>
  <c r="GL11" i="4" a="1"/>
  <c r="GN12" i="4" a="1"/>
  <c r="HB15" i="4" a="1"/>
  <c r="GB16" i="4" a="1"/>
  <c r="HF16" i="4" a="1"/>
  <c r="FV14" i="4" a="1"/>
  <c r="GO9" i="4" a="1"/>
  <c r="FJ12" i="4" a="1"/>
  <c r="FK9" i="4" a="1"/>
  <c r="FV16" i="4" a="1"/>
  <c r="BJ86" i="3"/>
  <c r="BH63" i="3"/>
  <c r="BP89" i="3"/>
  <c r="BM57" i="3"/>
  <c r="BG64" i="3"/>
  <c r="BD94" i="3"/>
  <c r="BI96" i="3"/>
  <c r="BD50" i="3"/>
  <c r="BH48" i="3"/>
  <c r="BL61" i="3"/>
  <c r="BI81" i="3"/>
  <c r="BQ97" i="3"/>
  <c r="BV64" i="3"/>
  <c r="BO66" i="3"/>
  <c r="BS68" i="3"/>
  <c r="BU60" i="3"/>
  <c r="BR88" i="3"/>
  <c r="BR67" i="3"/>
  <c r="BV63" i="3"/>
  <c r="BT86" i="3"/>
  <c r="BN55" i="3"/>
  <c r="BP90" i="3"/>
  <c r="BO78" i="3"/>
  <c r="BG90" i="3"/>
  <c r="BI87" i="3"/>
  <c r="BJ49" i="3"/>
  <c r="BJ50" i="3"/>
  <c r="BK60" i="3"/>
  <c r="FM5" i="4" a="1"/>
  <c r="FI6" i="4" a="1"/>
  <c r="HE12" i="4" a="1"/>
  <c r="HG6" i="4" a="1"/>
  <c r="FX9" i="4" a="1"/>
  <c r="FK6" i="4" a="1"/>
  <c r="GS5" i="4" a="1"/>
  <c r="GP7" i="4" a="1"/>
  <c r="FP11" i="4" a="1"/>
  <c r="GJ5" i="4" a="1"/>
  <c r="GL7" i="4" a="1"/>
  <c r="GZ12" i="4" a="1"/>
  <c r="FU6" i="4" a="1"/>
  <c r="FT9" i="4" a="1"/>
  <c r="GR12" i="4" a="1"/>
  <c r="FW11" i="4" a="1"/>
  <c r="GM12" i="4" a="1"/>
  <c r="GR13" i="4" a="1"/>
  <c r="GQ11" i="4" a="1"/>
  <c r="GS12" i="4" a="1"/>
  <c r="GX13" i="4" a="1"/>
  <c r="GZ14" i="4" a="1"/>
  <c r="GQ12" i="4" a="1"/>
  <c r="FS15" i="4" a="1"/>
  <c r="HD15" i="4" a="1"/>
  <c r="GF16" i="4" a="1"/>
  <c r="HH16" i="4" a="1"/>
  <c r="HG9" i="4" a="1"/>
  <c r="GA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I14" i="4" a="1"/>
  <c r="GO16" i="4" a="1"/>
  <c r="GY9" i="4" a="1"/>
  <c r="BC95" i="3"/>
  <c r="BC61" i="3"/>
  <c r="BC76" i="3"/>
  <c r="BD97" i="3"/>
  <c r="BD66" i="3"/>
  <c r="FM7" i="4" a="1"/>
  <c r="GI7" i="4" a="1"/>
  <c r="FM12" i="4" a="1"/>
  <c r="GT8" i="4" a="1"/>
  <c r="FP16" i="4" a="1"/>
  <c r="BC73" i="3"/>
  <c r="BD64" i="3"/>
  <c r="BC48" i="3"/>
  <c r="FN6" i="4" a="1"/>
  <c r="FX12" i="4" a="1"/>
  <c r="GT15" i="4" a="1"/>
  <c r="GV16" i="4" a="1"/>
  <c r="HH8" i="4" a="1"/>
  <c r="BC79" i="3"/>
  <c r="GF11" i="4" a="1"/>
  <c r="FY13" i="4" a="1"/>
  <c r="BC69" i="3"/>
  <c r="BD95" i="3"/>
  <c r="BA65" i="3"/>
  <c r="BA48" i="3"/>
  <c r="BH70" i="3"/>
  <c r="BG78" i="3"/>
  <c r="BF83" i="3"/>
  <c r="CL160" i="1" s="1"/>
  <c r="BG77" i="3"/>
  <c r="BD54" i="3"/>
  <c r="BB61" i="3"/>
  <c r="BQ48" i="3"/>
  <c r="BL49" i="3"/>
  <c r="BE95" i="3"/>
  <c r="BI67" i="3"/>
  <c r="BQ66" i="3"/>
  <c r="BV49" i="3"/>
  <c r="BO81" i="3"/>
  <c r="BS60" i="3"/>
  <c r="BU71" i="3"/>
  <c r="BR55" i="3"/>
  <c r="BV62" i="3"/>
  <c r="BV70" i="3"/>
  <c r="BT87" i="3"/>
  <c r="BN48" i="3"/>
  <c r="BF81" i="3"/>
  <c r="CL144" i="1" s="1"/>
  <c r="CL179" i="1" s="1"/>
  <c r="BO91" i="3"/>
  <c r="BH93" i="3"/>
  <c r="BI91" i="3"/>
  <c r="BJ82" i="3"/>
  <c r="BJ69" i="3"/>
  <c r="BK87" i="3"/>
  <c r="GC5" i="4" a="1"/>
  <c r="HH6" i="4" a="1"/>
  <c r="GQ13" i="4" a="1"/>
  <c r="HA7" i="4" a="1"/>
  <c r="FQ12" i="4" a="1"/>
  <c r="HB6" i="4" a="1"/>
  <c r="FH8" i="4" a="1"/>
  <c r="HE5" i="4" a="1"/>
  <c r="HD5" i="4" a="1"/>
  <c r="FM6" i="4" a="1"/>
  <c r="FJ6" i="4" a="1"/>
  <c r="FV13" i="4" a="1"/>
  <c r="GS6" i="4" a="1"/>
  <c r="FL7" i="4" a="1"/>
  <c r="FN13" i="4" a="1"/>
  <c r="GA11" i="4" a="1"/>
  <c r="GU12" i="4" a="1"/>
  <c r="GW13" i="4" a="1"/>
  <c r="GT11" i="4" a="1"/>
  <c r="GV12" i="4" a="1"/>
  <c r="HC13" i="4" a="1"/>
  <c r="HH14" i="4" a="1"/>
  <c r="HB12" i="4" a="1"/>
  <c r="GC15" i="4" a="1"/>
  <c r="HF15" i="4" a="1"/>
  <c r="GH16" i="4" a="1"/>
  <c r="GO11" i="4" a="1"/>
  <c r="FU11" i="4" a="1"/>
  <c r="GL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HC14" i="4" a="1"/>
  <c r="GN7" i="4" a="1"/>
  <c r="BC64" i="3"/>
  <c r="BD81" i="3"/>
  <c r="FG11" i="4" a="1"/>
  <c r="GJ7" i="4" a="1"/>
  <c r="GA15" i="4" a="1"/>
  <c r="FG14" i="4" a="1"/>
  <c r="GC16" i="4" a="1"/>
  <c r="BC84" i="3"/>
  <c r="BA59" i="3"/>
  <c r="BL97" i="3"/>
  <c r="BG67" i="3"/>
  <c r="BB96" i="3"/>
  <c r="BH77" i="3"/>
  <c r="BD93" i="3"/>
  <c r="BB77" i="3"/>
  <c r="BQ50" i="3"/>
  <c r="BL47" i="3"/>
  <c r="BE84" i="3"/>
  <c r="BF89" i="3"/>
  <c r="CL153" i="1" s="1"/>
  <c r="CL183" i="1" s="1"/>
  <c r="BQ71" i="3"/>
  <c r="BV47" i="3"/>
  <c r="BO84" i="3"/>
  <c r="BS55" i="3"/>
  <c r="BU69" i="3"/>
  <c r="BR64" i="3"/>
  <c r="BV79" i="3"/>
  <c r="BT71" i="3"/>
  <c r="BT54" i="3"/>
  <c r="BN60" i="3"/>
  <c r="BF67" i="3"/>
  <c r="BO96" i="3"/>
  <c r="BL73" i="3"/>
  <c r="BI61" i="3"/>
  <c r="BJ47" i="3"/>
  <c r="BJ71" i="3"/>
  <c r="BK76" i="3"/>
  <c r="GB5" i="4" a="1"/>
  <c r="GE9" i="4" a="1"/>
  <c r="HA14" i="4" a="1"/>
  <c r="GQ8" i="4" a="1"/>
  <c r="GI13" i="4" a="1"/>
  <c r="FQ8" i="4" a="1"/>
  <c r="GB12" i="4" a="1"/>
  <c r="GK7" i="4" a="1"/>
  <c r="GM11" i="4" a="1"/>
  <c r="GK6" i="4" a="1"/>
  <c r="GG7" i="4" a="1"/>
  <c r="GT13" i="4" a="1"/>
  <c r="GM7" i="4" a="1"/>
  <c r="FK8" i="4" a="1"/>
  <c r="GL13" i="4" a="1"/>
  <c r="GK11" i="4" a="1"/>
  <c r="GX12" i="4" a="1"/>
  <c r="GZ13" i="4" a="1"/>
  <c r="GY11" i="4" a="1"/>
  <c r="HD12" i="4" a="1"/>
  <c r="HF13" i="4" a="1"/>
  <c r="FO6" i="4" a="1"/>
  <c r="FU13" i="4" a="1"/>
  <c r="GF15" i="4" a="1"/>
  <c r="FH16" i="4" a="1"/>
  <c r="GJ16" i="4" a="1"/>
  <c r="FS12" i="4" a="1"/>
  <c r="GJ11" i="4" a="1"/>
  <c r="GQ14" i="4" a="1"/>
  <c r="GL12" i="4" a="1"/>
  <c r="GU15" i="4" a="1"/>
  <c r="FQ16" i="4" a="1"/>
  <c r="GE6" i="4" a="1"/>
  <c r="FI13" i="4" a="1"/>
  <c r="GN15" i="4" a="1"/>
  <c r="HA15" i="4" a="1"/>
  <c r="GY12" i="4" a="1"/>
  <c r="BJ89" i="3"/>
  <c r="FH11" i="4" a="1"/>
  <c r="FZ13" i="4" a="1"/>
  <c r="GB14" i="4" a="1"/>
  <c r="GE14" i="4" a="1"/>
  <c r="FW8" i="4" a="1"/>
  <c r="FQ11" i="4" a="1"/>
  <c r="GX16" i="4" a="1"/>
  <c r="GS13" i="4" a="1"/>
  <c r="GU9" i="4" a="1"/>
  <c r="BA96" i="3"/>
  <c r="BK68" i="3"/>
  <c r="BG96" i="3"/>
  <c r="BB50" i="3"/>
  <c r="BH55" i="3"/>
  <c r="BU54" i="3"/>
  <c r="BB57" i="3"/>
  <c r="BQ57" i="3"/>
  <c r="BL93" i="3"/>
  <c r="BE80" i="3"/>
  <c r="BF47" i="3"/>
  <c r="BQ82" i="3"/>
  <c r="BV60" i="3"/>
  <c r="BO94" i="3"/>
  <c r="BS77" i="3"/>
  <c r="BU96" i="3"/>
  <c r="BR74" i="3"/>
  <c r="BV57" i="3"/>
  <c r="BT68" i="3"/>
  <c r="BT62" i="3"/>
  <c r="BN47" i="3"/>
  <c r="BF77" i="3"/>
  <c r="CL140" i="1" s="1"/>
  <c r="BS66" i="3"/>
  <c r="BL50" i="3"/>
  <c r="BM69" i="3"/>
  <c r="BJ72" i="3"/>
  <c r="BJ73" i="3"/>
  <c r="BK90" i="3"/>
  <c r="FX6" i="4" a="1"/>
  <c r="HH7" i="4" a="1"/>
  <c r="GH8" i="4" a="1"/>
  <c r="FY6" i="4" a="1"/>
  <c r="HD14" i="4" a="1"/>
  <c r="GY8" i="4" a="1"/>
  <c r="GY13" i="4" a="1"/>
  <c r="GG8" i="4" a="1"/>
  <c r="GG12" i="4" a="1"/>
  <c r="FZ7" i="4" a="1"/>
  <c r="FX8" i="4" a="1"/>
  <c r="FP14" i="4" a="1"/>
  <c r="HH5" i="4" a="1"/>
  <c r="GJ8" i="4" a="1"/>
  <c r="FM14" i="4" a="1"/>
  <c r="GS11" i="4" a="1"/>
  <c r="HC12" i="4" a="1"/>
  <c r="HE6" i="4" a="1"/>
  <c r="HB11" i="4" a="1"/>
  <c r="FG13" i="4" a="1"/>
  <c r="FL14" i="4" a="1"/>
  <c r="FY7" i="4" a="1"/>
  <c r="GF13" i="4" a="1"/>
  <c r="GH15" i="4" a="1"/>
  <c r="FJ16" i="4" a="1"/>
  <c r="GN16" i="4" a="1"/>
  <c r="FH13" i="4" a="1"/>
  <c r="HE11" i="4" a="1"/>
  <c r="HB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O72" i="3"/>
  <c r="BS72" i="3"/>
  <c r="BU85" i="3"/>
  <c r="BR75" i="3"/>
  <c r="BV90" i="3"/>
  <c r="BT59" i="3"/>
  <c r="BN82" i="3"/>
  <c r="BN66" i="3"/>
  <c r="BF48" i="3"/>
  <c r="BS87" i="3"/>
  <c r="BE79" i="3"/>
  <c r="BM63" i="3"/>
  <c r="BJ78" i="3"/>
  <c r="BJ81" i="3"/>
  <c r="BK54" i="3"/>
  <c r="FJ7" i="4" a="1"/>
  <c r="GZ8" i="4" a="1"/>
  <c r="HA9" i="4" a="1"/>
  <c r="GA7" i="4" a="1"/>
  <c r="GO7" i="4" a="1"/>
  <c r="FQ6" i="4" a="1"/>
  <c r="GS14" i="4" a="1"/>
  <c r="GP5" i="4" a="1"/>
  <c r="GD13" i="4" a="1"/>
  <c r="FU9" i="4" a="1"/>
  <c r="GC9" i="4" a="1"/>
  <c r="GV5" i="4" a="1"/>
  <c r="FR13" i="4" a="1"/>
  <c r="GR16" i="4" a="1"/>
  <c r="FM15" i="4" a="1"/>
  <c r="HF6" i="4" a="1"/>
  <c r="GK13" i="4" a="1"/>
  <c r="GU16" i="4" a="1"/>
  <c r="BC80" i="3"/>
  <c r="BD69" i="3"/>
  <c r="GV14" i="4" a="1"/>
  <c r="FX15" i="4" a="1"/>
  <c r="GG15" i="4" a="1"/>
  <c r="FS14" i="4" a="1"/>
  <c r="GO8" i="4" a="1"/>
  <c r="FP9" i="4" a="1"/>
  <c r="GC12" i="4" a="1"/>
  <c r="GV15" i="4" a="1"/>
  <c r="GI15" i="4" a="1"/>
  <c r="BC55" i="3"/>
  <c r="BA50" i="3"/>
  <c r="BC71" i="3"/>
  <c r="BG65" i="3"/>
  <c r="BB65" i="3"/>
  <c r="BH68" i="3"/>
  <c r="BU61" i="3"/>
  <c r="BB54" i="3"/>
  <c r="BQ73" i="3"/>
  <c r="BL68" i="3"/>
  <c r="BE60" i="3"/>
  <c r="BF94" i="3"/>
  <c r="BQ69" i="3"/>
  <c r="BV85" i="3"/>
  <c r="BO57" i="3"/>
  <c r="BS96" i="3"/>
  <c r="BU77" i="3"/>
  <c r="BR59" i="3"/>
  <c r="BV91" i="3"/>
  <c r="BT63" i="3"/>
  <c r="BT48" i="3"/>
  <c r="BN56" i="3"/>
  <c r="BF69" i="3"/>
  <c r="BS81" i="3"/>
  <c r="BE49" i="3"/>
  <c r="BM47" i="3"/>
  <c r="BJ76" i="3"/>
  <c r="BJ77" i="3"/>
  <c r="BK91" i="3"/>
  <c r="GN6" i="4" a="1"/>
  <c r="GB8" i="4" a="1"/>
  <c r="FY9" i="4" a="1"/>
  <c r="GG6" i="4" a="1"/>
  <c r="FW15" i="4" a="1"/>
  <c r="GX5" i="4" a="1"/>
  <c r="FU14" i="4" a="1"/>
  <c r="GS8" i="4" a="1"/>
  <c r="HH12" i="4" a="1"/>
  <c r="GZ5" i="4" a="1"/>
  <c r="GV8" i="4" a="1"/>
  <c r="GN14" i="4" a="1"/>
  <c r="FP7" i="4" a="1"/>
  <c r="HG8" i="4" a="1"/>
  <c r="GK14" i="4" a="1"/>
  <c r="HA11" i="4" a="1"/>
  <c r="HF12" i="4" a="1"/>
  <c r="FN7" i="4" a="1"/>
  <c r="FH12" i="4" a="1"/>
  <c r="FJ13" i="4" a="1"/>
  <c r="FQ14" i="4" a="1"/>
  <c r="FN8" i="4" a="1"/>
  <c r="HA13" i="4" a="1"/>
  <c r="GL15" i="4" a="1"/>
  <c r="FL16" i="4" a="1"/>
  <c r="GP16" i="4" a="1"/>
  <c r="FN14" i="4" a="1"/>
  <c r="FN12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T93" i="3"/>
  <c r="HD11" i="4" a="1"/>
  <c r="FT14" i="4" a="1"/>
  <c r="FJ14" i="4" a="1"/>
  <c r="GD14" i="4" a="1"/>
  <c r="GI12" i="4" a="1"/>
  <c r="FU15" i="4" a="1"/>
  <c r="FW16" i="4" a="1"/>
  <c r="BC89" i="3"/>
  <c r="BK77" i="3"/>
  <c r="FU5" i="4" a="1"/>
  <c r="HD9" i="4" a="1"/>
  <c r="HE9" i="4" a="1"/>
  <c r="FT16" i="4" a="1"/>
  <c r="FV15" i="4" a="1"/>
  <c r="HD13" i="4" a="1"/>
  <c r="HE15" i="4" a="1"/>
  <c r="BD48" i="3"/>
  <c r="FJ5" i="4" a="1"/>
  <c r="BA85" i="3"/>
  <c r="BU50" i="3"/>
  <c r="BG54" i="3"/>
  <c r="BB59" i="3"/>
  <c r="BM96" i="3"/>
  <c r="BP68" i="3"/>
  <c r="BA94" i="3"/>
  <c r="BH57" i="3"/>
  <c r="BL70" i="3"/>
  <c r="BE71" i="3"/>
  <c r="BF54" i="3"/>
  <c r="BU78" i="3"/>
  <c r="GY16" i="4" a="1"/>
  <c r="GD11" i="4" a="1"/>
  <c r="BA71" i="3"/>
  <c r="BU63" i="3"/>
  <c r="BE82" i="3"/>
  <c r="BB71" i="3"/>
  <c r="BM88" i="3"/>
  <c r="BP59" i="3"/>
  <c r="BA66" i="3"/>
  <c r="BH60" i="3"/>
  <c r="BL96" i="3"/>
  <c r="BE61" i="3"/>
  <c r="BF66" i="3"/>
  <c r="CL151" i="1" s="1"/>
  <c r="BU72" i="3"/>
  <c r="BT92" i="3"/>
  <c r="BO74" i="3"/>
  <c r="BS69" i="3"/>
  <c r="BU90" i="3"/>
  <c r="BR82" i="3"/>
  <c r="BV88" i="3"/>
  <c r="BT72" i="3"/>
  <c r="BN77" i="3"/>
  <c r="BN70" i="3"/>
  <c r="Y111" i="2"/>
  <c r="BS89" i="3"/>
  <c r="BE89" i="3"/>
  <c r="BM89" i="3"/>
  <c r="BJ96" i="3"/>
  <c r="BK82" i="3"/>
  <c r="BK49" i="3"/>
  <c r="HF7" i="4" a="1"/>
  <c r="GH9" i="4" a="1"/>
  <c r="GA5" i="4" a="1"/>
  <c r="GJ9" i="4" a="1"/>
  <c r="GS9" i="4" a="1"/>
  <c r="FV7" i="4" a="1"/>
  <c r="FI7" i="4" a="1"/>
  <c r="FR6" i="4" a="1"/>
  <c r="HB13" i="4" a="1"/>
  <c r="GF7" i="4" a="1"/>
  <c r="GR9" i="4" a="1"/>
  <c r="GD9" i="4" a="1"/>
  <c r="FJ8" i="4" a="1"/>
  <c r="GV9" i="4" a="1"/>
  <c r="FN9" i="4" a="1"/>
  <c r="FG12" i="4" a="1"/>
  <c r="FL13" i="4" a="1"/>
  <c r="FM8" i="4" a="1"/>
  <c r="FP12" i="4" a="1"/>
  <c r="FW13" i="4" a="1"/>
  <c r="FY14" i="4" a="1"/>
  <c r="FQ9" i="4" a="1"/>
  <c r="FZ14" i="4" a="1"/>
  <c r="GP15" i="4" a="1"/>
  <c r="FR16" i="4" a="1"/>
  <c r="GT16" i="4" a="1"/>
  <c r="GY14" i="4" a="1"/>
  <c r="FM13" i="4" a="1"/>
  <c r="FT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BS54" i="3"/>
  <c r="BE69" i="3"/>
  <c r="BM55" i="3"/>
  <c r="BK97" i="3"/>
  <c r="HH9" i="4" a="1"/>
  <c r="FV5" i="4" a="1"/>
  <c r="GR7" i="4" a="1"/>
  <c r="HG7" i="4" a="1"/>
  <c r="FG8" i="4" a="1"/>
  <c r="FW5" i="4" a="1"/>
  <c r="GA8" i="4" a="1"/>
  <c r="GG14" i="4" a="1"/>
  <c r="HG15" i="4" a="1"/>
  <c r="BD84" i="3"/>
  <c r="BA55" i="3"/>
  <c r="BR61" i="3"/>
  <c r="BE56" i="3"/>
  <c r="BB74" i="3"/>
  <c r="BF88" i="3"/>
  <c r="CL127" i="1" s="1"/>
  <c r="BI73" i="3"/>
  <c r="BA74" i="3"/>
  <c r="BH58" i="3"/>
  <c r="BL82" i="3"/>
  <c r="BE88" i="3"/>
  <c r="BF93" i="3"/>
  <c r="BU76" i="3"/>
  <c r="BT84" i="3"/>
  <c r="BO82" i="3"/>
  <c r="BS64" i="3"/>
  <c r="BU92" i="3"/>
  <c r="BR80" i="3"/>
  <c r="BV80" i="3"/>
  <c r="BT70" i="3"/>
  <c r="BN79" i="3"/>
  <c r="BN63" i="3"/>
  <c r="BO47" i="3"/>
  <c r="BP50" i="3"/>
  <c r="BQ85" i="3"/>
  <c r="BM65" i="3"/>
  <c r="BM68" i="3"/>
  <c r="BB88" i="3"/>
  <c r="BP86" i="3"/>
  <c r="BI89" i="3"/>
  <c r="BA47" i="3"/>
  <c r="BH67" i="3"/>
  <c r="BL94" i="3"/>
  <c r="BE97" i="3"/>
  <c r="BQ93" i="3"/>
  <c r="BR62" i="3"/>
  <c r="BT90" i="3"/>
  <c r="BO90" i="3"/>
  <c r="BS57" i="3"/>
  <c r="BU84" i="3"/>
  <c r="BR77" i="3"/>
  <c r="BV58" i="3"/>
  <c r="BT57" i="3"/>
  <c r="BN67" i="3"/>
  <c r="BN87" i="3"/>
  <c r="BO48" i="3"/>
  <c r="BS58" i="3"/>
  <c r="BE73" i="3"/>
  <c r="BF74" i="3"/>
  <c r="CL137" i="1" s="1"/>
  <c r="BJ48" i="3"/>
  <c r="BK55" i="3"/>
  <c r="BK96" i="3"/>
  <c r="FU7" i="4" a="1"/>
  <c r="FW6" i="4" a="1"/>
  <c r="GC6" i="4" a="1"/>
  <c r="FM9" i="4" a="1"/>
  <c r="GL5" i="4" a="1"/>
  <c r="FP8" i="4" a="1"/>
  <c r="GI5" i="4" a="1"/>
  <c r="HC6" i="4" a="1"/>
  <c r="GZ7" i="4" a="1"/>
  <c r="BQ61" i="3"/>
  <c r="BM73" i="3"/>
  <c r="BM84" i="3"/>
  <c r="BB94" i="3"/>
  <c r="BD75" i="3"/>
  <c r="BI88" i="3"/>
  <c r="BA88" i="3"/>
  <c r="BH74" i="3"/>
  <c r="BL65" i="3"/>
  <c r="BI58" i="3"/>
  <c r="BQ84" i="3"/>
  <c r="BR91" i="3"/>
  <c r="BN76" i="3"/>
  <c r="BS63" i="3"/>
  <c r="BS50" i="3"/>
  <c r="BU81" i="3"/>
  <c r="BR96" i="3"/>
  <c r="BV89" i="3"/>
  <c r="BT47" i="3"/>
  <c r="BN59" i="3"/>
  <c r="BN91" i="3"/>
  <c r="BO54" i="3"/>
  <c r="BG48" i="3"/>
  <c r="BE77" i="3"/>
  <c r="BF64" i="3"/>
  <c r="CL149" i="1" s="1"/>
  <c r="BJ55" i="3"/>
  <c r="BK83" i="3"/>
  <c r="BK61" i="3"/>
  <c r="FY8" i="4" a="1"/>
  <c r="GI9" i="4" a="1"/>
  <c r="GX7" i="4" a="1"/>
  <c r="FL11" i="4" a="1"/>
  <c r="HA6" i="4" a="1"/>
  <c r="GK9" i="4" a="1"/>
  <c r="GT5" i="4" a="1"/>
  <c r="HD8" i="4" a="1"/>
  <c r="GE5" i="4" a="1"/>
  <c r="GI8" i="4" a="1"/>
  <c r="GY7" i="4" a="1"/>
  <c r="FR5" i="4" a="1"/>
  <c r="HA8" i="4" a="1"/>
  <c r="FS7" i="4" a="1"/>
  <c r="FK11" i="4" a="1"/>
  <c r="FR12" i="4" a="1"/>
  <c r="GB13" i="4" a="1"/>
  <c r="GF9" i="4" a="1"/>
  <c r="GF12" i="4" a="1"/>
  <c r="GH13" i="4" a="1"/>
  <c r="GJ14" i="4" a="1"/>
  <c r="GG11" i="4" a="1"/>
  <c r="HF14" i="4" a="1"/>
  <c r="GX15" i="4" a="1"/>
  <c r="FX16" i="4" a="1"/>
  <c r="GZ16" i="4" a="1"/>
  <c r="FV8" i="4" a="1"/>
  <c r="HH13" i="4" a="1"/>
  <c r="GD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Z112" i="2"/>
  <c r="GE13" i="4" a="1"/>
  <c r="CH140" i="1" l="1"/>
  <c r="CI140" i="1" s="1"/>
  <c r="AA202" i="1"/>
  <c r="CL98" i="1"/>
  <c r="CL99" i="1" s="1"/>
  <c r="CL16" i="1"/>
  <c r="CO20" i="1"/>
  <c r="CS20" i="1" s="1"/>
  <c r="CL129" i="1"/>
  <c r="CL161" i="1"/>
  <c r="CL168" i="1" s="1"/>
  <c r="CL109" i="1" s="1"/>
  <c r="CL92" i="1"/>
  <c r="CL156" i="1"/>
  <c r="CL185" i="1" s="1"/>
  <c r="CL184" i="1" s="1"/>
  <c r="CL148" i="1"/>
  <c r="CK26" i="1"/>
  <c r="CK10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V16" i="4" s="1"/>
  <c r="KG8" i="4" s="1"/>
  <c r="CJ146" i="1"/>
  <c r="KH9" i="4" s="1"/>
  <c r="CJ134" i="1"/>
  <c r="CK33" i="1" s="1"/>
  <c r="CJ154" i="1"/>
  <c r="JT16" i="4" s="1"/>
  <c r="KD9" i="4" s="1"/>
  <c r="CJ159" i="1"/>
  <c r="CJ150" i="1"/>
  <c r="KC16" i="4" s="1"/>
  <c r="JU16" i="4" s="1"/>
  <c r="KB16" i="4" s="1"/>
  <c r="CK73" i="1"/>
  <c r="CG74" i="1"/>
  <c r="JU9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Y8" i="4" s="1"/>
  <c r="CH74" i="1"/>
  <c r="JV8" i="4" s="1"/>
  <c r="JX14" i="4" s="1"/>
  <c r="JZ16" i="4" s="1"/>
  <c r="CJ144" i="1"/>
  <c r="CJ179" i="1" s="1"/>
  <c r="CK179" i="1" s="1"/>
  <c r="CJ143" i="1"/>
  <c r="JY9" i="4" s="1"/>
  <c r="KA16" i="4" s="1"/>
  <c r="JS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D16" i="4" s="1"/>
  <c r="CJ149" i="1"/>
  <c r="CJ151" i="1"/>
  <c r="KE9" i="4" s="1"/>
  <c r="CJ152" i="1"/>
  <c r="KC15" i="4" s="1"/>
  <c r="KH16" i="4" s="1"/>
  <c r="CJ74" i="1"/>
  <c r="JV14" i="4" s="1"/>
  <c r="CJ73" i="1"/>
  <c r="CJ119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W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CJ145" i="1"/>
  <c r="CJ180" i="1" s="1"/>
  <c r="CK180" i="1" s="1"/>
  <c r="KF16" i="4" s="1"/>
  <c r="JX16" i="4" s="1"/>
  <c r="CJ133" i="1"/>
  <c r="CK133" i="1" s="1"/>
  <c r="CM133" i="1" s="1"/>
  <c r="CN133" i="1" s="1"/>
  <c r="CO133" i="1" s="1"/>
  <c r="CP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F9" i="4" s="1"/>
  <c r="X73" i="1"/>
  <c r="KB9" i="4" s="1"/>
  <c r="Z74" i="1"/>
  <c r="CJ153" i="1"/>
  <c r="CJ183" i="1" s="1"/>
  <c r="CK183" i="1" s="1"/>
  <c r="CJ147" i="1"/>
  <c r="Y74" i="1"/>
  <c r="CI74" i="1"/>
  <c r="Z73" i="1"/>
  <c r="CJ160" i="1"/>
  <c r="JW9" i="4" s="1"/>
  <c r="KA9" i="4" s="1"/>
  <c r="JS9" i="4" s="1"/>
  <c r="CK74" i="1"/>
  <c r="CJ142" i="1"/>
  <c r="CH73" i="1"/>
  <c r="JW15" i="4" s="1"/>
  <c r="CJ155" i="1"/>
  <c r="CJ124" i="1"/>
  <c r="CK124" i="1" s="1"/>
  <c r="CG73" i="1"/>
  <c r="Y161" i="1"/>
  <c r="X179" i="1"/>
  <c r="Z154" i="1"/>
  <c r="CH154" i="1" s="1"/>
  <c r="X183" i="1"/>
  <c r="CK98" i="1"/>
  <c r="CK99" i="1" s="1"/>
  <c r="Y173" i="1"/>
  <c r="X10" i="1"/>
  <c r="Y148" i="1"/>
  <c r="Y182" i="1" s="1"/>
  <c r="Z252" i="1"/>
  <c r="X252" i="1"/>
  <c r="Y134" i="1"/>
  <c r="Y26" i="1"/>
  <c r="CH159" i="1"/>
  <c r="CH161" i="1" s="1"/>
  <c r="CI209" i="1" s="1"/>
  <c r="Z161" i="1"/>
  <c r="AA209" i="1" s="1"/>
  <c r="Y179" i="1"/>
  <c r="X194" i="1"/>
  <c r="X253" i="1"/>
  <c r="Y194" i="1"/>
  <c r="Y253" i="1"/>
  <c r="Z253" i="1"/>
  <c r="Z194" i="1"/>
  <c r="X148" i="1"/>
  <c r="X180" i="1"/>
  <c r="CH143" i="1"/>
  <c r="Z148" i="1"/>
  <c r="AA196" i="1" s="1"/>
  <c r="Y252" i="1"/>
  <c r="Y10" i="1"/>
  <c r="Y231" i="1"/>
  <c r="Y183" i="1"/>
  <c r="CH117" i="1"/>
  <c r="Z120" i="1"/>
  <c r="CH144" i="1"/>
  <c r="CH179" i="1" s="1"/>
  <c r="CI179" i="1" s="1"/>
  <c r="Z179" i="1"/>
  <c r="Z231" i="1"/>
  <c r="Z180" i="1"/>
  <c r="Z183" i="1"/>
  <c r="CH135" i="1"/>
  <c r="CI135" i="1" s="1"/>
  <c r="Z131" i="1"/>
  <c r="X173" i="1"/>
  <c r="CG194" i="1"/>
  <c r="CG253" i="1"/>
  <c r="Y156" i="1"/>
  <c r="CH253" i="1"/>
  <c r="CG252" i="1"/>
  <c r="X134" i="1"/>
  <c r="CI231" i="1"/>
  <c r="CI10" i="1"/>
  <c r="CJ98" i="1"/>
  <c r="Y202" i="1"/>
  <c r="Y180" i="1"/>
  <c r="JU14" i="4"/>
  <c r="CG10" i="1"/>
  <c r="CK11" i="1" s="1"/>
  <c r="Z173" i="1"/>
  <c r="Z10" i="1"/>
  <c r="X156" i="1"/>
  <c r="X157" i="1" s="1"/>
  <c r="KC14" i="4"/>
  <c r="JW7" i="4"/>
  <c r="Y120" i="1"/>
  <c r="X128" i="1"/>
  <c r="X161" i="1"/>
  <c r="X120" i="1"/>
  <c r="X175" i="1" s="1"/>
  <c r="Y128" i="1"/>
  <c r="Z26" i="1"/>
  <c r="X26" i="1"/>
  <c r="JW8" i="4"/>
  <c r="KA7" i="4"/>
  <c r="KE7" i="4"/>
  <c r="JR15" i="4"/>
  <c r="JS8" i="4"/>
  <c r="JW14" i="4"/>
  <c r="KH14" i="4"/>
  <c r="KB15" i="4"/>
  <c r="KF15" i="4"/>
  <c r="KG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209" i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H21" i="4" l="1"/>
  <c r="JV9" i="4" s="1"/>
  <c r="JV21" i="4" s="1"/>
  <c r="CK12" i="1"/>
  <c r="CH156" i="1"/>
  <c r="CH185" i="1" s="1"/>
  <c r="Z156" i="1"/>
  <c r="AA197" i="1" s="1"/>
  <c r="AA198" i="1" s="1"/>
  <c r="AA199" i="1" s="1"/>
  <c r="KB21" i="4"/>
  <c r="JR16" i="4" s="1"/>
  <c r="Z175" i="1"/>
  <c r="AA207" i="1"/>
  <c r="AA11" i="1"/>
  <c r="AA188" i="1"/>
  <c r="AA206" i="1"/>
  <c r="AA249" i="1"/>
  <c r="CK27" i="1"/>
  <c r="KD21" i="4"/>
  <c r="JX9" i="4" s="1"/>
  <c r="JS21" i="4"/>
  <c r="JQ9" i="4" s="1"/>
  <c r="JQ21" i="4" s="1"/>
  <c r="CK77" i="1" s="1"/>
  <c r="JU8" i="4" s="1"/>
  <c r="CJ202" i="1"/>
  <c r="CK140" i="1"/>
  <c r="CL202" i="1" s="1"/>
  <c r="KF8" i="4"/>
  <c r="KF20" i="4" s="1"/>
  <c r="CL28" i="1"/>
  <c r="CL17" i="1"/>
  <c r="CL248" i="1"/>
  <c r="CL246" i="1"/>
  <c r="CL157" i="1"/>
  <c r="CL165" i="1" s="1"/>
  <c r="CL166" i="1" s="1"/>
  <c r="CL182" i="1"/>
  <c r="KA15" i="4"/>
  <c r="JZ14" i="4"/>
  <c r="KC7" i="4"/>
  <c r="KC19" i="4" s="1"/>
  <c r="JU21" i="4"/>
  <c r="KE15" i="4"/>
  <c r="JT14" i="4"/>
  <c r="JZ15" i="4"/>
  <c r="KD15" i="4"/>
  <c r="JS15" i="4"/>
  <c r="KC8" i="4"/>
  <c r="KC20" i="4" s="1"/>
  <c r="KF14" i="4"/>
  <c r="KG14" i="4"/>
  <c r="CJ148" i="1"/>
  <c r="CJ182" i="1" s="1"/>
  <c r="JY21" i="4"/>
  <c r="KH15" i="4"/>
  <c r="KD8" i="4"/>
  <c r="JZ7" i="4"/>
  <c r="KB7" i="4"/>
  <c r="JT15" i="4"/>
  <c r="KE14" i="4"/>
  <c r="KE19" i="4" s="1"/>
  <c r="JR14" i="4"/>
  <c r="JV7" i="4"/>
  <c r="JV19" i="4" s="1"/>
  <c r="JT7" i="4"/>
  <c r="JY15" i="4"/>
  <c r="JY20" i="4" s="1"/>
  <c r="JT8" i="4"/>
  <c r="KF21" i="4"/>
  <c r="JY7" i="4"/>
  <c r="JU7" i="4"/>
  <c r="JU19" i="4" s="1"/>
  <c r="JX7" i="4"/>
  <c r="JX19" i="4" s="1"/>
  <c r="KD14" i="4"/>
  <c r="JR7" i="4"/>
  <c r="CK16" i="1"/>
  <c r="CL188" i="1"/>
  <c r="CL12" i="1"/>
  <c r="CI16" i="1"/>
  <c r="CL244" i="1"/>
  <c r="CL225" i="1"/>
  <c r="KG7" i="4"/>
  <c r="JW21" i="4"/>
  <c r="KD7" i="4"/>
  <c r="CJ156" i="1"/>
  <c r="CJ185" i="1" s="1"/>
  <c r="CJ184" i="1" s="1"/>
  <c r="CK184" i="1" s="1"/>
  <c r="JV15" i="4"/>
  <c r="JV20" i="4" s="1"/>
  <c r="KA14" i="4"/>
  <c r="KA19" i="4" s="1"/>
  <c r="JX15" i="4"/>
  <c r="JQ7" i="4"/>
  <c r="JQ8" i="4"/>
  <c r="KB8" i="4"/>
  <c r="KB20" i="4" s="1"/>
  <c r="JY14" i="4"/>
  <c r="JQ15" i="4"/>
  <c r="JQ20" i="4" s="1"/>
  <c r="CK79" i="1" s="1"/>
  <c r="KH8" i="4"/>
  <c r="KF7" i="4"/>
  <c r="JQ14" i="4"/>
  <c r="JQ19" i="4" s="1"/>
  <c r="CK78" i="1" s="1"/>
  <c r="CJ161" i="1"/>
  <c r="JX8" i="4"/>
  <c r="KE8" i="4"/>
  <c r="KB14" i="4"/>
  <c r="KA8" i="4"/>
  <c r="CJ128" i="1"/>
  <c r="CJ249" i="1" s="1"/>
  <c r="CJ120" i="1"/>
  <c r="JS7" i="4"/>
  <c r="KA21" i="4"/>
  <c r="JZ8" i="4"/>
  <c r="JS14" i="4"/>
  <c r="JU15" i="4"/>
  <c r="KH7" i="4"/>
  <c r="KH19" i="4" s="1"/>
  <c r="JR8" i="4"/>
  <c r="JR20" i="4" s="1"/>
  <c r="CL79" i="1" s="1"/>
  <c r="CK125" i="1"/>
  <c r="CJ138" i="1"/>
  <c r="CJ131" i="1"/>
  <c r="CK131" i="1" s="1"/>
  <c r="X27" i="1"/>
  <c r="Y27" i="1"/>
  <c r="Z248" i="1"/>
  <c r="CH148" i="1"/>
  <c r="CH182" i="1" s="1"/>
  <c r="X98" i="1"/>
  <c r="X16" i="1"/>
  <c r="X28" i="1" s="1"/>
  <c r="Y33" i="1"/>
  <c r="Y138" i="1"/>
  <c r="Y196" i="1"/>
  <c r="X182" i="1"/>
  <c r="X181" i="1" s="1"/>
  <c r="Z182" i="1"/>
  <c r="Z181" i="1" s="1"/>
  <c r="Z196" i="1"/>
  <c r="Y188" i="1"/>
  <c r="Y16" i="1"/>
  <c r="Y98" i="1"/>
  <c r="Y11" i="1"/>
  <c r="CI117" i="1"/>
  <c r="CH120" i="1"/>
  <c r="CH131" i="1"/>
  <c r="Z134" i="1"/>
  <c r="AB133" i="1"/>
  <c r="CQ133" i="1"/>
  <c r="CR133" i="1" s="1"/>
  <c r="CS133" i="1" s="1"/>
  <c r="CT133" i="1" s="1"/>
  <c r="CK102" i="1"/>
  <c r="KG20" i="4"/>
  <c r="Z27" i="1"/>
  <c r="JW19" i="4"/>
  <c r="CG27" i="1"/>
  <c r="CG16" i="1"/>
  <c r="X129" i="1"/>
  <c r="CI27" i="1"/>
  <c r="Y181" i="1"/>
  <c r="Y185" i="1"/>
  <c r="Y157" i="1"/>
  <c r="X138" i="1"/>
  <c r="X244" i="1" s="1"/>
  <c r="X33" i="1"/>
  <c r="CH184" i="1"/>
  <c r="CI184" i="1" s="1"/>
  <c r="X248" i="1"/>
  <c r="Y209" i="1"/>
  <c r="JW20" i="4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CK202" i="1"/>
  <c r="Y249" i="1"/>
  <c r="Y206" i="1"/>
  <c r="Y168" i="1"/>
  <c r="Y109" i="1" s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U20" i="4" l="1"/>
  <c r="Z185" i="1"/>
  <c r="Z157" i="1"/>
  <c r="Z197" i="1"/>
  <c r="AA205" i="1"/>
  <c r="KD19" i="4"/>
  <c r="JS20" i="4"/>
  <c r="JY19" i="4"/>
  <c r="KH20" i="4"/>
  <c r="KF19" i="4"/>
  <c r="JX21" i="4"/>
  <c r="JR9" i="4" s="1"/>
  <c r="KC9" i="4"/>
  <c r="JX20" i="4"/>
  <c r="JS19" i="4"/>
  <c r="KE20" i="4"/>
  <c r="JT19" i="4"/>
  <c r="KD20" i="4"/>
  <c r="KG19" i="4"/>
  <c r="KB19" i="4"/>
  <c r="JT20" i="4"/>
  <c r="JR19" i="4"/>
  <c r="CL78" i="1" s="1"/>
  <c r="KA20" i="4"/>
  <c r="CJ248" i="1"/>
  <c r="JZ20" i="4"/>
  <c r="CK18" i="1"/>
  <c r="JZ19" i="4"/>
  <c r="CK19" i="1"/>
  <c r="CL19" i="1"/>
  <c r="CK17" i="1"/>
  <c r="CK28" i="1"/>
  <c r="CI28" i="1"/>
  <c r="CI17" i="1"/>
  <c r="CL34" i="1"/>
  <c r="CL38" i="1" s="1"/>
  <c r="CL29" i="1"/>
  <c r="CL232" i="1"/>
  <c r="CL233" i="1" s="1"/>
  <c r="CL186" i="1"/>
  <c r="CL181" i="1"/>
  <c r="CK209" i="1"/>
  <c r="CJ244" i="1"/>
  <c r="CJ246" i="1"/>
  <c r="CL104" i="1"/>
  <c r="CL108" i="1"/>
  <c r="CL111" i="1" s="1"/>
  <c r="CL96" i="1"/>
  <c r="CJ157" i="1"/>
  <c r="CJ92" i="1"/>
  <c r="CJ94" i="1" s="1"/>
  <c r="CK128" i="1"/>
  <c r="CJ129" i="1"/>
  <c r="CJ206" i="1"/>
  <c r="CH157" i="1"/>
  <c r="X17" i="1"/>
  <c r="X165" i="1"/>
  <c r="X166" i="1" s="1"/>
  <c r="X246" i="1"/>
  <c r="CH181" i="1"/>
  <c r="CI181" i="1" s="1"/>
  <c r="CI182" i="1" s="1"/>
  <c r="CH186" i="1"/>
  <c r="Z138" i="1"/>
  <c r="Z33" i="1"/>
  <c r="CU133" i="1"/>
  <c r="CV133" i="1" s="1"/>
  <c r="CW133" i="1" s="1"/>
  <c r="CX133" i="1" s="1"/>
  <c r="CY133" i="1" s="1"/>
  <c r="CZ133" i="1" s="1"/>
  <c r="DA133" i="1" s="1"/>
  <c r="DB133" i="1" s="1"/>
  <c r="AE133" i="1" s="1"/>
  <c r="AC133" i="1"/>
  <c r="Y198" i="1"/>
  <c r="Y165" i="1"/>
  <c r="Y166" i="1" s="1"/>
  <c r="Y244" i="1"/>
  <c r="Y203" i="1"/>
  <c r="Y201" i="1" s="1"/>
  <c r="Y246" i="1"/>
  <c r="Y28" i="1"/>
  <c r="Y18" i="1"/>
  <c r="Y17" i="1"/>
  <c r="CH92" i="1"/>
  <c r="CH96" i="1" s="1"/>
  <c r="CH129" i="1"/>
  <c r="CH248" i="1"/>
  <c r="CI131" i="1"/>
  <c r="CI134" i="1" s="1"/>
  <c r="CH134" i="1"/>
  <c r="CK104" i="1"/>
  <c r="CK108" i="1"/>
  <c r="CK103" i="1"/>
  <c r="CK107" i="1"/>
  <c r="Z18" i="1"/>
  <c r="Z17" i="1"/>
  <c r="Z28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J17" i="1"/>
  <c r="CH28" i="1"/>
  <c r="CL30" i="1" s="1"/>
  <c r="CH19" i="1"/>
  <c r="CI37" i="1"/>
  <c r="CH109" i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Z198" i="1" l="1"/>
  <c r="Z186" i="1"/>
  <c r="AA189" i="1" s="1"/>
  <c r="AA190" i="1" s="1"/>
  <c r="Z184" i="1"/>
  <c r="CJ165" i="1"/>
  <c r="Z203" i="1"/>
  <c r="Z201" i="1" s="1"/>
  <c r="AA203" i="1"/>
  <c r="AA201" i="1" s="1"/>
  <c r="AA250" i="1"/>
  <c r="AA251" i="1" s="1"/>
  <c r="AA30" i="1"/>
  <c r="JR21" i="4"/>
  <c r="CL77" i="1" s="1"/>
  <c r="JT9" i="4"/>
  <c r="JT21" i="4" s="1"/>
  <c r="KC21" i="4"/>
  <c r="JZ9" i="4"/>
  <c r="CL31" i="1"/>
  <c r="CL250" i="1"/>
  <c r="CL103" i="1"/>
  <c r="CL95" i="1"/>
  <c r="CL107" i="1"/>
  <c r="CL110" i="1" s="1"/>
  <c r="CK30" i="1"/>
  <c r="CK29" i="1"/>
  <c r="CK34" i="1"/>
  <c r="CK38" i="1" s="1"/>
  <c r="CI34" i="1"/>
  <c r="CI232" i="1"/>
  <c r="CI233" i="1" s="1"/>
  <c r="CI29" i="1"/>
  <c r="CK206" i="1"/>
  <c r="CK249" i="1"/>
  <c r="CL40" i="1"/>
  <c r="CL41" i="1"/>
  <c r="CL189" i="1"/>
  <c r="CL206" i="1"/>
  <c r="CL249" i="1"/>
  <c r="CK31" i="1"/>
  <c r="CL112" i="1"/>
  <c r="CL226" i="1"/>
  <c r="CI38" i="1"/>
  <c r="CJ96" i="1"/>
  <c r="CI146" i="1"/>
  <c r="CJ95" i="1"/>
  <c r="Z246" i="1"/>
  <c r="Z244" i="1"/>
  <c r="Z165" i="1"/>
  <c r="Z166" i="1" s="1"/>
  <c r="AD133" i="1"/>
  <c r="CH94" i="1"/>
  <c r="CH95" i="1"/>
  <c r="Y112" i="1"/>
  <c r="Y34" i="1"/>
  <c r="Y29" i="1"/>
  <c r="Y232" i="1"/>
  <c r="Y233" i="1" s="1"/>
  <c r="Y250" i="1"/>
  <c r="Y251" i="1" s="1"/>
  <c r="Y30" i="1"/>
  <c r="Z30" i="1"/>
  <c r="CJ33" i="1"/>
  <c r="CI138" i="1"/>
  <c r="CJ203" i="1" s="1"/>
  <c r="CJ201" i="1" s="1"/>
  <c r="CI33" i="1"/>
  <c r="CH138" i="1"/>
  <c r="Z250" i="1"/>
  <c r="Z251" i="1" s="1"/>
  <c r="Z34" i="1"/>
  <c r="Z112" i="1"/>
  <c r="Z29" i="1"/>
  <c r="Z232" i="1"/>
  <c r="Z233" i="1" s="1"/>
  <c r="CI250" i="1"/>
  <c r="CI251" i="1" s="1"/>
  <c r="CK112" i="1"/>
  <c r="CM17" i="1"/>
  <c r="Y189" i="1"/>
  <c r="Y190" i="1" s="1"/>
  <c r="Z189" i="1"/>
  <c r="Z190" i="1" s="1"/>
  <c r="CG232" i="1"/>
  <c r="CG233" i="1" s="1"/>
  <c r="CG34" i="1"/>
  <c r="CG38" i="1" s="1"/>
  <c r="CG29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AA210" i="1" l="1"/>
  <c r="AA211" i="1" s="1"/>
  <c r="AA213" i="1"/>
  <c r="CL251" i="1"/>
  <c r="CJ166" i="1"/>
  <c r="CL94" i="1"/>
  <c r="CL102" i="1"/>
  <c r="JZ21" i="4"/>
  <c r="KE16" i="4"/>
  <c r="CK41" i="1"/>
  <c r="CK40" i="1"/>
  <c r="CI41" i="1"/>
  <c r="CI40" i="1"/>
  <c r="CL44" i="1"/>
  <c r="CL234" i="1"/>
  <c r="CL48" i="1"/>
  <c r="CL42" i="1"/>
  <c r="CL245" i="1" s="1"/>
  <c r="CL113" i="1"/>
  <c r="CL114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Y55" i="1"/>
  <c r="Y38" i="1"/>
  <c r="Y41" i="1" s="1"/>
  <c r="CI203" i="1"/>
  <c r="CI201" i="1" s="1"/>
  <c r="CH246" i="1"/>
  <c r="CH165" i="1"/>
  <c r="CH166" i="1" s="1"/>
  <c r="Z38" i="1"/>
  <c r="Z55" i="1"/>
  <c r="CH41" i="1"/>
  <c r="CH40" i="1"/>
  <c r="CG41" i="1"/>
  <c r="CG40" i="1"/>
  <c r="CN202" i="1"/>
  <c r="CO140" i="1"/>
  <c r="CN184" i="1"/>
  <c r="CM185" i="1"/>
  <c r="CJ41" i="1"/>
  <c r="CJ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Y40" i="1" l="1"/>
  <c r="KE21" i="4"/>
  <c r="KG9" i="4"/>
  <c r="KG21" i="4" s="1"/>
  <c r="CK138" i="1"/>
  <c r="CK42" i="1"/>
  <c r="CK48" i="1"/>
  <c r="CI42" i="1"/>
  <c r="CI245" i="1" s="1"/>
  <c r="CI234" i="1"/>
  <c r="CI48" i="1"/>
  <c r="CL193" i="1"/>
  <c r="CL195" i="1" s="1"/>
  <c r="CL66" i="1"/>
  <c r="CL52" i="1"/>
  <c r="CM131" i="1"/>
  <c r="CN131" i="1" s="1"/>
  <c r="CO131" i="1" s="1"/>
  <c r="CP131" i="1" s="1"/>
  <c r="CJ227" i="1"/>
  <c r="CI44" i="1"/>
  <c r="CL43" i="1"/>
  <c r="CK44" i="1"/>
  <c r="CL227" i="1"/>
  <c r="CK203" i="1"/>
  <c r="CK201" i="1" s="1"/>
  <c r="CL203" i="1"/>
  <c r="CL201" i="1" s="1"/>
  <c r="CI119" i="1"/>
  <c r="Z41" i="1"/>
  <c r="AA43" i="1" s="1"/>
  <c r="Z40" i="1"/>
  <c r="CH44" i="1"/>
  <c r="CK43" i="1"/>
  <c r="CH42" i="1"/>
  <c r="CH245" i="1" s="1"/>
  <c r="CH48" i="1"/>
  <c r="CH193" i="1" s="1"/>
  <c r="CH195" i="1" s="1"/>
  <c r="CH234" i="1"/>
  <c r="CJ44" i="1"/>
  <c r="CJ42" i="1"/>
  <c r="CJ245" i="1" s="1"/>
  <c r="CJ234" i="1"/>
  <c r="CJ48" i="1"/>
  <c r="CG42" i="1"/>
  <c r="CG245" i="1" s="1"/>
  <c r="CG234" i="1"/>
  <c r="CG48" i="1"/>
  <c r="CG193" i="1" s="1"/>
  <c r="CG195" i="1" s="1"/>
  <c r="CN185" i="1"/>
  <c r="CO184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F22" i="3"/>
  <c r="AU24" i="3"/>
  <c r="AT46" i="3"/>
  <c r="AW22" i="3"/>
  <c r="AU11" i="3"/>
  <c r="AF8" i="3"/>
  <c r="AT41" i="3"/>
  <c r="AT15" i="3"/>
  <c r="AX15" i="3"/>
  <c r="V6" i="6" a="1"/>
  <c r="AS6" i="6" a="1"/>
  <c r="U5" i="6" a="1"/>
  <c r="AQ5" i="6" a="1"/>
  <c r="AW26" i="3"/>
  <c r="AZ40" i="3"/>
  <c r="EQ11" i="4" a="1"/>
  <c r="EU8" i="4" a="1"/>
  <c r="EN8" i="4" a="1"/>
  <c r="EO5" i="4" a="1"/>
  <c r="ET7" i="4" a="1"/>
  <c r="EL15" i="4" a="1"/>
  <c r="AX29" i="3"/>
  <c r="AZ14" i="3"/>
  <c r="AS17" i="3"/>
  <c r="AX25" i="3"/>
  <c r="AV30" i="3"/>
  <c r="AY9" i="3"/>
  <c r="AS33" i="3"/>
  <c r="AD5" i="6" a="1"/>
  <c r="AV19" i="3"/>
  <c r="AS21" i="3"/>
  <c r="AZ13" i="3"/>
  <c r="EW16" i="4" a="1"/>
  <c r="EV14" i="4" a="1"/>
  <c r="EP15" i="4" a="1"/>
  <c r="EO9" i="4" a="1"/>
  <c r="EN16" i="4" a="1"/>
  <c r="EV7" i="4" a="1"/>
  <c r="EU6" i="4" a="1"/>
  <c r="EU5" i="4" a="1"/>
  <c r="AF27" i="3"/>
  <c r="AF17" i="3"/>
  <c r="AS12" i="3"/>
  <c r="AX11" i="3"/>
  <c r="AV15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V24" i="3"/>
  <c r="AV37" i="3"/>
  <c r="AU33" i="3"/>
  <c r="AS14" i="3"/>
  <c r="AU32" i="3"/>
  <c r="AU31" i="3"/>
  <c r="EP8" i="4" a="1"/>
  <c r="EQ13" i="4" a="1"/>
  <c r="EL16" i="4" a="1"/>
  <c r="EW13" i="4" a="1"/>
  <c r="EN15" i="4" a="1"/>
  <c r="AK5" i="6" a="1"/>
  <c r="C6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35" i="3"/>
  <c r="AX22" i="3"/>
  <c r="AT14" i="3"/>
  <c r="N6" i="6" a="1"/>
  <c r="AS40" i="3"/>
  <c r="F6" i="6" a="1"/>
  <c r="AW18" i="3"/>
  <c r="AX14" i="3"/>
  <c r="AL6" i="6" a="1"/>
  <c r="AX37" i="3"/>
  <c r="AT38" i="3"/>
  <c r="AF6" i="6" a="1"/>
  <c r="AA5" i="6" a="1"/>
  <c r="AU36" i="3"/>
  <c r="AY28" i="3"/>
  <c r="X6" i="6" a="1"/>
  <c r="AV5" i="6" a="1"/>
  <c r="AX36" i="3"/>
  <c r="AT40" i="3"/>
  <c r="AV39" i="3"/>
  <c r="AY5" i="3"/>
  <c r="AF18" i="3"/>
  <c r="AS38" i="3"/>
  <c r="AW42" i="3"/>
  <c r="AE5" i="6" a="1"/>
  <c r="AV9" i="3"/>
  <c r="AU14" i="3"/>
  <c r="AT12" i="3"/>
  <c r="T6" i="6" a="1"/>
  <c r="AW24" i="3"/>
  <c r="M5" i="6" a="1"/>
  <c r="AR5" i="6" a="1"/>
  <c r="C6" i="4" a="1"/>
  <c r="EU11" i="4" a="1"/>
  <c r="EL8" i="4" a="1"/>
  <c r="EN13" i="4" a="1"/>
  <c r="EU13" i="4" a="1"/>
  <c r="EW7" i="4" a="1"/>
  <c r="EW11" i="4" a="1"/>
  <c r="EU14" i="4" a="1"/>
  <c r="EO7" i="4" a="1"/>
  <c r="EM8" i="4" a="1"/>
  <c r="EN9" i="4" a="1"/>
  <c r="EN12" i="4" a="1"/>
  <c r="AS24" i="3"/>
  <c r="AY6" i="3"/>
  <c r="AF5" i="3"/>
  <c r="AF46" i="3"/>
  <c r="AA6" i="6" a="1"/>
  <c r="EL14" i="4" a="1"/>
  <c r="AF32" i="3"/>
  <c r="Q5" i="6" a="1"/>
  <c r="AX6" i="6" a="1"/>
  <c r="AU29" i="3"/>
  <c r="AF28" i="3"/>
  <c r="AY16" i="3"/>
  <c r="AF33" i="3"/>
  <c r="AT16" i="3"/>
  <c r="ER13" i="4" a="1"/>
  <c r="EU15" i="4" a="1"/>
  <c r="ES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AZ39" i="3"/>
  <c r="AZ12" i="3"/>
  <c r="AZ9" i="3"/>
  <c r="AZ32" i="3"/>
  <c r="AF23" i="3"/>
  <c r="EQ12" i="4" a="1"/>
  <c r="EM14" i="4" a="1"/>
  <c r="AS46" i="3"/>
  <c r="AW16" i="3"/>
  <c r="AF41" i="3"/>
  <c r="AY27" i="3"/>
  <c r="AV33" i="3"/>
  <c r="AZ20" i="3"/>
  <c r="AY19" i="3"/>
  <c r="AF36" i="3"/>
  <c r="AW38" i="3"/>
  <c r="AH5" i="6" a="1"/>
  <c r="AT6" i="3"/>
  <c r="EP5" i="4" a="1"/>
  <c r="EU16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L13" i="4" a="1"/>
  <c r="EO6" i="4" a="1"/>
  <c r="EQ8" i="4" a="1"/>
  <c r="EW9" i="4" a="1"/>
  <c r="ES13" i="4" a="1"/>
  <c r="AT28" i="3"/>
  <c r="AU46" i="3"/>
  <c r="AW17" i="3"/>
  <c r="AY12" i="3"/>
  <c r="AT30" i="3"/>
  <c r="AR5" i="3"/>
  <c r="AZ26" i="3"/>
  <c r="AU30" i="3"/>
  <c r="EP12" i="4" a="1"/>
  <c r="ES16" i="4" a="1"/>
  <c r="EM13" i="4" a="1"/>
  <c r="AS7" i="3"/>
  <c r="AU13" i="3"/>
  <c r="E6" i="6" a="1"/>
  <c r="AY11" i="3"/>
  <c r="S6" i="6" a="1"/>
  <c r="EN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U19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AF29" i="3"/>
  <c r="AS42" i="3"/>
  <c r="EO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S8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S29" i="3"/>
  <c r="AV8" i="3"/>
  <c r="O5" i="6" a="1"/>
  <c r="AU41" i="3"/>
  <c r="I6" i="6" a="1"/>
  <c r="AS18" i="3"/>
  <c r="AO6" i="6" a="1"/>
  <c r="AY18" i="3"/>
  <c r="W5" i="6" a="1"/>
  <c r="EW12" i="4" a="1"/>
  <c r="EV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P6" i="4" a="1"/>
  <c r="ER15" i="4" a="1"/>
  <c r="AX24" i="3"/>
  <c r="Z5" i="6" a="1"/>
  <c r="AY21" i="3"/>
  <c r="AX39" i="3"/>
  <c r="AT32" i="3"/>
  <c r="L5" i="6" a="1"/>
  <c r="AZ27" i="3"/>
  <c r="AM5" i="6" a="1"/>
  <c r="X5" i="6" a="1"/>
  <c r="ER16" i="4" a="1"/>
  <c r="EM11" i="4" a="1"/>
  <c r="ET8" i="4" a="1"/>
  <c r="EV9" i="4" a="1"/>
  <c r="EV16" i="4" a="1"/>
  <c r="AU5" i="6" a="1"/>
  <c r="AP6" i="6" a="1"/>
  <c r="AZ10" i="3"/>
  <c r="AT23" i="3"/>
  <c r="AT34" i="3"/>
  <c r="EQ5" i="4" a="1"/>
  <c r="EL7" i="4" a="1"/>
  <c r="CK66" i="1" l="1"/>
  <c r="CK52" i="1"/>
  <c r="AB131" i="1"/>
  <c r="CQ131" i="1"/>
  <c r="CR131" i="1" s="1"/>
  <c r="CS131" i="1" s="1"/>
  <c r="CT131" i="1" s="1"/>
  <c r="CJ66" i="1"/>
  <c r="CL69" i="1" s="1"/>
  <c r="CL54" i="1"/>
  <c r="CH52" i="1"/>
  <c r="CJ54" i="1"/>
  <c r="CJ52" i="1"/>
  <c r="CJ193" i="1"/>
  <c r="CJ195" i="1" s="1"/>
  <c r="CH66" i="1"/>
  <c r="CK69" i="1" s="1"/>
  <c r="CK86" i="1" s="1"/>
  <c r="CK85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Y92" i="3"/>
  <c r="AF96" i="3"/>
  <c r="AS62" i="3"/>
  <c r="AU61" i="3"/>
  <c r="AF82" i="3"/>
  <c r="AF79" i="3"/>
  <c r="AV95" i="3"/>
  <c r="AX80" i="3"/>
  <c r="AW57" i="3"/>
  <c r="AW85" i="3"/>
  <c r="AU96" i="3"/>
  <c r="AZ84" i="3"/>
  <c r="AW89" i="3"/>
  <c r="AF49" i="3"/>
  <c r="AU8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F71" i="3"/>
  <c r="AX94" i="3"/>
  <c r="C59" i="3"/>
  <c r="AW83" i="3"/>
  <c r="AV63" i="3"/>
  <c r="AZ81" i="3"/>
  <c r="AT93" i="3"/>
  <c r="AU76" i="3"/>
  <c r="AU65" i="3"/>
  <c r="AT55" i="3"/>
  <c r="C65" i="3"/>
  <c r="AU87" i="3"/>
  <c r="AV78" i="3"/>
  <c r="AY97" i="3"/>
  <c r="AT97" i="3"/>
  <c r="AV65" i="3"/>
  <c r="AX76" i="3"/>
  <c r="AY47" i="3"/>
  <c r="AS83" i="3"/>
  <c r="AT96" i="3"/>
  <c r="AX66" i="3"/>
  <c r="AY55" i="3"/>
  <c r="AS78" i="3"/>
  <c r="AY50" i="3"/>
  <c r="AV71" i="3"/>
  <c r="C50" i="3"/>
  <c r="AF67" i="3"/>
  <c r="AZ77" i="3"/>
  <c r="AT61" i="3"/>
  <c r="AW9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59" i="3"/>
  <c r="AX61" i="3"/>
  <c r="AS64" i="3"/>
  <c r="AY74" i="3"/>
  <c r="C78" i="3"/>
  <c r="AS72" i="3"/>
  <c r="AS79" i="3"/>
  <c r="AU59" i="3"/>
  <c r="AY65" i="3"/>
  <c r="AS87" i="3"/>
  <c r="AS68" i="3"/>
  <c r="AF56" i="3"/>
  <c r="AV70" i="3"/>
  <c r="C62" i="3"/>
  <c r="AZ65" i="3"/>
  <c r="AU66" i="3"/>
  <c r="AY93" i="3"/>
  <c r="AT82" i="3"/>
  <c r="AX93" i="3"/>
  <c r="AW72" i="3"/>
  <c r="AF94" i="3"/>
  <c r="C86" i="3"/>
  <c r="AS84" i="3"/>
  <c r="AS74" i="3"/>
  <c r="AT76" i="3"/>
  <c r="AT67" i="3"/>
  <c r="AW60" i="3"/>
  <c r="AZ70" i="3"/>
  <c r="AY78" i="3"/>
  <c r="AV88" i="3"/>
  <c r="AW78" i="3"/>
  <c r="AW76" i="3"/>
  <c r="AU95" i="3"/>
  <c r="AX74" i="3"/>
  <c r="AF86" i="3"/>
  <c r="AW63" i="3"/>
  <c r="AS73" i="3"/>
  <c r="AU72" i="3"/>
  <c r="AT71" i="3"/>
  <c r="AX89" i="3"/>
  <c r="AW47" i="3"/>
  <c r="AU85" i="3"/>
  <c r="AV48" i="3"/>
  <c r="AY95" i="3"/>
  <c r="AZ60" i="3"/>
  <c r="AF62" i="3"/>
  <c r="AT5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V80" i="3"/>
  <c r="AY67" i="3"/>
  <c r="AV50" i="3"/>
  <c r="AS66" i="3"/>
  <c r="AV47" i="3"/>
  <c r="AY89" i="3"/>
  <c r="C66" i="3"/>
  <c r="AV74" i="3"/>
  <c r="AU56" i="3"/>
  <c r="AT59" i="3"/>
  <c r="AW96" i="3"/>
  <c r="AY71" i="3"/>
  <c r="AX96" i="3"/>
  <c r="AZ8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X92" i="3"/>
  <c r="AY88" i="3"/>
  <c r="AU92" i="3"/>
  <c r="AZ64" i="3"/>
  <c r="AF91" i="3"/>
  <c r="AX71" i="3"/>
  <c r="AV59" i="3"/>
  <c r="C85" i="3"/>
  <c r="AU60" i="3"/>
  <c r="AT89" i="3"/>
  <c r="AY94" i="3"/>
  <c r="C72" i="3"/>
  <c r="C55" i="3"/>
  <c r="AU63" i="3"/>
  <c r="AT86" i="3"/>
  <c r="AT63" i="3"/>
  <c r="AZ96" i="3"/>
  <c r="C73" i="3"/>
  <c r="C80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V82" i="3"/>
  <c r="AS93" i="3"/>
  <c r="AV87" i="3"/>
  <c r="AY75" i="3"/>
  <c r="AW68" i="3"/>
  <c r="AU55" i="3"/>
  <c r="AV49" i="3"/>
  <c r="AF63" i="3"/>
  <c r="AV96" i="3"/>
  <c r="AU75" i="3"/>
  <c r="AY54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T68" i="3"/>
  <c r="AZ97" i="3"/>
  <c r="AW62" i="3"/>
  <c r="AF60" i="3"/>
  <c r="AX62" i="3"/>
  <c r="AY69" i="3"/>
  <c r="C83" i="3"/>
  <c r="AT90" i="3"/>
  <c r="AF57" i="3"/>
  <c r="AW87" i="3"/>
  <c r="AV68" i="3"/>
  <c r="AV90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U78" i="3"/>
  <c r="AF89" i="3"/>
  <c r="AC131" i="1" l="1"/>
  <c r="CU131" i="1"/>
  <c r="CV131" i="1" s="1"/>
  <c r="CW131" i="1" s="1"/>
  <c r="CX131" i="1" s="1"/>
  <c r="CL85" i="1"/>
  <c r="CL87" i="1"/>
  <c r="CL86" i="1"/>
  <c r="CK87" i="1"/>
  <c r="CJ69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S185" i="1"/>
  <c r="CT184" i="1"/>
  <c r="CG251" i="1"/>
  <c r="CF166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X27" i="2"/>
  <c r="J17" i="2"/>
  <c r="AR67" i="3"/>
  <c r="J30" i="2"/>
  <c r="E9" i="3"/>
  <c r="E28" i="3"/>
  <c r="AP45" i="3"/>
  <c r="AH46" i="3"/>
  <c r="AK46" i="3"/>
  <c r="AD7" i="3"/>
  <c r="AO46" i="3"/>
  <c r="G29" i="3"/>
  <c r="D35" i="3"/>
  <c r="R45" i="3"/>
  <c r="X13" i="4" a="1"/>
  <c r="CK15" i="4" a="1"/>
  <c r="CM12" i="4" a="1"/>
  <c r="J16" i="4" a="1"/>
  <c r="DE11" i="4" a="1"/>
  <c r="BF7" i="4" a="1"/>
  <c r="BD6" i="4" a="1"/>
  <c r="AB13" i="4" a="1"/>
  <c r="CS14" i="4" a="1"/>
  <c r="S15" i="4" a="1"/>
  <c r="K15" i="4" a="1"/>
  <c r="BE12" i="4" a="1"/>
  <c r="X7" i="4" a="1"/>
  <c r="BS7" i="4" a="1"/>
  <c r="DI8" i="4" a="1"/>
  <c r="AO5" i="4" a="1"/>
  <c r="CC8" i="4" a="1"/>
  <c r="X5" i="4" a="1"/>
  <c r="W13" i="4" a="1"/>
  <c r="CP14" i="4" a="1"/>
  <c r="BH14" i="4" a="1"/>
  <c r="EK8" i="4" a="1"/>
  <c r="DQ11" i="4" a="1"/>
  <c r="DG5" i="4" a="1"/>
  <c r="DP12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K9" i="2"/>
  <c r="N21" i="2"/>
  <c r="P21" i="2"/>
  <c r="V25" i="2"/>
  <c r="F32" i="3"/>
  <c r="AR24" i="3"/>
  <c r="AE45" i="3"/>
  <c r="AR32" i="3"/>
  <c r="AL46" i="3"/>
  <c r="G10" i="3"/>
  <c r="G16" i="3"/>
  <c r="AH45" i="3"/>
  <c r="E19" i="3"/>
  <c r="F28" i="3"/>
  <c r="BV7" i="4" a="1"/>
  <c r="EC15" i="4" a="1"/>
  <c r="BC9" i="4" a="1"/>
  <c r="DG12" i="4" a="1"/>
  <c r="EG12" i="4" a="1"/>
  <c r="CZ12" i="4" a="1"/>
  <c r="C15" i="4" a="1"/>
  <c r="C9" i="4" a="1"/>
  <c r="EI14" i="4" a="1"/>
  <c r="DM12" i="4" a="1"/>
  <c r="BZ5" i="4" a="1"/>
  <c r="M7" i="4" a="1"/>
  <c r="CX6" i="4" a="1"/>
  <c r="DO12" i="4" a="1"/>
  <c r="DC7" i="4" a="1"/>
  <c r="CJ9" i="4" a="1"/>
  <c r="CA8" i="4" a="1"/>
  <c r="AC12" i="4" a="1"/>
  <c r="BZ9" i="4" a="1"/>
  <c r="BQ9" i="4" a="1"/>
  <c r="CF14" i="4" a="1"/>
  <c r="EA13" i="4" a="1"/>
  <c r="DN12" i="4" a="1"/>
  <c r="EE11" i="4" a="1"/>
  <c r="CF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N7" i="2"/>
  <c r="Q36" i="2"/>
  <c r="E13" i="2"/>
  <c r="J34" i="2"/>
  <c r="W45" i="3"/>
  <c r="G5" i="3"/>
  <c r="AN45" i="3"/>
  <c r="AR30" i="3"/>
  <c r="Q45" i="3"/>
  <c r="D22" i="3"/>
  <c r="AO45" i="3"/>
  <c r="E15" i="3"/>
  <c r="D14" i="3"/>
  <c r="F35" i="3"/>
  <c r="EJ14" i="4" a="1"/>
  <c r="BU6" i="4" a="1"/>
  <c r="AI9" i="4" a="1"/>
  <c r="Z15" i="4" a="1"/>
  <c r="AS6" i="4" a="1"/>
  <c r="BE11" i="4" a="1"/>
  <c r="L9" i="4" a="1"/>
  <c r="BV13" i="4" a="1"/>
  <c r="CN16" i="4" a="1"/>
  <c r="AC16" i="4" a="1"/>
  <c r="BA5" i="4" a="1"/>
  <c r="BM15" i="4" a="1"/>
  <c r="W5" i="4" a="1"/>
  <c r="DU8" i="4" a="1"/>
  <c r="D13" i="4" a="1"/>
  <c r="CD8" i="4" a="1"/>
  <c r="DQ8" i="4" a="1"/>
  <c r="J7" i="4" a="1"/>
  <c r="AX6" i="4" a="1"/>
  <c r="BR13" i="4" a="1"/>
  <c r="O6" i="4" a="1"/>
  <c r="CM6" i="4" a="1"/>
  <c r="DR11" i="4" a="1"/>
  <c r="EJ7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V22" i="2"/>
  <c r="AR49" i="3"/>
  <c r="W34" i="2"/>
  <c r="AR59" i="3"/>
  <c r="F10" i="3"/>
  <c r="AQ46" i="3"/>
  <c r="W46" i="3"/>
  <c r="AR17" i="3"/>
  <c r="G18" i="3"/>
  <c r="AN46" i="3"/>
  <c r="AR8" i="3"/>
  <c r="D25" i="3"/>
  <c r="K45" i="3"/>
  <c r="G25" i="3"/>
  <c r="DO14" i="4" a="1"/>
  <c r="Y16" i="4" a="1"/>
  <c r="AM11" i="4" a="1"/>
  <c r="DK7" i="4" a="1"/>
  <c r="AH13" i="4" a="1"/>
  <c r="DG8" i="4" a="1"/>
  <c r="W11" i="4" a="1"/>
  <c r="CX14" i="4" a="1"/>
  <c r="DC9" i="4" a="1"/>
  <c r="AK14" i="4" a="1"/>
  <c r="BY13" i="4" a="1"/>
  <c r="CY16" i="4" a="1"/>
  <c r="BK6" i="4" a="1"/>
  <c r="CS8" i="4" a="1"/>
  <c r="K14" i="4" a="1"/>
  <c r="CH7" i="4" a="1"/>
  <c r="CK14" i="4" a="1"/>
  <c r="CX15" i="4" a="1"/>
  <c r="CI13" i="4" a="1"/>
  <c r="DD9" i="4" a="1"/>
  <c r="BE7" i="4" a="1"/>
  <c r="BK12" i="4" a="1"/>
  <c r="AP16" i="4" a="1"/>
  <c r="AP15" i="4" a="1"/>
  <c r="DQ14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T14" i="2"/>
  <c r="J5" i="2"/>
  <c r="N20" i="2"/>
  <c r="AR77" i="3"/>
  <c r="F17" i="3"/>
  <c r="AR9" i="3"/>
  <c r="F14" i="3"/>
  <c r="AR25" i="3"/>
  <c r="AD46" i="3"/>
  <c r="G13" i="3"/>
  <c r="E12" i="3"/>
  <c r="G20" i="3"/>
  <c r="D41" i="3"/>
  <c r="N9" i="4" a="1"/>
  <c r="AL12" i="4" a="1"/>
  <c r="Y5" i="4" a="1"/>
  <c r="DH14" i="4" a="1"/>
  <c r="AI16" i="4" a="1"/>
  <c r="D8" i="4" a="1"/>
  <c r="BD15" i="4" a="1"/>
  <c r="I14" i="4" a="1"/>
  <c r="EC7" i="4" a="1"/>
  <c r="DQ16" i="4" a="1"/>
  <c r="DR5" i="4" a="1"/>
  <c r="CA15" i="4" a="1"/>
  <c r="AK13" i="4" a="1"/>
  <c r="CN8" i="4" a="1"/>
  <c r="DY16" i="4" a="1"/>
  <c r="BP11" i="4" a="1"/>
  <c r="AQ15" i="4" a="1"/>
  <c r="AG9" i="4" a="1"/>
  <c r="X15" i="4" a="1"/>
  <c r="AD5" i="4" a="1"/>
  <c r="CU9" i="4" a="1"/>
  <c r="BD5" i="4" a="1"/>
  <c r="DB16" i="4" a="1"/>
  <c r="X6" i="4" a="1"/>
  <c r="BY15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I22" i="2"/>
  <c r="U28" i="2"/>
  <c r="R30" i="2"/>
  <c r="AR96" i="3"/>
  <c r="F8" i="3"/>
  <c r="F29" i="3"/>
  <c r="AR42" i="3"/>
  <c r="C46" i="3"/>
  <c r="D42" i="3"/>
  <c r="E24" i="3"/>
  <c r="E29" i="3"/>
  <c r="F7" i="3"/>
  <c r="D46" i="3"/>
  <c r="R16" i="4" a="1"/>
  <c r="AX8" i="4" a="1"/>
  <c r="AK11" i="4" a="1"/>
  <c r="AV9" i="4" a="1"/>
  <c r="AI14" i="4" a="1"/>
  <c r="S11" i="4" a="1"/>
  <c r="AD8" i="4" a="1"/>
  <c r="DS12" i="4" a="1"/>
  <c r="Q12" i="4" a="1"/>
  <c r="BB13" i="4" a="1"/>
  <c r="CG12" i="4" a="1"/>
  <c r="CQ13" i="4" a="1"/>
  <c r="J5" i="4" a="1"/>
  <c r="BL12" i="4" a="1"/>
  <c r="BH12" i="4" a="1"/>
  <c r="P14" i="4" a="1"/>
  <c r="CN14" i="4" a="1"/>
  <c r="P9" i="4" a="1"/>
  <c r="BI5" i="4" a="1"/>
  <c r="DL13" i="4" a="1"/>
  <c r="C7" i="4" a="1"/>
  <c r="EC11" i="4" a="1"/>
  <c r="BC5" i="4" a="1"/>
  <c r="AK5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N6" i="2"/>
  <c r="D11" i="2"/>
  <c r="C13" i="2"/>
  <c r="E45" i="2"/>
  <c r="G11" i="3"/>
  <c r="D26" i="3"/>
  <c r="D21" i="3"/>
  <c r="E42" i="3"/>
  <c r="AP46" i="3"/>
  <c r="N46" i="3"/>
  <c r="G19" i="3"/>
  <c r="Y45" i="3"/>
  <c r="G22" i="3"/>
  <c r="F11" i="4" a="1"/>
  <c r="BY7" i="4" a="1"/>
  <c r="BF13" i="4" a="1"/>
  <c r="CF16" i="4" a="1"/>
  <c r="CM16" i="4" a="1"/>
  <c r="BX8" i="4" a="1"/>
  <c r="BO8" i="4" a="1"/>
  <c r="BP7" i="4" a="1"/>
  <c r="DF5" i="4" a="1"/>
  <c r="DH15" i="4" a="1"/>
  <c r="EK5" i="4" a="1"/>
  <c r="R13" i="4" a="1"/>
  <c r="U16" i="4" a="1"/>
  <c r="AC14" i="4" a="1"/>
  <c r="DZ16" i="4" a="1"/>
  <c r="AE7" i="4" a="1"/>
  <c r="CV12" i="4" a="1"/>
  <c r="M14" i="4" a="1"/>
  <c r="C8" i="4" a="1"/>
  <c r="AL5" i="4" a="1"/>
  <c r="BF12" i="4" a="1"/>
  <c r="DZ12" i="4" a="1"/>
  <c r="DF13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W15" i="2"/>
  <c r="J23" i="2"/>
  <c r="H5" i="2"/>
  <c r="F18" i="2"/>
  <c r="E11" i="3"/>
  <c r="G26" i="3"/>
  <c r="AR40" i="3"/>
  <c r="AD45" i="3"/>
  <c r="AL45" i="3"/>
  <c r="D6" i="3"/>
  <c r="AR26" i="3"/>
  <c r="D18" i="3"/>
  <c r="F26" i="3"/>
  <c r="BO14" i="4" a="1"/>
  <c r="DL9" i="4" a="1"/>
  <c r="AJ12" i="4" a="1"/>
  <c r="BJ12" i="4" a="1"/>
  <c r="AX11" i="4" a="1"/>
  <c r="DU7" i="4" a="1"/>
  <c r="BU7" i="4" a="1"/>
  <c r="AJ14" i="4" a="1"/>
  <c r="C18" i="2"/>
  <c r="C23" i="2"/>
  <c r="F30" i="2"/>
  <c r="AR78" i="3"/>
  <c r="D19" i="3"/>
  <c r="D34" i="3"/>
  <c r="D15" i="3"/>
  <c r="F13" i="3"/>
  <c r="F11" i="3"/>
  <c r="G28" i="3"/>
  <c r="E7" i="3"/>
  <c r="AB46" i="3"/>
  <c r="L45" i="3"/>
  <c r="DO5" i="4" a="1"/>
  <c r="BF11" i="4" a="1"/>
  <c r="J8" i="4" a="1"/>
  <c r="EI16" i="4" a="1"/>
  <c r="BE15" i="4" a="1"/>
  <c r="BV5" i="4" a="1"/>
  <c r="BZ15" i="4" a="1"/>
  <c r="CN11" i="4" a="1"/>
  <c r="BC12" i="4" a="1"/>
  <c r="DH12" i="4" a="1"/>
  <c r="EK15" i="4" a="1"/>
  <c r="AR11" i="4" a="1"/>
  <c r="DH8" i="4" a="1"/>
  <c r="BT13" i="4" a="1"/>
  <c r="DC12" i="4" a="1"/>
  <c r="DA7" i="4" a="1"/>
  <c r="DE15" i="4" a="1"/>
  <c r="BY5" i="4" a="1"/>
  <c r="CW7" i="4" a="1"/>
  <c r="AD7" i="4" a="1"/>
  <c r="X8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H10" i="2"/>
  <c r="R7" i="2"/>
  <c r="F15" i="2"/>
  <c r="AF48" i="3"/>
  <c r="AE46" i="3"/>
  <c r="E14" i="3"/>
  <c r="E17" i="3"/>
  <c r="F31" i="3"/>
  <c r="P45" i="3"/>
  <c r="AR39" i="3"/>
  <c r="F30" i="3"/>
  <c r="E27" i="3"/>
  <c r="AK45" i="3"/>
  <c r="AZ15" i="4" a="1"/>
  <c r="CY15" i="4" a="1"/>
  <c r="BL13" i="4" a="1"/>
  <c r="CF7" i="4" a="1"/>
  <c r="D14" i="4" a="1"/>
  <c r="DT12" i="4" a="1"/>
  <c r="DF15" i="4" a="1"/>
  <c r="DP14" i="4" a="1"/>
  <c r="DP9" i="4" a="1"/>
  <c r="CB13" i="4" a="1"/>
  <c r="DG15" i="4" a="1"/>
  <c r="EA5" i="4" a="1"/>
  <c r="AD11" i="4" a="1"/>
  <c r="AG15" i="4" a="1"/>
  <c r="AO11" i="4" a="1"/>
  <c r="CZ15" i="4" a="1"/>
  <c r="AV16" i="4" a="1"/>
  <c r="Y8" i="4" a="1"/>
  <c r="DX6" i="4" a="1"/>
  <c r="F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U26" i="2"/>
  <c r="AR91" i="3"/>
  <c r="U9" i="2"/>
  <c r="AA46" i="3"/>
  <c r="D24" i="3"/>
  <c r="AD18" i="3"/>
  <c r="T45" i="3"/>
  <c r="F6" i="3"/>
  <c r="H46" i="3"/>
  <c r="M45" i="3"/>
  <c r="F15" i="3"/>
  <c r="G8" i="3"/>
  <c r="F41" i="3"/>
  <c r="BB8" i="4" a="1"/>
  <c r="DM5" i="4" a="1"/>
  <c r="F12" i="4" a="1"/>
  <c r="J9" i="4" a="1"/>
  <c r="BU12" i="4" a="1"/>
  <c r="DK5" i="4" a="1"/>
  <c r="DB14" i="4" a="1"/>
  <c r="DV7" i="4" a="1"/>
  <c r="CO6" i="4" a="1"/>
  <c r="T7" i="4" a="1"/>
  <c r="CT8" i="4" a="1"/>
  <c r="DM15" i="4" a="1"/>
  <c r="AE6" i="4" a="1"/>
  <c r="CV9" i="4" a="1"/>
  <c r="CO9" i="4" a="1"/>
  <c r="P16" i="4" a="1"/>
  <c r="DG11" i="4" a="1"/>
  <c r="AM5" i="4" a="1"/>
  <c r="AK7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T6" i="2"/>
  <c r="N8" i="2"/>
  <c r="P10" i="2"/>
  <c r="E40" i="3"/>
  <c r="S45" i="3"/>
  <c r="E10" i="3"/>
  <c r="AB45" i="3"/>
  <c r="AR38" i="3"/>
  <c r="D45" i="3"/>
  <c r="AR14" i="3"/>
  <c r="AR28" i="3"/>
  <c r="AR23" i="3"/>
  <c r="F38" i="3"/>
  <c r="AZ14" i="4" a="1"/>
  <c r="DZ14" i="4" a="1"/>
  <c r="EJ5" i="4" a="1"/>
  <c r="AT14" i="4" a="1"/>
  <c r="E14" i="4" a="1"/>
  <c r="DL14" i="4" a="1"/>
  <c r="DR16" i="4" a="1"/>
  <c r="D6" i="4" a="1"/>
  <c r="BW15" i="4" a="1"/>
  <c r="T16" i="4" a="1"/>
  <c r="EG5" i="4" a="1"/>
  <c r="AQ12" i="4" a="1"/>
  <c r="BU8" i="4" a="1"/>
  <c r="AE16" i="4" a="1"/>
  <c r="V14" i="4" a="1"/>
  <c r="BH6" i="4" a="1"/>
  <c r="AI13" i="4" a="1"/>
  <c r="AY7" i="4" a="1"/>
  <c r="CU8" i="4" a="1"/>
  <c r="DD13" i="4" a="1"/>
  <c r="BL8" i="4" a="1"/>
  <c r="CM13" i="4" a="1"/>
  <c r="BO5" i="4" a="1"/>
  <c r="DK13" i="4" a="1"/>
  <c r="AI8" i="4" a="1"/>
  <c r="CM7" i="4" a="1"/>
  <c r="F8" i="4" a="1"/>
  <c r="CR9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AM7" i="4" a="1"/>
  <c r="EF13" i="4" a="1"/>
  <c r="DW15" i="4" a="1"/>
  <c r="CD6" i="4" a="1"/>
  <c r="DO16" i="4" a="1"/>
  <c r="BB11" i="4" a="1"/>
  <c r="AE15" i="4" a="1"/>
  <c r="EH8" i="4" a="1"/>
  <c r="C13" i="4" a="1"/>
  <c r="AT5" i="4" a="1"/>
  <c r="CD11" i="4" a="1"/>
  <c r="DC8" i="4" a="1"/>
  <c r="DW13" i="4" a="1"/>
  <c r="I9" i="4" a="1"/>
  <c r="DU6" i="4" a="1"/>
  <c r="U15" i="4" a="1"/>
  <c r="DQ6" i="4" a="1"/>
  <c r="U7" i="4" a="1"/>
  <c r="AW9" i="4" a="1"/>
  <c r="AW8" i="4" a="1"/>
  <c r="Z6" i="4" a="1"/>
  <c r="DI9" i="4" a="1"/>
  <c r="AU8" i="4" a="1"/>
  <c r="DS9" i="4" a="1"/>
  <c r="BM11" i="4" a="1"/>
  <c r="AP6" i="4" a="1"/>
  <c r="CE9" i="4" a="1"/>
  <c r="CY5" i="4" a="1"/>
  <c r="CY11" i="4" a="1"/>
  <c r="AO8" i="4" a="1"/>
  <c r="CL8" i="4" a="1"/>
  <c r="BG14" i="4" a="1"/>
  <c r="AB8" i="4" a="1"/>
  <c r="CW15" i="4" a="1"/>
  <c r="BC6" i="4" a="1"/>
  <c r="EB14" i="4" a="1"/>
  <c r="EJ11" i="4" a="1"/>
  <c r="AV7" i="4" a="1"/>
  <c r="DR13" i="4" a="1"/>
  <c r="AM15" i="4" a="1"/>
  <c r="E11" i="4" a="1"/>
  <c r="DD16" i="4" a="1"/>
  <c r="AJ6" i="4" a="1"/>
  <c r="CH9" i="4" a="1"/>
  <c r="D5" i="4" a="1"/>
  <c r="AH14" i="4" a="1"/>
  <c r="AF5" i="4" a="1"/>
  <c r="CF5" i="4" a="1"/>
  <c r="P15" i="4" a="1"/>
  <c r="DD14" i="4" a="1"/>
  <c r="DV9" i="4" a="1"/>
  <c r="BY6" i="4" a="1"/>
  <c r="CG13" i="4" a="1"/>
  <c r="Q6" i="4" a="1"/>
  <c r="DZ5" i="4" a="1"/>
  <c r="EK13" i="4" a="1"/>
  <c r="N5" i="4" a="1"/>
  <c r="CQ16" i="4" a="1"/>
  <c r="S6" i="4" a="1"/>
  <c r="U13" i="4" a="1"/>
  <c r="DS11" i="4" a="1"/>
  <c r="DW16" i="4" a="1"/>
  <c r="DS14" i="4" a="1"/>
  <c r="R15" i="4" a="1"/>
  <c r="EI13" i="4" a="1"/>
  <c r="CE12" i="4" a="1"/>
  <c r="CN6" i="4" a="1"/>
  <c r="AW6" i="4" a="1"/>
  <c r="AZ11" i="4" a="1"/>
  <c r="AG5" i="4" a="1"/>
  <c r="BE16" i="4" a="1"/>
  <c r="BD7" i="4" a="1"/>
  <c r="CT14" i="4" a="1"/>
  <c r="DP11" i="4" a="1"/>
  <c r="I5" i="4" a="1"/>
  <c r="DT16" i="4" a="1"/>
  <c r="AN9" i="4" a="1"/>
  <c r="BG15" i="4" a="1"/>
  <c r="BA15" i="4" a="1"/>
  <c r="BC14" i="4" a="1"/>
  <c r="AU15" i="4" a="1"/>
  <c r="AP13" i="4" a="1"/>
  <c r="DC16" i="4" a="1"/>
  <c r="CT9" i="4" a="1"/>
  <c r="AJ8" i="4" a="1"/>
  <c r="AV14" i="4" a="1"/>
  <c r="BZ14" i="4" a="1"/>
  <c r="DL12" i="4" a="1"/>
  <c r="X16" i="4" a="1"/>
  <c r="CH5" i="4" a="1"/>
  <c r="CH12" i="4" a="1"/>
  <c r="CL5" i="4" a="1"/>
  <c r="AT9" i="4" a="1"/>
  <c r="CR7" i="4" a="1"/>
  <c r="P13" i="4" a="1"/>
  <c r="AC13" i="4" a="1"/>
  <c r="Q15" i="4" a="1"/>
  <c r="AR6" i="4" a="1"/>
  <c r="BS5" i="4" a="1"/>
  <c r="DL8" i="4" a="1"/>
  <c r="AV13" i="4" a="1"/>
  <c r="AN14" i="4" a="1"/>
  <c r="BE14" i="4" a="1"/>
  <c r="EG13" i="4" a="1"/>
  <c r="BO11" i="4" a="1"/>
  <c r="DN11" i="4" a="1"/>
  <c r="AI12" i="4" a="1"/>
  <c r="BN14" i="4" a="1"/>
  <c r="BY9" i="4" a="1"/>
  <c r="BW8" i="4" a="1"/>
  <c r="EK6" i="4" a="1"/>
  <c r="BN11" i="4" a="1"/>
  <c r="CP13" i="4" a="1"/>
  <c r="CH6" i="4" a="1"/>
  <c r="T6" i="4" a="1"/>
  <c r="CD15" i="4" a="1"/>
  <c r="F13" i="4" a="1"/>
  <c r="Y11" i="4" a="1"/>
  <c r="DO8" i="4" a="1"/>
  <c r="CT13" i="4" a="1"/>
  <c r="EC14" i="4" a="1"/>
  <c r="BR7" i="4" a="1"/>
  <c r="AY16" i="4" a="1"/>
  <c r="AA8" i="4" a="1"/>
  <c r="AS14" i="4" a="1"/>
  <c r="CI5" i="4" a="1"/>
  <c r="C11" i="4" a="1"/>
  <c r="W9" i="4" a="1"/>
  <c r="AW15" i="4" a="1"/>
  <c r="R7" i="4" a="1"/>
  <c r="AO13" i="4" a="1"/>
  <c r="DJ11" i="4" a="1"/>
  <c r="AY8" i="4" a="1"/>
  <c r="DY7" i="4" a="1"/>
  <c r="CS11" i="4" a="1"/>
  <c r="BA11" i="4" a="1"/>
  <c r="CK7" i="4" a="1"/>
  <c r="DM9" i="4" a="1"/>
  <c r="CZ7" i="4" a="1"/>
  <c r="H11" i="4" a="1"/>
  <c r="EH11" i="4" a="1"/>
  <c r="Y15" i="4" a="1"/>
  <c r="DB11" i="4" a="1"/>
  <c r="DN9" i="4" a="1"/>
  <c r="BS12" i="4" a="1"/>
  <c r="BJ16" i="4" a="1"/>
  <c r="DE8" i="4" a="1"/>
  <c r="BP12" i="4" a="1"/>
  <c r="AG16" i="4" a="1"/>
  <c r="DM16" i="4" a="1"/>
  <c r="C16" i="4" a="1"/>
  <c r="AW12" i="4" a="1"/>
  <c r="CO15" i="4" a="1"/>
  <c r="E8" i="4" a="1"/>
  <c r="G9" i="4" a="1"/>
  <c r="R14" i="4" a="1"/>
  <c r="U9" i="4" a="1"/>
  <c r="DF12" i="4" a="1"/>
  <c r="CH15" i="4" a="1"/>
  <c r="BJ15" i="4" a="1"/>
  <c r="AR16" i="4" a="1"/>
  <c r="T9" i="4" a="1"/>
  <c r="AI15" i="4" a="1"/>
  <c r="BP9" i="4" a="1"/>
  <c r="AL7" i="4" a="1"/>
  <c r="DS8" i="4" a="1"/>
  <c r="DO11" i="4" a="1"/>
  <c r="BR15" i="4" a="1"/>
  <c r="AT13" i="4" a="1"/>
  <c r="BG6" i="4" a="1"/>
  <c r="EB11" i="4" a="1"/>
  <c r="CC5" i="4" a="1"/>
  <c r="M13" i="4" a="1"/>
  <c r="EF9" i="4" a="1"/>
  <c r="CC7" i="4" a="1"/>
  <c r="BN13" i="4" a="1"/>
  <c r="DR15" i="4" a="1"/>
  <c r="CL13" i="4" a="1"/>
  <c r="EI7" i="4" a="1"/>
  <c r="EI15" i="4" a="1"/>
  <c r="DQ13" i="4" a="1"/>
  <c r="EA8" i="4" a="1"/>
  <c r="CT15" i="4" a="1"/>
  <c r="DK14" i="4" a="1"/>
  <c r="BJ8" i="4" a="1"/>
  <c r="CI12" i="4" a="1"/>
  <c r="AB6" i="4" a="1"/>
  <c r="BM5" i="4" a="1"/>
  <c r="DH13" i="4" a="1"/>
  <c r="EC12" i="4" a="1"/>
  <c r="BR14" i="4" a="1"/>
  <c r="K6" i="4" a="1"/>
  <c r="DI5" i="4" a="1"/>
  <c r="EB15" i="4" a="1"/>
  <c r="DA9" i="4" a="1"/>
  <c r="M9" i="4" a="1"/>
  <c r="S9" i="4" a="1"/>
  <c r="S5" i="4" a="1"/>
  <c r="R9" i="4" a="1"/>
  <c r="EH6" i="4" a="1"/>
  <c r="M8" i="4" a="1"/>
  <c r="AZ16" i="4" a="1"/>
  <c r="AB7" i="4" a="1"/>
  <c r="R12" i="4" a="1"/>
  <c r="BO7" i="4" a="1"/>
  <c r="BU11" i="4" a="1"/>
  <c r="CZ13" i="4" a="1"/>
  <c r="CV16" i="4" a="1"/>
  <c r="J11" i="4" a="1"/>
  <c r="H7" i="4" a="1"/>
  <c r="BX15" i="4" a="1"/>
  <c r="S16" i="4" a="1"/>
  <c r="DB5" i="4" a="1"/>
  <c r="AN16" i="4" a="1"/>
  <c r="L12" i="4" a="1"/>
  <c r="AS7" i="4" a="1"/>
  <c r="AO15" i="4" a="1"/>
  <c r="CJ15" i="4" a="1"/>
  <c r="DH11" i="4" a="1"/>
  <c r="CK12" i="4" a="1"/>
  <c r="AL11" i="4" a="1"/>
  <c r="BP13" i="4" a="1"/>
  <c r="BL6" i="4" a="1"/>
  <c r="DT15" i="4" a="1"/>
  <c r="DV13" i="4" a="1"/>
  <c r="DV14" i="4" a="1"/>
  <c r="DJ12" i="4" a="1"/>
  <c r="EK11" i="4" a="1"/>
  <c r="DG6" i="4" a="1"/>
  <c r="Q9" i="4" a="1"/>
  <c r="EH12" i="4" a="1"/>
  <c r="BH11" i="4" a="1"/>
  <c r="BF8" i="4" a="1"/>
  <c r="DK11" i="4" a="1"/>
  <c r="T15" i="4" a="1"/>
  <c r="BP14" i="4" a="1"/>
  <c r="AF11" i="4" a="1"/>
  <c r="CM9" i="4" a="1"/>
  <c r="AB14" i="4" a="1"/>
  <c r="CV7" i="4" a="1"/>
  <c r="CZ5" i="4" a="1"/>
  <c r="AY13" i="4" a="1"/>
  <c r="CE8" i="4" a="1"/>
  <c r="BN15" i="4" a="1"/>
  <c r="CP6" i="4" a="1"/>
  <c r="BH15" i="4" a="1"/>
  <c r="CU12" i="4" a="1"/>
  <c r="O5" i="4" a="1"/>
  <c r="CJ16" i="4" a="1"/>
  <c r="H9" i="4" a="1"/>
  <c r="BQ14" i="4" a="1"/>
  <c r="E7" i="4" a="1"/>
  <c r="CZ6" i="4" a="1"/>
  <c r="W16" i="4" a="1"/>
  <c r="Q11" i="4" a="1"/>
  <c r="CA13" i="4" a="1"/>
  <c r="DD15" i="4" a="1"/>
  <c r="CR14" i="4" a="1"/>
  <c r="BQ5" i="4" a="1"/>
  <c r="AF15" i="4" a="1"/>
  <c r="BI11" i="4" a="1"/>
  <c r="AA5" i="4" a="1"/>
  <c r="ED12" i="4" a="1"/>
  <c r="AS12" i="4" a="1"/>
  <c r="DK8" i="4" a="1"/>
  <c r="CY13" i="4" a="1"/>
  <c r="CW6" i="4" a="1"/>
  <c r="EH15" i="4" a="1"/>
  <c r="E5" i="4" a="1"/>
  <c r="AM9" i="4" a="1"/>
  <c r="DE5" i="4" a="1"/>
  <c r="AC7" i="4" a="1"/>
  <c r="BK16" i="4" a="1"/>
  <c r="DE9" i="4" a="1"/>
  <c r="N8" i="4" a="1"/>
  <c r="T14" i="4" a="1"/>
  <c r="AQ13" i="4" a="1"/>
  <c r="DI13" i="4" a="1"/>
  <c r="AD16" i="4" a="1"/>
  <c r="CZ8" i="4" a="1"/>
  <c r="CI8" i="4" a="1"/>
  <c r="CF11" i="4" a="1"/>
  <c r="CD16" i="4" a="1"/>
  <c r="CQ5" i="4" a="1"/>
  <c r="AV5" i="4" a="1"/>
  <c r="N11" i="4" a="1"/>
  <c r="BE9" i="4" a="1"/>
  <c r="CN13" i="4" a="1"/>
  <c r="CQ7" i="4" a="1"/>
  <c r="CO16" i="4" a="1"/>
  <c r="AD6" i="4" a="1"/>
  <c r="CX16" i="4" a="1"/>
  <c r="CS13" i="4" a="1"/>
  <c r="BF5" i="4" a="1"/>
  <c r="CH16" i="4" a="1"/>
  <c r="DN7" i="4" a="1"/>
  <c r="EG8" i="4" a="1"/>
  <c r="AM8" i="4" a="1"/>
  <c r="CG11" i="4" a="1"/>
  <c r="BR9" i="4" a="1"/>
  <c r="AF14" i="4" a="1"/>
  <c r="DE6" i="4" a="1"/>
  <c r="DY9" i="4" a="1"/>
  <c r="Q7" i="4" a="1"/>
  <c r="EA12" i="4" a="1"/>
  <c r="AO16" i="4" a="1"/>
  <c r="BQ6" i="4" a="1"/>
  <c r="EJ15" i="4" a="1"/>
  <c r="EE5" i="4" a="1"/>
  <c r="G16" i="4" a="1"/>
  <c r="DJ15" i="4" a="1"/>
  <c r="H13" i="4" a="1"/>
  <c r="S13" i="4" a="1"/>
  <c r="EG15" i="4" a="1"/>
  <c r="AF12" i="4" a="1"/>
  <c r="AG8" i="4" a="1"/>
  <c r="O14" i="4" a="1"/>
  <c r="CC12" i="4" a="1"/>
  <c r="DS7" i="4" a="1"/>
  <c r="CL14" i="4" a="1"/>
  <c r="CK16" i="4" a="1"/>
  <c r="K5" i="4" a="1"/>
  <c r="BI8" i="4" a="1"/>
  <c r="DN13" i="4" a="1"/>
  <c r="AP12" i="4" a="1"/>
  <c r="O13" i="4" a="1"/>
  <c r="DW8" i="4" a="1"/>
  <c r="Z11" i="4" a="1"/>
  <c r="DT8" i="4" a="1"/>
  <c r="DW12" i="4" a="1"/>
  <c r="BD16" i="4" a="1"/>
  <c r="CJ7" i="4" a="1"/>
  <c r="EE9" i="4" a="1"/>
  <c r="O15" i="4" a="1"/>
  <c r="CE16" i="4" a="1"/>
  <c r="BN5" i="4" a="1"/>
  <c r="C12" i="4" a="1"/>
  <c r="CV6" i="4" a="1"/>
  <c r="BK15" i="4" a="1"/>
  <c r="CJ8" i="4" a="1"/>
  <c r="AJ13" i="4" a="1"/>
  <c r="E6" i="4" a="1"/>
  <c r="EE6" i="4" a="1"/>
  <c r="CV5" i="4" a="1"/>
  <c r="CV13" i="4" a="1"/>
  <c r="BY16" i="4" a="1"/>
  <c r="BG9" i="4" a="1"/>
  <c r="CU6" i="4" a="1"/>
  <c r="CS12" i="4" a="1"/>
  <c r="K9" i="4" a="1"/>
  <c r="D11" i="4" a="1"/>
  <c r="CY8" i="4" a="1"/>
  <c r="L7" i="4" a="1"/>
  <c r="EF7" i="4" a="1"/>
  <c r="R5" i="4" a="1"/>
  <c r="BJ14" i="4" a="1"/>
  <c r="V9" i="4" a="1"/>
  <c r="DN14" i="4" a="1"/>
  <c r="AE9" i="4" a="1"/>
  <c r="AH7" i="4" a="1"/>
  <c r="K8" i="4" a="1"/>
  <c r="EF11" i="4" a="1"/>
  <c r="DD5" i="4" a="1"/>
  <c r="CA5" i="4" a="1"/>
  <c r="CY12" i="4" a="1"/>
  <c r="CG9" i="4" a="1"/>
  <c r="V13" i="4" a="1"/>
  <c r="AS16" i="4" a="1"/>
  <c r="EI8" i="4" a="1"/>
  <c r="CW16" i="4" a="1"/>
  <c r="AL9" i="4" a="1"/>
  <c r="AN5" i="4" a="1"/>
  <c r="BL15" i="4" a="1"/>
  <c r="BQ13" i="4" a="1"/>
  <c r="AM14" i="4" a="1"/>
  <c r="CU7" i="4" a="1"/>
  <c r="L15" i="4" a="1"/>
  <c r="AM16" i="4" a="1"/>
  <c r="DC6" i="4" a="1"/>
  <c r="CC9" i="4" a="1"/>
  <c r="CW8" i="4" a="1"/>
  <c r="CB11" i="4" a="1"/>
  <c r="EJ9" i="4" a="1"/>
  <c r="K13" i="4" a="1"/>
  <c r="AP8" i="4" a="1"/>
  <c r="DU12" i="4" a="1"/>
  <c r="EJ8" i="4" a="1"/>
  <c r="BY12" i="4" a="1"/>
  <c r="BM7" i="4" a="1"/>
  <c r="DY13" i="4" a="1"/>
  <c r="CO12" i="4" a="1"/>
  <c r="AQ6" i="4" a="1"/>
  <c r="T11" i="4" a="1"/>
  <c r="CO8" i="4" a="1"/>
  <c r="EB7" i="4" a="1"/>
  <c r="DE13" i="4" a="1"/>
  <c r="DK12" i="4" a="1"/>
  <c r="CE15" i="4" a="1"/>
  <c r="G5" i="4" a="1"/>
  <c r="CI6" i="4" a="1"/>
  <c r="DA6" i="4" a="1"/>
  <c r="CO11" i="4" a="1"/>
  <c r="BA16" i="4" a="1"/>
  <c r="CS9" i="4" a="1"/>
  <c r="DY12" i="4" a="1"/>
  <c r="BI6" i="4" a="1"/>
  <c r="L5" i="4" a="1"/>
  <c r="BM16" i="4" a="1"/>
  <c r="CB14" i="4" a="1"/>
  <c r="DB12" i="4" a="1"/>
  <c r="G7" i="4" a="1"/>
  <c r="EI5" i="4" a="1"/>
  <c r="DS13" i="4" a="1"/>
  <c r="DX9" i="4" a="1"/>
  <c r="DR14" i="4" a="1"/>
  <c r="S12" i="4" a="1"/>
  <c r="J13" i="4" a="1"/>
  <c r="CW13" i="4" a="1"/>
  <c r="BT8" i="4" a="1"/>
  <c r="CW5" i="4" a="1"/>
  <c r="P11" i="4" a="1"/>
  <c r="DD8" i="4" a="1"/>
  <c r="DU9" i="4" a="1"/>
  <c r="T5" i="4" a="1"/>
  <c r="CU16" i="4" a="1"/>
  <c r="DH9" i="4" a="1"/>
  <c r="EC16" i="4" a="1"/>
  <c r="BX7" i="4" a="1"/>
  <c r="CP5" i="4" a="1"/>
  <c r="AQ14" i="4" a="1"/>
  <c r="DB9" i="4" a="1"/>
  <c r="O16" i="4" a="1"/>
  <c r="BR16" i="4" a="1"/>
  <c r="DU15" i="4" a="1"/>
  <c r="AH11" i="4" a="1"/>
  <c r="J6" i="4" a="1"/>
  <c r="BT11" i="4" a="1"/>
  <c r="BU15" i="4" a="1"/>
  <c r="AG6" i="4" a="1"/>
  <c r="EH14" i="4" a="1"/>
  <c r="BA12" i="4" a="1"/>
  <c r="AO6" i="4" a="1"/>
  <c r="AF6" i="4" a="1"/>
  <c r="DO7" i="4" a="1"/>
  <c r="CG15" i="4" a="1"/>
  <c r="CL15" i="4" a="1"/>
  <c r="V7" i="4" a="1"/>
  <c r="CC15" i="4" a="1"/>
  <c r="Y13" i="4" a="1"/>
  <c r="AJ15" i="4" a="1"/>
  <c r="BU5" i="4" a="1"/>
  <c r="F5" i="4" a="1"/>
  <c r="EG11" i="4" a="1"/>
  <c r="DI12" i="4" a="1"/>
  <c r="EE7" i="4" a="1"/>
  <c r="DA5" i="4" a="1"/>
  <c r="CN5" i="4" a="1"/>
  <c r="BO12" i="4" a="1"/>
  <c r="BO13" i="4" a="1"/>
  <c r="AR13" i="4" a="1"/>
  <c r="AU5" i="4" a="1"/>
  <c r="DM11" i="4" a="1"/>
  <c r="BO15" i="4" a="1"/>
  <c r="CC14" i="4" a="1"/>
  <c r="CF8" i="4" a="1"/>
  <c r="E12" i="4" a="1"/>
  <c r="BM6" i="4" a="1"/>
  <c r="CO5" i="4" a="1"/>
  <c r="CO7" i="4" a="1"/>
  <c r="AA7" i="4" a="1"/>
  <c r="EF6" i="4" a="1"/>
  <c r="P12" i="4" a="1"/>
  <c r="BA14" i="4" a="1"/>
  <c r="DV8" i="4" a="1"/>
  <c r="DX16" i="4" a="1"/>
  <c r="BX14" i="4" a="1"/>
  <c r="AD15" i="4" a="1"/>
  <c r="DV12" i="4" a="1"/>
  <c r="AV6" i="4" a="1"/>
  <c r="ED8" i="4" a="1"/>
  <c r="AM12" i="4" a="1"/>
  <c r="AA15" i="4" a="1"/>
  <c r="DN5" i="4" a="1"/>
  <c r="DV11" i="4" a="1"/>
  <c r="DI11" i="4" a="1"/>
  <c r="BA8" i="4" a="1"/>
  <c r="BD13" i="4" a="1"/>
  <c r="BS8" i="4" a="1"/>
  <c r="CX13" i="4" a="1"/>
  <c r="DA15" i="4" a="1"/>
  <c r="I6" i="4" a="1"/>
  <c r="AT12" i="4" a="1"/>
  <c r="EC6" i="4" a="1"/>
  <c r="CU11" i="4" a="1"/>
  <c r="DA16" i="4" a="1"/>
  <c r="BW5" i="4" a="1"/>
  <c r="CM5" i="4" a="1"/>
  <c r="BK14" i="4" a="1"/>
  <c r="AT7" i="4" a="1"/>
  <c r="W14" i="4" a="1"/>
  <c r="DF8" i="4" a="1"/>
  <c r="DP13" i="4" a="1"/>
  <c r="CQ9" i="4" a="1"/>
  <c r="DD7" i="4" a="1"/>
  <c r="DS15" i="4" a="1"/>
  <c r="BU16" i="4" a="1"/>
  <c r="CV8" i="4" a="1"/>
  <c r="DI6" i="4" a="1"/>
  <c r="DM7" i="4" a="1"/>
  <c r="AX5" i="4" a="1"/>
  <c r="BT14" i="4" a="1"/>
  <c r="DC5" i="4" a="1"/>
  <c r="BZ16" i="4" a="1"/>
  <c r="AX7" i="4" a="1"/>
  <c r="CB16" i="4" a="1"/>
  <c r="CU13" i="4" a="1"/>
  <c r="BS9" i="4" a="1"/>
  <c r="BV12" i="4" a="1"/>
  <c r="EF16" i="4" a="1"/>
  <c r="AT11" i="4" a="1"/>
  <c r="AJ11" i="4" a="1"/>
  <c r="BO6" i="4" a="1"/>
  <c r="EB9" i="4" a="1"/>
  <c r="BK7" i="4" a="1"/>
  <c r="Q16" i="4" a="1"/>
  <c r="DP16" i="4" a="1"/>
  <c r="AU7" i="4" a="1"/>
  <c r="DI7" i="4" a="1"/>
  <c r="W6" i="4" a="1"/>
  <c r="AS8" i="4" a="1"/>
  <c r="BP15" i="4" a="1"/>
  <c r="CL11" i="4" a="1"/>
  <c r="DC11" i="4" a="1"/>
  <c r="CE11" i="4" a="1"/>
  <c r="AE13" i="4" a="1"/>
  <c r="DT13" i="4" a="1"/>
  <c r="BB9" i="4" a="1"/>
  <c r="BL7" i="4" a="1"/>
  <c r="BN8" i="4" a="1"/>
  <c r="BB12" i="4" a="1"/>
  <c r="O12" i="4" a="1"/>
  <c r="G8" i="4" a="1"/>
  <c r="AR7" i="4" a="1"/>
  <c r="F14" i="4" a="1"/>
  <c r="CZ11" i="4" a="1"/>
  <c r="G13" i="4" a="1"/>
  <c r="BU9" i="4" a="1"/>
  <c r="EI11" i="4" a="1"/>
  <c r="CL7" i="4" a="1"/>
  <c r="X12" i="4" a="1"/>
  <c r="CB6" i="4" a="1"/>
  <c r="E95" i="3"/>
  <c r="D94" i="3"/>
  <c r="D56" i="3"/>
  <c r="D81" i="3"/>
  <c r="E70" i="3"/>
  <c r="D92" i="3"/>
  <c r="F73" i="3"/>
  <c r="D54" i="3"/>
  <c r="D70" i="3"/>
  <c r="F87" i="3"/>
  <c r="E72" i="3"/>
  <c r="F96" i="3"/>
  <c r="E79" i="3"/>
  <c r="F48" i="3"/>
  <c r="D60" i="3"/>
  <c r="F50" i="3"/>
  <c r="F56" i="3"/>
  <c r="D61" i="3"/>
  <c r="F70" i="3"/>
  <c r="E60" i="3"/>
  <c r="F75" i="3"/>
  <c r="F78" i="3"/>
  <c r="E90" i="3"/>
  <c r="D69" i="3"/>
  <c r="F85" i="3"/>
  <c r="F57" i="3"/>
  <c r="F90" i="3"/>
  <c r="F84" i="3"/>
  <c r="E68" i="3"/>
  <c r="F47" i="3"/>
  <c r="E94" i="3"/>
  <c r="F72" i="3"/>
  <c r="F68" i="3"/>
  <c r="F92" i="3"/>
  <c r="D90" i="3"/>
  <c r="F93" i="3"/>
  <c r="E85" i="3"/>
  <c r="F71" i="3"/>
  <c r="E54" i="3"/>
  <c r="D72" i="3"/>
  <c r="D67" i="3"/>
  <c r="F49" i="3"/>
  <c r="E67" i="3"/>
  <c r="F91" i="3"/>
  <c r="F61" i="3"/>
  <c r="F76" i="3"/>
  <c r="E93" i="3"/>
  <c r="D86" i="3"/>
  <c r="F65" i="3"/>
  <c r="D76" i="3"/>
  <c r="F67" i="3"/>
  <c r="E80" i="3"/>
  <c r="F83" i="3"/>
  <c r="E83" i="3"/>
  <c r="D84" i="3"/>
  <c r="E96" i="3"/>
  <c r="D78" i="3"/>
  <c r="E77" i="3"/>
  <c r="D55" i="3"/>
  <c r="D62" i="3"/>
  <c r="F94" i="3"/>
  <c r="E57" i="3"/>
  <c r="F77" i="3"/>
  <c r="F69" i="3"/>
  <c r="E69" i="3"/>
  <c r="D58" i="3"/>
  <c r="D87" i="3"/>
  <c r="E89" i="3"/>
  <c r="D93" i="3"/>
  <c r="E56" i="3"/>
  <c r="D91" i="3"/>
  <c r="E74" i="3"/>
  <c r="D65" i="3"/>
  <c r="D88" i="3"/>
  <c r="D57" i="3"/>
  <c r="F63" i="3"/>
  <c r="F97" i="3"/>
  <c r="F54" i="3"/>
  <c r="E81" i="3"/>
  <c r="E82" i="3"/>
  <c r="E71" i="3"/>
  <c r="D73" i="3"/>
  <c r="E58" i="3"/>
  <c r="D63" i="3"/>
  <c r="F86" i="3"/>
  <c r="D75" i="3"/>
  <c r="E65" i="3"/>
  <c r="D96" i="3"/>
  <c r="F74" i="3"/>
  <c r="E64" i="3"/>
  <c r="E66" i="3"/>
  <c r="F79" i="3"/>
  <c r="D77" i="3"/>
  <c r="D83" i="3"/>
  <c r="F60" i="3"/>
  <c r="E73" i="3"/>
  <c r="D82" i="3"/>
  <c r="F55" i="3"/>
  <c r="D79" i="3"/>
  <c r="E87" i="3"/>
  <c r="F81" i="3"/>
  <c r="D97" i="3"/>
  <c r="E63" i="3"/>
  <c r="F88" i="3"/>
  <c r="E88" i="3"/>
  <c r="D95" i="3"/>
  <c r="D74" i="3"/>
  <c r="D64" i="3"/>
  <c r="F58" i="3"/>
  <c r="D71" i="3"/>
  <c r="F64" i="3"/>
  <c r="E61" i="3"/>
  <c r="F59" i="3"/>
  <c r="D89" i="3"/>
  <c r="F95" i="3"/>
  <c r="D85" i="3"/>
  <c r="E55" i="3"/>
  <c r="D66" i="3"/>
  <c r="E97" i="3"/>
  <c r="D68" i="3"/>
  <c r="F62" i="3"/>
  <c r="E86" i="3"/>
  <c r="F89" i="3"/>
  <c r="F66" i="3"/>
  <c r="D59" i="3"/>
  <c r="F82" i="3"/>
  <c r="D80" i="3"/>
  <c r="E75" i="3"/>
  <c r="F80" i="3"/>
  <c r="E78" i="3"/>
  <c r="CP77" i="1" l="1"/>
  <c r="CN63" i="1"/>
  <c r="CM65" i="1"/>
  <c r="E76" i="3"/>
  <c r="AD79" i="3"/>
  <c r="E92" i="3"/>
  <c r="E62" i="3"/>
  <c r="AD91" i="3"/>
  <c r="E84" i="3"/>
  <c r="E59" i="3"/>
  <c r="AD70" i="3"/>
  <c r="E91" i="3"/>
  <c r="AD65" i="3"/>
  <c r="AD86" i="3"/>
  <c r="AD58" i="3"/>
  <c r="AD67" i="3"/>
  <c r="AD81" i="3"/>
  <c r="AD61" i="3"/>
  <c r="AD74" i="3"/>
  <c r="AD60" i="3"/>
  <c r="AD87" i="3"/>
  <c r="AD80" i="3"/>
  <c r="AD90" i="3"/>
  <c r="AD56" i="3"/>
  <c r="AD82" i="3"/>
  <c r="AD54" i="3"/>
  <c r="AD64" i="3"/>
  <c r="AD95" i="3"/>
  <c r="AD75" i="3"/>
  <c r="AD73" i="3"/>
  <c r="AD93" i="3"/>
  <c r="AD89" i="3"/>
  <c r="AD97" i="3"/>
  <c r="AD57" i="3"/>
  <c r="AD92" i="3"/>
  <c r="AD94" i="3"/>
  <c r="AD78" i="3"/>
  <c r="AD84" i="3"/>
  <c r="AD69" i="3"/>
  <c r="AD85" i="3"/>
  <c r="AD88" i="3"/>
  <c r="AD83" i="3"/>
  <c r="AD63" i="3"/>
  <c r="AD71" i="3"/>
  <c r="AD66" i="3"/>
  <c r="AD77" i="3"/>
  <c r="AD55" i="3"/>
  <c r="AD76" i="3"/>
  <c r="AD68" i="3"/>
  <c r="AD72" i="3"/>
  <c r="AD59" i="3"/>
  <c r="AD96" i="3"/>
  <c r="AD62" i="3"/>
  <c r="G64" i="3"/>
  <c r="G93" i="3"/>
  <c r="G85" i="3"/>
  <c r="G84" i="3"/>
  <c r="G59" i="3"/>
  <c r="G90" i="3"/>
  <c r="G75" i="3"/>
  <c r="G62" i="3"/>
  <c r="G65" i="3"/>
  <c r="G92" i="3"/>
  <c r="G80" i="3"/>
  <c r="G76" i="3"/>
  <c r="G68" i="3"/>
  <c r="G71" i="3"/>
  <c r="G87" i="3"/>
  <c r="G74" i="3"/>
  <c r="G88" i="3"/>
  <c r="G58" i="3"/>
  <c r="G67" i="3"/>
  <c r="G66" i="3"/>
  <c r="G73" i="3"/>
  <c r="G86" i="3"/>
  <c r="G96" i="3"/>
  <c r="G94" i="3"/>
  <c r="G91" i="3"/>
  <c r="G78" i="3"/>
  <c r="G55" i="3"/>
  <c r="G60" i="3"/>
  <c r="G61" i="3"/>
  <c r="G97" i="3"/>
  <c r="G82" i="3"/>
  <c r="G72" i="3"/>
  <c r="G70" i="3"/>
  <c r="G77" i="3"/>
  <c r="G57" i="3"/>
  <c r="G63" i="3"/>
  <c r="G54" i="3"/>
  <c r="G95" i="3"/>
  <c r="G56" i="3"/>
  <c r="G79" i="3"/>
  <c r="G81" i="3"/>
  <c r="G89" i="3"/>
  <c r="G69" i="3"/>
  <c r="G83" i="3"/>
  <c r="IF9" i="4" s="1"/>
  <c r="JB16" i="4" s="1"/>
  <c r="BX35" i="1"/>
  <c r="BX32" i="1"/>
  <c r="BX23" i="1"/>
  <c r="AK13" i="1"/>
  <c r="S8" i="1"/>
  <c r="S231" i="1" s="1"/>
  <c r="IB14" i="4" s="1"/>
  <c r="HS8" i="4" s="1"/>
  <c r="HW9" i="4" s="1"/>
  <c r="IR16" i="4" s="1"/>
  <c r="IM15" i="4" s="1"/>
  <c r="IE9" i="4" s="1"/>
  <c r="IS9" i="4" s="1"/>
  <c r="AL24" i="1"/>
  <c r="AL8" i="1"/>
  <c r="AL231" i="1" s="1"/>
  <c r="BJ25" i="1"/>
  <c r="BX154" i="1"/>
  <c r="BY154" i="1" s="1"/>
  <c r="JA15" i="4" s="1"/>
  <c r="JE15" i="4" s="1"/>
  <c r="IK16" i="4" s="1"/>
  <c r="AK21" i="1"/>
  <c r="AK23" i="1"/>
  <c r="E23" i="1"/>
  <c r="Q9" i="1"/>
  <c r="IM9" i="4" s="1"/>
  <c r="IL8" i="4" s="1"/>
  <c r="JC16" i="4" s="1"/>
  <c r="AM32" i="1"/>
  <c r="AM194" i="1" s="1"/>
  <c r="AL15" i="1"/>
  <c r="AJ24" i="1"/>
  <c r="AJ45" i="1"/>
  <c r="BX142" i="1"/>
  <c r="BY142" i="1" s="1"/>
  <c r="E39" i="1"/>
  <c r="B35" i="1"/>
  <c r="B25" i="1"/>
  <c r="AL47" i="1"/>
  <c r="AJ25" i="1"/>
  <c r="BX47" i="1"/>
  <c r="AJ8" i="1"/>
  <c r="AJ231" i="1" s="1"/>
  <c r="AK15" i="1"/>
  <c r="E25" i="1"/>
  <c r="I35" i="1"/>
  <c r="V23" i="1"/>
  <c r="JI7" i="4" s="1"/>
  <c r="JI9" i="4" s="1"/>
  <c r="IG14" i="4" s="1"/>
  <c r="HS9" i="4" s="1"/>
  <c r="HV14" i="4" s="1"/>
  <c r="IZ9" i="4" s="1"/>
  <c r="HR16" i="4" s="1"/>
  <c r="AK51" i="1"/>
  <c r="AJ22" i="1"/>
  <c r="AJ47" i="1"/>
  <c r="AM15" i="1"/>
  <c r="D122" i="1"/>
  <c r="B24" i="1"/>
  <c r="C13" i="1"/>
  <c r="M8" i="1"/>
  <c r="M231" i="1" s="1"/>
  <c r="II7" i="4" s="1"/>
  <c r="IJ9" i="4" s="1"/>
  <c r="IE15" i="4" s="1"/>
  <c r="JB15" i="4" s="1"/>
  <c r="IN14" i="4" s="1"/>
  <c r="IR9" i="4" s="1"/>
  <c r="IR21" i="4" s="1"/>
  <c r="BL77" i="1" s="1"/>
  <c r="BL94" i="1" s="1"/>
  <c r="HX8" i="4" s="1"/>
  <c r="ID9" i="4" s="1"/>
  <c r="HT16" i="4" s="1"/>
  <c r="AK39" i="1"/>
  <c r="AJ51" i="1"/>
  <c r="BX51" i="1"/>
  <c r="AL39" i="1"/>
  <c r="BX163" i="1"/>
  <c r="BY163" i="1" s="1"/>
  <c r="Q39" i="1"/>
  <c r="JF16" i="4" s="1"/>
  <c r="AM9" i="1"/>
  <c r="AK14" i="1"/>
  <c r="BX36" i="1"/>
  <c r="AL23" i="1"/>
  <c r="AL21" i="1"/>
  <c r="BX140" i="1"/>
  <c r="BY140" i="1" s="1"/>
  <c r="BZ202" i="1" s="1"/>
  <c r="S20" i="1"/>
  <c r="HP9" i="4" s="1"/>
  <c r="IQ16" i="4" s="1"/>
  <c r="HQ7" i="4" s="1"/>
  <c r="JG16" i="4" s="1"/>
  <c r="AM36" i="1"/>
  <c r="AJ36" i="1"/>
  <c r="BX8" i="1"/>
  <c r="AM25" i="1"/>
  <c r="BX21" i="1"/>
  <c r="AL13" i="1"/>
  <c r="BX73" i="1"/>
  <c r="JD8" i="4" s="1"/>
  <c r="HR9" i="4" s="1"/>
  <c r="AL46" i="1"/>
  <c r="AJ23" i="1"/>
  <c r="AK24" i="1"/>
  <c r="D24" i="1"/>
  <c r="M9" i="1"/>
  <c r="IH9" i="4" s="1"/>
  <c r="JH9" i="4" s="1"/>
  <c r="IM16" i="4" s="1"/>
  <c r="IM21" i="4" s="1"/>
  <c r="BG77" i="1" s="1"/>
  <c r="HV9" i="4" s="1"/>
  <c r="AL32" i="1"/>
  <c r="AL194" i="1" s="1"/>
  <c r="AM20" i="1"/>
  <c r="AM13" i="1"/>
  <c r="U36" i="1"/>
  <c r="U252" i="1" s="1"/>
  <c r="HU14" i="4" s="1"/>
  <c r="IQ14" i="4" s="1"/>
  <c r="AJ46" i="1"/>
  <c r="AM39" i="1"/>
  <c r="AK32" i="1"/>
  <c r="AK194" i="1" s="1"/>
  <c r="I39" i="1"/>
  <c r="I21" i="1"/>
  <c r="W32" i="1"/>
  <c r="W253" i="1" s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N13" i="1"/>
  <c r="O8" i="1"/>
  <c r="O231" i="1" s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IJ8" i="4" s="1"/>
  <c r="JD16" i="4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IL9" i="4" s="1"/>
  <c r="IP9" i="4" s="1"/>
  <c r="IA8" i="4" s="1"/>
  <c r="IO7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BJ23" i="1"/>
  <c r="AJ15" i="1"/>
  <c r="AK25" i="1"/>
  <c r="BJ21" i="1"/>
  <c r="BX144" i="1"/>
  <c r="BX179" i="1" s="1"/>
  <c r="BY179" i="1" s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G47" i="1"/>
  <c r="W20" i="1"/>
  <c r="R32" i="1"/>
  <c r="I25" i="1"/>
  <c r="H32" i="1"/>
  <c r="W46" i="1"/>
  <c r="IO16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K24" i="1"/>
  <c r="I32" i="1"/>
  <c r="I194" i="1" s="1"/>
  <c r="G15" i="1"/>
  <c r="C8" i="1"/>
  <c r="V36" i="1"/>
  <c r="V252" i="1" s="1"/>
  <c r="AL155" i="1"/>
  <c r="AM155" i="1" s="1"/>
  <c r="AL74" i="1"/>
  <c r="AJ124" i="1"/>
  <c r="AK124" i="1" s="1"/>
  <c r="AJ163" i="1"/>
  <c r="AK163" i="1" s="1"/>
  <c r="AJ127" i="1"/>
  <c r="AK127" i="1" s="1"/>
  <c r="AJ159" i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AJ152" i="1"/>
  <c r="AK152" i="1" s="1"/>
  <c r="AJ142" i="1"/>
  <c r="AK142" i="1" s="1"/>
  <c r="AJ154" i="1"/>
  <c r="AK154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AL143" i="1"/>
  <c r="IC14" i="4"/>
  <c r="ID15" i="4"/>
  <c r="IS15" i="4"/>
  <c r="IC15" i="4"/>
  <c r="IR14" i="4"/>
  <c r="HP8" i="4"/>
  <c r="HX7" i="4"/>
  <c r="IU8" i="4"/>
  <c r="HS14" i="4"/>
  <c r="IE7" i="4"/>
  <c r="JI15" i="4"/>
  <c r="HU8" i="4"/>
  <c r="JE14" i="4"/>
  <c r="IB7" i="4"/>
  <c r="JF7" i="4"/>
  <c r="JD14" i="4"/>
  <c r="HY14" i="4"/>
  <c r="IN15" i="4"/>
  <c r="HZ15" i="4"/>
  <c r="IT15" i="4"/>
  <c r="IZ14" i="4"/>
  <c r="IY15" i="4"/>
  <c r="IZ15" i="4"/>
  <c r="JG7" i="4"/>
  <c r="IS14" i="4"/>
  <c r="HR15" i="4"/>
  <c r="IH8" i="4"/>
  <c r="IO8" i="4"/>
  <c r="IC8" i="4"/>
  <c r="II14" i="4"/>
  <c r="JC14" i="4"/>
  <c r="HS15" i="4"/>
  <c r="IR15" i="4"/>
  <c r="HW14" i="4"/>
  <c r="IJ7" i="4"/>
  <c r="IT8" i="4"/>
  <c r="IH14" i="4"/>
  <c r="IM14" i="4"/>
  <c r="IQ7" i="4"/>
  <c r="IH7" i="4"/>
  <c r="IK14" i="4"/>
  <c r="IF8" i="4"/>
  <c r="HV8" i="4"/>
  <c r="JB14" i="4"/>
  <c r="IR8" i="4"/>
  <c r="HZ8" i="4"/>
  <c r="IA14" i="4"/>
  <c r="IH15" i="4"/>
  <c r="IW7" i="4"/>
  <c r="HU7" i="4"/>
  <c r="IF7" i="4"/>
  <c r="IT14" i="4"/>
  <c r="HX15" i="4"/>
  <c r="IK15" i="4"/>
  <c r="IV8" i="4"/>
  <c r="JC15" i="4"/>
  <c r="IX7" i="4"/>
  <c r="HW15" i="4"/>
  <c r="JG8" i="4"/>
  <c r="HV7" i="4"/>
  <c r="JB7" i="4"/>
  <c r="JD15" i="4"/>
  <c r="IO14" i="4"/>
  <c r="IP15" i="4"/>
  <c r="JI8" i="4"/>
  <c r="IU7" i="4"/>
  <c r="IJ15" i="4"/>
  <c r="HR8" i="4"/>
  <c r="HY8" i="4"/>
  <c r="IT7" i="4"/>
  <c r="IX15" i="4"/>
  <c r="IP8" i="4"/>
  <c r="IB15" i="4"/>
  <c r="JF8" i="4"/>
  <c r="IL15" i="4"/>
  <c r="HT14" i="4"/>
  <c r="IX8" i="4"/>
  <c r="JC8" i="4"/>
  <c r="JC20" i="4" s="1"/>
  <c r="BW79" i="1" s="1"/>
  <c r="BW108" i="1" s="1"/>
  <c r="IP7" i="4"/>
  <c r="JH14" i="4"/>
  <c r="IJ14" i="4"/>
  <c r="IY14" i="4"/>
  <c r="IY8" i="4"/>
  <c r="JE7" i="4"/>
  <c r="HW8" i="4"/>
  <c r="IL7" i="4"/>
  <c r="IU14" i="4"/>
  <c r="HU15" i="4"/>
  <c r="IZ7" i="4"/>
  <c r="JF14" i="4"/>
  <c r="JC7" i="4"/>
  <c r="HV15" i="4"/>
  <c r="HY15" i="4"/>
  <c r="HP14" i="4"/>
  <c r="IF15" i="4"/>
  <c r="HQ8" i="4"/>
  <c r="JH8" i="4"/>
  <c r="HW7" i="4"/>
  <c r="IA15" i="4"/>
  <c r="IU15" i="4"/>
  <c r="IZ8" i="4"/>
  <c r="HZ14" i="4"/>
  <c r="JD7" i="4"/>
  <c r="IE14" i="4"/>
  <c r="HP7" i="4"/>
  <c r="HQ14" i="4"/>
  <c r="IG15" i="4"/>
  <c r="HR14" i="4"/>
  <c r="HQ15" i="4"/>
  <c r="HQ20" i="4" s="1"/>
  <c r="AK79" i="1" s="1"/>
  <c r="IP14" i="4"/>
  <c r="HS7" i="4"/>
  <c r="IG8" i="4"/>
  <c r="IK7" i="4"/>
  <c r="IY7" i="4"/>
  <c r="JG14" i="4"/>
  <c r="JA14" i="4"/>
  <c r="IV15" i="4"/>
  <c r="IV7" i="4"/>
  <c r="HP15" i="4"/>
  <c r="IA7" i="4"/>
  <c r="JH15" i="4"/>
  <c r="JH20" i="4" s="1"/>
  <c r="CB79" i="1" s="1"/>
  <c r="IW8" i="4"/>
  <c r="IQ15" i="4"/>
  <c r="IE8" i="4"/>
  <c r="HT8" i="4"/>
  <c r="IX14" i="4"/>
  <c r="IB8" i="4"/>
  <c r="IG7" i="4"/>
  <c r="ID14" i="4"/>
  <c r="IO15" i="4"/>
  <c r="JE8" i="4"/>
  <c r="JE20" i="4" s="1"/>
  <c r="BY79" i="1" s="1"/>
  <c r="BY108" i="1" s="1"/>
  <c r="JG15" i="4"/>
  <c r="JI14" i="4"/>
  <c r="JI19" i="4" s="1"/>
  <c r="CC78" i="1" s="1"/>
  <c r="JA7" i="4"/>
  <c r="JA8" i="4"/>
  <c r="JA20" i="4" s="1"/>
  <c r="BU79" i="1" s="1"/>
  <c r="BU108" i="1" s="1"/>
  <c r="II15" i="4"/>
  <c r="IM7" i="4"/>
  <c r="HP19" i="4"/>
  <c r="AJ78" i="1" s="1"/>
  <c r="IY19" i="4"/>
  <c r="BS78" i="1" s="1"/>
  <c r="BS107" i="1" s="1"/>
  <c r="CM32" i="1"/>
  <c r="AC140" i="1"/>
  <c r="G183" i="1" l="1"/>
  <c r="S26" i="1"/>
  <c r="S10" i="1"/>
  <c r="BX10" i="1"/>
  <c r="K252" i="1"/>
  <c r="E10" i="1"/>
  <c r="S194" i="1"/>
  <c r="O194" i="1"/>
  <c r="BY202" i="1"/>
  <c r="AB77" i="1"/>
  <c r="CQ77" i="1"/>
  <c r="CN65" i="1"/>
  <c r="CO63" i="1"/>
  <c r="I252" i="1"/>
  <c r="Q252" i="1"/>
  <c r="T252" i="1"/>
  <c r="S253" i="1"/>
  <c r="O253" i="1"/>
  <c r="U98" i="1"/>
  <c r="IJ19" i="4"/>
  <c r="BD78" i="1" s="1"/>
  <c r="BD107" i="1" s="1"/>
  <c r="T231" i="1"/>
  <c r="I231" i="1"/>
  <c r="IA19" i="4"/>
  <c r="AU78" i="1" s="1"/>
  <c r="AU107" i="1" s="1"/>
  <c r="IE20" i="4"/>
  <c r="AY79" i="1" s="1"/>
  <c r="AY108" i="1" s="1"/>
  <c r="M10" i="1"/>
  <c r="IG19" i="4"/>
  <c r="BA78" i="1" s="1"/>
  <c r="BA107" i="1" s="1"/>
  <c r="B231" i="1"/>
  <c r="W194" i="1"/>
  <c r="K253" i="1"/>
  <c r="M253" i="1"/>
  <c r="Q253" i="1"/>
  <c r="AL253" i="1"/>
  <c r="Q231" i="1"/>
  <c r="Q10" i="1"/>
  <c r="S98" i="1"/>
  <c r="HU20" i="4"/>
  <c r="AO79" i="1" s="1"/>
  <c r="AO108" i="1" s="1"/>
  <c r="IZ19" i="4"/>
  <c r="BT78" i="1" s="1"/>
  <c r="BT107" i="1" s="1"/>
  <c r="IE19" i="4"/>
  <c r="AY78" i="1" s="1"/>
  <c r="AY107" i="1" s="1"/>
  <c r="IT20" i="4"/>
  <c r="BN79" i="1" s="1"/>
  <c r="BN108" i="1" s="1"/>
  <c r="IY20" i="4"/>
  <c r="BS79" i="1" s="1"/>
  <c r="BS108" i="1" s="1"/>
  <c r="IF20" i="4"/>
  <c r="AZ79" i="1" s="1"/>
  <c r="AZ108" i="1" s="1"/>
  <c r="IZ20" i="4"/>
  <c r="BT79" i="1" s="1"/>
  <c r="BT108" i="1" s="1"/>
  <c r="HS20" i="4"/>
  <c r="AM79" i="1" s="1"/>
  <c r="HU19" i="4"/>
  <c r="AO78" i="1" s="1"/>
  <c r="AO107" i="1" s="1"/>
  <c r="HQ19" i="4"/>
  <c r="AK78" i="1" s="1"/>
  <c r="JE19" i="4"/>
  <c r="BY78" i="1" s="1"/>
  <c r="IR20" i="4"/>
  <c r="BL79" i="1" s="1"/>
  <c r="BL96" i="1" s="1"/>
  <c r="IK19" i="4"/>
  <c r="BE78" i="1" s="1"/>
  <c r="BE107" i="1" s="1"/>
  <c r="H252" i="1"/>
  <c r="BJ144" i="1"/>
  <c r="BJ127" i="1"/>
  <c r="BK127" i="1" s="1"/>
  <c r="BJ160" i="1"/>
  <c r="BJ147" i="1"/>
  <c r="BK147" i="1" s="1"/>
  <c r="B253" i="1"/>
  <c r="BJ163" i="1"/>
  <c r="BK163" i="1" s="1"/>
  <c r="BJ159" i="1"/>
  <c r="BJ155" i="1"/>
  <c r="BK155" i="1" s="1"/>
  <c r="BJ131" i="1"/>
  <c r="BJ145" i="1"/>
  <c r="BJ180" i="1" s="1"/>
  <c r="BK180" i="1" s="1"/>
  <c r="BJ164" i="1"/>
  <c r="BJ119" i="1"/>
  <c r="BJ126" i="1"/>
  <c r="BK126" i="1" s="1"/>
  <c r="BJ140" i="1"/>
  <c r="BJ152" i="1"/>
  <c r="BK152" i="1" s="1"/>
  <c r="BJ135" i="1"/>
  <c r="BK135" i="1" s="1"/>
  <c r="BJ125" i="1"/>
  <c r="BK125" i="1" s="1"/>
  <c r="BJ142" i="1"/>
  <c r="BK142" i="1" s="1"/>
  <c r="BJ132" i="1"/>
  <c r="BJ146" i="1"/>
  <c r="BK146" i="1" s="1"/>
  <c r="BJ118" i="1"/>
  <c r="BK118" i="1" s="1"/>
  <c r="BJ153" i="1"/>
  <c r="BJ183" i="1" s="1"/>
  <c r="BK183" i="1" s="1"/>
  <c r="BJ150" i="1"/>
  <c r="BK150" i="1" s="1"/>
  <c r="BJ133" i="1"/>
  <c r="BJ151" i="1"/>
  <c r="BK151" i="1" s="1"/>
  <c r="BJ122" i="1"/>
  <c r="BK122" i="1" s="1"/>
  <c r="BJ117" i="1"/>
  <c r="BJ137" i="1"/>
  <c r="BK137" i="1" s="1"/>
  <c r="BJ143" i="1"/>
  <c r="AL180" i="1"/>
  <c r="AM180" i="1" s="1"/>
  <c r="AJ183" i="1"/>
  <c r="AL183" i="1"/>
  <c r="AM183" i="1" s="1"/>
  <c r="AL179" i="1"/>
  <c r="AM179" i="1" s="1"/>
  <c r="AJ179" i="1"/>
  <c r="I10" i="1"/>
  <c r="R194" i="1"/>
  <c r="H194" i="1"/>
  <c r="V194" i="1"/>
  <c r="V253" i="1"/>
  <c r="IO20" i="4"/>
  <c r="BI79" i="1" s="1"/>
  <c r="BI108" i="1" s="1"/>
  <c r="JG20" i="4"/>
  <c r="CA79" i="1" s="1"/>
  <c r="IM19" i="4"/>
  <c r="BG78" i="1" s="1"/>
  <c r="BG107" i="1" s="1"/>
  <c r="AM252" i="1"/>
  <c r="AJ33" i="1"/>
  <c r="AM10" i="1"/>
  <c r="AM253" i="1"/>
  <c r="J253" i="1"/>
  <c r="AM98" i="1"/>
  <c r="AM99" i="1" s="1"/>
  <c r="J252" i="1"/>
  <c r="C253" i="1"/>
  <c r="D252" i="1"/>
  <c r="D10" i="1"/>
  <c r="BX156" i="1"/>
  <c r="BX185" i="1" s="1"/>
  <c r="D231" i="1"/>
  <c r="BX128" i="1"/>
  <c r="L194" i="1"/>
  <c r="J10" i="1"/>
  <c r="J16" i="1" s="1"/>
  <c r="J17" i="1" s="1"/>
  <c r="AL120" i="1"/>
  <c r="AL128" i="1"/>
  <c r="AJ180" i="1"/>
  <c r="AK180" i="1" s="1"/>
  <c r="AJ120" i="1"/>
  <c r="AJ156" i="1"/>
  <c r="IQ19" i="4"/>
  <c r="BK78" i="1" s="1"/>
  <c r="BK107" i="1" s="1"/>
  <c r="HZ20" i="4"/>
  <c r="AT79" i="1" s="1"/>
  <c r="AT108" i="1" s="1"/>
  <c r="IH19" i="4"/>
  <c r="BB78" i="1" s="1"/>
  <c r="BB107" i="1" s="1"/>
  <c r="AL202" i="1"/>
  <c r="AK202" i="1"/>
  <c r="P26" i="1"/>
  <c r="BJ154" i="1"/>
  <c r="BK154" i="1" s="1"/>
  <c r="BJ149" i="1"/>
  <c r="BK149" i="1" s="1"/>
  <c r="BJ124" i="1"/>
  <c r="JF9" i="4"/>
  <c r="BX253" i="1"/>
  <c r="BX194" i="1"/>
  <c r="JI16" i="4"/>
  <c r="HZ16" i="4"/>
  <c r="HQ16" i="4" s="1"/>
  <c r="HR21" i="4"/>
  <c r="AL77" i="1" s="1"/>
  <c r="IL16" i="4"/>
  <c r="IB16" i="4"/>
  <c r="BX231" i="1"/>
  <c r="CA98" i="1"/>
  <c r="CA99" i="1" s="1"/>
  <c r="K10" i="1"/>
  <c r="K231" i="1"/>
  <c r="G253" i="1"/>
  <c r="G194" i="1"/>
  <c r="G10" i="1"/>
  <c r="G231" i="1"/>
  <c r="U194" i="1"/>
  <c r="U253" i="1"/>
  <c r="H10" i="1"/>
  <c r="H231" i="1"/>
  <c r="N253" i="1"/>
  <c r="N194" i="1"/>
  <c r="C10" i="1"/>
  <c r="C16" i="1" s="1"/>
  <c r="C231" i="1"/>
  <c r="BX252" i="1"/>
  <c r="AJ37" i="1"/>
  <c r="O252" i="1"/>
  <c r="R252" i="1"/>
  <c r="AM26" i="1"/>
  <c r="C252" i="1"/>
  <c r="P183" i="1"/>
  <c r="L10" i="1"/>
  <c r="BX134" i="1"/>
  <c r="BX183" i="1"/>
  <c r="B252" i="1"/>
  <c r="I253" i="1"/>
  <c r="K26" i="1"/>
  <c r="D253" i="1"/>
  <c r="L253" i="1"/>
  <c r="L252" i="1"/>
  <c r="B10" i="1"/>
  <c r="V188" i="1"/>
  <c r="X188" i="1"/>
  <c r="N252" i="1"/>
  <c r="N10" i="1"/>
  <c r="IJ21" i="4"/>
  <c r="BD77" i="1" s="1"/>
  <c r="T26" i="1"/>
  <c r="T253" i="1"/>
  <c r="V11" i="1"/>
  <c r="BX161" i="1"/>
  <c r="BY209" i="1" s="1"/>
  <c r="F26" i="1"/>
  <c r="F10" i="1"/>
  <c r="V16" i="1"/>
  <c r="R26" i="1"/>
  <c r="BX120" i="1"/>
  <c r="BX92" i="1" s="1"/>
  <c r="I26" i="1"/>
  <c r="IU19" i="4"/>
  <c r="BO78" i="1" s="1"/>
  <c r="BO107" i="1" s="1"/>
  <c r="JC19" i="4"/>
  <c r="BW78" i="1" s="1"/>
  <c r="BW107" i="1" s="1"/>
  <c r="HV20" i="4"/>
  <c r="AP79" i="1" s="1"/>
  <c r="AP108" i="1" s="1"/>
  <c r="W26" i="1"/>
  <c r="W27" i="1" s="1"/>
  <c r="HY20" i="4"/>
  <c r="AS79" i="1" s="1"/>
  <c r="AS108" i="1" s="1"/>
  <c r="HW19" i="4"/>
  <c r="AQ78" i="1" s="1"/>
  <c r="AQ107" i="1" s="1"/>
  <c r="JD19" i="4"/>
  <c r="BX78" i="1" s="1"/>
  <c r="E26" i="1"/>
  <c r="AK10" i="1"/>
  <c r="N26" i="1"/>
  <c r="O10" i="1"/>
  <c r="JG19" i="4"/>
  <c r="CA78" i="1" s="1"/>
  <c r="BX26" i="1"/>
  <c r="AJ10" i="1"/>
  <c r="AJ16" i="1" s="1"/>
  <c r="AL10" i="1"/>
  <c r="AL16" i="1" s="1"/>
  <c r="AL17" i="1" s="1"/>
  <c r="Q26" i="1"/>
  <c r="U16" i="1"/>
  <c r="U17" i="1" s="1"/>
  <c r="J26" i="1"/>
  <c r="AL26" i="1"/>
  <c r="AL27" i="1" s="1"/>
  <c r="AJ26" i="1"/>
  <c r="AJ27" i="1" s="1"/>
  <c r="L26" i="1"/>
  <c r="M26" i="1"/>
  <c r="G26" i="1"/>
  <c r="AK26" i="1"/>
  <c r="AK27" i="1" s="1"/>
  <c r="BX180" i="1"/>
  <c r="BY180" i="1" s="1"/>
  <c r="P252" i="1"/>
  <c r="B26" i="1"/>
  <c r="BY128" i="1"/>
  <c r="M252" i="1"/>
  <c r="P194" i="1"/>
  <c r="P253" i="1"/>
  <c r="F231" i="1"/>
  <c r="F253" i="1"/>
  <c r="F252" i="1"/>
  <c r="T10" i="1"/>
  <c r="R253" i="1"/>
  <c r="H253" i="1"/>
  <c r="JA19" i="4"/>
  <c r="BU78" i="1" s="1"/>
  <c r="BU107" i="1" s="1"/>
  <c r="IV20" i="4"/>
  <c r="BP79" i="1" s="1"/>
  <c r="BP108" i="1" s="1"/>
  <c r="BY120" i="1"/>
  <c r="W11" i="1"/>
  <c r="U26" i="1"/>
  <c r="W188" i="1"/>
  <c r="C26" i="1"/>
  <c r="D26" i="1"/>
  <c r="O26" i="1"/>
  <c r="H26" i="1"/>
  <c r="V26" i="1"/>
  <c r="V27" i="1" s="1"/>
  <c r="W98" i="1"/>
  <c r="BX148" i="1"/>
  <c r="W16" i="1"/>
  <c r="X11" i="1"/>
  <c r="AJ161" i="1"/>
  <c r="AK209" i="1" s="1"/>
  <c r="AM128" i="1"/>
  <c r="AL161" i="1"/>
  <c r="AM209" i="1" s="1"/>
  <c r="AL134" i="1"/>
  <c r="AM134" i="1" s="1"/>
  <c r="AM138" i="1" s="1"/>
  <c r="AJ128" i="1"/>
  <c r="AL156" i="1"/>
  <c r="AL185" i="1" s="1"/>
  <c r="AJ202" i="1"/>
  <c r="AI196" i="1"/>
  <c r="AI198" i="1" s="1"/>
  <c r="AJ134" i="1"/>
  <c r="AK33" i="1" s="1"/>
  <c r="AJ148" i="1"/>
  <c r="AK128" i="1"/>
  <c r="BK143" i="1"/>
  <c r="AM143" i="1"/>
  <c r="AL148" i="1"/>
  <c r="IG20" i="4"/>
  <c r="BA79" i="1" s="1"/>
  <c r="BA108" i="1" s="1"/>
  <c r="HX20" i="4"/>
  <c r="AR79" i="1" s="1"/>
  <c r="AR108" i="1" s="1"/>
  <c r="HP20" i="4"/>
  <c r="AJ79" i="1" s="1"/>
  <c r="IU20" i="4"/>
  <c r="BO79" i="1" s="1"/>
  <c r="BO108" i="1" s="1"/>
  <c r="JF19" i="4"/>
  <c r="BZ78" i="1" s="1"/>
  <c r="IL20" i="4"/>
  <c r="BF79" i="1" s="1"/>
  <c r="BF108" i="1" s="1"/>
  <c r="HR20" i="4"/>
  <c r="AL79" i="1" s="1"/>
  <c r="IX19" i="4"/>
  <c r="BR78" i="1" s="1"/>
  <c r="BR107" i="1" s="1"/>
  <c r="HS19" i="4"/>
  <c r="AM78" i="1" s="1"/>
  <c r="IB19" i="4"/>
  <c r="AV78" i="1" s="1"/>
  <c r="AV107" i="1" s="1"/>
  <c r="II19" i="4"/>
  <c r="BC78" i="1" s="1"/>
  <c r="BC107" i="1" s="1"/>
  <c r="IH20" i="4"/>
  <c r="BB79" i="1" s="1"/>
  <c r="BB108" i="1" s="1"/>
  <c r="IX20" i="4"/>
  <c r="BR79" i="1" s="1"/>
  <c r="BR108" i="1" s="1"/>
  <c r="IC20" i="4"/>
  <c r="AW79" i="1" s="1"/>
  <c r="AW108" i="1" s="1"/>
  <c r="JI20" i="4"/>
  <c r="CC79" i="1" s="1"/>
  <c r="IJ20" i="4"/>
  <c r="BD79" i="1" s="1"/>
  <c r="BD108" i="1" s="1"/>
  <c r="HV19" i="4"/>
  <c r="AP78" i="1" s="1"/>
  <c r="AP107" i="1" s="1"/>
  <c r="IP20" i="4"/>
  <c r="BJ79" i="1" s="1"/>
  <c r="BJ108" i="1" s="1"/>
  <c r="IP19" i="4"/>
  <c r="BJ78" i="1" s="1"/>
  <c r="BJ107" i="1" s="1"/>
  <c r="IO19" i="4"/>
  <c r="BI78" i="1" s="1"/>
  <c r="BI107" i="1" s="1"/>
  <c r="R16" i="1"/>
  <c r="JB19" i="4"/>
  <c r="BV78" i="1" s="1"/>
  <c r="BV107" i="1" s="1"/>
  <c r="HW20" i="4"/>
  <c r="AQ79" i="1" s="1"/>
  <c r="AQ108" i="1" s="1"/>
  <c r="JD20" i="4"/>
  <c r="BX79" i="1" s="1"/>
  <c r="BX108" i="1" s="1"/>
  <c r="IA20" i="4"/>
  <c r="AU79" i="1" s="1"/>
  <c r="AU108" i="1" s="1"/>
  <c r="IT19" i="4"/>
  <c r="BN78" i="1" s="1"/>
  <c r="BN107" i="1" s="1"/>
  <c r="P98" i="1"/>
  <c r="P16" i="1"/>
  <c r="IB20" i="4"/>
  <c r="AV79" i="1" s="1"/>
  <c r="AV108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C95" i="1"/>
  <c r="CC107" i="1"/>
  <c r="CC103" i="1"/>
  <c r="CC86" i="1"/>
  <c r="CF90" i="1" s="1"/>
  <c r="CB96" i="1"/>
  <c r="CB108" i="1"/>
  <c r="CB111" i="1" s="1"/>
  <c r="CB114" i="1" s="1"/>
  <c r="CB104" i="1"/>
  <c r="CB87" i="1"/>
  <c r="CM194" i="1"/>
  <c r="CM132" i="1"/>
  <c r="CM134" i="1" s="1"/>
  <c r="CM138" i="1" s="1"/>
  <c r="CM203" i="1" s="1"/>
  <c r="CM201" i="1" s="1"/>
  <c r="AC202" i="1"/>
  <c r="AB149" i="1"/>
  <c r="AB117" i="1"/>
  <c r="BJ161" i="1" l="1"/>
  <c r="BK209" i="1" s="1"/>
  <c r="BY12" i="1"/>
  <c r="CB11" i="1"/>
  <c r="CC188" i="1"/>
  <c r="E98" i="1"/>
  <c r="E16" i="1"/>
  <c r="E27" i="1"/>
  <c r="BX27" i="1"/>
  <c r="BJ179" i="1"/>
  <c r="BK179" i="1" s="1"/>
  <c r="C27" i="1"/>
  <c r="CO65" i="1"/>
  <c r="CP63" i="1"/>
  <c r="BJ156" i="1"/>
  <c r="BJ185" i="1" s="1"/>
  <c r="AL184" i="1"/>
  <c r="BJ148" i="1"/>
  <c r="S16" i="1"/>
  <c r="S17" i="1" s="1"/>
  <c r="M11" i="1"/>
  <c r="S11" i="1"/>
  <c r="S188" i="1"/>
  <c r="BX16" i="1"/>
  <c r="CR77" i="1"/>
  <c r="CA225" i="1"/>
  <c r="I16" i="1"/>
  <c r="I98" i="1"/>
  <c r="M16" i="1"/>
  <c r="M98" i="1"/>
  <c r="AM16" i="1"/>
  <c r="E11" i="1"/>
  <c r="E188" i="1"/>
  <c r="D16" i="1"/>
  <c r="Q11" i="1"/>
  <c r="R188" i="1"/>
  <c r="J11" i="1"/>
  <c r="J188" i="1"/>
  <c r="Q188" i="1"/>
  <c r="R11" i="1"/>
  <c r="Q16" i="1"/>
  <c r="Q17" i="1" s="1"/>
  <c r="Q98" i="1"/>
  <c r="J98" i="1"/>
  <c r="AM108" i="1"/>
  <c r="BL108" i="1"/>
  <c r="BL111" i="1" s="1"/>
  <c r="BY107" i="1"/>
  <c r="BY89" i="1"/>
  <c r="BK140" i="1"/>
  <c r="BL202" i="1" s="1"/>
  <c r="BJ120" i="1"/>
  <c r="BJ92" i="1" s="1"/>
  <c r="BK117" i="1"/>
  <c r="BJ128" i="1"/>
  <c r="BK124" i="1"/>
  <c r="BK128" i="1" s="1"/>
  <c r="BJ134" i="1"/>
  <c r="AL92" i="1"/>
  <c r="AJ197" i="1"/>
  <c r="AJ185" i="1"/>
  <c r="AL129" i="1"/>
  <c r="AM104" i="1"/>
  <c r="CA96" i="1"/>
  <c r="CA108" i="1"/>
  <c r="CA107" i="1"/>
  <c r="CA95" i="1"/>
  <c r="P17" i="1"/>
  <c r="JF21" i="4"/>
  <c r="BZ77" i="1" s="1"/>
  <c r="BZ94" i="1" s="1"/>
  <c r="IL14" i="4" s="1"/>
  <c r="IN16" i="4"/>
  <c r="JI21" i="4"/>
  <c r="CC77" i="1" s="1"/>
  <c r="JH7" i="4"/>
  <c r="IL21" i="4"/>
  <c r="BF77" i="1" s="1"/>
  <c r="ID8" i="4"/>
  <c r="IB21" i="4"/>
  <c r="AV77" i="1" s="1"/>
  <c r="IX9" i="4"/>
  <c r="K16" i="1"/>
  <c r="K98" i="1"/>
  <c r="G16" i="1"/>
  <c r="G98" i="1"/>
  <c r="H188" i="1"/>
  <c r="H11" i="1"/>
  <c r="H98" i="1"/>
  <c r="H16" i="1"/>
  <c r="H17" i="1" s="1"/>
  <c r="L11" i="1"/>
  <c r="L188" i="1"/>
  <c r="L98" i="1"/>
  <c r="L16" i="1"/>
  <c r="L17" i="1" s="1"/>
  <c r="BX138" i="1"/>
  <c r="BY33" i="1"/>
  <c r="BY134" i="1"/>
  <c r="BX184" i="1"/>
  <c r="BY183" i="1"/>
  <c r="N16" i="1"/>
  <c r="N17" i="1" s="1"/>
  <c r="N98" i="1"/>
  <c r="O188" i="1"/>
  <c r="B27" i="1"/>
  <c r="P11" i="1"/>
  <c r="D27" i="1"/>
  <c r="AL12" i="1"/>
  <c r="AK16" i="1"/>
  <c r="AK12" i="1"/>
  <c r="BX129" i="1"/>
  <c r="O98" i="1"/>
  <c r="O11" i="1"/>
  <c r="P188" i="1"/>
  <c r="O16" i="1"/>
  <c r="BZ249" i="1"/>
  <c r="BZ251" i="1" s="1"/>
  <c r="BZ206" i="1"/>
  <c r="T98" i="1"/>
  <c r="U11" i="1"/>
  <c r="T188" i="1"/>
  <c r="T16" i="1"/>
  <c r="U188" i="1"/>
  <c r="T11" i="1"/>
  <c r="I11" i="1"/>
  <c r="I188" i="1"/>
  <c r="BY129" i="1"/>
  <c r="BY92" i="1"/>
  <c r="BY207" i="1"/>
  <c r="BZ207" i="1"/>
  <c r="N11" i="1"/>
  <c r="N188" i="1"/>
  <c r="M188" i="1"/>
  <c r="AJ17" i="1"/>
  <c r="AJ28" i="1"/>
  <c r="B16" i="1"/>
  <c r="C18" i="1" s="1"/>
  <c r="C188" i="1"/>
  <c r="C11" i="1"/>
  <c r="AM27" i="1"/>
  <c r="F11" i="1"/>
  <c r="F188" i="1"/>
  <c r="G188" i="1"/>
  <c r="G11" i="1"/>
  <c r="F98" i="1"/>
  <c r="F16" i="1"/>
  <c r="V17" i="1"/>
  <c r="V18" i="1"/>
  <c r="BX182" i="1"/>
  <c r="BX157" i="1"/>
  <c r="W17" i="1"/>
  <c r="X18" i="1"/>
  <c r="D11" i="1"/>
  <c r="K11" i="1"/>
  <c r="AL28" i="1"/>
  <c r="BX95" i="1"/>
  <c r="BY206" i="1"/>
  <c r="K188" i="1"/>
  <c r="W18" i="1"/>
  <c r="AM12" i="1"/>
  <c r="V28" i="1"/>
  <c r="BX168" i="1"/>
  <c r="BX109" i="1" s="1"/>
  <c r="BX248" i="1"/>
  <c r="BY249" i="1"/>
  <c r="W28" i="1"/>
  <c r="AM225" i="1"/>
  <c r="AJ129" i="1"/>
  <c r="D188" i="1"/>
  <c r="CC96" i="1"/>
  <c r="CC104" i="1"/>
  <c r="CC108" i="1"/>
  <c r="CC87" i="1"/>
  <c r="R17" i="1"/>
  <c r="BX96" i="1"/>
  <c r="C17" i="1"/>
  <c r="AK206" i="1"/>
  <c r="AM249" i="1"/>
  <c r="AJ168" i="1"/>
  <c r="AK37" i="1" s="1"/>
  <c r="AJ206" i="1"/>
  <c r="AM33" i="1"/>
  <c r="AL138" i="1"/>
  <c r="AL248" i="1"/>
  <c r="AL206" i="1"/>
  <c r="AM206" i="1"/>
  <c r="AK134" i="1"/>
  <c r="AL168" i="1"/>
  <c r="AJ157" i="1"/>
  <c r="AJ138" i="1"/>
  <c r="AJ165" i="1" s="1"/>
  <c r="AL249" i="1"/>
  <c r="AJ196" i="1"/>
  <c r="AJ182" i="1"/>
  <c r="AL182" i="1"/>
  <c r="AL157" i="1"/>
  <c r="AL108" i="1"/>
  <c r="AM103" i="1"/>
  <c r="AM107" i="1"/>
  <c r="BZ95" i="1"/>
  <c r="BZ89" i="1"/>
  <c r="BZ107" i="1"/>
  <c r="BZ110" i="1" s="1"/>
  <c r="BX89" i="1"/>
  <c r="BX107" i="1"/>
  <c r="CA104" i="1"/>
  <c r="CA103" i="1"/>
  <c r="C28" i="1"/>
  <c r="CN32" i="1"/>
  <c r="AB163" i="1"/>
  <c r="AC117" i="1"/>
  <c r="AC149" i="1"/>
  <c r="CB225" i="1"/>
  <c r="BQ1" i="1"/>
  <c r="BR1" i="1" s="1"/>
  <c r="BS1" i="1" s="1"/>
  <c r="BT1" i="1" s="1"/>
  <c r="BJ184" i="1" l="1"/>
  <c r="BJ248" i="1"/>
  <c r="D17" i="1"/>
  <c r="E18" i="1"/>
  <c r="BX17" i="1"/>
  <c r="CB18" i="1"/>
  <c r="BY19" i="1"/>
  <c r="BX28" i="1"/>
  <c r="Q18" i="1"/>
  <c r="E28" i="1"/>
  <c r="E29" i="1" s="1"/>
  <c r="E17" i="1"/>
  <c r="D28" i="1"/>
  <c r="R18" i="1"/>
  <c r="D18" i="1"/>
  <c r="BJ182" i="1"/>
  <c r="BJ157" i="1"/>
  <c r="S18" i="1"/>
  <c r="AM19" i="1"/>
  <c r="AM28" i="1"/>
  <c r="AM17" i="1"/>
  <c r="I17" i="1"/>
  <c r="J18" i="1"/>
  <c r="M17" i="1"/>
  <c r="AM203" i="1"/>
  <c r="AM201" i="1" s="1"/>
  <c r="AL246" i="1"/>
  <c r="AK138" i="1"/>
  <c r="AL33" i="1"/>
  <c r="AL109" i="1"/>
  <c r="AM37" i="1"/>
  <c r="AJ203" i="1"/>
  <c r="AJ201" i="1" s="1"/>
  <c r="AL181" i="1"/>
  <c r="AL186" i="1"/>
  <c r="CS77" i="1"/>
  <c r="CP65" i="1"/>
  <c r="CQ63" i="1"/>
  <c r="O17" i="1"/>
  <c r="P18" i="1"/>
  <c r="V34" i="1"/>
  <c r="V38" i="1" s="1"/>
  <c r="V112" i="1"/>
  <c r="V232" i="1"/>
  <c r="V233" i="1" s="1"/>
  <c r="V29" i="1"/>
  <c r="B28" i="1"/>
  <c r="B17" i="1"/>
  <c r="BX181" i="1"/>
  <c r="BX186" i="1"/>
  <c r="CB189" i="1" s="1"/>
  <c r="T18" i="1"/>
  <c r="BY37" i="1"/>
  <c r="BX110" i="1"/>
  <c r="BX111" i="1"/>
  <c r="BJ168" i="1"/>
  <c r="BJ109" i="1" s="1"/>
  <c r="BJ129" i="1"/>
  <c r="BK249" i="1"/>
  <c r="BK206" i="1"/>
  <c r="BL249" i="1"/>
  <c r="BL206" i="1"/>
  <c r="BJ138" i="1"/>
  <c r="BJ246" i="1" s="1"/>
  <c r="BK134" i="1"/>
  <c r="BK202" i="1"/>
  <c r="AL96" i="1"/>
  <c r="BJ95" i="1"/>
  <c r="BJ96" i="1"/>
  <c r="AL94" i="1"/>
  <c r="IL19" i="4"/>
  <c r="BF78" i="1" s="1"/>
  <c r="BF107" i="1" s="1"/>
  <c r="IH16" i="4"/>
  <c r="IH21" i="4" s="1"/>
  <c r="BB77" i="1" s="1"/>
  <c r="IF16" i="4" s="1"/>
  <c r="IW16" i="4"/>
  <c r="CC94" i="1"/>
  <c r="CC102" i="1"/>
  <c r="CC85" i="1"/>
  <c r="JH19" i="4"/>
  <c r="CB78" i="1" s="1"/>
  <c r="IC9" i="4"/>
  <c r="ID20" i="4"/>
  <c r="AX79" i="1" s="1"/>
  <c r="AX108" i="1" s="1"/>
  <c r="IY16" i="4"/>
  <c r="L18" i="1"/>
  <c r="K17" i="1"/>
  <c r="K18" i="1"/>
  <c r="H18" i="1"/>
  <c r="G17" i="1"/>
  <c r="BZ33" i="1"/>
  <c r="BY138" i="1"/>
  <c r="AL34" i="1"/>
  <c r="AL38" i="1" s="1"/>
  <c r="AL232" i="1"/>
  <c r="AL233" i="1" s="1"/>
  <c r="AL29" i="1"/>
  <c r="W112" i="1"/>
  <c r="W29" i="1"/>
  <c r="X250" i="1"/>
  <c r="W250" i="1"/>
  <c r="W232" i="1"/>
  <c r="W233" i="1" s="1"/>
  <c r="W34" i="1"/>
  <c r="W38" i="1" s="1"/>
  <c r="X30" i="1"/>
  <c r="W30" i="1"/>
  <c r="BX165" i="1"/>
  <c r="BX166" i="1" s="1"/>
  <c r="BY205" i="1"/>
  <c r="BX246" i="1"/>
  <c r="AL19" i="1"/>
  <c r="AK28" i="1"/>
  <c r="AK17" i="1"/>
  <c r="AK19" i="1"/>
  <c r="BY95" i="1"/>
  <c r="BY96" i="1"/>
  <c r="BZ205" i="1"/>
  <c r="AJ166" i="1"/>
  <c r="O18" i="1"/>
  <c r="AJ29" i="1"/>
  <c r="AJ34" i="1"/>
  <c r="AJ38" i="1" s="1"/>
  <c r="AJ232" i="1"/>
  <c r="AJ233" i="1" s="1"/>
  <c r="F17" i="1"/>
  <c r="F18" i="1"/>
  <c r="G18" i="1"/>
  <c r="U18" i="1"/>
  <c r="T17" i="1"/>
  <c r="I18" i="1"/>
  <c r="M18" i="1"/>
  <c r="N18" i="1"/>
  <c r="AJ198" i="1"/>
  <c r="AL165" i="1"/>
  <c r="AL166" i="1" s="1"/>
  <c r="C29" i="1"/>
  <c r="CN132" i="1"/>
  <c r="CN134" i="1" s="1"/>
  <c r="CO32" i="1" s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T77" i="1" l="1"/>
  <c r="CQ65" i="1"/>
  <c r="CR63" i="1"/>
  <c r="BJ181" i="1"/>
  <c r="BJ186" i="1"/>
  <c r="D29" i="1"/>
  <c r="D34" i="1"/>
  <c r="D38" i="1" s="1"/>
  <c r="D232" i="1"/>
  <c r="D233" i="1" s="1"/>
  <c r="D250" i="1"/>
  <c r="BX29" i="1"/>
  <c r="CB30" i="1"/>
  <c r="CA112" i="1"/>
  <c r="BY31" i="1"/>
  <c r="BY250" i="1"/>
  <c r="BY251" i="1" s="1"/>
  <c r="BX34" i="1"/>
  <c r="BX232" i="1"/>
  <c r="BX233" i="1" s="1"/>
  <c r="E30" i="1"/>
  <c r="D112" i="1"/>
  <c r="D30" i="1"/>
  <c r="AM29" i="1"/>
  <c r="AM34" i="1"/>
  <c r="AM38" i="1" s="1"/>
  <c r="AM250" i="1"/>
  <c r="AM251" i="1" s="1"/>
  <c r="AM31" i="1"/>
  <c r="AM232" i="1"/>
  <c r="AM233" i="1" s="1"/>
  <c r="AL111" i="1"/>
  <c r="AL203" i="1"/>
  <c r="AL201" i="1" s="1"/>
  <c r="AK203" i="1"/>
  <c r="AK201" i="1" s="1"/>
  <c r="C250" i="1"/>
  <c r="C30" i="1"/>
  <c r="V41" i="1"/>
  <c r="V40" i="1"/>
  <c r="B112" i="1"/>
  <c r="B29" i="1"/>
  <c r="BJ111" i="1"/>
  <c r="BJ110" i="1"/>
  <c r="BK138" i="1"/>
  <c r="BL203" i="1" s="1"/>
  <c r="BL201" i="1" s="1"/>
  <c r="BL33" i="1"/>
  <c r="IU9" i="4"/>
  <c r="HY9" i="4" s="1"/>
  <c r="JE16" i="4" s="1"/>
  <c r="IF21" i="4"/>
  <c r="AZ77" i="1" s="1"/>
  <c r="HS16" i="4"/>
  <c r="CB107" i="1"/>
  <c r="CB110" i="1" s="1"/>
  <c r="CB113" i="1" s="1"/>
  <c r="CB95" i="1"/>
  <c r="CB103" i="1"/>
  <c r="CB86" i="1"/>
  <c r="CE90" i="1" s="1"/>
  <c r="BY203" i="1"/>
  <c r="BY201" i="1" s="1"/>
  <c r="BZ203" i="1"/>
  <c r="BZ201" i="1" s="1"/>
  <c r="AL40" i="1"/>
  <c r="AL41" i="1"/>
  <c r="W40" i="1"/>
  <c r="W41" i="1"/>
  <c r="AK34" i="1"/>
  <c r="AK38" i="1" s="1"/>
  <c r="AK29" i="1"/>
  <c r="AL31" i="1"/>
  <c r="AK232" i="1"/>
  <c r="AK233" i="1" s="1"/>
  <c r="AL250" i="1"/>
  <c r="AL251" i="1" s="1"/>
  <c r="AK31" i="1"/>
  <c r="AJ41" i="1"/>
  <c r="AJ40" i="1"/>
  <c r="AM226" i="1"/>
  <c r="AM11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D41" i="1" l="1"/>
  <c r="D40" i="1"/>
  <c r="BX38" i="1"/>
  <c r="CA55" i="1"/>
  <c r="AM40" i="1"/>
  <c r="AM41" i="1"/>
  <c r="W43" i="1"/>
  <c r="V42" i="1"/>
  <c r="V245" i="1" s="1"/>
  <c r="V48" i="1"/>
  <c r="D234" i="1"/>
  <c r="D42" i="1"/>
  <c r="D48" i="1"/>
  <c r="BX40" i="1"/>
  <c r="BX41" i="1"/>
  <c r="HS21" i="4"/>
  <c r="AM77" i="1" s="1"/>
  <c r="AM102" i="1" s="1"/>
  <c r="IU16" i="4"/>
  <c r="AL42" i="1"/>
  <c r="AL245" i="1" s="1"/>
  <c r="AL48" i="1"/>
  <c r="AL234" i="1"/>
  <c r="X43" i="1"/>
  <c r="W42" i="1"/>
  <c r="W245" i="1" s="1"/>
  <c r="W234" i="1"/>
  <c r="W48" i="1"/>
  <c r="W52" i="1" s="1"/>
  <c r="AK40" i="1"/>
  <c r="AK41" i="1"/>
  <c r="AJ234" i="1"/>
  <c r="AJ48" i="1"/>
  <c r="AJ42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27" i="1" l="1"/>
  <c r="AM234" i="1"/>
  <c r="AM44" i="1"/>
  <c r="AM42" i="1"/>
  <c r="AM245" i="1" s="1"/>
  <c r="D193" i="1"/>
  <c r="D195" i="1" s="1"/>
  <c r="D52" i="1"/>
  <c r="CB43" i="1"/>
  <c r="BX234" i="1"/>
  <c r="BX42" i="1"/>
  <c r="BX245" i="1" s="1"/>
  <c r="BX48" i="1"/>
  <c r="BY44" i="1"/>
  <c r="IU21" i="4"/>
  <c r="BO77" i="1" s="1"/>
  <c r="IO9" i="4"/>
  <c r="AL52" i="1"/>
  <c r="AL66" i="1"/>
  <c r="AL193" i="1"/>
  <c r="AL195" i="1" s="1"/>
  <c r="AK44" i="1"/>
  <c r="AK42" i="1"/>
  <c r="AK48" i="1"/>
  <c r="AL44" i="1"/>
  <c r="AK234" i="1"/>
  <c r="AJ66" i="1"/>
  <c r="AJ52" i="1"/>
  <c r="AJ207" i="1"/>
  <c r="AJ205" i="1" s="1"/>
  <c r="AJ193" i="1"/>
  <c r="AJ195" i="1" s="1"/>
  <c r="AJ199" i="1" s="1"/>
  <c r="AJ213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193" i="1" l="1"/>
  <c r="BX195" i="1" s="1"/>
  <c r="BX66" i="1"/>
  <c r="CA69" i="1" s="1"/>
  <c r="BX52" i="1"/>
  <c r="CA54" i="1"/>
  <c r="IO21" i="4"/>
  <c r="BI77" i="1" s="1"/>
  <c r="IQ8" i="4" s="1"/>
  <c r="IA16" i="4"/>
  <c r="AK52" i="1"/>
  <c r="AK66" i="1"/>
  <c r="AK193" i="1"/>
  <c r="AK195" i="1" s="1"/>
  <c r="AK119" i="1"/>
  <c r="AK120" i="1" s="1"/>
  <c r="AJ210" i="1"/>
  <c r="AJ211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E70" i="1" l="1"/>
  <c r="CA87" i="1"/>
  <c r="CA86" i="1"/>
  <c r="CD90" i="1" s="1"/>
  <c r="BW89" i="1"/>
  <c r="IQ20" i="4"/>
  <c r="BK79" i="1" s="1"/>
  <c r="BK108" i="1" s="1"/>
  <c r="HT7" i="4"/>
  <c r="IC16" i="4"/>
  <c r="AL207" i="1"/>
  <c r="AL205" i="1" s="1"/>
  <c r="AK207" i="1"/>
  <c r="AK205" i="1" s="1"/>
  <c r="AK129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T19" i="4" l="1"/>
  <c r="AN78" i="1" s="1"/>
  <c r="AN107" i="1" s="1"/>
  <c r="IV14" i="4"/>
  <c r="IC21" i="4"/>
  <c r="AW77" i="1" s="1"/>
  <c r="JB8" i="4" s="1"/>
  <c r="JG9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V19" i="4" l="1"/>
  <c r="BP78" i="1" s="1"/>
  <c r="BP107" i="1" s="1"/>
  <c r="JH16" i="4"/>
  <c r="JH21" i="4" s="1"/>
  <c r="CB77" i="1" s="1"/>
  <c r="JF15" i="4"/>
  <c r="JB20" i="4"/>
  <c r="BV79" i="1" s="1"/>
  <c r="BV108" i="1" s="1"/>
  <c r="JG21" i="4"/>
  <c r="CA77" i="1" s="1"/>
  <c r="JE9" i="4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G98" i="2"/>
  <c r="K54" i="2"/>
  <c r="W93" i="2"/>
  <c r="T78" i="2"/>
  <c r="X70" i="2"/>
  <c r="D53" i="2"/>
  <c r="T95" i="2"/>
  <c r="F46" i="2"/>
  <c r="I113" i="2"/>
  <c r="K82" i="2"/>
  <c r="W88" i="2"/>
  <c r="E104" i="2"/>
  <c r="S112" i="2"/>
  <c r="S63" i="2"/>
  <c r="H41" i="2"/>
  <c r="N76" i="2"/>
  <c r="X82" i="2"/>
  <c r="Q106" i="2"/>
  <c r="T107" i="2"/>
  <c r="L62" i="2"/>
  <c r="J63" i="2"/>
  <c r="I53" i="2"/>
  <c r="R82" i="2"/>
  <c r="G110" i="2"/>
  <c r="S97" i="2"/>
  <c r="N73" i="2"/>
  <c r="R111" i="2"/>
  <c r="C107" i="2"/>
  <c r="S45" i="2"/>
  <c r="C62" i="2"/>
  <c r="C86" i="2"/>
  <c r="T87" i="2"/>
  <c r="G50" i="2"/>
  <c r="O92" i="2"/>
  <c r="E105" i="2"/>
  <c r="J58" i="2"/>
  <c r="E72" i="2"/>
  <c r="S41" i="2"/>
  <c r="V93" i="2"/>
  <c r="U46" i="2"/>
  <c r="O64" i="2"/>
  <c r="N91" i="2"/>
  <c r="U93" i="2"/>
  <c r="K55" i="2"/>
  <c r="K57" i="2"/>
  <c r="K112" i="2"/>
  <c r="J49" i="2"/>
  <c r="C44" i="2"/>
  <c r="C110" i="2"/>
  <c r="J96" i="2"/>
  <c r="G74" i="2"/>
  <c r="I69" i="2"/>
  <c r="G67" i="2"/>
  <c r="J90" i="2"/>
  <c r="I88" i="2"/>
  <c r="P48" i="2"/>
  <c r="H45" i="2"/>
  <c r="R99" i="2"/>
  <c r="D113" i="2"/>
  <c r="Q51" i="2"/>
  <c r="P88" i="2"/>
  <c r="R109" i="2"/>
  <c r="N88" i="2"/>
  <c r="F113" i="2"/>
  <c r="M53" i="2"/>
  <c r="D108" i="2"/>
  <c r="T42" i="2"/>
  <c r="F95" i="2"/>
  <c r="W60" i="2"/>
  <c r="S89" i="2"/>
  <c r="U96" i="2"/>
  <c r="H70" i="2"/>
  <c r="O106" i="2"/>
  <c r="W40" i="2"/>
  <c r="D105" i="2"/>
  <c r="R85" i="2"/>
  <c r="V110" i="2"/>
  <c r="H87" i="2"/>
  <c r="G112" i="2"/>
  <c r="H50" i="2"/>
  <c r="G53" i="2"/>
  <c r="W54" i="2"/>
  <c r="F48" i="2"/>
  <c r="U83" i="2"/>
  <c r="W61" i="2"/>
  <c r="I99" i="2"/>
  <c r="R84" i="2"/>
  <c r="H98" i="2"/>
  <c r="N108" i="2"/>
  <c r="L56" i="2"/>
  <c r="M73" i="2"/>
  <c r="E83" i="2"/>
  <c r="F112" i="2"/>
  <c r="H92" i="2"/>
  <c r="J111" i="2"/>
  <c r="V47" i="2"/>
  <c r="M107" i="2"/>
  <c r="M95" i="2"/>
  <c r="E88" i="2"/>
  <c r="T60" i="2"/>
  <c r="L99" i="2"/>
  <c r="M109" i="2"/>
  <c r="Q80" i="2"/>
  <c r="N49" i="2"/>
  <c r="E80" i="2"/>
  <c r="S59" i="2"/>
  <c r="X53" i="2"/>
  <c r="T61" i="2"/>
  <c r="T112" i="2"/>
  <c r="R94" i="2"/>
  <c r="O67" i="2"/>
  <c r="F77" i="2"/>
  <c r="V97" i="2"/>
  <c r="H90" i="2"/>
  <c r="K73" i="2"/>
  <c r="J45" i="2"/>
  <c r="P55" i="2"/>
  <c r="J43" i="2"/>
  <c r="S109" i="2"/>
  <c r="N84" i="2"/>
  <c r="V74" i="2"/>
  <c r="D50" i="2"/>
  <c r="I83" i="2"/>
  <c r="I76" i="2"/>
  <c r="C72" i="2"/>
  <c r="I77" i="2"/>
  <c r="Q74" i="2"/>
  <c r="Q77" i="2"/>
  <c r="W87" i="2"/>
  <c r="I107" i="2"/>
  <c r="R87" i="2"/>
  <c r="F49" i="2"/>
  <c r="R63" i="2"/>
  <c r="P62" i="2"/>
  <c r="O90" i="2"/>
  <c r="K109" i="2"/>
  <c r="E89" i="2"/>
  <c r="Q88" i="2"/>
  <c r="C45" i="2"/>
  <c r="G91" i="2"/>
  <c r="S93" i="2"/>
  <c r="T81" i="2"/>
  <c r="J89" i="2"/>
  <c r="N62" i="2"/>
  <c r="R83" i="2"/>
  <c r="K84" i="2"/>
  <c r="N53" i="2"/>
  <c r="H71" i="2"/>
  <c r="J70" i="2"/>
  <c r="O99" i="2"/>
  <c r="X76" i="2"/>
  <c r="G105" i="2"/>
  <c r="M58" i="2"/>
  <c r="O55" i="2"/>
  <c r="J69" i="2"/>
  <c r="U69" i="2"/>
  <c r="L64" i="2"/>
  <c r="D104" i="2"/>
  <c r="K65" i="2"/>
  <c r="H61" i="2"/>
  <c r="C104" i="2"/>
  <c r="G49" i="2"/>
  <c r="F98" i="2"/>
  <c r="P49" i="2"/>
  <c r="V108" i="2"/>
  <c r="I110" i="2"/>
  <c r="U43" i="2"/>
  <c r="N110" i="2"/>
  <c r="D75" i="2"/>
  <c r="I75" i="2"/>
  <c r="L42" i="2"/>
  <c r="X74" i="2"/>
  <c r="N46" i="2"/>
  <c r="P56" i="2"/>
  <c r="J98" i="2"/>
  <c r="U108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M48" i="2"/>
  <c r="E84" i="2"/>
  <c r="T84" i="2"/>
  <c r="E86" i="2"/>
  <c r="W98" i="2"/>
  <c r="I104" i="2"/>
  <c r="N112" i="2"/>
  <c r="V43" i="2"/>
  <c r="Q49" i="2"/>
  <c r="N81" i="2"/>
  <c r="J57" i="2"/>
  <c r="P70" i="2"/>
  <c r="M86" i="2"/>
  <c r="Q70" i="2"/>
  <c r="C69" i="2"/>
  <c r="X99" i="2"/>
  <c r="L77" i="2"/>
  <c r="W105" i="2"/>
  <c r="E85" i="2"/>
  <c r="L74" i="2"/>
  <c r="O72" i="2"/>
  <c r="N66" i="2"/>
  <c r="W111" i="2"/>
  <c r="H72" i="2"/>
  <c r="H79" i="2"/>
  <c r="S88" i="2"/>
  <c r="V69" i="2"/>
  <c r="E108" i="2"/>
  <c r="P82" i="2"/>
  <c r="F44" i="2"/>
  <c r="T106" i="2"/>
  <c r="U61" i="2"/>
  <c r="X55" i="2"/>
  <c r="F54" i="2"/>
  <c r="O53" i="2"/>
  <c r="C54" i="2"/>
  <c r="U112" i="2"/>
  <c r="N99" i="2"/>
  <c r="N42" i="2"/>
  <c r="D82" i="2"/>
  <c r="K71" i="2"/>
  <c r="E74" i="2"/>
  <c r="P86" i="2"/>
  <c r="G87" i="2"/>
  <c r="R43" i="2"/>
  <c r="X111" i="2"/>
  <c r="W76" i="2"/>
  <c r="M63" i="2"/>
  <c r="K46" i="2"/>
  <c r="H63" i="2"/>
  <c r="T52" i="2"/>
  <c r="M56" i="2"/>
  <c r="F45" i="2"/>
  <c r="O70" i="2"/>
  <c r="S42" i="2"/>
  <c r="S58" i="2"/>
  <c r="R59" i="2"/>
  <c r="T70" i="2"/>
  <c r="I58" i="2"/>
  <c r="X11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P50" i="2"/>
  <c r="I98" i="2"/>
  <c r="X83" i="2"/>
  <c r="E62" i="2"/>
  <c r="L93" i="2"/>
  <c r="K52" i="2"/>
  <c r="U75" i="2"/>
  <c r="D45" i="2"/>
  <c r="O78" i="2"/>
  <c r="U53" i="2"/>
  <c r="C49" i="2"/>
  <c r="W77" i="2"/>
  <c r="U81" i="2"/>
  <c r="M99" i="2"/>
  <c r="J94" i="2"/>
  <c r="K95" i="2"/>
  <c r="L44" i="2"/>
  <c r="L69" i="2"/>
  <c r="D79" i="2"/>
  <c r="I56" i="2"/>
  <c r="W48" i="2"/>
  <c r="I108" i="2"/>
  <c r="U74" i="2"/>
  <c r="V107" i="2"/>
  <c r="O41" i="2"/>
  <c r="R95" i="2"/>
  <c r="H112" i="2"/>
  <c r="W73" i="2"/>
  <c r="X108" i="2"/>
  <c r="T65" i="2"/>
  <c r="R55" i="2"/>
  <c r="F42" i="2"/>
  <c r="D72" i="2"/>
  <c r="U56" i="2"/>
  <c r="W68" i="2"/>
  <c r="F72" i="2"/>
  <c r="F109" i="2"/>
  <c r="X113" i="2"/>
  <c r="U55" i="2"/>
  <c r="S84" i="2"/>
  <c r="W107" i="2"/>
  <c r="J91" i="2"/>
  <c r="G95" i="2"/>
  <c r="K72" i="2"/>
  <c r="I86" i="2"/>
  <c r="D74" i="2"/>
  <c r="N52" i="2"/>
  <c r="G68" i="2"/>
  <c r="R113" i="2"/>
  <c r="W67" i="2"/>
  <c r="C82" i="2"/>
  <c r="J40" i="2"/>
  <c r="U77" i="2"/>
  <c r="Q75" i="2"/>
  <c r="O60" i="2"/>
  <c r="L96" i="2"/>
  <c r="M83" i="2"/>
  <c r="H69" i="2"/>
  <c r="X107" i="2"/>
  <c r="X52" i="2"/>
  <c r="D60" i="2"/>
  <c r="U59" i="2"/>
  <c r="D59" i="2"/>
  <c r="O104" i="2"/>
  <c r="S47" i="2"/>
  <c r="X87" i="2"/>
  <c r="Q111" i="2"/>
  <c r="G80" i="2"/>
  <c r="Q86" i="2"/>
  <c r="D40" i="2"/>
  <c r="V68" i="2"/>
  <c r="E97" i="2"/>
  <c r="N71" i="2"/>
  <c r="J88" i="2"/>
  <c r="I93" i="2"/>
  <c r="J60" i="2"/>
  <c r="U70" i="2"/>
  <c r="G78" i="2"/>
  <c r="E48" i="2"/>
  <c r="I40" i="2"/>
  <c r="V45" i="2"/>
  <c r="X109" i="2"/>
  <c r="E78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V67" i="2"/>
  <c r="H60" i="2"/>
  <c r="U91" i="2"/>
  <c r="S94" i="2"/>
  <c r="O74" i="2"/>
  <c r="D62" i="2"/>
  <c r="T43" i="2"/>
  <c r="D63" i="2"/>
  <c r="J80" i="2"/>
  <c r="T90" i="2"/>
  <c r="K44" i="2"/>
  <c r="J82" i="2"/>
  <c r="Q68" i="2"/>
  <c r="F106" i="2"/>
  <c r="W59" i="2"/>
  <c r="V113" i="2"/>
  <c r="D52" i="2"/>
  <c r="R77" i="2"/>
  <c r="L111" i="2"/>
  <c r="W94" i="2"/>
  <c r="T68" i="2"/>
  <c r="Q82" i="2"/>
  <c r="E69" i="2"/>
  <c r="M94" i="2"/>
  <c r="F51" i="2"/>
  <c r="K53" i="2"/>
  <c r="X51" i="2"/>
  <c r="V50" i="2"/>
  <c r="W106" i="2"/>
  <c r="W51" i="2"/>
  <c r="O59" i="2"/>
  <c r="P43" i="2"/>
  <c r="P44" i="2"/>
  <c r="N95" i="2"/>
  <c r="E107" i="2"/>
  <c r="V112" i="2"/>
  <c r="K96" i="2"/>
  <c r="K40" i="2"/>
  <c r="O112" i="2"/>
  <c r="W78" i="2"/>
  <c r="K89" i="2"/>
  <c r="E59" i="2"/>
  <c r="K69" i="2"/>
  <c r="J48" i="2"/>
  <c r="O79" i="2"/>
  <c r="T91" i="2"/>
  <c r="D73" i="2"/>
  <c r="H80" i="2"/>
  <c r="D67" i="2"/>
  <c r="I51" i="2"/>
  <c r="R107" i="2"/>
  <c r="L106" i="2"/>
  <c r="D106" i="2"/>
  <c r="M64" i="2"/>
  <c r="F59" i="2"/>
  <c r="P74" i="2"/>
  <c r="D94" i="2"/>
  <c r="G64" i="2"/>
  <c r="G55" i="2"/>
  <c r="H77" i="2"/>
  <c r="W52" i="2"/>
  <c r="P92" i="2"/>
  <c r="R50" i="2"/>
  <c r="C108" i="2"/>
  <c r="V83" i="2"/>
  <c r="M42" i="2"/>
  <c r="R60" i="2"/>
  <c r="C63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U57" i="2"/>
  <c r="L84" i="2"/>
  <c r="L95" i="2"/>
  <c r="E52" i="2"/>
  <c r="K49" i="2"/>
  <c r="F99" i="2"/>
  <c r="V65" i="2"/>
  <c r="F41" i="2"/>
  <c r="Q67" i="2"/>
  <c r="C71" i="2"/>
  <c r="S53" i="2"/>
  <c r="W75" i="2"/>
  <c r="R61" i="2"/>
  <c r="I66" i="2"/>
  <c r="S108" i="2"/>
  <c r="K99" i="2"/>
  <c r="W56" i="2"/>
  <c r="L110" i="2"/>
  <c r="M69" i="2"/>
  <c r="W109" i="2"/>
  <c r="F68" i="2"/>
  <c r="U111" i="2"/>
  <c r="Q81" i="2"/>
  <c r="R49" i="2"/>
  <c r="R89" i="2"/>
  <c r="D96" i="2"/>
  <c r="I97" i="2"/>
  <c r="X42" i="2"/>
  <c r="O63" i="2"/>
  <c r="V84" i="2"/>
  <c r="O110" i="2"/>
  <c r="N43" i="2"/>
  <c r="I46" i="2"/>
  <c r="W41" i="2"/>
  <c r="J87" i="2"/>
  <c r="J64" i="2"/>
  <c r="M43" i="2"/>
  <c r="I42" i="2"/>
  <c r="D77" i="2"/>
  <c r="F79" i="2"/>
  <c r="C93" i="2"/>
  <c r="J86" i="2"/>
  <c r="T71" i="2"/>
  <c r="S113" i="2"/>
  <c r="S83" i="2"/>
  <c r="O97" i="2"/>
  <c r="P58" i="2"/>
  <c r="P60" i="2"/>
  <c r="Q60" i="2"/>
  <c r="S56" i="2"/>
  <c r="U86" i="2"/>
  <c r="E73" i="2"/>
  <c r="V44" i="2"/>
  <c r="G42" i="2"/>
  <c r="F66" i="2"/>
  <c r="T49" i="2"/>
  <c r="T58" i="2"/>
  <c r="N67" i="2"/>
  <c r="J95" i="2"/>
  <c r="R40" i="2"/>
  <c r="N55" i="2"/>
  <c r="H76" i="2"/>
  <c r="C95" i="2"/>
  <c r="N57" i="2"/>
  <c r="F82" i="2"/>
  <c r="E96" i="2"/>
  <c r="L78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M71" i="2"/>
  <c r="J61" i="2"/>
  <c r="U72" i="2"/>
  <c r="F105" i="2"/>
  <c r="K76" i="2"/>
  <c r="X50" i="2"/>
  <c r="G96" i="2"/>
  <c r="S86" i="2"/>
  <c r="C96" i="2"/>
  <c r="L55" i="2"/>
  <c r="L51" i="2"/>
  <c r="P87" i="2"/>
  <c r="S79" i="2"/>
  <c r="W83" i="2"/>
  <c r="Q95" i="2"/>
  <c r="T94" i="2"/>
  <c r="C47" i="2"/>
  <c r="K105" i="2"/>
  <c r="L94" i="2"/>
  <c r="V90" i="2"/>
  <c r="N80" i="2"/>
  <c r="M89" i="2"/>
  <c r="D86" i="2"/>
  <c r="W55" i="2"/>
  <c r="V94" i="2"/>
  <c r="O86" i="2"/>
  <c r="M98" i="2"/>
  <c r="W80" i="2"/>
  <c r="Q79" i="2"/>
  <c r="M112" i="2"/>
  <c r="S72" i="2"/>
  <c r="T41" i="2"/>
  <c r="V63" i="2"/>
  <c r="G88" i="2"/>
  <c r="I43" i="2"/>
  <c r="F107" i="2"/>
  <c r="R72" i="2"/>
  <c r="X56" i="2"/>
  <c r="K92" i="2"/>
  <c r="C52" i="2"/>
  <c r="Q61" i="2"/>
  <c r="M75" i="2"/>
  <c r="Q42" i="2"/>
  <c r="H42" i="2"/>
  <c r="S52" i="2"/>
  <c r="C97" i="2"/>
  <c r="V53" i="2"/>
  <c r="W45" i="2"/>
  <c r="T86" i="2"/>
  <c r="F85" i="2"/>
  <c r="G85" i="2"/>
  <c r="H57" i="2"/>
  <c r="P57" i="2"/>
  <c r="N54" i="2"/>
  <c r="R68" i="2"/>
  <c r="G86" i="2"/>
  <c r="D41" i="2"/>
  <c r="C51" i="2"/>
  <c r="U85" i="2"/>
  <c r="N70" i="2"/>
  <c r="R97" i="2"/>
  <c r="X54" i="2"/>
  <c r="S95" i="2"/>
  <c r="W112" i="2"/>
  <c r="L105" i="2"/>
  <c r="X84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45" i="2"/>
  <c r="E46" i="2"/>
  <c r="T88" i="2"/>
  <c r="K94" i="2"/>
  <c r="P63" i="2"/>
  <c r="M57" i="2"/>
  <c r="C58" i="2"/>
  <c r="T50" i="2"/>
  <c r="H84" i="2"/>
  <c r="U92" i="2"/>
  <c r="R81" i="2"/>
  <c r="F52" i="2"/>
  <c r="F111" i="2"/>
  <c r="O105" i="2"/>
  <c r="P41" i="2"/>
  <c r="T80" i="2"/>
  <c r="U62" i="2"/>
  <c r="H44" i="2"/>
  <c r="N90" i="2"/>
  <c r="W42" i="2"/>
  <c r="V111" i="2"/>
  <c r="I47" i="2"/>
  <c r="J79" i="2"/>
  <c r="E55" i="2"/>
  <c r="O46" i="2"/>
  <c r="W89" i="2"/>
  <c r="M41" i="2"/>
  <c r="H89" i="2"/>
  <c r="X67" i="2"/>
  <c r="J74" i="2"/>
  <c r="E54" i="2"/>
  <c r="U95" i="2"/>
  <c r="U60" i="2"/>
  <c r="O44" i="2"/>
  <c r="V41" i="2"/>
  <c r="L104" i="2"/>
  <c r="H62" i="2"/>
  <c r="O93" i="2"/>
  <c r="T89" i="2"/>
  <c r="Q107" i="2"/>
  <c r="M70" i="2"/>
  <c r="X61" i="2"/>
  <c r="I55" i="2"/>
  <c r="N79" i="2"/>
  <c r="O111" i="2"/>
  <c r="X91" i="2"/>
  <c r="V46" i="2"/>
  <c r="H106" i="2"/>
  <c r="E113" i="2"/>
  <c r="C80" i="2"/>
  <c r="V91" i="2"/>
  <c r="D56" i="2"/>
  <c r="P52" i="2"/>
  <c r="K41" i="2"/>
  <c r="T108" i="2"/>
  <c r="S106" i="2"/>
  <c r="W108" i="2"/>
  <c r="O68" i="2"/>
  <c r="D85" i="2"/>
  <c r="G47" i="2"/>
  <c r="M82" i="2"/>
  <c r="O98" i="2"/>
  <c r="F71" i="2"/>
  <c r="C53" i="2"/>
  <c r="J47" i="2"/>
  <c r="T66" i="2"/>
  <c r="T40" i="2"/>
  <c r="M113" i="2"/>
  <c r="N72" i="2"/>
  <c r="S92" i="2"/>
  <c r="O87" i="2"/>
  <c r="T75" i="2"/>
  <c r="P99" i="2"/>
  <c r="R74" i="2"/>
  <c r="S68" i="2"/>
  <c r="J99" i="2"/>
  <c r="X69" i="2"/>
  <c r="R112" i="2"/>
  <c r="V76" i="2"/>
  <c r="Q94" i="2"/>
  <c r="L57" i="2"/>
  <c r="U109" i="2"/>
  <c r="Q41" i="2"/>
  <c r="L79" i="2"/>
  <c r="L60" i="2"/>
  <c r="H96" i="2"/>
  <c r="J42" i="2"/>
  <c r="F61" i="2"/>
  <c r="N83" i="2"/>
  <c r="E93" i="2"/>
  <c r="J97" i="2"/>
  <c r="P89" i="2"/>
  <c r="M84" i="2"/>
  <c r="W53" i="2"/>
  <c r="S75" i="2"/>
  <c r="T56" i="2"/>
  <c r="G56" i="2"/>
  <c r="E40" i="2"/>
  <c r="V109" i="2"/>
  <c r="S110" i="2"/>
  <c r="I81" i="2"/>
  <c r="Q72" i="2"/>
  <c r="V59" i="2"/>
  <c r="W64" i="2"/>
  <c r="Q50" i="2"/>
  <c r="U110" i="2"/>
  <c r="X86" i="2"/>
  <c r="G94" i="2"/>
  <c r="T74" i="2"/>
  <c r="K83" i="2"/>
  <c r="T57" i="2"/>
  <c r="G70" i="2"/>
  <c r="U107" i="2"/>
  <c r="C79" i="2"/>
  <c r="G69" i="2"/>
  <c r="F81" i="2"/>
  <c r="H59" i="2"/>
  <c r="M108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S69" i="2"/>
  <c r="M93" i="2"/>
  <c r="X73" i="2"/>
  <c r="M110" i="2"/>
  <c r="J50" i="2"/>
  <c r="O54" i="2"/>
  <c r="J65" i="2"/>
  <c r="Q66" i="2"/>
  <c r="D57" i="2"/>
  <c r="R62" i="2"/>
  <c r="E60" i="2"/>
  <c r="Q76" i="2"/>
  <c r="H95" i="2"/>
  <c r="L41" i="2"/>
  <c r="C89" i="2"/>
  <c r="E67" i="2"/>
  <c r="U78" i="2"/>
  <c r="D76" i="2"/>
  <c r="E99" i="2"/>
  <c r="T48" i="2"/>
  <c r="R98" i="2"/>
  <c r="K98" i="2"/>
  <c r="K67" i="2"/>
  <c r="X96" i="2"/>
  <c r="X89" i="2"/>
  <c r="F43" i="2"/>
  <c r="E56" i="2"/>
  <c r="J77" i="2"/>
  <c r="O88" i="2"/>
  <c r="C66" i="2"/>
  <c r="I44" i="2"/>
  <c r="X81" i="2"/>
  <c r="X85" i="2"/>
  <c r="N47" i="2"/>
  <c r="AP86" i="3"/>
  <c r="AB75" i="3"/>
  <c r="AP72" i="3"/>
  <c r="AI6" i="3"/>
  <c r="P39" i="3"/>
  <c r="T25" i="3"/>
  <c r="AB19" i="3"/>
  <c r="AJ25" i="3"/>
  <c r="G42" i="3"/>
  <c r="AA12" i="3"/>
  <c r="AE25" i="3"/>
  <c r="X28" i="3"/>
  <c r="AG37" i="3"/>
  <c r="AE39" i="3"/>
  <c r="M36" i="3"/>
  <c r="AN20" i="3"/>
  <c r="AH14" i="3"/>
  <c r="C32" i="3"/>
  <c r="V18" i="3"/>
  <c r="AI10" i="3"/>
  <c r="AH11" i="3"/>
  <c r="AN23" i="3"/>
  <c r="AP26" i="3"/>
  <c r="L30" i="3"/>
  <c r="T22" i="3"/>
  <c r="I41" i="3"/>
  <c r="V25" i="3"/>
  <c r="M7" i="3"/>
  <c r="O6" i="3"/>
  <c r="AN17" i="3"/>
  <c r="L26" i="3"/>
  <c r="X5" i="3"/>
  <c r="H25" i="3"/>
  <c r="AP31" i="3"/>
  <c r="AO10" i="3"/>
  <c r="Z37" i="3"/>
  <c r="AQ33" i="3"/>
  <c r="I14" i="3"/>
  <c r="AM30" i="3"/>
  <c r="AE6" i="3"/>
  <c r="AD48" i="3"/>
  <c r="Y7" i="3"/>
  <c r="V11" i="3"/>
  <c r="AA10" i="3"/>
  <c r="AE29" i="3"/>
  <c r="AG34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K8" i="3"/>
  <c r="AO5" i="3"/>
  <c r="T31" i="3"/>
  <c r="X20" i="3"/>
  <c r="L41" i="3"/>
  <c r="AK15" i="3"/>
  <c r="AO26" i="3"/>
  <c r="K16" i="3"/>
  <c r="V23" i="3"/>
  <c r="K70" i="2"/>
  <c r="J68" i="2"/>
  <c r="V56" i="2"/>
  <c r="I87" i="2"/>
  <c r="H108" i="2"/>
  <c r="X97" i="2"/>
  <c r="E87" i="2"/>
  <c r="K58" i="2"/>
  <c r="Q47" i="2"/>
  <c r="O47" i="2"/>
  <c r="L83" i="2"/>
  <c r="AB72" i="3"/>
  <c r="AB63" i="3"/>
  <c r="AP89" i="3"/>
  <c r="AN8" i="3"/>
  <c r="AJ17" i="3"/>
  <c r="AD50" i="3"/>
  <c r="P10" i="3"/>
  <c r="O28" i="3"/>
  <c r="J12" i="3"/>
  <c r="AM25" i="3"/>
  <c r="AP13" i="3"/>
  <c r="AM11" i="3"/>
  <c r="W34" i="3"/>
  <c r="AB34" i="3"/>
  <c r="P13" i="3"/>
  <c r="AA36" i="3"/>
  <c r="G35" i="3"/>
  <c r="AL9" i="3"/>
  <c r="M25" i="3"/>
  <c r="P20" i="3"/>
  <c r="AK30" i="3"/>
  <c r="Y28" i="3"/>
  <c r="AQ32" i="3"/>
  <c r="T28" i="3"/>
  <c r="Q38" i="3"/>
  <c r="AC8" i="3"/>
  <c r="AC6" i="3"/>
  <c r="AJ20" i="3"/>
  <c r="N36" i="3"/>
  <c r="N32" i="3"/>
  <c r="U22" i="3"/>
  <c r="L22" i="3"/>
  <c r="AO31" i="3"/>
  <c r="AL42" i="3"/>
  <c r="AA32" i="3"/>
  <c r="I35" i="3"/>
  <c r="AH29" i="3"/>
  <c r="AQ37" i="3"/>
  <c r="AB33" i="3"/>
  <c r="M30" i="3"/>
  <c r="N29" i="3"/>
  <c r="R38" i="3"/>
  <c r="AD19" i="3"/>
  <c r="AK10" i="3"/>
  <c r="AL7" i="3"/>
  <c r="R33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AL11" i="3"/>
  <c r="P11" i="3"/>
  <c r="AC26" i="3"/>
  <c r="W66" i="2"/>
  <c r="D46" i="2"/>
  <c r="K81" i="2"/>
  <c r="C77" i="2"/>
  <c r="T96" i="2"/>
  <c r="X104" i="2"/>
  <c r="L61" i="2"/>
  <c r="F62" i="2"/>
  <c r="W96" i="2"/>
  <c r="O108" i="2"/>
  <c r="C87" i="2"/>
  <c r="AP48" i="3"/>
  <c r="AP47" i="3"/>
  <c r="AB66" i="3"/>
  <c r="H17" i="3"/>
  <c r="N26" i="3"/>
  <c r="O29" i="3"/>
  <c r="AN31" i="3"/>
  <c r="G41" i="3"/>
  <c r="H14" i="3"/>
  <c r="S32" i="3"/>
  <c r="L33" i="3"/>
  <c r="AI30" i="3"/>
  <c r="N5" i="3"/>
  <c r="AP23" i="3"/>
  <c r="AM14" i="3"/>
  <c r="L5" i="3"/>
  <c r="AN35" i="3"/>
  <c r="O35" i="3"/>
  <c r="Q26" i="3"/>
  <c r="C19" i="3"/>
  <c r="J18" i="3"/>
  <c r="AO24" i="3"/>
  <c r="W7" i="3"/>
  <c r="AN34" i="3"/>
  <c r="P18" i="3"/>
  <c r="AK9" i="3"/>
  <c r="AO34" i="3"/>
  <c r="AC25" i="3"/>
  <c r="Y31" i="3"/>
  <c r="AJ5" i="3"/>
  <c r="R14" i="3"/>
  <c r="AB24" i="3"/>
  <c r="AG30" i="3"/>
  <c r="O19" i="3"/>
  <c r="AM20" i="3"/>
  <c r="W11" i="3"/>
  <c r="Y24" i="3"/>
  <c r="I42" i="3"/>
  <c r="AP22" i="3"/>
  <c r="W27" i="3"/>
  <c r="X29" i="3"/>
  <c r="AK13" i="3"/>
  <c r="AE38" i="3"/>
  <c r="X22" i="3"/>
  <c r="H10" i="3"/>
  <c r="AH34" i="3"/>
  <c r="U23" i="3"/>
  <c r="AP39" i="3"/>
  <c r="J9" i="3"/>
  <c r="AB36" i="3"/>
  <c r="Z13" i="3"/>
  <c r="Q6" i="3"/>
  <c r="T7" i="3"/>
  <c r="AK42" i="3"/>
  <c r="U18" i="3"/>
  <c r="C29" i="3"/>
  <c r="O14" i="3"/>
  <c r="U63" i="2"/>
  <c r="R80" i="2"/>
  <c r="M81" i="2"/>
  <c r="V81" i="2"/>
  <c r="D43" i="2"/>
  <c r="P110" i="2"/>
  <c r="Q44" i="2"/>
  <c r="H97" i="2"/>
  <c r="N61" i="2"/>
  <c r="F97" i="2"/>
  <c r="AB61" i="3"/>
  <c r="AP88" i="3"/>
  <c r="AP62" i="3"/>
  <c r="AP64" i="3"/>
  <c r="AP12" i="3"/>
  <c r="M17" i="3"/>
  <c r="S16" i="3"/>
  <c r="AO15" i="3"/>
  <c r="H28" i="3"/>
  <c r="E47" i="3"/>
  <c r="V31" i="3"/>
  <c r="Y13" i="3"/>
  <c r="I8" i="3"/>
  <c r="T34" i="3"/>
  <c r="R15" i="3"/>
  <c r="Y18" i="3"/>
  <c r="X15" i="3"/>
  <c r="C12" i="3"/>
  <c r="N10" i="3"/>
  <c r="AQ36" i="3"/>
  <c r="E71" i="2"/>
  <c r="J73" i="2"/>
  <c r="U89" i="2"/>
  <c r="U106" i="2"/>
  <c r="M68" i="2"/>
  <c r="H88" i="2"/>
  <c r="K77" i="2"/>
  <c r="K106" i="2"/>
  <c r="P45" i="2"/>
  <c r="D42" i="2"/>
  <c r="AB68" i="3"/>
  <c r="AP90" i="3"/>
  <c r="AB87" i="3"/>
  <c r="AB76" i="3"/>
  <c r="AL33" i="3"/>
  <c r="O23" i="3"/>
  <c r="AQ29" i="3"/>
  <c r="AD24" i="3"/>
  <c r="K38" i="3"/>
  <c r="P41" i="3"/>
  <c r="G37" i="3"/>
  <c r="AP36" i="3"/>
  <c r="V12" i="3"/>
  <c r="H11" i="3"/>
  <c r="Y39" i="3"/>
  <c r="AH22" i="3"/>
  <c r="AC42" i="3"/>
  <c r="C22" i="3"/>
  <c r="G40" i="3"/>
  <c r="AN27" i="3"/>
  <c r="AB11" i="3"/>
  <c r="AJ23" i="3"/>
  <c r="AL22" i="3"/>
  <c r="AJ14" i="3"/>
  <c r="J7" i="3"/>
  <c r="M26" i="3"/>
  <c r="AO32" i="3"/>
  <c r="C34" i="3"/>
  <c r="C42" i="3"/>
  <c r="AQ23" i="3"/>
  <c r="AE8" i="3"/>
  <c r="AG23" i="3"/>
  <c r="V27" i="3"/>
  <c r="AH10" i="3"/>
  <c r="W36" i="3"/>
  <c r="AB26" i="3"/>
  <c r="H37" i="3"/>
  <c r="AB13" i="3"/>
  <c r="D50" i="3"/>
  <c r="AO23" i="3"/>
  <c r="AH41" i="3"/>
  <c r="K18" i="3"/>
  <c r="L58" i="2"/>
  <c r="I112" i="2"/>
  <c r="H52" i="2"/>
  <c r="C75" i="2"/>
  <c r="T93" i="2"/>
  <c r="X80" i="2"/>
  <c r="G79" i="2"/>
  <c r="H109" i="2"/>
  <c r="E77" i="2"/>
  <c r="M59" i="2"/>
  <c r="AB60" i="3"/>
  <c r="AB90" i="3"/>
  <c r="AB82" i="3"/>
  <c r="AP60" i="3"/>
  <c r="M35" i="3"/>
  <c r="AO33" i="3"/>
  <c r="R24" i="3"/>
  <c r="AC39" i="3"/>
  <c r="AP41" i="3"/>
  <c r="R35" i="3"/>
  <c r="N39" i="3"/>
  <c r="K36" i="3"/>
  <c r="AA30" i="3"/>
  <c r="AM8" i="3"/>
  <c r="AK17" i="3"/>
  <c r="Y25" i="3"/>
  <c r="AN32" i="3"/>
  <c r="AC37" i="3"/>
  <c r="AH37" i="3"/>
  <c r="O8" i="3"/>
  <c r="P27" i="3"/>
  <c r="V33" i="3"/>
  <c r="Y38" i="3"/>
  <c r="R6" i="3"/>
  <c r="AB10" i="3"/>
  <c r="Z9" i="3"/>
  <c r="Z24" i="3"/>
  <c r="AO11" i="3"/>
  <c r="C33" i="3"/>
  <c r="AJ8" i="3"/>
  <c r="K19" i="3"/>
  <c r="AI23" i="3"/>
  <c r="AK41" i="3"/>
  <c r="AC17" i="3"/>
  <c r="O7" i="3"/>
  <c r="AI32" i="3"/>
  <c r="AN24" i="3"/>
  <c r="O30" i="3"/>
  <c r="X13" i="3"/>
  <c r="W10" i="3"/>
  <c r="G39" i="3"/>
  <c r="N30" i="3"/>
  <c r="AC5" i="3"/>
  <c r="P19" i="3"/>
  <c r="M38" i="3"/>
  <c r="R10" i="3"/>
  <c r="AM29" i="3"/>
  <c r="Z23" i="3"/>
  <c r="AB27" i="3"/>
  <c r="Y33" i="3"/>
  <c r="AD30" i="3"/>
  <c r="J20" i="3"/>
  <c r="H23" i="3"/>
  <c r="AN38" i="3"/>
  <c r="AL29" i="3"/>
  <c r="L42" i="3"/>
  <c r="AD36" i="3"/>
  <c r="X95" i="2"/>
  <c r="U90" i="2"/>
  <c r="O65" i="2"/>
  <c r="C90" i="2"/>
  <c r="K85" i="2"/>
  <c r="W104" i="2"/>
  <c r="N44" i="2"/>
  <c r="H93" i="2"/>
  <c r="J81" i="2"/>
  <c r="F69" i="2"/>
  <c r="AB89" i="3"/>
  <c r="AP78" i="3"/>
  <c r="AP95" i="3"/>
  <c r="AB85" i="3"/>
  <c r="AI12" i="3"/>
  <c r="AP25" i="3"/>
  <c r="X31" i="3"/>
  <c r="I23" i="3"/>
  <c r="AI41" i="3"/>
  <c r="AP19" i="3"/>
  <c r="I16" i="3"/>
  <c r="Q33" i="3"/>
  <c r="AP37" i="3"/>
  <c r="L8" i="3"/>
  <c r="X10" i="3"/>
  <c r="Z12" i="3"/>
  <c r="AE7" i="3"/>
  <c r="AK27" i="3"/>
  <c r="H40" i="3"/>
  <c r="AA40" i="3"/>
  <c r="K23" i="3"/>
  <c r="N35" i="3"/>
  <c r="AI38" i="3"/>
  <c r="AB21" i="3"/>
  <c r="AM13" i="3"/>
  <c r="O20" i="3"/>
  <c r="X38" i="3"/>
  <c r="M31" i="3"/>
  <c r="L28" i="3"/>
  <c r="U28" i="3"/>
  <c r="G50" i="3"/>
  <c r="AG32" i="3"/>
  <c r="I29" i="3"/>
  <c r="AB6" i="3"/>
  <c r="AQ21" i="3"/>
  <c r="AB29" i="3"/>
  <c r="AA5" i="3"/>
  <c r="V7" i="3"/>
  <c r="AA41" i="3"/>
  <c r="I34" i="3"/>
  <c r="I18" i="3"/>
  <c r="T12" i="3"/>
  <c r="S23" i="3"/>
  <c r="AA23" i="3"/>
  <c r="N42" i="3"/>
  <c r="AH32" i="3"/>
  <c r="O26" i="3"/>
  <c r="AJ12" i="3"/>
  <c r="C6" i="3"/>
  <c r="H15" i="3"/>
  <c r="G49" i="3"/>
  <c r="AM23" i="3"/>
  <c r="K66" i="2"/>
  <c r="K48" i="2"/>
  <c r="X105" i="2"/>
  <c r="H47" i="2"/>
  <c r="C78" i="2"/>
  <c r="S111" i="2"/>
  <c r="W79" i="2"/>
  <c r="N98" i="2"/>
  <c r="D107" i="2"/>
  <c r="M47" i="2"/>
  <c r="AB88" i="3"/>
  <c r="AB79" i="3"/>
  <c r="AP74" i="3"/>
  <c r="T23" i="3"/>
  <c r="Z19" i="3"/>
  <c r="J16" i="3"/>
  <c r="AL27" i="3"/>
  <c r="H5" i="3"/>
  <c r="X27" i="3"/>
  <c r="AI11" i="3"/>
  <c r="W18" i="3"/>
  <c r="Q35" i="3"/>
  <c r="W19" i="3"/>
  <c r="AC22" i="3"/>
  <c r="R32" i="3"/>
  <c r="AA17" i="3"/>
  <c r="M32" i="3"/>
  <c r="Z28" i="3"/>
  <c r="O42" i="3"/>
  <c r="AB18" i="3"/>
  <c r="T30" i="3"/>
  <c r="AH7" i="3"/>
  <c r="AE19" i="3"/>
  <c r="AG26" i="3"/>
  <c r="Q19" i="3"/>
  <c r="AC19" i="3"/>
  <c r="O9" i="3"/>
  <c r="H42" i="3"/>
  <c r="J15" i="3"/>
  <c r="W16" i="3"/>
  <c r="AH35" i="3"/>
  <c r="T26" i="3"/>
  <c r="C24" i="3"/>
  <c r="AG6" i="3"/>
  <c r="AJ34" i="3"/>
  <c r="U33" i="3"/>
  <c r="T14" i="3"/>
  <c r="W9" i="3"/>
  <c r="Q9" i="3"/>
  <c r="AP17" i="3"/>
  <c r="L39" i="3"/>
  <c r="AG36" i="3"/>
  <c r="AI27" i="3"/>
  <c r="AE41" i="3"/>
  <c r="X21" i="3"/>
  <c r="L27" i="3"/>
  <c r="AE28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E111" i="2"/>
  <c r="E68" i="2"/>
  <c r="G63" i="2"/>
  <c r="M74" i="2"/>
  <c r="W86" i="2"/>
  <c r="R65" i="2"/>
  <c r="N63" i="2"/>
  <c r="S54" i="2"/>
  <c r="S64" i="2"/>
  <c r="L97" i="2"/>
  <c r="AB57" i="3"/>
  <c r="AP61" i="3"/>
  <c r="AP80" i="3"/>
  <c r="H34" i="3"/>
  <c r="V16" i="3"/>
  <c r="X30" i="3"/>
  <c r="AG42" i="3"/>
  <c r="Z8" i="3"/>
  <c r="AA34" i="3"/>
  <c r="N40" i="3"/>
  <c r="T32" i="3"/>
  <c r="AE14" i="3"/>
  <c r="AH15" i="3"/>
  <c r="S42" i="3"/>
  <c r="W12" i="3"/>
  <c r="AI9" i="3"/>
  <c r="V9" i="3"/>
  <c r="C41" i="3"/>
  <c r="M22" i="3"/>
  <c r="AP16" i="3"/>
  <c r="Q29" i="3"/>
  <c r="N20" i="3"/>
  <c r="W24" i="3"/>
  <c r="J27" i="3"/>
  <c r="AN6" i="3"/>
  <c r="AP28" i="3"/>
  <c r="I25" i="3"/>
  <c r="S30" i="3"/>
  <c r="C60" i="2"/>
  <c r="D71" i="2"/>
  <c r="L80" i="2"/>
  <c r="P93" i="2"/>
  <c r="R45" i="2"/>
  <c r="X78" i="2"/>
  <c r="L46" i="2"/>
  <c r="I79" i="2"/>
  <c r="O109" i="2"/>
  <c r="U51" i="2"/>
  <c r="AP93" i="3"/>
  <c r="AB94" i="3"/>
  <c r="C49" i="3"/>
  <c r="AM33" i="3"/>
  <c r="O39" i="3"/>
  <c r="W28" i="3"/>
  <c r="U30" i="3"/>
  <c r="AI24" i="3"/>
  <c r="AB41" i="3"/>
  <c r="L11" i="3"/>
  <c r="P30" i="3"/>
  <c r="AJ33" i="3"/>
  <c r="AQ8" i="3"/>
  <c r="U41" i="3"/>
  <c r="M23" i="3"/>
  <c r="K35" i="3"/>
  <c r="J25" i="3"/>
  <c r="X16" i="3"/>
  <c r="AE11" i="3"/>
  <c r="AO14" i="3"/>
  <c r="V29" i="3"/>
  <c r="AA6" i="3"/>
  <c r="T41" i="3"/>
  <c r="AP14" i="3"/>
  <c r="AL10" i="3"/>
  <c r="L14" i="3"/>
  <c r="AI34" i="3"/>
  <c r="AB12" i="3"/>
  <c r="Q5" i="3"/>
  <c r="AP15" i="3"/>
  <c r="AQ12" i="3"/>
  <c r="C8" i="3"/>
  <c r="AO25" i="3"/>
  <c r="C9" i="3"/>
  <c r="Z31" i="3"/>
  <c r="L18" i="3"/>
  <c r="Q22" i="3"/>
  <c r="AQ22" i="3"/>
  <c r="AE5" i="3"/>
  <c r="AO29" i="3"/>
  <c r="S41" i="3"/>
  <c r="AI42" i="3"/>
  <c r="Z26" i="3"/>
  <c r="Y36" i="3"/>
  <c r="N28" i="3"/>
  <c r="P40" i="3"/>
  <c r="R9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H56" i="2"/>
  <c r="L98" i="2"/>
  <c r="M72" i="2"/>
  <c r="C83" i="2"/>
  <c r="I105" i="2"/>
  <c r="T62" i="2"/>
  <c r="Q73" i="2"/>
  <c r="K64" i="2"/>
  <c r="N92" i="2"/>
  <c r="V79" i="2"/>
  <c r="C48" i="3"/>
  <c r="AP57" i="3"/>
  <c r="AP50" i="3"/>
  <c r="C21" i="3"/>
  <c r="C23" i="3"/>
  <c r="I38" i="3"/>
  <c r="O21" i="3"/>
  <c r="S12" i="3"/>
  <c r="Q27" i="3"/>
  <c r="AH17" i="3"/>
  <c r="T33" i="3"/>
  <c r="AJ24" i="3"/>
  <c r="AL37" i="3"/>
  <c r="Y34" i="3"/>
  <c r="H27" i="3"/>
  <c r="T35" i="3"/>
  <c r="AP40" i="3"/>
  <c r="H19" i="3"/>
  <c r="S50" i="2"/>
  <c r="X58" i="2"/>
  <c r="E44" i="2"/>
  <c r="R73" i="2"/>
  <c r="O91" i="2"/>
  <c r="C61" i="2"/>
  <c r="P77" i="2"/>
  <c r="G51" i="2"/>
  <c r="O62" i="2"/>
  <c r="U113" i="2"/>
  <c r="AP66" i="3"/>
  <c r="AP91" i="3"/>
  <c r="AB67" i="3"/>
  <c r="Z30" i="3"/>
  <c r="U21" i="3"/>
  <c r="W26" i="3"/>
  <c r="W22" i="3"/>
  <c r="AE24" i="3"/>
  <c r="O37" i="3"/>
  <c r="Z25" i="3"/>
  <c r="S35" i="3"/>
  <c r="X14" i="3"/>
  <c r="H6" i="3"/>
  <c r="X36" i="3"/>
  <c r="AB22" i="3"/>
  <c r="AJ30" i="3"/>
  <c r="AM39" i="3"/>
  <c r="P22" i="3"/>
  <c r="AA42" i="3"/>
  <c r="S11" i="3"/>
  <c r="G32" i="3"/>
  <c r="S9" i="3"/>
  <c r="I15" i="3"/>
  <c r="J8" i="3"/>
  <c r="P6" i="3"/>
  <c r="AL16" i="3"/>
  <c r="AE18" i="3"/>
  <c r="C30" i="3"/>
  <c r="AC33" i="3"/>
  <c r="P35" i="3"/>
  <c r="AJ36" i="3"/>
  <c r="AN14" i="3"/>
  <c r="AE33" i="3"/>
  <c r="R42" i="3"/>
  <c r="AJ11" i="3"/>
  <c r="I40" i="3"/>
  <c r="AC23" i="3"/>
  <c r="J21" i="3"/>
  <c r="AL34" i="3"/>
  <c r="Y37" i="3"/>
  <c r="AO41" i="3"/>
  <c r="Z36" i="3"/>
  <c r="W41" i="3"/>
  <c r="AQ42" i="3"/>
  <c r="P29" i="3"/>
  <c r="V13" i="3"/>
  <c r="AD21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Y41" i="3"/>
  <c r="AQ7" i="3"/>
  <c r="M40" i="3"/>
  <c r="V20" i="3"/>
  <c r="J19" i="3"/>
  <c r="S37" i="3"/>
  <c r="L35" i="3"/>
  <c r="AD49" i="3"/>
  <c r="AO8" i="3"/>
  <c r="AC24" i="3"/>
  <c r="AO13" i="3"/>
  <c r="AN5" i="3"/>
  <c r="R39" i="3"/>
  <c r="AB35" i="3"/>
  <c r="V6" i="3"/>
  <c r="L13" i="3"/>
  <c r="N6" i="3"/>
  <c r="AD27" i="3"/>
  <c r="AQ25" i="3"/>
  <c r="Q13" i="3"/>
  <c r="L6" i="3"/>
  <c r="AP9" i="3"/>
  <c r="T16" i="3"/>
  <c r="AM24" i="3"/>
  <c r="AC16" i="3"/>
  <c r="O27" i="3"/>
  <c r="J29" i="3"/>
  <c r="AA33" i="3"/>
  <c r="M27" i="3"/>
  <c r="H16" i="3"/>
  <c r="AI22" i="3"/>
  <c r="AI25" i="3"/>
  <c r="AB28" i="3"/>
  <c r="AJ39" i="3"/>
  <c r="I27" i="3"/>
  <c r="AI8" i="3"/>
  <c r="S8" i="3"/>
  <c r="U7" i="3"/>
  <c r="R22" i="3"/>
  <c r="AJ19" i="3"/>
  <c r="K34" i="3"/>
  <c r="U32" i="3"/>
  <c r="I31" i="3"/>
  <c r="V14" i="3"/>
  <c r="K33" i="3"/>
  <c r="AC34" i="3"/>
  <c r="AG22" i="3"/>
  <c r="X19" i="3"/>
  <c r="Q18" i="3"/>
  <c r="AO37" i="3"/>
  <c r="AB15" i="3"/>
  <c r="AA37" i="3"/>
  <c r="AG11" i="3"/>
  <c r="X42" i="3"/>
  <c r="J11" i="3"/>
  <c r="AN21" i="3"/>
  <c r="T9" i="3"/>
  <c r="AE35" i="3"/>
  <c r="L40" i="3"/>
  <c r="W20" i="3"/>
  <c r="Y42" i="3"/>
  <c r="AG16" i="3"/>
  <c r="AM15" i="3"/>
  <c r="P12" i="3"/>
  <c r="P9" i="3"/>
  <c r="V15" i="3"/>
  <c r="X6" i="3"/>
  <c r="M41" i="3"/>
  <c r="AH39" i="3"/>
  <c r="M19" i="3"/>
  <c r="K32" i="3"/>
  <c r="R12" i="3"/>
  <c r="AA24" i="3"/>
  <c r="AQ20" i="3"/>
  <c r="AN30" i="3"/>
  <c r="AK40" i="3"/>
  <c r="AO42" i="3"/>
  <c r="Z17" i="3"/>
  <c r="R17" i="3"/>
  <c r="AO28" i="3"/>
  <c r="C31" i="3"/>
  <c r="U5" i="3"/>
  <c r="V5" i="3"/>
  <c r="V42" i="3"/>
  <c r="X11" i="3"/>
  <c r="AA38" i="3"/>
  <c r="J31" i="3"/>
  <c r="R30" i="3"/>
  <c r="U12" i="3"/>
  <c r="AH40" i="3"/>
  <c r="K15" i="3"/>
  <c r="T11" i="3"/>
  <c r="AN29" i="3"/>
  <c r="AI36" i="3"/>
  <c r="U26" i="3"/>
  <c r="AI18" i="3"/>
  <c r="U14" i="3"/>
  <c r="AC28" i="3"/>
  <c r="AL26" i="3"/>
  <c r="O32" i="3"/>
  <c r="AH5" i="3"/>
  <c r="Y27" i="3"/>
  <c r="C36" i="3"/>
  <c r="C16" i="3"/>
  <c r="Q32" i="3"/>
  <c r="J26" i="3"/>
  <c r="AH12" i="3"/>
  <c r="AO22" i="3"/>
  <c r="N22" i="3"/>
  <c r="AG35" i="3"/>
  <c r="T5" i="3"/>
  <c r="AH8" i="3"/>
  <c r="AI39" i="3"/>
  <c r="Z5" i="3"/>
  <c r="AL23" i="3"/>
  <c r="T13" i="3"/>
  <c r="Z33" i="3"/>
  <c r="K37" i="3"/>
  <c r="AG29" i="3"/>
  <c r="Q39" i="3"/>
  <c r="N25" i="3"/>
  <c r="AQ28" i="3"/>
  <c r="W8" i="3"/>
  <c r="X37" i="3"/>
  <c r="N37" i="3"/>
  <c r="T6" i="3"/>
  <c r="AP32" i="3"/>
  <c r="AQ41" i="3"/>
  <c r="C14" i="3"/>
  <c r="C26" i="3"/>
  <c r="AC13" i="3"/>
  <c r="J17" i="3"/>
  <c r="P21" i="3"/>
  <c r="AK36" i="3"/>
  <c r="W31" i="3"/>
  <c r="AE20" i="3"/>
  <c r="C39" i="3"/>
  <c r="I30" i="3"/>
  <c r="J13" i="3"/>
  <c r="T19" i="3"/>
  <c r="W42" i="3"/>
  <c r="AH26" i="3"/>
  <c r="R27" i="3"/>
  <c r="N7" i="3"/>
  <c r="R34" i="3"/>
  <c r="V26" i="3"/>
  <c r="J30" i="3"/>
  <c r="AN18" i="3"/>
  <c r="AC35" i="3"/>
  <c r="AK8" i="3"/>
  <c r="U38" i="3"/>
  <c r="R11" i="3"/>
  <c r="T40" i="3"/>
  <c r="AM38" i="3"/>
  <c r="AN26" i="3"/>
  <c r="U8" i="3"/>
  <c r="AC41" i="3"/>
  <c r="Z27" i="3"/>
  <c r="I5" i="3"/>
  <c r="Q25" i="3"/>
  <c r="L10" i="3"/>
  <c r="AJ7" i="3"/>
  <c r="J14" i="3"/>
  <c r="V39" i="3"/>
  <c r="AA35" i="3"/>
  <c r="AJ32" i="3"/>
  <c r="U25" i="3"/>
  <c r="O25" i="3"/>
  <c r="AK33" i="3"/>
  <c r="W38" i="3"/>
  <c r="AG5" i="3"/>
  <c r="Q21" i="3"/>
  <c r="Q42" i="3"/>
  <c r="J28" i="3"/>
  <c r="AN39" i="3"/>
  <c r="AJ42" i="3"/>
  <c r="T38" i="3"/>
  <c r="D47" i="3"/>
  <c r="AH30" i="3"/>
  <c r="O34" i="3"/>
  <c r="AG13" i="3"/>
  <c r="AQ11" i="3"/>
  <c r="AQ17" i="3"/>
  <c r="AE15" i="3"/>
  <c r="AJ29" i="3"/>
  <c r="AG24" i="3"/>
  <c r="AK25" i="3"/>
  <c r="AK19" i="3"/>
  <c r="O18" i="3"/>
  <c r="AQ9" i="3"/>
  <c r="AG38" i="3"/>
  <c r="M6" i="3"/>
  <c r="U6" i="3"/>
  <c r="U36" i="3"/>
  <c r="K10" i="3"/>
  <c r="AL6" i="3"/>
  <c r="U10" i="3"/>
  <c r="R19" i="3"/>
  <c r="AB9" i="3"/>
  <c r="AG25" i="3"/>
  <c r="AA39" i="3"/>
  <c r="U20" i="3"/>
  <c r="C11" i="3"/>
  <c r="R5" i="3"/>
  <c r="M21" i="3"/>
  <c r="K11" i="3"/>
  <c r="Y15" i="3"/>
  <c r="AG9" i="3"/>
  <c r="K22" i="3"/>
  <c r="S14" i="3"/>
  <c r="AH20" i="3"/>
  <c r="AI33" i="3"/>
  <c r="Q10" i="3"/>
  <c r="AQ26" i="3"/>
  <c r="AB8" i="3"/>
  <c r="S18" i="3"/>
  <c r="M8" i="3"/>
  <c r="AL32" i="3"/>
  <c r="AQ10" i="3"/>
  <c r="Z14" i="3"/>
  <c r="AB16" i="3"/>
  <c r="AI14" i="3"/>
  <c r="AA19" i="3"/>
  <c r="V34" i="3"/>
  <c r="L16" i="3"/>
  <c r="V38" i="3"/>
  <c r="AL15" i="3"/>
  <c r="W35" i="3"/>
  <c r="K6" i="3"/>
  <c r="AK39" i="3"/>
  <c r="AI20" i="3"/>
  <c r="S39" i="3"/>
  <c r="AJ18" i="3"/>
  <c r="Q30" i="3"/>
  <c r="Z21" i="3"/>
  <c r="P37" i="3"/>
  <c r="AG20" i="3"/>
  <c r="AN42" i="3"/>
  <c r="M42" i="3"/>
  <c r="N31" i="3"/>
  <c r="AC30" i="3"/>
  <c r="AL24" i="3"/>
  <c r="N12" i="3"/>
  <c r="Q8" i="3"/>
  <c r="AI17" i="3"/>
  <c r="M16" i="3"/>
  <c r="AO36" i="3"/>
  <c r="Y21" i="3"/>
  <c r="AD41" i="3"/>
  <c r="S5" i="3"/>
  <c r="H26" i="3"/>
  <c r="AE40" i="3"/>
  <c r="K5" i="3"/>
  <c r="Q11" i="3"/>
  <c r="AH6" i="3"/>
  <c r="C35" i="3"/>
  <c r="S13" i="3"/>
  <c r="Z18" i="3"/>
  <c r="D48" i="3"/>
  <c r="AD29" i="3"/>
  <c r="AK28" i="3"/>
  <c r="K20" i="3"/>
  <c r="N8" i="3"/>
  <c r="AA20" i="3"/>
  <c r="D49" i="3"/>
  <c r="Q17" i="3"/>
  <c r="J34" i="3"/>
  <c r="K42" i="3"/>
  <c r="H35" i="3"/>
  <c r="E48" i="3"/>
  <c r="AK7" i="3"/>
  <c r="AJ13" i="3"/>
  <c r="P23" i="3"/>
  <c r="AJ28" i="3"/>
  <c r="I24" i="3"/>
  <c r="AL17" i="3"/>
  <c r="AM17" i="3"/>
  <c r="AA7" i="3"/>
  <c r="Y26" i="3"/>
  <c r="S29" i="3"/>
  <c r="W17" i="3"/>
  <c r="Y5" i="3"/>
  <c r="K31" i="3"/>
  <c r="Y9" i="3"/>
  <c r="AM19" i="3"/>
  <c r="AL5" i="3"/>
  <c r="N17" i="3"/>
  <c r="Z16" i="3"/>
  <c r="AB32" i="3"/>
  <c r="AQ16" i="3"/>
  <c r="S10" i="3"/>
  <c r="AJ21" i="3"/>
  <c r="J35" i="3"/>
  <c r="P36" i="3"/>
  <c r="K25" i="3"/>
  <c r="N18" i="3"/>
  <c r="U16" i="3"/>
  <c r="P33" i="3"/>
  <c r="U40" i="3"/>
  <c r="AA27" i="3"/>
  <c r="AD31" i="3"/>
  <c r="S21" i="3"/>
  <c r="P17" i="3"/>
  <c r="AO17" i="3"/>
  <c r="L9" i="3"/>
  <c r="P15" i="3"/>
  <c r="Z22" i="3"/>
  <c r="U34" i="3"/>
  <c r="AG19" i="3"/>
  <c r="AJ37" i="3"/>
  <c r="AE12" i="3"/>
  <c r="H33" i="3"/>
  <c r="N21" i="3"/>
  <c r="L23" i="3"/>
  <c r="K21" i="3"/>
  <c r="H18" i="3"/>
  <c r="K24" i="3"/>
  <c r="S17" i="3"/>
  <c r="AG21" i="3"/>
  <c r="AI19" i="3"/>
  <c r="AP33" i="3"/>
  <c r="AC14" i="3"/>
  <c r="AO38" i="3"/>
  <c r="Q41" i="3"/>
  <c r="AO9" i="3"/>
  <c r="AE23" i="3"/>
  <c r="X40" i="3"/>
  <c r="J5" i="3"/>
  <c r="C20" i="3"/>
  <c r="T37" i="3"/>
  <c r="V22" i="3"/>
  <c r="Y35" i="3"/>
  <c r="AQ5" i="3"/>
  <c r="L7" i="3"/>
  <c r="AD42" i="3"/>
  <c r="X39" i="3"/>
  <c r="AK26" i="3"/>
  <c r="AG14" i="3"/>
  <c r="L34" i="3"/>
  <c r="AQ34" i="3"/>
  <c r="I32" i="3"/>
  <c r="T36" i="3"/>
  <c r="AJ15" i="3"/>
  <c r="R26" i="3"/>
  <c r="AK34" i="3"/>
  <c r="AN19" i="3"/>
  <c r="H7" i="3"/>
  <c r="Z29" i="3"/>
  <c r="AC31" i="3"/>
  <c r="AD33" i="3"/>
  <c r="U9" i="3"/>
  <c r="P42" i="3"/>
  <c r="AM7" i="3"/>
  <c r="J6" i="3"/>
  <c r="W23" i="3"/>
  <c r="AC12" i="3"/>
  <c r="Q24" i="3"/>
  <c r="AA29" i="3"/>
  <c r="AA18" i="3"/>
  <c r="T29" i="3"/>
  <c r="W25" i="3"/>
  <c r="AC38" i="3"/>
  <c r="K7" i="3"/>
  <c r="AD22" i="3"/>
  <c r="AN36" i="3"/>
  <c r="T27" i="3"/>
  <c r="R16" i="3"/>
  <c r="R7" i="3"/>
  <c r="AK18" i="3"/>
  <c r="P38" i="3"/>
  <c r="J10" i="3"/>
  <c r="K26" i="3"/>
  <c r="W32" i="3"/>
  <c r="M18" i="3"/>
  <c r="AP21" i="3"/>
  <c r="AC15" i="3"/>
  <c r="AK11" i="3"/>
  <c r="AI31" i="3"/>
  <c r="P16" i="3"/>
  <c r="AL8" i="3"/>
  <c r="M5" i="3"/>
  <c r="AA13" i="3"/>
  <c r="AL36" i="3"/>
  <c r="AK35" i="3"/>
  <c r="AH19" i="3"/>
  <c r="G33" i="3"/>
  <c r="K30" i="3"/>
  <c r="X8" i="3"/>
  <c r="P26" i="3"/>
  <c r="R8" i="3"/>
  <c r="AI13" i="3"/>
  <c r="AC40" i="3"/>
  <c r="AA15" i="3"/>
  <c r="AL35" i="3"/>
  <c r="V36" i="3"/>
  <c r="AN13" i="3"/>
  <c r="AL19" i="3"/>
  <c r="V40" i="3"/>
  <c r="U13" i="3"/>
  <c r="N16" i="3"/>
  <c r="AA28" i="3"/>
  <c r="H39" i="3"/>
  <c r="AD39" i="3"/>
  <c r="R28" i="3"/>
  <c r="AD40" i="3"/>
  <c r="AJ26" i="3"/>
  <c r="K17" i="3"/>
  <c r="Q7" i="3"/>
  <c r="AQ14" i="3"/>
  <c r="AB25" i="3"/>
  <c r="AK14" i="3"/>
  <c r="S6" i="3"/>
  <c r="K14" i="3"/>
  <c r="AG12" i="3"/>
  <c r="AM9" i="3"/>
  <c r="AQ19" i="3"/>
  <c r="AC9" i="3"/>
  <c r="AG18" i="3"/>
  <c r="AP18" i="3"/>
  <c r="R37" i="3"/>
  <c r="Y23" i="3"/>
  <c r="AM37" i="3"/>
  <c r="AD47" i="3"/>
  <c r="AD26" i="3"/>
  <c r="L17" i="3"/>
  <c r="AI37" i="3"/>
  <c r="K39" i="3"/>
  <c r="AE13" i="3"/>
  <c r="L24" i="3"/>
  <c r="T10" i="3"/>
  <c r="AL38" i="3"/>
  <c r="AO12" i="3"/>
  <c r="G34" i="3"/>
  <c r="P14" i="3"/>
  <c r="AM42" i="3"/>
  <c r="AI89" i="3"/>
  <c r="N94" i="3"/>
  <c r="AM59" i="3"/>
  <c r="L70" i="3"/>
  <c r="AO66" i="3"/>
  <c r="AA93" i="3"/>
  <c r="T55" i="3"/>
  <c r="Y54" i="3"/>
  <c r="AG9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AI78" i="3"/>
  <c r="AI60" i="3"/>
  <c r="H68" i="3"/>
  <c r="O9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AM67" i="3"/>
  <c r="AK96" i="3"/>
  <c r="H92" i="3"/>
  <c r="H76" i="3"/>
  <c r="L82" i="3"/>
  <c r="O47" i="3"/>
  <c r="J80" i="3"/>
  <c r="J56" i="3"/>
  <c r="AE85" i="3"/>
  <c r="P61" i="3"/>
  <c r="AJ67" i="3"/>
  <c r="Q75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Q85" i="3"/>
  <c r="M47" i="3"/>
  <c r="W57" i="3"/>
  <c r="U65" i="3"/>
  <c r="S55" i="3"/>
  <c r="R54" i="3"/>
  <c r="J69" i="3"/>
  <c r="K89" i="3"/>
  <c r="AQ57" i="3"/>
  <c r="T48" i="3"/>
  <c r="N50" i="3"/>
  <c r="W65" i="3"/>
  <c r="AL77" i="3"/>
  <c r="Z81" i="3"/>
  <c r="Y85" i="3"/>
  <c r="AC93" i="3"/>
  <c r="Q62" i="3"/>
  <c r="AA60" i="3"/>
  <c r="T74" i="3"/>
  <c r="AI97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AO80" i="3"/>
  <c r="AG91" i="3"/>
  <c r="AH58" i="3"/>
  <c r="J84" i="3"/>
  <c r="AM63" i="3"/>
  <c r="Y48" i="3"/>
  <c r="AM77" i="3"/>
  <c r="AC90" i="3"/>
  <c r="AH65" i="3"/>
  <c r="H59" i="3"/>
  <c r="AQ89" i="3"/>
  <c r="H57" i="3"/>
  <c r="N63" i="3"/>
  <c r="U55" i="3"/>
  <c r="AJ68" i="3"/>
  <c r="R85" i="3"/>
  <c r="K76" i="3"/>
  <c r="AN56" i="3"/>
  <c r="Z71" i="3"/>
  <c r="AQ68" i="3"/>
  <c r="I60" i="3"/>
  <c r="P64" i="3"/>
  <c r="AG57" i="3"/>
  <c r="AL55" i="3"/>
  <c r="AI67" i="3"/>
  <c r="Y68" i="3"/>
  <c r="M90" i="3"/>
  <c r="AE87" i="3"/>
  <c r="AQ93" i="3"/>
  <c r="O78" i="3"/>
  <c r="AE55" i="3"/>
  <c r="N59" i="3"/>
  <c r="AC77" i="3"/>
  <c r="S66" i="3"/>
  <c r="R70" i="3"/>
  <c r="AE92" i="3"/>
  <c r="S85" i="3"/>
  <c r="AQ80" i="3"/>
  <c r="AE88" i="3"/>
  <c r="Q74" i="3"/>
  <c r="W50" i="3"/>
  <c r="K59" i="3"/>
  <c r="AC94" i="3"/>
  <c r="R91" i="3"/>
  <c r="T79" i="3"/>
  <c r="L90" i="3"/>
  <c r="L96" i="3"/>
  <c r="R74" i="3"/>
  <c r="AI69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K69" i="3"/>
  <c r="V62" i="3"/>
  <c r="AE86" i="3"/>
  <c r="R94" i="3"/>
  <c r="O93" i="3"/>
  <c r="Z62" i="3"/>
  <c r="AI70" i="3"/>
  <c r="X54" i="3"/>
  <c r="AK89" i="3"/>
  <c r="AG49" i="3"/>
  <c r="AH64" i="3"/>
  <c r="I64" i="3"/>
  <c r="AJ83" i="3"/>
  <c r="AH77" i="3"/>
  <c r="AQ86" i="3"/>
  <c r="Q86" i="3"/>
  <c r="AJ54" i="3"/>
  <c r="W85" i="3"/>
  <c r="AG75" i="3"/>
  <c r="V63" i="3"/>
  <c r="R56" i="3"/>
  <c r="AL91" i="3"/>
  <c r="AM48" i="3"/>
  <c r="H69" i="3"/>
  <c r="S58" i="3"/>
  <c r="AI5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5" i="3"/>
  <c r="M84" i="3"/>
  <c r="U90" i="3"/>
  <c r="U82" i="3"/>
  <c r="T89" i="3"/>
  <c r="N76" i="3"/>
  <c r="AC47" i="3"/>
  <c r="R69" i="3"/>
  <c r="AO55" i="3"/>
  <c r="AM57" i="3"/>
  <c r="AA77" i="3"/>
  <c r="L71" i="3"/>
  <c r="T81" i="3"/>
  <c r="AJ90" i="3"/>
  <c r="AA67" i="3"/>
  <c r="R59" i="3"/>
  <c r="O61" i="3"/>
  <c r="M75" i="3"/>
  <c r="AI59" i="3"/>
  <c r="AE78" i="3"/>
  <c r="S91" i="3"/>
  <c r="U49" i="3"/>
  <c r="X72" i="3"/>
  <c r="W63" i="3"/>
  <c r="O87" i="3"/>
  <c r="AC56" i="3"/>
  <c r="AM76" i="3"/>
  <c r="AE70" i="3"/>
  <c r="AH57" i="3"/>
  <c r="I97" i="3"/>
  <c r="X93" i="3"/>
  <c r="U66" i="3"/>
  <c r="R61" i="3"/>
  <c r="H70" i="3"/>
  <c r="X81" i="3"/>
  <c r="W64" i="3"/>
  <c r="S88" i="3"/>
  <c r="AL71" i="3"/>
  <c r="I76" i="3"/>
  <c r="K60" i="3"/>
  <c r="AK93" i="3"/>
  <c r="O63" i="3"/>
  <c r="L64" i="3"/>
  <c r="AI47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G54" i="3"/>
  <c r="P97" i="3"/>
  <c r="L49" i="3"/>
  <c r="O79" i="3"/>
  <c r="AA94" i="3"/>
  <c r="O56" i="3"/>
  <c r="Q57" i="3"/>
  <c r="U68" i="3"/>
  <c r="AM78" i="3"/>
  <c r="AJ85" i="3"/>
  <c r="AH83" i="3"/>
  <c r="W75" i="3"/>
  <c r="Z64" i="3"/>
  <c r="I68" i="3"/>
  <c r="I48" i="3"/>
  <c r="AJ65" i="3"/>
  <c r="Z55" i="3"/>
  <c r="N87" i="3"/>
  <c r="U88" i="3"/>
  <c r="K97" i="3"/>
  <c r="I92" i="3"/>
  <c r="S69" i="3"/>
  <c r="AI87" i="3"/>
  <c r="AI95" i="3"/>
  <c r="AI63" i="3"/>
  <c r="AK49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V48" i="3"/>
  <c r="AQ77" i="3"/>
  <c r="AN73" i="3"/>
  <c r="AQ55" i="3"/>
  <c r="N57" i="3"/>
  <c r="AI79" i="3"/>
  <c r="P89" i="3"/>
  <c r="P70" i="3"/>
  <c r="J78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M73" i="3"/>
  <c r="AH88" i="3"/>
  <c r="AG79" i="3"/>
  <c r="I72" i="3"/>
  <c r="H94" i="3"/>
  <c r="X85" i="3"/>
  <c r="N75" i="3"/>
  <c r="V93" i="3"/>
  <c r="T71" i="3"/>
  <c r="AL74" i="3"/>
  <c r="AN68" i="3"/>
  <c r="V78" i="3"/>
  <c r="Q84" i="3"/>
  <c r="AH91" i="3"/>
  <c r="M63" i="3"/>
  <c r="X96" i="3"/>
  <c r="S74" i="3"/>
  <c r="I63" i="3"/>
  <c r="R57" i="3"/>
  <c r="AH93" i="3"/>
  <c r="Y76" i="3"/>
  <c r="S67" i="3"/>
  <c r="AI55" i="3"/>
  <c r="M77" i="3"/>
  <c r="AL97" i="3"/>
  <c r="AQ71" i="3"/>
  <c r="W79" i="3"/>
  <c r="R97" i="3"/>
  <c r="H49" i="3"/>
  <c r="AE75" i="3"/>
  <c r="AA95" i="3"/>
  <c r="AA87" i="3"/>
  <c r="X67" i="3"/>
  <c r="U64" i="3"/>
  <c r="H47" i="3"/>
  <c r="AC86" i="3"/>
  <c r="X70" i="3"/>
  <c r="I77" i="3"/>
  <c r="H77" i="3"/>
  <c r="AO67" i="3"/>
  <c r="AK58" i="3"/>
  <c r="U54" i="3"/>
  <c r="S80" i="3"/>
  <c r="M92" i="3"/>
  <c r="X80" i="3"/>
  <c r="AI56" i="3"/>
  <c r="H79" i="3"/>
  <c r="AM74" i="3"/>
  <c r="AK8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I72" i="3"/>
  <c r="P90" i="3"/>
  <c r="AE48" i="3"/>
  <c r="M68" i="3"/>
  <c r="M89" i="3"/>
  <c r="N81" i="3"/>
  <c r="AK90" i="3"/>
  <c r="AJ77" i="3"/>
  <c r="AG78" i="3"/>
  <c r="AQ49" i="3"/>
  <c r="AN50" i="3"/>
  <c r="Y72" i="3"/>
  <c r="AE94" i="3"/>
  <c r="Z66" i="3"/>
  <c r="Q92" i="3"/>
  <c r="AM73" i="3"/>
  <c r="Z50" i="3"/>
  <c r="AL75" i="3"/>
  <c r="V87" i="3"/>
  <c r="AQ88" i="3"/>
  <c r="Z87" i="3"/>
  <c r="AH73" i="3"/>
  <c r="V49" i="3"/>
  <c r="H71" i="3"/>
  <c r="AK74" i="3"/>
  <c r="AK62" i="3"/>
  <c r="AI92" i="3"/>
  <c r="AC50" i="3"/>
  <c r="Q69" i="3"/>
  <c r="AI66" i="3"/>
  <c r="AC91" i="3"/>
  <c r="J71" i="3"/>
  <c r="AK87" i="3"/>
  <c r="AL70" i="3"/>
  <c r="I90" i="3"/>
  <c r="L85" i="3"/>
  <c r="AN55" i="3"/>
  <c r="AH47" i="3"/>
  <c r="AJ62" i="3"/>
  <c r="N55" i="3"/>
  <c r="AE57" i="3"/>
  <c r="AH80" i="3"/>
  <c r="K96" i="3"/>
  <c r="M56" i="3"/>
  <c r="N49" i="3"/>
  <c r="AC97" i="3"/>
  <c r="X47" i="3"/>
  <c r="AJ97" i="3"/>
  <c r="Z76" i="3"/>
  <c r="Y96" i="3"/>
  <c r="K61" i="3"/>
  <c r="T58" i="3"/>
  <c r="Z88" i="3"/>
  <c r="I57" i="3"/>
  <c r="V85" i="3"/>
  <c r="U61" i="3"/>
  <c r="AM97" i="3"/>
  <c r="R62" i="3"/>
  <c r="S47" i="3"/>
  <c r="K54" i="3"/>
  <c r="AC69" i="3"/>
  <c r="AK80" i="3"/>
  <c r="AE74" i="3"/>
  <c r="AM69" i="3"/>
  <c r="AK61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L82" i="3"/>
  <c r="AG48" i="3"/>
  <c r="AL81" i="3"/>
  <c r="Y55" i="3"/>
  <c r="AN81" i="3"/>
  <c r="R60" i="3"/>
  <c r="AK64" i="3"/>
  <c r="M55" i="3"/>
  <c r="W90" i="3"/>
  <c r="S90" i="3"/>
  <c r="R87" i="3"/>
  <c r="U59" i="3"/>
  <c r="AG50" i="3"/>
  <c r="W91" i="3"/>
  <c r="AO56" i="3"/>
  <c r="AL88" i="3"/>
  <c r="AJ71" i="3"/>
  <c r="Y66" i="3"/>
  <c r="AH95" i="3"/>
  <c r="T87" i="3"/>
  <c r="AJ49" i="3"/>
  <c r="L92" i="3"/>
  <c r="AL89" i="3"/>
  <c r="AO48" i="3"/>
  <c r="Y70" i="3"/>
  <c r="AO63" i="3"/>
  <c r="P76" i="3"/>
  <c r="Q71" i="3"/>
  <c r="AQ97" i="3"/>
  <c r="T88" i="3"/>
  <c r="V89" i="3"/>
  <c r="AI62" i="3"/>
  <c r="H83" i="3"/>
  <c r="O89" i="3"/>
  <c r="AK47" i="3"/>
  <c r="T82" i="3"/>
  <c r="X64" i="3"/>
  <c r="K95" i="3"/>
  <c r="J63" i="3"/>
  <c r="U70" i="3"/>
  <c r="AO60" i="3"/>
  <c r="K66" i="3"/>
  <c r="AC88" i="3"/>
  <c r="S92" i="3"/>
  <c r="V90" i="3"/>
  <c r="AM55" i="3"/>
  <c r="AC80" i="3"/>
  <c r="V76" i="3"/>
  <c r="AC66" i="3"/>
  <c r="AM47" i="3"/>
  <c r="H82" i="3"/>
  <c r="T63" i="3"/>
  <c r="AO86" i="3"/>
  <c r="AO83" i="3"/>
  <c r="Y84" i="3"/>
  <c r="S81" i="3"/>
  <c r="T54" i="3"/>
  <c r="T50" i="3"/>
  <c r="I81" i="3"/>
  <c r="H86" i="3"/>
  <c r="J54" i="3"/>
  <c r="AM68" i="3"/>
  <c r="AG56" i="3"/>
  <c r="S71" i="3"/>
  <c r="Y63" i="3"/>
  <c r="T84" i="3"/>
  <c r="N93" i="3"/>
  <c r="L47" i="3"/>
  <c r="AM50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C78" i="3"/>
  <c r="AO71" i="3"/>
  <c r="Q48" i="3"/>
  <c r="AA88" i="3"/>
  <c r="P78" i="3"/>
  <c r="Q54" i="3"/>
  <c r="Q59" i="3"/>
  <c r="Z67" i="3"/>
  <c r="K73" i="3"/>
  <c r="W93" i="3"/>
  <c r="Q50" i="3"/>
  <c r="AH85" i="3"/>
  <c r="Y65" i="3"/>
  <c r="O82" i="3"/>
  <c r="AN61" i="3"/>
  <c r="U75" i="3"/>
  <c r="L74" i="3"/>
  <c r="AK84" i="3"/>
  <c r="AN93" i="3"/>
  <c r="AA62" i="3"/>
  <c r="K71" i="3"/>
  <c r="AE71" i="3"/>
  <c r="H56" i="3"/>
  <c r="R81" i="3"/>
  <c r="K83" i="3"/>
  <c r="I95" i="3"/>
  <c r="T90" i="3"/>
  <c r="H54" i="3"/>
  <c r="AK91" i="3"/>
  <c r="O68" i="3"/>
  <c r="AM79" i="3"/>
  <c r="M70" i="3"/>
  <c r="Z69" i="3"/>
  <c r="AA75" i="3"/>
  <c r="AA65" i="3"/>
  <c r="Q82" i="3"/>
  <c r="AH72" i="3"/>
  <c r="AG67" i="3"/>
  <c r="AL60" i="3"/>
  <c r="Y62" i="3"/>
  <c r="I80" i="3"/>
  <c r="AO79" i="3"/>
  <c r="AO49" i="3"/>
  <c r="X88" i="3"/>
  <c r="V81" i="3"/>
  <c r="T62" i="3"/>
  <c r="J92" i="3"/>
  <c r="AJ74" i="3"/>
  <c r="AH48" i="3"/>
  <c r="P94" i="3"/>
  <c r="AQ84" i="3"/>
  <c r="H78" i="3"/>
  <c r="AL62" i="3"/>
  <c r="AK67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AH62" i="3"/>
  <c r="AA69" i="3"/>
  <c r="AK78" i="3"/>
  <c r="AI81" i="3"/>
  <c r="O85" i="3"/>
  <c r="T85" i="3"/>
  <c r="N80" i="3"/>
  <c r="K70" i="3"/>
  <c r="T68" i="3"/>
  <c r="J86" i="3"/>
  <c r="V57" i="3"/>
  <c r="W55" i="3"/>
  <c r="AG76" i="3"/>
  <c r="AL61" i="3"/>
  <c r="AQ56" i="3"/>
  <c r="P69" i="3"/>
  <c r="V95" i="3"/>
  <c r="V97" i="3"/>
  <c r="AA80" i="3"/>
  <c r="Y86" i="3"/>
  <c r="K62" i="3"/>
  <c r="AN62" i="3"/>
  <c r="AN76" i="3"/>
  <c r="U79" i="3"/>
  <c r="AE50" i="3"/>
  <c r="AQ96" i="3"/>
  <c r="P82" i="3"/>
  <c r="O97" i="3"/>
  <c r="N79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L68" i="3"/>
  <c r="O81" i="3"/>
  <c r="W56" i="3"/>
  <c r="AH56" i="3"/>
  <c r="K77" i="3"/>
  <c r="AQ72" i="3"/>
  <c r="O71" i="3"/>
  <c r="AL87" i="3"/>
  <c r="V96" i="3"/>
  <c r="J82" i="3"/>
  <c r="O75" i="3"/>
  <c r="AQ58" i="3"/>
  <c r="AO81" i="3"/>
  <c r="AN63" i="3"/>
  <c r="Y58" i="3"/>
  <c r="AN69" i="3"/>
  <c r="I96" i="3"/>
  <c r="O77" i="3"/>
  <c r="J49" i="3"/>
  <c r="AI82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Q60" i="3"/>
  <c r="L95" i="3"/>
  <c r="P72" i="3"/>
  <c r="Y60" i="3"/>
  <c r="S60" i="3"/>
  <c r="T73" i="3"/>
  <c r="S83" i="3"/>
  <c r="K87" i="3"/>
  <c r="L87" i="3"/>
  <c r="AH75" i="3"/>
  <c r="I61" i="3"/>
  <c r="Q83" i="3"/>
  <c r="AC62" i="3"/>
  <c r="AJ92" i="3"/>
  <c r="AL95" i="3"/>
  <c r="T60" i="3"/>
  <c r="I70" i="3"/>
  <c r="T83" i="3"/>
  <c r="AL48" i="3"/>
  <c r="Z92" i="3" l="1"/>
  <c r="N78" i="3"/>
  <c r="AM60" i="3"/>
  <c r="J68" i="3"/>
  <c r="AN70" i="3"/>
  <c r="U47" i="3"/>
  <c r="CB85" i="1"/>
  <c r="CB102" i="1"/>
  <c r="CB94" i="1"/>
  <c r="IS8" i="4"/>
  <c r="JF20" i="4"/>
  <c r="BZ79" i="1" s="1"/>
  <c r="HP16" i="4"/>
  <c r="CA85" i="1"/>
  <c r="CA94" i="1"/>
  <c r="CA102" i="1"/>
  <c r="JE21" i="4"/>
  <c r="BY77" i="1" s="1"/>
  <c r="BY94" i="1" s="1"/>
  <c r="IV16" i="4"/>
  <c r="L61" i="3"/>
  <c r="V56" i="3"/>
  <c r="M67" i="3"/>
  <c r="AE80" i="3"/>
  <c r="AG62" i="3"/>
  <c r="BS51" i="1"/>
  <c r="AV23" i="1"/>
  <c r="AM45" i="1"/>
  <c r="BU14" i="1"/>
  <c r="AZ13" i="1"/>
  <c r="AR21" i="1"/>
  <c r="BJ47" i="1"/>
  <c r="BE35" i="1"/>
  <c r="BV25" i="1"/>
  <c r="BM25" i="1"/>
  <c r="BM14" i="1"/>
  <c r="AQ23" i="1"/>
  <c r="AY8" i="1"/>
  <c r="BQ23" i="1"/>
  <c r="BH36" i="1"/>
  <c r="BW23" i="1"/>
  <c r="AQ21" i="1"/>
  <c r="BP47" i="1"/>
  <c r="AX32" i="1"/>
  <c r="AX194" i="1" s="1"/>
  <c r="BG32" i="1"/>
  <c r="BG194" i="1" s="1"/>
  <c r="AT20" i="1"/>
  <c r="BR46" i="1"/>
  <c r="BG24" i="1"/>
  <c r="AV47" i="1"/>
  <c r="BQ46" i="1"/>
  <c r="AV20" i="1"/>
  <c r="BQ15" i="1"/>
  <c r="BI24" i="1"/>
  <c r="BV22" i="1"/>
  <c r="AS25" i="1"/>
  <c r="AQ47" i="1"/>
  <c r="AP13" i="1"/>
  <c r="BQ25" i="1"/>
  <c r="AX20" i="1"/>
  <c r="BC36" i="1"/>
  <c r="AZ39" i="1"/>
  <c r="BG25" i="1"/>
  <c r="BG39" i="1"/>
  <c r="BI14" i="1"/>
  <c r="BC35" i="1"/>
  <c r="AP8" i="1"/>
  <c r="AP231" i="1" s="1"/>
  <c r="AV51" i="1"/>
  <c r="BF39" i="1"/>
  <c r="BQ45" i="1"/>
  <c r="AX47" i="1"/>
  <c r="BP24" i="1"/>
  <c r="BW45" i="1"/>
  <c r="AR45" i="1"/>
  <c r="BM23" i="1"/>
  <c r="BQ47" i="1"/>
  <c r="BJ51" i="1"/>
  <c r="BE46" i="1"/>
  <c r="AI9" i="1"/>
  <c r="BK35" i="1"/>
  <c r="BI23" i="1"/>
  <c r="BM22" i="1"/>
  <c r="AY21" i="1"/>
  <c r="AN25" i="1"/>
  <c r="AQ22" i="1"/>
  <c r="AR35" i="1"/>
  <c r="AT22" i="1"/>
  <c r="BK14" i="1"/>
  <c r="BA45" i="1"/>
  <c r="AV24" i="1"/>
  <c r="BU21" i="1"/>
  <c r="AV21" i="1"/>
  <c r="AY22" i="1"/>
  <c r="BA20" i="1"/>
  <c r="AT25" i="1"/>
  <c r="AQ36" i="1"/>
  <c r="AP46" i="1"/>
  <c r="BP22" i="1"/>
  <c r="AY13" i="1"/>
  <c r="BW20" i="1"/>
  <c r="BF20" i="1"/>
  <c r="AT21" i="1"/>
  <c r="BC21" i="1"/>
  <c r="AY39" i="1"/>
  <c r="BE47" i="1"/>
  <c r="BS21" i="1"/>
  <c r="BR21" i="1"/>
  <c r="BP32" i="1"/>
  <c r="AV35" i="1"/>
  <c r="AN46" i="1"/>
  <c r="AQ51" i="1"/>
  <c r="AP45" i="1"/>
  <c r="AW21" i="1"/>
  <c r="AJ73" i="1"/>
  <c r="BG9" i="1"/>
  <c r="AQ9" i="1"/>
  <c r="BQ32" i="1"/>
  <c r="BQ194" i="1" s="1"/>
  <c r="BJ39" i="1"/>
  <c r="BF25" i="1"/>
  <c r="AI46" i="1"/>
  <c r="BN8" i="1"/>
  <c r="BN231" i="1" s="1"/>
  <c r="AW15" i="1"/>
  <c r="AN47" i="1"/>
  <c r="BE22" i="1"/>
  <c r="AS20" i="1"/>
  <c r="BO21" i="1"/>
  <c r="AT14" i="1"/>
  <c r="AS51" i="1"/>
  <c r="BT51" i="1"/>
  <c r="BM9" i="1"/>
  <c r="BF22" i="1"/>
  <c r="BP25" i="1"/>
  <c r="BO9" i="1"/>
  <c r="AQ8" i="1"/>
  <c r="AQ231" i="1" s="1"/>
  <c r="BC46" i="1"/>
  <c r="BR24" i="1"/>
  <c r="AR20" i="1"/>
  <c r="BB45" i="1"/>
  <c r="BO23" i="1"/>
  <c r="BH20" i="1"/>
  <c r="BF23" i="1"/>
  <c r="BW13" i="1"/>
  <c r="AY25" i="1"/>
  <c r="BW47" i="1"/>
  <c r="AW13" i="1"/>
  <c r="BN9" i="1"/>
  <c r="AY23" i="1"/>
  <c r="BE24" i="1"/>
  <c r="AQ15" i="1"/>
  <c r="AS22" i="1"/>
  <c r="AI15" i="1"/>
  <c r="BA9" i="1"/>
  <c r="BM36" i="1"/>
  <c r="BA13" i="1"/>
  <c r="BR8" i="1"/>
  <c r="BR231" i="1" s="1"/>
  <c r="AQ13" i="1"/>
  <c r="BA8" i="1"/>
  <c r="BA231" i="1" s="1"/>
  <c r="AS8" i="1"/>
  <c r="AS231" i="1" s="1"/>
  <c r="AU25" i="1"/>
  <c r="BQ36" i="1"/>
  <c r="BP39" i="1"/>
  <c r="BK24" i="1"/>
  <c r="BW21" i="1"/>
  <c r="BW15" i="1"/>
  <c r="AU45" i="1"/>
  <c r="BP51" i="1"/>
  <c r="AP32" i="1"/>
  <c r="AW51" i="1"/>
  <c r="AW22" i="1"/>
  <c r="AU36" i="1"/>
  <c r="BA36" i="1"/>
  <c r="BG46" i="1"/>
  <c r="AP23" i="1"/>
  <c r="AR13" i="1"/>
  <c r="AW36" i="1"/>
  <c r="BT47" i="1"/>
  <c r="AX15" i="1"/>
  <c r="BI46" i="1"/>
  <c r="BT25" i="1"/>
  <c r="BB47" i="1"/>
  <c r="AX45" i="1"/>
  <c r="BN47" i="1"/>
  <c r="BC51" i="1"/>
  <c r="BK9" i="1"/>
  <c r="AV22" i="1"/>
  <c r="AP21" i="1"/>
  <c r="AI47" i="1"/>
  <c r="AI23" i="1"/>
  <c r="AZ8" i="1"/>
  <c r="BW32" i="1"/>
  <c r="BW194" i="1" s="1"/>
  <c r="AT36" i="1"/>
  <c r="BM39" i="1"/>
  <c r="BR35" i="1"/>
  <c r="BM46" i="1"/>
  <c r="BN14" i="1"/>
  <c r="AP47" i="1"/>
  <c r="AI20" i="1"/>
  <c r="BR47" i="1"/>
  <c r="BI32" i="1"/>
  <c r="BA23" i="1"/>
  <c r="BO25" i="1"/>
  <c r="BA47" i="1"/>
  <c r="BT39" i="1"/>
  <c r="AZ15" i="1"/>
  <c r="AQ24" i="1"/>
  <c r="BA14" i="1"/>
  <c r="BD15" i="1"/>
  <c r="BB51" i="1"/>
  <c r="BU32" i="1"/>
  <c r="AX21" i="1"/>
  <c r="BF21" i="1"/>
  <c r="BU51" i="1"/>
  <c r="BW9" i="1"/>
  <c r="AX14" i="1"/>
  <c r="BD8" i="1"/>
  <c r="BB24" i="1"/>
  <c r="AV14" i="1"/>
  <c r="BS24" i="1"/>
  <c r="BM20" i="1"/>
  <c r="BE51" i="1"/>
  <c r="BC9" i="1"/>
  <c r="BK46" i="1"/>
  <c r="BT22" i="1"/>
  <c r="AP15" i="1"/>
  <c r="BD51" i="1"/>
  <c r="BM15" i="1"/>
  <c r="BH24" i="1"/>
  <c r="AW25" i="1"/>
  <c r="BI45" i="1"/>
  <c r="BB23" i="1"/>
  <c r="AQ45" i="1"/>
  <c r="BH32" i="1"/>
  <c r="BH194" i="1" s="1"/>
  <c r="BO36" i="1"/>
  <c r="AN20" i="1"/>
  <c r="AP39" i="1"/>
  <c r="BI20" i="1"/>
  <c r="AZ20" i="1"/>
  <c r="AR8" i="1"/>
  <c r="BW36" i="1"/>
  <c r="AT8" i="1"/>
  <c r="AT252" i="1" s="1"/>
  <c r="BB8" i="1"/>
  <c r="BB231" i="1" s="1"/>
  <c r="BH46" i="1"/>
  <c r="BU8" i="1"/>
  <c r="BU253" i="1" s="1"/>
  <c r="BJ73" i="1"/>
  <c r="AR46" i="1"/>
  <c r="BB9" i="1"/>
  <c r="BP8" i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J22" i="1"/>
  <c r="BJ26" i="1" s="1"/>
  <c r="AV39" i="1"/>
  <c r="BW51" i="1"/>
  <c r="BR45" i="1"/>
  <c r="AP22" i="1"/>
  <c r="BI35" i="1"/>
  <c r="BP15" i="1"/>
  <c r="AX51" i="1"/>
  <c r="BT23" i="1"/>
  <c r="AV46" i="1"/>
  <c r="BK25" i="1"/>
  <c r="BR20" i="1"/>
  <c r="AV8" i="1"/>
  <c r="AO24" i="1"/>
  <c r="AM47" i="1"/>
  <c r="AY15" i="1"/>
  <c r="BG51" i="1"/>
  <c r="AN8" i="1"/>
  <c r="BD23" i="1"/>
  <c r="AY46" i="1"/>
  <c r="BF36" i="1"/>
  <c r="BC47" i="1"/>
  <c r="BA22" i="1"/>
  <c r="BV154" i="1"/>
  <c r="BW154" i="1" s="1"/>
  <c r="BV151" i="1"/>
  <c r="BW151" i="1" s="1"/>
  <c r="T74" i="1"/>
  <c r="F150" i="1"/>
  <c r="O145" i="1"/>
  <c r="O180" i="1" s="1"/>
  <c r="Q143" i="1"/>
  <c r="R149" i="1"/>
  <c r="AZ46" i="1"/>
  <c r="BE45" i="1"/>
  <c r="BN21" i="1"/>
  <c r="AY14" i="1"/>
  <c r="AU22" i="1"/>
  <c r="AI35" i="1"/>
  <c r="AI22" i="1"/>
  <c r="BV74" i="1"/>
  <c r="BV118" i="1"/>
  <c r="BW118" i="1" s="1"/>
  <c r="U146" i="1"/>
  <c r="J133" i="1"/>
  <c r="P143" i="1"/>
  <c r="B164" i="1"/>
  <c r="L142" i="1"/>
  <c r="G127" i="1"/>
  <c r="BG47" i="1"/>
  <c r="AN14" i="1"/>
  <c r="AY9" i="1"/>
  <c r="AY10" i="1" s="1"/>
  <c r="AQ32" i="1"/>
  <c r="AQ194" i="1" s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AY47" i="1"/>
  <c r="BR14" i="1"/>
  <c r="AT32" i="1"/>
  <c r="BF47" i="1"/>
  <c r="BO51" i="1"/>
  <c r="BU39" i="1"/>
  <c r="AR25" i="1"/>
  <c r="BU36" i="1"/>
  <c r="BU252" i="1" s="1"/>
  <c r="BW14" i="1"/>
  <c r="BV24" i="1"/>
  <c r="BH14" i="1"/>
  <c r="BO45" i="1"/>
  <c r="AR23" i="1"/>
  <c r="BR13" i="1"/>
  <c r="BV23" i="1"/>
  <c r="BG8" i="1"/>
  <c r="BB39" i="1"/>
  <c r="BU23" i="1"/>
  <c r="BK15" i="1"/>
  <c r="BD20" i="1"/>
  <c r="AP36" i="1"/>
  <c r="AP252" i="1" s="1"/>
  <c r="AQ46" i="1"/>
  <c r="AS35" i="1"/>
  <c r="BW8" i="1"/>
  <c r="AR15" i="1"/>
  <c r="BC32" i="1"/>
  <c r="AI73" i="1"/>
  <c r="T150" i="1"/>
  <c r="H146" i="1"/>
  <c r="W160" i="1"/>
  <c r="Q122" i="1"/>
  <c r="O172" i="1"/>
  <c r="K147" i="1"/>
  <c r="C140" i="1"/>
  <c r="D202" i="1" s="1"/>
  <c r="AO36" i="1"/>
  <c r="BV32" i="1"/>
  <c r="BV194" i="1" s="1"/>
  <c r="BT8" i="1"/>
  <c r="AT9" i="1"/>
  <c r="AW39" i="1"/>
  <c r="BV20" i="1"/>
  <c r="BC14" i="1"/>
  <c r="AY51" i="1"/>
  <c r="BN24" i="1"/>
  <c r="BK23" i="1"/>
  <c r="BG45" i="1"/>
  <c r="BM51" i="1"/>
  <c r="BB20" i="1"/>
  <c r="AN45" i="1"/>
  <c r="BV159" i="1"/>
  <c r="BH118" i="1"/>
  <c r="R133" i="1"/>
  <c r="R153" i="1"/>
  <c r="R183" i="1" s="1"/>
  <c r="M132" i="1"/>
  <c r="V135" i="1"/>
  <c r="V131" i="1" s="1"/>
  <c r="F132" i="1"/>
  <c r="D136" i="1"/>
  <c r="BC23" i="1"/>
  <c r="BJ35" i="1"/>
  <c r="BN25" i="1"/>
  <c r="AZ24" i="1"/>
  <c r="BS8" i="1"/>
  <c r="BK47" i="1"/>
  <c r="AU14" i="1"/>
  <c r="BB32" i="1"/>
  <c r="BB194" i="1" s="1"/>
  <c r="BB46" i="1"/>
  <c r="BW46" i="1"/>
  <c r="AV32" i="1"/>
  <c r="AR14" i="1"/>
  <c r="BU46" i="1"/>
  <c r="BP46" i="1"/>
  <c r="BV51" i="1"/>
  <c r="BE23" i="1"/>
  <c r="BS45" i="1"/>
  <c r="BF9" i="1"/>
  <c r="BJ36" i="1"/>
  <c r="BJ252" i="1" s="1"/>
  <c r="AP35" i="1"/>
  <c r="AZ22" i="1"/>
  <c r="BK32" i="1"/>
  <c r="BD22" i="1"/>
  <c r="BV21" i="1"/>
  <c r="AZ23" i="1"/>
  <c r="BP45" i="1"/>
  <c r="BM8" i="1"/>
  <c r="AZ47" i="1"/>
  <c r="BN46" i="1"/>
  <c r="BC20" i="1"/>
  <c r="AP24" i="1"/>
  <c r="AN51" i="1"/>
  <c r="BM47" i="1"/>
  <c r="BH25" i="1"/>
  <c r="AU51" i="1"/>
  <c r="BF32" i="1"/>
  <c r="BF194" i="1" s="1"/>
  <c r="BG21" i="1"/>
  <c r="AW46" i="1"/>
  <c r="BC25" i="1"/>
  <c r="BO15" i="1"/>
  <c r="AP20" i="1"/>
  <c r="AZ35" i="1"/>
  <c r="BV137" i="1"/>
  <c r="BW137" i="1" s="1"/>
  <c r="BH143" i="1"/>
  <c r="BI143" i="1" s="1"/>
  <c r="BH127" i="1"/>
  <c r="BI127" i="1" s="1"/>
  <c r="L124" i="1"/>
  <c r="C78" i="1"/>
  <c r="V146" i="1"/>
  <c r="B160" i="1"/>
  <c r="G124" i="1"/>
  <c r="J125" i="1"/>
  <c r="BS35" i="1"/>
  <c r="AM73" i="1"/>
  <c r="AN24" i="1"/>
  <c r="AI8" i="1"/>
  <c r="BP14" i="1"/>
  <c r="AU47" i="1"/>
  <c r="AT51" i="1"/>
  <c r="BG35" i="1"/>
  <c r="AY35" i="1"/>
  <c r="AZ14" i="1"/>
  <c r="AO25" i="1"/>
  <c r="AO45" i="1"/>
  <c r="BH39" i="1"/>
  <c r="BW22" i="1"/>
  <c r="BH8" i="1"/>
  <c r="AO39" i="1"/>
  <c r="AM74" i="1"/>
  <c r="BA32" i="1"/>
  <c r="BA194" i="1" s="1"/>
  <c r="AR32" i="1"/>
  <c r="AU9" i="1"/>
  <c r="BH22" i="1"/>
  <c r="AT46" i="1"/>
  <c r="AQ35" i="1"/>
  <c r="BF14" i="1"/>
  <c r="BD13" i="1"/>
  <c r="AO20" i="1"/>
  <c r="AO35" i="1"/>
  <c r="BV36" i="1"/>
  <c r="BO14" i="1"/>
  <c r="BH147" i="1"/>
  <c r="BI147" i="1" s="1"/>
  <c r="BV164" i="1"/>
  <c r="BW164" i="1" s="1"/>
  <c r="BV142" i="1"/>
  <c r="BW142" i="1" s="1"/>
  <c r="BH153" i="1"/>
  <c r="BH183" i="1" s="1"/>
  <c r="BI183" i="1" s="1"/>
  <c r="G172" i="1"/>
  <c r="J170" i="1"/>
  <c r="W171" i="1"/>
  <c r="AR51" i="1"/>
  <c r="BR39" i="1"/>
  <c r="AN35" i="1"/>
  <c r="AP9" i="1"/>
  <c r="AP10" i="1" s="1"/>
  <c r="BF35" i="1"/>
  <c r="BS39" i="1"/>
  <c r="AX13" i="1"/>
  <c r="BC13" i="1"/>
  <c r="BI21" i="1"/>
  <c r="BO35" i="1"/>
  <c r="BU15" i="1"/>
  <c r="BH13" i="1"/>
  <c r="AX8" i="1"/>
  <c r="BE36" i="1"/>
  <c r="BQ21" i="1"/>
  <c r="AX46" i="1"/>
  <c r="AS46" i="1"/>
  <c r="BV122" i="1"/>
  <c r="BW122" i="1" s="1"/>
  <c r="BH145" i="1"/>
  <c r="BH126" i="1"/>
  <c r="BI126" i="1" s="1"/>
  <c r="BH122" i="1"/>
  <c r="BI122" i="1" s="1"/>
  <c r="D145" i="1"/>
  <c r="D180" i="1" s="1"/>
  <c r="F146" i="1"/>
  <c r="W147" i="1"/>
  <c r="S172" i="1"/>
  <c r="B159" i="1"/>
  <c r="G151" i="1"/>
  <c r="H73" i="1"/>
  <c r="AQ25" i="1"/>
  <c r="BU35" i="1"/>
  <c r="AJ74" i="1"/>
  <c r="BH47" i="1"/>
  <c r="BN13" i="1"/>
  <c r="BM35" i="1"/>
  <c r="BW35" i="1"/>
  <c r="AI51" i="1"/>
  <c r="AI45" i="1"/>
  <c r="AS47" i="1"/>
  <c r="BP23" i="1"/>
  <c r="BP35" i="1"/>
  <c r="BH15" i="1"/>
  <c r="BI51" i="1"/>
  <c r="AN15" i="1"/>
  <c r="BB14" i="1"/>
  <c r="BW39" i="1"/>
  <c r="AU35" i="1"/>
  <c r="BH152" i="1"/>
  <c r="BI152" i="1" s="1"/>
  <c r="BV126" i="1"/>
  <c r="BW126" i="1" s="1"/>
  <c r="BH131" i="1"/>
  <c r="C118" i="1"/>
  <c r="O122" i="1"/>
  <c r="J77" i="1"/>
  <c r="J145" i="1"/>
  <c r="J180" i="1" s="1"/>
  <c r="L136" i="1"/>
  <c r="T77" i="1"/>
  <c r="I143" i="1"/>
  <c r="D140" i="1"/>
  <c r="AT13" i="1"/>
  <c r="AI14" i="1"/>
  <c r="BD24" i="1"/>
  <c r="BE25" i="1"/>
  <c r="AX24" i="1"/>
  <c r="AZ45" i="1"/>
  <c r="AN32" i="1"/>
  <c r="BU24" i="1"/>
  <c r="AY20" i="1"/>
  <c r="AS21" i="1"/>
  <c r="BV14" i="1"/>
  <c r="BV149" i="1"/>
  <c r="BW149" i="1" s="1"/>
  <c r="BV124" i="1"/>
  <c r="BW124" i="1" s="1"/>
  <c r="BV127" i="1"/>
  <c r="BW127" i="1" s="1"/>
  <c r="O67" i="1"/>
  <c r="C119" i="1"/>
  <c r="Q147" i="1"/>
  <c r="T132" i="1"/>
  <c r="AU23" i="1"/>
  <c r="AI39" i="1"/>
  <c r="BA25" i="1"/>
  <c r="BQ51" i="1"/>
  <c r="AW8" i="1"/>
  <c r="BA35" i="1"/>
  <c r="BN45" i="1"/>
  <c r="AN13" i="1"/>
  <c r="BD39" i="1"/>
  <c r="AO51" i="1"/>
  <c r="BC15" i="1"/>
  <c r="BS9" i="1"/>
  <c r="AX23" i="1"/>
  <c r="BI36" i="1"/>
  <c r="BU45" i="1"/>
  <c r="AV25" i="1"/>
  <c r="BT45" i="1"/>
  <c r="AP25" i="1"/>
  <c r="AW47" i="1"/>
  <c r="AU46" i="1"/>
  <c r="BT46" i="1"/>
  <c r="BS23" i="1"/>
  <c r="BV35" i="1"/>
  <c r="AN23" i="1"/>
  <c r="AU39" i="1"/>
  <c r="AT47" i="1"/>
  <c r="AN21" i="1"/>
  <c r="BH151" i="1"/>
  <c r="BI151" i="1" s="1"/>
  <c r="B126" i="1"/>
  <c r="B154" i="1" s="1"/>
  <c r="N79" i="1"/>
  <c r="B145" i="1"/>
  <c r="B180" i="1" s="1"/>
  <c r="BI47" i="1"/>
  <c r="AV15" i="1"/>
  <c r="BR15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AS194" i="1" s="1"/>
  <c r="BQ8" i="1"/>
  <c r="BQ231" i="1" s="1"/>
  <c r="BA39" i="1"/>
  <c r="BR25" i="1"/>
  <c r="BT13" i="1"/>
  <c r="AO9" i="1"/>
  <c r="BA46" i="1"/>
  <c r="AU13" i="1"/>
  <c r="BG23" i="1"/>
  <c r="AW32" i="1"/>
  <c r="AW194" i="1" s="1"/>
  <c r="BQ13" i="1"/>
  <c r="AT39" i="1"/>
  <c r="BN39" i="1"/>
  <c r="AO46" i="1"/>
  <c r="BR51" i="1"/>
  <c r="BP9" i="1"/>
  <c r="BI8" i="1"/>
  <c r="AZ32" i="1"/>
  <c r="BE32" i="1"/>
  <c r="BE194" i="1" s="1"/>
  <c r="AV9" i="1"/>
  <c r="AS36" i="1"/>
  <c r="AM46" i="1"/>
  <c r="BH45" i="1"/>
  <c r="BC45" i="1"/>
  <c r="BS15" i="1"/>
  <c r="BS36" i="1"/>
  <c r="AP14" i="1"/>
  <c r="AU32" i="1"/>
  <c r="AU194" i="1" s="1"/>
  <c r="AV13" i="1"/>
  <c r="BJ74" i="1"/>
  <c r="BP21" i="1"/>
  <c r="BV153" i="1"/>
  <c r="BH125" i="1"/>
  <c r="BI125" i="1" s="1"/>
  <c r="BH135" i="1"/>
  <c r="BI135" i="1" s="1"/>
  <c r="K164" i="1"/>
  <c r="N124" i="1"/>
  <c r="P124" i="1"/>
  <c r="D126" i="1"/>
  <c r="D154" i="1" s="1"/>
  <c r="G79" i="1"/>
  <c r="H126" i="1"/>
  <c r="H154" i="1" s="1"/>
  <c r="U127" i="1"/>
  <c r="I136" i="1"/>
  <c r="BB35" i="1"/>
  <c r="AQ20" i="1"/>
  <c r="BU47" i="1"/>
  <c r="BQ24" i="1"/>
  <c r="BD9" i="1"/>
  <c r="BD10" i="1" s="1"/>
  <c r="AR22" i="1"/>
  <c r="BT24" i="1"/>
  <c r="AO21" i="1"/>
  <c r="AY24" i="1"/>
  <c r="AY26" i="1" s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BM45" i="1"/>
  <c r="BK39" i="1"/>
  <c r="BG13" i="1"/>
  <c r="BB15" i="1"/>
  <c r="BK8" i="1"/>
  <c r="AO23" i="1"/>
  <c r="BU13" i="1"/>
  <c r="AN36" i="1"/>
  <c r="AR47" i="1"/>
  <c r="BT21" i="1"/>
  <c r="AU8" i="1"/>
  <c r="BB36" i="1"/>
  <c r="BV47" i="1"/>
  <c r="BT35" i="1"/>
  <c r="BN15" i="1"/>
  <c r="BO13" i="1"/>
  <c r="BB25" i="1"/>
  <c r="BN23" i="1"/>
  <c r="BT9" i="1"/>
  <c r="BD32" i="1"/>
  <c r="BK36" i="1"/>
  <c r="BG14" i="1"/>
  <c r="AM51" i="1"/>
  <c r="BP36" i="1"/>
  <c r="BP252" i="1" s="1"/>
  <c r="AZ36" i="1"/>
  <c r="AZ252" i="1" s="1"/>
  <c r="BO8" i="1"/>
  <c r="BV135" i="1"/>
  <c r="BW135" i="1" s="1"/>
  <c r="M124" i="1"/>
  <c r="W170" i="1"/>
  <c r="I145" i="1"/>
  <c r="I180" i="1" s="1"/>
  <c r="D127" i="1"/>
  <c r="E119" i="1"/>
  <c r="J137" i="1"/>
  <c r="S125" i="1"/>
  <c r="C144" i="1"/>
  <c r="C179" i="1" s="1"/>
  <c r="T160" i="1"/>
  <c r="D137" i="1"/>
  <c r="K117" i="1"/>
  <c r="G171" i="1"/>
  <c r="P144" i="1"/>
  <c r="P179" i="1" s="1"/>
  <c r="C155" i="1"/>
  <c r="N153" i="1"/>
  <c r="N183" i="1" s="1"/>
  <c r="I149" i="1"/>
  <c r="L67" i="1"/>
  <c r="W143" i="1"/>
  <c r="L172" i="1"/>
  <c r="BF46" i="1"/>
  <c r="BH35" i="1"/>
  <c r="BC24" i="1"/>
  <c r="BO24" i="1"/>
  <c r="AS24" i="1"/>
  <c r="AS26" i="1" s="1"/>
  <c r="AV36" i="1"/>
  <c r="BD45" i="1"/>
  <c r="AS15" i="1"/>
  <c r="BE8" i="1"/>
  <c r="BN22" i="1"/>
  <c r="AS13" i="1"/>
  <c r="AZ21" i="1"/>
  <c r="AI32" i="1"/>
  <c r="BV73" i="1"/>
  <c r="BV119" i="1"/>
  <c r="BH144" i="1"/>
  <c r="M145" i="1"/>
  <c r="M180" i="1" s="1"/>
  <c r="F164" i="1"/>
  <c r="L79" i="1"/>
  <c r="B146" i="1"/>
  <c r="T78" i="1"/>
  <c r="S155" i="1"/>
  <c r="J164" i="1"/>
  <c r="W135" i="1"/>
  <c r="W131" i="1" s="1"/>
  <c r="T67" i="1"/>
  <c r="P149" i="1"/>
  <c r="V133" i="1"/>
  <c r="P142" i="1"/>
  <c r="R67" i="1"/>
  <c r="F127" i="1"/>
  <c r="S127" i="1"/>
  <c r="R159" i="1"/>
  <c r="D172" i="1"/>
  <c r="M164" i="1"/>
  <c r="I118" i="1"/>
  <c r="K146" i="1"/>
  <c r="P117" i="1"/>
  <c r="K155" i="1"/>
  <c r="U144" i="1"/>
  <c r="U179" i="1" s="1"/>
  <c r="Q73" i="1"/>
  <c r="R136" i="1"/>
  <c r="S159" i="1"/>
  <c r="N126" i="1"/>
  <c r="N154" i="1" s="1"/>
  <c r="M142" i="1"/>
  <c r="L74" i="1"/>
  <c r="I124" i="1"/>
  <c r="E140" i="1"/>
  <c r="F124" i="1"/>
  <c r="C170" i="1"/>
  <c r="N136" i="1"/>
  <c r="V79" i="1"/>
  <c r="R77" i="1"/>
  <c r="S79" i="1"/>
  <c r="J117" i="1"/>
  <c r="O151" i="1"/>
  <c r="C127" i="1"/>
  <c r="B147" i="1"/>
  <c r="D74" i="1"/>
  <c r="G77" i="1"/>
  <c r="M146" i="1"/>
  <c r="P78" i="1"/>
  <c r="N172" i="1"/>
  <c r="U117" i="1"/>
  <c r="T171" i="1"/>
  <c r="D153" i="1"/>
  <c r="D183" i="1" s="1"/>
  <c r="W137" i="1"/>
  <c r="L117" i="1"/>
  <c r="I146" i="1"/>
  <c r="H124" i="1"/>
  <c r="V118" i="1"/>
  <c r="S147" i="1"/>
  <c r="O117" i="1"/>
  <c r="E151" i="1"/>
  <c r="S149" i="1"/>
  <c r="L155" i="1"/>
  <c r="O132" i="1"/>
  <c r="S122" i="1"/>
  <c r="AW20" i="1"/>
  <c r="BF24" i="1"/>
  <c r="BQ14" i="1"/>
  <c r="AV45" i="1"/>
  <c r="AT24" i="1"/>
  <c r="AN9" i="1"/>
  <c r="BH154" i="1"/>
  <c r="BI154" i="1" s="1"/>
  <c r="BV131" i="1"/>
  <c r="E172" i="1"/>
  <c r="V73" i="1"/>
  <c r="R171" i="1"/>
  <c r="W153" i="1"/>
  <c r="T170" i="1"/>
  <c r="B150" i="1"/>
  <c r="C117" i="1"/>
  <c r="F135" i="1"/>
  <c r="F131" i="1" s="1"/>
  <c r="Q136" i="1"/>
  <c r="M153" i="1"/>
  <c r="M183" i="1" s="1"/>
  <c r="O155" i="1"/>
  <c r="G155" i="1"/>
  <c r="F170" i="1"/>
  <c r="E170" i="1"/>
  <c r="S135" i="1"/>
  <c r="S131" i="1" s="1"/>
  <c r="V122" i="1"/>
  <c r="R151" i="1"/>
  <c r="G118" i="1"/>
  <c r="P118" i="1"/>
  <c r="L159" i="1"/>
  <c r="B151" i="1"/>
  <c r="W127" i="1"/>
  <c r="Q142" i="1"/>
  <c r="E78" i="1"/>
  <c r="H119" i="1"/>
  <c r="U132" i="1"/>
  <c r="S117" i="1"/>
  <c r="R142" i="1"/>
  <c r="L73" i="1"/>
  <c r="P146" i="1"/>
  <c r="V147" i="1"/>
  <c r="N135" i="1"/>
  <c r="N131" i="1" s="1"/>
  <c r="C135" i="1"/>
  <c r="M147" i="1"/>
  <c r="B124" i="1"/>
  <c r="P171" i="1"/>
  <c r="V164" i="1"/>
  <c r="R146" i="1"/>
  <c r="O126" i="1"/>
  <c r="O154" i="1" s="1"/>
  <c r="K150" i="1"/>
  <c r="R135" i="1"/>
  <c r="R131" i="1" s="1"/>
  <c r="W149" i="1"/>
  <c r="J144" i="1"/>
  <c r="J179" i="1" s="1"/>
  <c r="T142" i="1"/>
  <c r="L140" i="1"/>
  <c r="BO32" i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H160" i="1"/>
  <c r="K160" i="1"/>
  <c r="M155" i="1"/>
  <c r="B171" i="1"/>
  <c r="G144" i="1"/>
  <c r="G179" i="1" s="1"/>
  <c r="I171" i="1"/>
  <c r="M137" i="1"/>
  <c r="S163" i="1"/>
  <c r="F118" i="1"/>
  <c r="D143" i="1"/>
  <c r="T135" i="1"/>
  <c r="T131" i="1" s="1"/>
  <c r="R127" i="1"/>
  <c r="R164" i="1"/>
  <c r="R74" i="1"/>
  <c r="S140" i="1"/>
  <c r="I135" i="1"/>
  <c r="I131" i="1" s="1"/>
  <c r="B172" i="1"/>
  <c r="E146" i="1"/>
  <c r="C145" i="1"/>
  <c r="C180" i="1" s="1"/>
  <c r="H118" i="1"/>
  <c r="L119" i="1"/>
  <c r="I133" i="1"/>
  <c r="I126" i="1"/>
  <c r="I154" i="1" s="1"/>
  <c r="V117" i="1"/>
  <c r="M119" i="1"/>
  <c r="N67" i="1"/>
  <c r="N132" i="1"/>
  <c r="W118" i="1"/>
  <c r="Q163" i="1"/>
  <c r="E136" i="1"/>
  <c r="K67" i="1"/>
  <c r="V127" i="1"/>
  <c r="R79" i="1"/>
  <c r="V159" i="1"/>
  <c r="B140" i="1"/>
  <c r="P137" i="1"/>
  <c r="E117" i="1"/>
  <c r="J163" i="1"/>
  <c r="D151" i="1"/>
  <c r="K171" i="1"/>
  <c r="T15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V145" i="1"/>
  <c r="BV125" i="1"/>
  <c r="BW125" i="1" s="1"/>
  <c r="B132" i="1"/>
  <c r="L118" i="1"/>
  <c r="U164" i="1"/>
  <c r="B79" i="1"/>
  <c r="Q149" i="1"/>
  <c r="V151" i="1"/>
  <c r="G145" i="1"/>
  <c r="G180" i="1" s="1"/>
  <c r="F133" i="1"/>
  <c r="L133" i="1"/>
  <c r="C77" i="1"/>
  <c r="K77" i="1"/>
  <c r="Q78" i="1"/>
  <c r="H150" i="1"/>
  <c r="C137" i="1"/>
  <c r="G147" i="1"/>
  <c r="C143" i="1"/>
  <c r="N146" i="1"/>
  <c r="I125" i="1"/>
  <c r="V160" i="1"/>
  <c r="N73" i="1"/>
  <c r="U73" i="1"/>
  <c r="D78" i="1"/>
  <c r="M171" i="1"/>
  <c r="O119" i="1"/>
  <c r="V150" i="1"/>
  <c r="V77" i="1"/>
  <c r="U149" i="1"/>
  <c r="W150" i="1"/>
  <c r="E150" i="1"/>
  <c r="S136" i="1"/>
  <c r="Q145" i="1"/>
  <c r="Q180" i="1" s="1"/>
  <c r="C151" i="1"/>
  <c r="U74" i="1"/>
  <c r="E77" i="1"/>
  <c r="P136" i="1"/>
  <c r="I147" i="1"/>
  <c r="C132" i="1"/>
  <c r="S119" i="1"/>
  <c r="C131" i="1"/>
  <c r="U137" i="1"/>
  <c r="AI36" i="1"/>
  <c r="BV8" i="1"/>
  <c r="BV231" i="1" s="1"/>
  <c r="AS9" i="1"/>
  <c r="AY45" i="1"/>
  <c r="BN51" i="1"/>
  <c r="BW25" i="1"/>
  <c r="AT45" i="1"/>
  <c r="AQ39" i="1"/>
  <c r="BJ32" i="1"/>
  <c r="BJ253" i="1" s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V117" i="1"/>
  <c r="BW117" i="1" s="1"/>
  <c r="W136" i="1"/>
  <c r="D160" i="1"/>
  <c r="U122" i="1"/>
  <c r="D125" i="1"/>
  <c r="F160" i="1"/>
  <c r="H172" i="1"/>
  <c r="M140" i="1"/>
  <c r="N202" i="1" s="1"/>
  <c r="U136" i="1"/>
  <c r="P135" i="1"/>
  <c r="P131" i="1" s="1"/>
  <c r="F147" i="1"/>
  <c r="W126" i="1"/>
  <c r="W154" i="1" s="1"/>
  <c r="R124" i="1"/>
  <c r="W151" i="1"/>
  <c r="W78" i="1"/>
  <c r="L164" i="1"/>
  <c r="P159" i="1"/>
  <c r="P161" i="1" s="1"/>
  <c r="Q209" i="1" s="1"/>
  <c r="T145" i="1"/>
  <c r="T180" i="1" s="1"/>
  <c r="V137" i="1"/>
  <c r="Q74" i="1"/>
  <c r="F136" i="1"/>
  <c r="M151" i="1"/>
  <c r="H135" i="1"/>
  <c r="H131" i="1" s="1"/>
  <c r="J142" i="1"/>
  <c r="F171" i="1"/>
  <c r="V78" i="1"/>
  <c r="W74" i="1"/>
  <c r="E142" i="1"/>
  <c r="V136" i="1"/>
  <c r="T127" i="1"/>
  <c r="C142" i="1"/>
  <c r="E118" i="1"/>
  <c r="W79" i="1"/>
  <c r="V143" i="1"/>
  <c r="G73" i="1"/>
  <c r="Q171" i="1"/>
  <c r="N117" i="1"/>
  <c r="U78" i="1"/>
  <c r="H79" i="1"/>
  <c r="V125" i="1"/>
  <c r="H127" i="1"/>
  <c r="C146" i="1"/>
  <c r="J171" i="1"/>
  <c r="V145" i="1"/>
  <c r="V180" i="1" s="1"/>
  <c r="B163" i="1"/>
  <c r="N160" i="1"/>
  <c r="C122" i="1"/>
  <c r="T159" i="1"/>
  <c r="J151" i="1"/>
  <c r="K172" i="1"/>
  <c r="D131" i="1"/>
  <c r="W164" i="1"/>
  <c r="O149" i="1"/>
  <c r="BU9" i="1"/>
  <c r="BC22" i="1"/>
  <c r="AU21" i="1"/>
  <c r="BF45" i="1"/>
  <c r="AS45" i="1"/>
  <c r="BI9" i="1"/>
  <c r="BI10" i="1" s="1"/>
  <c r="BI25" i="1"/>
  <c r="BV140" i="1"/>
  <c r="BW140" i="1" s="1"/>
  <c r="BX202" i="1" s="1"/>
  <c r="BV147" i="1"/>
  <c r="BW147" i="1" s="1"/>
  <c r="BV144" i="1"/>
  <c r="BV179" i="1" s="1"/>
  <c r="BW179" i="1" s="1"/>
  <c r="BV150" i="1"/>
  <c r="BW150" i="1" s="1"/>
  <c r="BH159" i="1"/>
  <c r="BH161" i="1" s="1"/>
  <c r="BV133" i="1"/>
  <c r="U171" i="1"/>
  <c r="E137" i="1"/>
  <c r="T133" i="1"/>
  <c r="W73" i="1"/>
  <c r="R118" i="1"/>
  <c r="E122" i="1"/>
  <c r="L127" i="1"/>
  <c r="S151" i="1"/>
  <c r="G132" i="1"/>
  <c r="L132" i="1"/>
  <c r="V144" i="1"/>
  <c r="V179" i="1" s="1"/>
  <c r="Q119" i="1"/>
  <c r="F126" i="1"/>
  <c r="F154" i="1" s="1"/>
  <c r="O135" i="1"/>
  <c r="O131" i="1" s="1"/>
  <c r="J140" i="1"/>
  <c r="M118" i="1"/>
  <c r="T73" i="1"/>
  <c r="B153" i="1"/>
  <c r="B183" i="1" s="1"/>
  <c r="E153" i="1"/>
  <c r="E183" i="1" s="1"/>
  <c r="S77" i="1"/>
  <c r="D79" i="1"/>
  <c r="G146" i="1"/>
  <c r="G142" i="1"/>
  <c r="N142" i="1"/>
  <c r="D170" i="1"/>
  <c r="K145" i="1"/>
  <c r="K180" i="1" s="1"/>
  <c r="L135" i="1"/>
  <c r="L131" i="1" s="1"/>
  <c r="L134" i="1" s="1"/>
  <c r="I155" i="1"/>
  <c r="P163" i="1"/>
  <c r="U119" i="1"/>
  <c r="M73" i="1"/>
  <c r="D135" i="1"/>
  <c r="L125" i="1"/>
  <c r="AI21" i="1"/>
  <c r="BS14" i="1"/>
  <c r="BM24" i="1"/>
  <c r="BP20" i="1"/>
  <c r="BM32" i="1"/>
  <c r="BT14" i="1"/>
  <c r="BC39" i="1"/>
  <c r="BO22" i="1"/>
  <c r="BJ9" i="1"/>
  <c r="BJ10" i="1" s="1"/>
  <c r="BJ16" i="1" s="1"/>
  <c r="BJ28" i="1" s="1"/>
  <c r="BM21" i="1"/>
  <c r="BM26" i="1" s="1"/>
  <c r="BK22" i="1"/>
  <c r="BO20" i="1"/>
  <c r="BD14" i="1"/>
  <c r="BE21" i="1"/>
  <c r="BK13" i="1"/>
  <c r="BR9" i="1"/>
  <c r="BR10" i="1" s="1"/>
  <c r="AX25" i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T79" i="1"/>
  <c r="O127" i="1"/>
  <c r="K118" i="1"/>
  <c r="H159" i="1"/>
  <c r="C159" i="1"/>
  <c r="M67" i="1"/>
  <c r="T119" i="1"/>
  <c r="H67" i="1"/>
  <c r="U79" i="1"/>
  <c r="O163" i="1"/>
  <c r="F163" i="1"/>
  <c r="B63" i="1"/>
  <c r="C63" i="1"/>
  <c r="K133" i="1"/>
  <c r="W144" i="1"/>
  <c r="G140" i="1"/>
  <c r="Q164" i="1"/>
  <c r="R172" i="1"/>
  <c r="B122" i="1"/>
  <c r="Q132" i="1"/>
  <c r="E163" i="1"/>
  <c r="Q126" i="1"/>
  <c r="Q154" i="1" s="1"/>
  <c r="H78" i="1"/>
  <c r="V126" i="1"/>
  <c r="V154" i="1" s="1"/>
  <c r="P145" i="1"/>
  <c r="P180" i="1" s="1"/>
  <c r="H145" i="1"/>
  <c r="H180" i="1" s="1"/>
  <c r="B142" i="1"/>
  <c r="H144" i="1"/>
  <c r="H164" i="1"/>
  <c r="C149" i="1"/>
  <c r="I119" i="1"/>
  <c r="I122" i="1"/>
  <c r="J143" i="1"/>
  <c r="E145" i="1"/>
  <c r="E180" i="1" s="1"/>
  <c r="N137" i="1"/>
  <c r="S73" i="1"/>
  <c r="D147" i="1"/>
  <c r="M163" i="1"/>
  <c r="P147" i="1"/>
  <c r="L171" i="1"/>
  <c r="L78" i="1"/>
  <c r="U124" i="1"/>
  <c r="E73" i="1"/>
  <c r="D164" i="1"/>
  <c r="L143" i="1"/>
  <c r="K127" i="1"/>
  <c r="M79" i="1"/>
  <c r="T164" i="1"/>
  <c r="E125" i="1"/>
  <c r="V153" i="1"/>
  <c r="V183" i="1" s="1"/>
  <c r="G149" i="1"/>
  <c r="F73" i="1"/>
  <c r="G126" i="1"/>
  <c r="G154" i="1" s="1"/>
  <c r="U67" i="1"/>
  <c r="Q170" i="1"/>
  <c r="C64" i="1"/>
  <c r="N77" i="1"/>
  <c r="E171" i="1"/>
  <c r="S118" i="1"/>
  <c r="C79" i="1"/>
  <c r="E74" i="1"/>
  <c r="P150" i="1"/>
  <c r="C74" i="1"/>
  <c r="G122" i="1"/>
  <c r="O125" i="1"/>
  <c r="F137" i="1"/>
  <c r="B67" i="1"/>
  <c r="I163" i="1"/>
  <c r="J73" i="1"/>
  <c r="J155" i="1"/>
  <c r="T172" i="1"/>
  <c r="N133" i="1"/>
  <c r="U172" i="1"/>
  <c r="R117" i="1"/>
  <c r="D142" i="1"/>
  <c r="D64" i="1"/>
  <c r="F149" i="1"/>
  <c r="S126" i="1"/>
  <c r="S154" i="1" s="1"/>
  <c r="B135" i="1"/>
  <c r="B131" i="1"/>
  <c r="R122" i="1"/>
  <c r="B78" i="1"/>
  <c r="M143" i="1"/>
  <c r="F67" i="1"/>
  <c r="I132" i="1"/>
  <c r="S78" i="1"/>
  <c r="P77" i="1"/>
  <c r="M144" i="1"/>
  <c r="M179" i="1" s="1"/>
  <c r="G117" i="1"/>
  <c r="R132" i="1"/>
  <c r="R73" i="1"/>
  <c r="D63" i="1"/>
  <c r="H74" i="1"/>
  <c r="S171" i="1"/>
  <c r="S160" i="1"/>
  <c r="V172" i="1"/>
  <c r="J153" i="1"/>
  <c r="J183" i="1" s="1"/>
  <c r="O133" i="1"/>
  <c r="L170" i="1"/>
  <c r="H163" i="1"/>
  <c r="N171" i="1"/>
  <c r="H171" i="1"/>
  <c r="D77" i="1"/>
  <c r="D171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Q161" i="1" s="1"/>
  <c r="I67" i="1"/>
  <c r="C163" i="1"/>
  <c r="Q79" i="1"/>
  <c r="V142" i="1"/>
  <c r="S170" i="1"/>
  <c r="J124" i="1"/>
  <c r="U150" i="1"/>
  <c r="M125" i="1"/>
  <c r="U160" i="1"/>
  <c r="O73" i="1"/>
  <c r="D124" i="1"/>
  <c r="D128" i="1" s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BN135" i="1"/>
  <c r="BO135" i="1" s="1"/>
  <c r="BB152" i="1"/>
  <c r="BC152" i="1" s="1"/>
  <c r="BU74" i="1"/>
  <c r="AZ125" i="1"/>
  <c r="BA12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P194" i="1"/>
  <c r="AP253" i="1"/>
  <c r="AZ231" i="1"/>
  <c r="AY231" i="1"/>
  <c r="BP194" i="1"/>
  <c r="BI194" i="1"/>
  <c r="CQ134" i="1"/>
  <c r="DB77" i="1"/>
  <c r="CY65" i="1"/>
  <c r="CZ63" i="1"/>
  <c r="AX253" i="1" l="1"/>
  <c r="BU194" i="1"/>
  <c r="F202" i="1"/>
  <c r="G202" i="1"/>
  <c r="C173" i="1"/>
  <c r="J173" i="1"/>
  <c r="K173" i="1"/>
  <c r="H156" i="1"/>
  <c r="H185" i="1" s="1"/>
  <c r="L202" i="1"/>
  <c r="C65" i="1"/>
  <c r="BC10" i="1"/>
  <c r="AW10" i="1"/>
  <c r="AR26" i="1"/>
  <c r="AO252" i="1"/>
  <c r="BM252" i="1"/>
  <c r="H128" i="1"/>
  <c r="BF26" i="1"/>
  <c r="F134" i="1"/>
  <c r="F33" i="1" s="1"/>
  <c r="BT133" i="1"/>
  <c r="AT142" i="1"/>
  <c r="BF155" i="1"/>
  <c r="BG155" i="1" s="1"/>
  <c r="AP131" i="1"/>
  <c r="BI149" i="1"/>
  <c r="AY252" i="1"/>
  <c r="AN194" i="1"/>
  <c r="AN33" i="1"/>
  <c r="AY253" i="1"/>
  <c r="BM37" i="1"/>
  <c r="AW253" i="1"/>
  <c r="AV26" i="1"/>
  <c r="BV183" i="1"/>
  <c r="BI253" i="1"/>
  <c r="BJ194" i="1"/>
  <c r="AZ253" i="1"/>
  <c r="AZ194" i="1"/>
  <c r="AW252" i="1"/>
  <c r="AW231" i="1"/>
  <c r="AM48" i="1"/>
  <c r="AI37" i="1"/>
  <c r="IS20" i="4"/>
  <c r="BM79" i="1" s="1"/>
  <c r="BM108" i="1" s="1"/>
  <c r="HR7" i="4"/>
  <c r="BZ96" i="1"/>
  <c r="BZ108" i="1"/>
  <c r="BZ111" i="1" s="1"/>
  <c r="HP21" i="4"/>
  <c r="AJ77" i="1" s="1"/>
  <c r="ID16" i="4"/>
  <c r="IS16" i="4"/>
  <c r="BC26" i="1"/>
  <c r="AP26" i="1"/>
  <c r="E202" i="1"/>
  <c r="S134" i="1"/>
  <c r="S120" i="1"/>
  <c r="O156" i="1"/>
  <c r="V161" i="1"/>
  <c r="W209" i="1" s="1"/>
  <c r="C202" i="1"/>
  <c r="K202" i="1"/>
  <c r="U173" i="1"/>
  <c r="R202" i="1"/>
  <c r="S128" i="1"/>
  <c r="G134" i="1"/>
  <c r="C128" i="1"/>
  <c r="Q202" i="1"/>
  <c r="E134" i="1"/>
  <c r="Q120" i="1"/>
  <c r="F161" i="1"/>
  <c r="O202" i="1"/>
  <c r="T120" i="1"/>
  <c r="W134" i="1"/>
  <c r="G161" i="1"/>
  <c r="I148" i="1"/>
  <c r="BB117" i="1"/>
  <c r="AZ10" i="1"/>
  <c r="AZ16" i="1" s="1"/>
  <c r="AX26" i="1"/>
  <c r="BA26" i="1"/>
  <c r="BV26" i="1"/>
  <c r="N134" i="1"/>
  <c r="BW26" i="1"/>
  <c r="AN252" i="1"/>
  <c r="E173" i="1"/>
  <c r="U134" i="1"/>
  <c r="BG26" i="1"/>
  <c r="BT252" i="1"/>
  <c r="BG252" i="1"/>
  <c r="AX252" i="1"/>
  <c r="K161" i="1"/>
  <c r="B173" i="1"/>
  <c r="D161" i="1"/>
  <c r="G120" i="1"/>
  <c r="D65" i="1"/>
  <c r="D107" i="1" s="1"/>
  <c r="V173" i="1"/>
  <c r="D173" i="1"/>
  <c r="U202" i="1"/>
  <c r="L161" i="1"/>
  <c r="H161" i="1"/>
  <c r="K134" i="1"/>
  <c r="H173" i="1"/>
  <c r="J202" i="1"/>
  <c r="AT180" i="1"/>
  <c r="AU180" i="1" s="1"/>
  <c r="AP179" i="1"/>
  <c r="AQ179" i="1" s="1"/>
  <c r="BD231" i="1"/>
  <c r="BD252" i="1"/>
  <c r="AR231" i="1"/>
  <c r="AR252" i="1"/>
  <c r="BP231" i="1"/>
  <c r="BP253" i="1"/>
  <c r="BP10" i="1"/>
  <c r="BI231" i="1"/>
  <c r="BI252" i="1"/>
  <c r="BR194" i="1"/>
  <c r="BR253" i="1"/>
  <c r="BN194" i="1"/>
  <c r="BN33" i="1"/>
  <c r="AO253" i="1"/>
  <c r="AO231" i="1"/>
  <c r="AO10" i="1"/>
  <c r="BK10" i="1"/>
  <c r="BK231" i="1"/>
  <c r="BL98" i="1"/>
  <c r="BL99" i="1" s="1"/>
  <c r="AU10" i="1"/>
  <c r="AU253" i="1"/>
  <c r="AU231" i="1"/>
  <c r="BV10" i="1"/>
  <c r="BV16" i="1" s="1"/>
  <c r="BV134" i="1"/>
  <c r="BV252" i="1"/>
  <c r="H184" i="1"/>
  <c r="BC252" i="1"/>
  <c r="AI26" i="1"/>
  <c r="BH26" i="1"/>
  <c r="BU26" i="1"/>
  <c r="W173" i="1"/>
  <c r="I173" i="1"/>
  <c r="BW128" i="1"/>
  <c r="BD26" i="1"/>
  <c r="C120" i="1"/>
  <c r="BS252" i="1"/>
  <c r="P128" i="1"/>
  <c r="BT26" i="1"/>
  <c r="G173" i="1"/>
  <c r="BH179" i="1"/>
  <c r="BI179" i="1" s="1"/>
  <c r="P148" i="1"/>
  <c r="P182" i="1" s="1"/>
  <c r="P120" i="1"/>
  <c r="O134" i="1"/>
  <c r="BR26" i="1"/>
  <c r="BR27" i="1" s="1"/>
  <c r="BQ10" i="1"/>
  <c r="AR10" i="1"/>
  <c r="AN26" i="1"/>
  <c r="AT26" i="1"/>
  <c r="BN26" i="1"/>
  <c r="BV180" i="1"/>
  <c r="BW180" i="1" s="1"/>
  <c r="G148" i="1"/>
  <c r="V156" i="1"/>
  <c r="C134" i="1"/>
  <c r="BH10" i="1"/>
  <c r="BI128" i="1"/>
  <c r="M202" i="1"/>
  <c r="H134" i="1"/>
  <c r="J148" i="1"/>
  <c r="F173" i="1"/>
  <c r="V148" i="1"/>
  <c r="T161" i="1"/>
  <c r="BI26" i="1"/>
  <c r="T134" i="1"/>
  <c r="S156" i="1"/>
  <c r="BK26" i="1"/>
  <c r="BV161" i="1"/>
  <c r="BW209" i="1" s="1"/>
  <c r="C161" i="1"/>
  <c r="H148" i="1"/>
  <c r="O128" i="1"/>
  <c r="R120" i="1"/>
  <c r="F156" i="1"/>
  <c r="F185" i="1" s="1"/>
  <c r="J161" i="1"/>
  <c r="V134" i="1"/>
  <c r="I128" i="1"/>
  <c r="M161" i="1"/>
  <c r="J134" i="1"/>
  <c r="R161" i="1"/>
  <c r="K148" i="1"/>
  <c r="T148" i="1"/>
  <c r="M134" i="1"/>
  <c r="N156" i="1"/>
  <c r="W128" i="1"/>
  <c r="D120" i="1"/>
  <c r="I120" i="1"/>
  <c r="Q128" i="1"/>
  <c r="S148" i="1"/>
  <c r="L148" i="1"/>
  <c r="T156" i="1"/>
  <c r="K128" i="1"/>
  <c r="N173" i="1"/>
  <c r="V120" i="1"/>
  <c r="Q156" i="1"/>
  <c r="Q185" i="1" s="1"/>
  <c r="E148" i="1"/>
  <c r="B128" i="1"/>
  <c r="G128" i="1"/>
  <c r="F120" i="1"/>
  <c r="BP179" i="1"/>
  <c r="BQ179" i="1" s="1"/>
  <c r="AZ180" i="1"/>
  <c r="BA180" i="1" s="1"/>
  <c r="BT179" i="1"/>
  <c r="BU179" i="1" s="1"/>
  <c r="BT183" i="1"/>
  <c r="BU183" i="1" s="1"/>
  <c r="BP180" i="1"/>
  <c r="BQ180" i="1" s="1"/>
  <c r="AZ179" i="1"/>
  <c r="BA179" i="1" s="1"/>
  <c r="AR183" i="1"/>
  <c r="AS183" i="1" s="1"/>
  <c r="AV183" i="1"/>
  <c r="AW183" i="1" s="1"/>
  <c r="AT183" i="1"/>
  <c r="AU183" i="1" s="1"/>
  <c r="AR179" i="1"/>
  <c r="AS179" i="1" s="1"/>
  <c r="BP183" i="1"/>
  <c r="BQ183" i="1" s="1"/>
  <c r="BH202" i="1"/>
  <c r="BT180" i="1"/>
  <c r="BU180" i="1" s="1"/>
  <c r="R148" i="1"/>
  <c r="Q134" i="1"/>
  <c r="AP183" i="1"/>
  <c r="AQ183" i="1" s="1"/>
  <c r="AV180" i="1"/>
  <c r="AW180" i="1" s="1"/>
  <c r="BD179" i="1"/>
  <c r="BE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T253" i="1"/>
  <c r="J128" i="1"/>
  <c r="AT231" i="1"/>
  <c r="AT10" i="1"/>
  <c r="BU231" i="1"/>
  <c r="BU10" i="1"/>
  <c r="AV231" i="1"/>
  <c r="AW98" i="1"/>
  <c r="AW99" i="1" s="1"/>
  <c r="AV10" i="1"/>
  <c r="AN231" i="1"/>
  <c r="AO98" i="1"/>
  <c r="AO99" i="1" s="1"/>
  <c r="AN98" i="1"/>
  <c r="AN99" i="1" s="1"/>
  <c r="AN10" i="1"/>
  <c r="AP98" i="1"/>
  <c r="AP99" i="1" s="1"/>
  <c r="AN253" i="1"/>
  <c r="AT194" i="1"/>
  <c r="AT253" i="1"/>
  <c r="BJ98" i="1"/>
  <c r="BJ99" i="1" s="1"/>
  <c r="BG253" i="1"/>
  <c r="BG10" i="1"/>
  <c r="BG231" i="1"/>
  <c r="BC194" i="1"/>
  <c r="BC253" i="1"/>
  <c r="BT231" i="1"/>
  <c r="BT10" i="1"/>
  <c r="BI118" i="1"/>
  <c r="BH120" i="1"/>
  <c r="BS231" i="1"/>
  <c r="BV98" i="1"/>
  <c r="BV99" i="1" s="1"/>
  <c r="BS10" i="1"/>
  <c r="BU98" i="1"/>
  <c r="BU99" i="1" s="1"/>
  <c r="BS253" i="1"/>
  <c r="AV194" i="1"/>
  <c r="AV253" i="1"/>
  <c r="BK253" i="1"/>
  <c r="BK33" i="1"/>
  <c r="BK203" i="1"/>
  <c r="BK201" i="1" s="1"/>
  <c r="BK194" i="1"/>
  <c r="AI182" i="1"/>
  <c r="AI10" i="1"/>
  <c r="AL98" i="1"/>
  <c r="AL99" i="1" s="1"/>
  <c r="AI180" i="1"/>
  <c r="AI183" i="1"/>
  <c r="AI185" i="1"/>
  <c r="AI179" i="1"/>
  <c r="AI231" i="1"/>
  <c r="BH231" i="1"/>
  <c r="BH180" i="1"/>
  <c r="BI180" i="1" s="1"/>
  <c r="BK98" i="1"/>
  <c r="BK99" i="1" s="1"/>
  <c r="BH252" i="1"/>
  <c r="BH253" i="1"/>
  <c r="AR194" i="1"/>
  <c r="AR253" i="1"/>
  <c r="BD194" i="1"/>
  <c r="BD253" i="1"/>
  <c r="BK37" i="1"/>
  <c r="BK252" i="1"/>
  <c r="BO252" i="1"/>
  <c r="BO231" i="1"/>
  <c r="BO10" i="1"/>
  <c r="BE231" i="1"/>
  <c r="BE10" i="1"/>
  <c r="BE252" i="1"/>
  <c r="BH98" i="1"/>
  <c r="BH99" i="1" s="1"/>
  <c r="BG98" i="1"/>
  <c r="BG99" i="1" s="1"/>
  <c r="BG103" i="1" s="1"/>
  <c r="BE253" i="1"/>
  <c r="AI194" i="1"/>
  <c r="AI203" i="1"/>
  <c r="AI201" i="1" s="1"/>
  <c r="AI33" i="1"/>
  <c r="BO194" i="1"/>
  <c r="BO253" i="1"/>
  <c r="BF253" i="1"/>
  <c r="BF10" i="1"/>
  <c r="BI98" i="1"/>
  <c r="BI99" i="1" s="1"/>
  <c r="BF231" i="1"/>
  <c r="BI140" i="1"/>
  <c r="BJ202" i="1" s="1"/>
  <c r="BI202" i="1"/>
  <c r="T202" i="1"/>
  <c r="S202" i="1"/>
  <c r="BM194" i="1"/>
  <c r="BM33" i="1"/>
  <c r="BM203" i="1"/>
  <c r="BM201" i="1" s="1"/>
  <c r="BB98" i="1"/>
  <c r="BB99" i="1" s="1"/>
  <c r="BA10" i="1"/>
  <c r="BN253" i="1"/>
  <c r="BF179" i="1"/>
  <c r="BG179" i="1" s="1"/>
  <c r="K120" i="1"/>
  <c r="I202" i="1"/>
  <c r="B156" i="1"/>
  <c r="O148" i="1"/>
  <c r="Q173" i="1"/>
  <c r="F148" i="1"/>
  <c r="P156" i="1"/>
  <c r="T128" i="1"/>
  <c r="B120" i="1"/>
  <c r="O120" i="1"/>
  <c r="O175" i="1" s="1"/>
  <c r="K156" i="1"/>
  <c r="K185" i="1" s="1"/>
  <c r="F138" i="1"/>
  <c r="U128" i="1"/>
  <c r="U249" i="1" s="1"/>
  <c r="U251" i="1" s="1"/>
  <c r="C156" i="1"/>
  <c r="C185" i="1" s="1"/>
  <c r="R173" i="1"/>
  <c r="BO26" i="1"/>
  <c r="L128" i="1"/>
  <c r="D134" i="1"/>
  <c r="BQ26" i="1"/>
  <c r="C148" i="1"/>
  <c r="AU26" i="1"/>
  <c r="T173" i="1"/>
  <c r="AW26" i="1"/>
  <c r="AW27" i="1" s="1"/>
  <c r="J120" i="1"/>
  <c r="S161" i="1"/>
  <c r="F128" i="1"/>
  <c r="AV252" i="1"/>
  <c r="M128" i="1"/>
  <c r="AO26" i="1"/>
  <c r="D156" i="1"/>
  <c r="BS26" i="1"/>
  <c r="S173" i="1"/>
  <c r="AX98" i="1"/>
  <c r="AX99" i="1" s="1"/>
  <c r="BE26" i="1"/>
  <c r="AZ26" i="1"/>
  <c r="BW253" i="1"/>
  <c r="U148" i="1"/>
  <c r="U182" i="1" s="1"/>
  <c r="U181" i="1" s="1"/>
  <c r="BR252" i="1"/>
  <c r="BB26" i="1"/>
  <c r="AU252" i="1"/>
  <c r="BN10" i="1"/>
  <c r="BP26" i="1"/>
  <c r="AQ26" i="1"/>
  <c r="BM10" i="1"/>
  <c r="BM225" i="1" s="1"/>
  <c r="J156" i="1"/>
  <c r="R128" i="1"/>
  <c r="H120" i="1"/>
  <c r="U161" i="1"/>
  <c r="L173" i="1"/>
  <c r="D148" i="1"/>
  <c r="B148" i="1"/>
  <c r="B134" i="1"/>
  <c r="U120" i="1"/>
  <c r="BJ27" i="1"/>
  <c r="BE98" i="1"/>
  <c r="BE99" i="1" s="1"/>
  <c r="BM98" i="1"/>
  <c r="BM99" i="1" s="1"/>
  <c r="BM231" i="1"/>
  <c r="U156" i="1"/>
  <c r="O173" i="1"/>
  <c r="V128" i="1"/>
  <c r="N128" i="1"/>
  <c r="P134" i="1"/>
  <c r="P138" i="1" s="1"/>
  <c r="M173" i="1"/>
  <c r="I134" i="1"/>
  <c r="P173" i="1"/>
  <c r="BC98" i="1"/>
  <c r="BC99" i="1" s="1"/>
  <c r="BN183" i="1"/>
  <c r="BO183" i="1" s="1"/>
  <c r="BP98" i="1"/>
  <c r="BP99" i="1" s="1"/>
  <c r="BP103" i="1" s="1"/>
  <c r="BO98" i="1"/>
  <c r="BO99" i="1" s="1"/>
  <c r="BO102" i="1" s="1"/>
  <c r="BN252" i="1"/>
  <c r="BN180" i="1"/>
  <c r="BO180" i="1" s="1"/>
  <c r="BF183" i="1"/>
  <c r="BG183" i="1" s="1"/>
  <c r="I161" i="1"/>
  <c r="BN98" i="1"/>
  <c r="BN99" i="1" s="1"/>
  <c r="BN104" i="1" s="1"/>
  <c r="BA253" i="1"/>
  <c r="BB10" i="1"/>
  <c r="BF98" i="1"/>
  <c r="BF99" i="1" s="1"/>
  <c r="BD98" i="1"/>
  <c r="BD99" i="1" s="1"/>
  <c r="BA252" i="1"/>
  <c r="BB253" i="1"/>
  <c r="BF252" i="1"/>
  <c r="BB183" i="1"/>
  <c r="BC183" i="1" s="1"/>
  <c r="BR180" i="1"/>
  <c r="BS180" i="1" s="1"/>
  <c r="AZ183" i="1"/>
  <c r="BA183" i="1" s="1"/>
  <c r="H179" i="1"/>
  <c r="BB180" i="1"/>
  <c r="BC180" i="1" s="1"/>
  <c r="BB252" i="1"/>
  <c r="BM253" i="1"/>
  <c r="BV120" i="1"/>
  <c r="BB179" i="1"/>
  <c r="BC179" i="1" s="1"/>
  <c r="BD183" i="1"/>
  <c r="BE183" i="1" s="1"/>
  <c r="BD180" i="1"/>
  <c r="BE180" i="1" s="1"/>
  <c r="BF180" i="1"/>
  <c r="BG180" i="1" s="1"/>
  <c r="AT179" i="1"/>
  <c r="AU179" i="1" s="1"/>
  <c r="L156" i="1"/>
  <c r="R156" i="1"/>
  <c r="BH134" i="1"/>
  <c r="E156" i="1"/>
  <c r="E128" i="1"/>
  <c r="BH128" i="1"/>
  <c r="G156" i="1"/>
  <c r="BJ17" i="1"/>
  <c r="BW202" i="1"/>
  <c r="BV128" i="1"/>
  <c r="BZ98" i="1"/>
  <c r="BZ99" i="1" s="1"/>
  <c r="H202" i="1"/>
  <c r="BR98" i="1"/>
  <c r="BR99" i="1" s="1"/>
  <c r="BR103" i="1" s="1"/>
  <c r="I156" i="1"/>
  <c r="N148" i="1"/>
  <c r="N120" i="1"/>
  <c r="AV98" i="1"/>
  <c r="AV99" i="1" s="1"/>
  <c r="BQ98" i="1"/>
  <c r="BQ99" i="1" s="1"/>
  <c r="AT98" i="1"/>
  <c r="AT99" i="1" s="1"/>
  <c r="AT104" i="1" s="1"/>
  <c r="AZ98" i="1"/>
  <c r="AZ99" i="1" s="1"/>
  <c r="AZ102" i="1" s="1"/>
  <c r="BH156" i="1"/>
  <c r="BH185" i="1" s="1"/>
  <c r="BH184" i="1" s="1"/>
  <c r="AR134" i="1"/>
  <c r="AS134" i="1" s="1"/>
  <c r="AV179" i="1"/>
  <c r="AW179" i="1" s="1"/>
  <c r="Q148" i="1"/>
  <c r="BY98" i="1"/>
  <c r="BY99" i="1" s="1"/>
  <c r="BY104" i="1" s="1"/>
  <c r="BW10" i="1"/>
  <c r="M120" i="1"/>
  <c r="AQ98" i="1"/>
  <c r="AQ99" i="1" s="1"/>
  <c r="AQ104" i="1" s="1"/>
  <c r="BV148" i="1"/>
  <c r="BV182" i="1" s="1"/>
  <c r="AQ253" i="1"/>
  <c r="AS10" i="1"/>
  <c r="AS252" i="1"/>
  <c r="BH148" i="1"/>
  <c r="BH182" i="1" s="1"/>
  <c r="B65" i="1"/>
  <c r="B108" i="1" s="1"/>
  <c r="R134" i="1"/>
  <c r="AX231" i="1"/>
  <c r="BW98" i="1"/>
  <c r="BW99" i="1" s="1"/>
  <c r="AS253" i="1"/>
  <c r="AY98" i="1"/>
  <c r="AY99" i="1" s="1"/>
  <c r="AY104" i="1" s="1"/>
  <c r="BT194" i="1"/>
  <c r="W202" i="1"/>
  <c r="BW231" i="1"/>
  <c r="AX10" i="1"/>
  <c r="BQ253" i="1"/>
  <c r="BW252" i="1"/>
  <c r="AQ10" i="1"/>
  <c r="BQ252" i="1"/>
  <c r="AU98" i="1"/>
  <c r="AU99" i="1" s="1"/>
  <c r="AX183" i="1"/>
  <c r="AY183" i="1" s="1"/>
  <c r="AX180" i="1"/>
  <c r="AY180" i="1" s="1"/>
  <c r="M156" i="1"/>
  <c r="P202" i="1"/>
  <c r="E120" i="1"/>
  <c r="BA98" i="1"/>
  <c r="BA99" i="1" s="1"/>
  <c r="BA104" i="1" s="1"/>
  <c r="AS98" i="1"/>
  <c r="AS99" i="1" s="1"/>
  <c r="BX98" i="1"/>
  <c r="BX99" i="1" s="1"/>
  <c r="AX179" i="1"/>
  <c r="M148" i="1"/>
  <c r="M182" i="1" s="1"/>
  <c r="M181" i="1" s="1"/>
  <c r="V202" i="1"/>
  <c r="AQ252" i="1"/>
  <c r="BS98" i="1"/>
  <c r="BS99" i="1" s="1"/>
  <c r="N161" i="1"/>
  <c r="BV253" i="1"/>
  <c r="BT98" i="1"/>
  <c r="BT99" i="1" s="1"/>
  <c r="BT104" i="1" s="1"/>
  <c r="BV156" i="1"/>
  <c r="BV185" i="1" s="1"/>
  <c r="AR98" i="1"/>
  <c r="AR99" i="1" s="1"/>
  <c r="O161" i="1"/>
  <c r="L120" i="1"/>
  <c r="B161" i="1"/>
  <c r="C209" i="1" s="1"/>
  <c r="D37" i="1"/>
  <c r="L33" i="1"/>
  <c r="L138" i="1"/>
  <c r="R209" i="1"/>
  <c r="BD161" i="1"/>
  <c r="BE209" i="1" s="1"/>
  <c r="AN161" i="1"/>
  <c r="AO209" i="1" s="1"/>
  <c r="AV161" i="1"/>
  <c r="AW209" i="1" s="1"/>
  <c r="BN161" i="1"/>
  <c r="BO209" i="1" s="1"/>
  <c r="BR134" i="1"/>
  <c r="AX161" i="1"/>
  <c r="AY209" i="1" s="1"/>
  <c r="BS128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AT134" i="1"/>
  <c r="BF161" i="1"/>
  <c r="BG209" i="1" s="1"/>
  <c r="BF134" i="1"/>
  <c r="AV134" i="1"/>
  <c r="BD134" i="1"/>
  <c r="AP134" i="1"/>
  <c r="AU142" i="1"/>
  <c r="AT148" i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N156" i="1"/>
  <c r="BN185" i="1" s="1"/>
  <c r="AN156" i="1"/>
  <c r="AN185" i="1" s="1"/>
  <c r="BP128" i="1"/>
  <c r="BG128" i="1"/>
  <c r="BA128" i="1"/>
  <c r="AT128" i="1"/>
  <c r="AP156" i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AY27" i="1"/>
  <c r="AY16" i="1"/>
  <c r="AP16" i="1"/>
  <c r="AP11" i="1"/>
  <c r="BC202" i="1"/>
  <c r="BD202" i="1"/>
  <c r="BD16" i="1"/>
  <c r="BI16" i="1"/>
  <c r="BW183" i="1"/>
  <c r="BC16" i="1"/>
  <c r="BC11" i="1"/>
  <c r="BR16" i="1"/>
  <c r="BG202" i="1"/>
  <c r="BJ12" i="1"/>
  <c r="BI209" i="1"/>
  <c r="BD12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AW16" i="1" l="1"/>
  <c r="C107" i="1"/>
  <c r="C108" i="1"/>
  <c r="C66" i="1"/>
  <c r="H37" i="1"/>
  <c r="S33" i="1"/>
  <c r="S138" i="1"/>
  <c r="G33" i="1"/>
  <c r="E33" i="1"/>
  <c r="E138" i="1"/>
  <c r="S129" i="1"/>
  <c r="S55" i="1" s="1"/>
  <c r="S54" i="1"/>
  <c r="Q54" i="1"/>
  <c r="Q175" i="1"/>
  <c r="W138" i="1"/>
  <c r="X203" i="1" s="1"/>
  <c r="X201" i="1" s="1"/>
  <c r="W33" i="1"/>
  <c r="S175" i="1"/>
  <c r="H209" i="1"/>
  <c r="G248" i="1"/>
  <c r="M209" i="1"/>
  <c r="O185" i="1"/>
  <c r="AX184" i="1"/>
  <c r="AM52" i="1"/>
  <c r="AM119" i="1"/>
  <c r="AM120" i="1" s="1"/>
  <c r="AM129" i="1" s="1"/>
  <c r="AM193" i="1"/>
  <c r="AM195" i="1" s="1"/>
  <c r="AM66" i="1"/>
  <c r="AM69" i="1" s="1"/>
  <c r="AZ12" i="1"/>
  <c r="AP27" i="1"/>
  <c r="BC27" i="1"/>
  <c r="BD11" i="1"/>
  <c r="BH11" i="1"/>
  <c r="BD188" i="1"/>
  <c r="BP16" i="1"/>
  <c r="AZ17" i="1"/>
  <c r="AP12" i="1"/>
  <c r="BP11" i="1"/>
  <c r="BI27" i="1"/>
  <c r="AP188" i="1"/>
  <c r="AO11" i="1"/>
  <c r="AO16" i="1"/>
  <c r="BH16" i="1"/>
  <c r="BL11" i="1"/>
  <c r="BI12" i="1"/>
  <c r="BV28" i="1"/>
  <c r="F184" i="1"/>
  <c r="BA27" i="1"/>
  <c r="AU27" i="1"/>
  <c r="C54" i="1"/>
  <c r="BV184" i="1"/>
  <c r="C37" i="1"/>
  <c r="I182" i="1"/>
  <c r="I181" i="1" s="1"/>
  <c r="D206" i="1"/>
  <c r="D249" i="1"/>
  <c r="D251" i="1" s="1"/>
  <c r="T207" i="1"/>
  <c r="T175" i="1"/>
  <c r="H129" i="1"/>
  <c r="H55" i="1" s="1"/>
  <c r="T54" i="1"/>
  <c r="S206" i="1"/>
  <c r="S37" i="1"/>
  <c r="G209" i="1"/>
  <c r="Q248" i="1"/>
  <c r="G138" i="1"/>
  <c r="L209" i="1"/>
  <c r="D66" i="1"/>
  <c r="D108" i="1"/>
  <c r="K33" i="1"/>
  <c r="K138" i="1"/>
  <c r="BT134" i="1"/>
  <c r="BC117" i="1"/>
  <c r="BB120" i="1"/>
  <c r="BB92" i="1" s="1"/>
  <c r="BF156" i="1"/>
  <c r="BF185" i="1" s="1"/>
  <c r="BE27" i="1"/>
  <c r="U207" i="1"/>
  <c r="BT184" i="1"/>
  <c r="BJ11" i="1"/>
  <c r="BF16" i="1"/>
  <c r="BF28" i="1" s="1"/>
  <c r="BJ30" i="1" s="1"/>
  <c r="BL244" i="1"/>
  <c r="BL225" i="1"/>
  <c r="AY11" i="1"/>
  <c r="AU16" i="1"/>
  <c r="BG11" i="1"/>
  <c r="AV11" i="1"/>
  <c r="AW202" i="1"/>
  <c r="BP184" i="1"/>
  <c r="BZ11" i="1"/>
  <c r="BL104" i="1"/>
  <c r="BL102" i="1"/>
  <c r="BB104" i="1"/>
  <c r="BB103" i="1"/>
  <c r="BB102" i="1"/>
  <c r="CA11" i="1"/>
  <c r="BV138" i="1"/>
  <c r="BW33" i="1"/>
  <c r="BW134" i="1"/>
  <c r="AW102" i="1"/>
  <c r="AW104" i="1"/>
  <c r="AO104" i="1"/>
  <c r="AO103" i="1"/>
  <c r="HR19" i="4"/>
  <c r="AL78" i="1" s="1"/>
  <c r="HZ7" i="4"/>
  <c r="ID21" i="4"/>
  <c r="AX77" i="1" s="1"/>
  <c r="JB9" i="4"/>
  <c r="IS21" i="4"/>
  <c r="BM77" i="1" s="1"/>
  <c r="IG9" i="4"/>
  <c r="HX16" i="4" s="1"/>
  <c r="II16" i="4" s="1"/>
  <c r="IA9" i="4" s="1"/>
  <c r="BK27" i="1"/>
  <c r="BQ27" i="1"/>
  <c r="AQ27" i="1"/>
  <c r="P33" i="1"/>
  <c r="M129" i="1"/>
  <c r="M55" i="1" s="1"/>
  <c r="F168" i="1"/>
  <c r="F109" i="1" s="1"/>
  <c r="N249" i="1"/>
  <c r="N251" i="1" s="1"/>
  <c r="N37" i="1"/>
  <c r="N206" i="1"/>
  <c r="N168" i="1"/>
  <c r="N109" i="1" s="1"/>
  <c r="B182" i="1"/>
  <c r="U185" i="1"/>
  <c r="U157" i="1"/>
  <c r="M37" i="1"/>
  <c r="AZ27" i="1"/>
  <c r="BK11" i="1"/>
  <c r="O58" i="1"/>
  <c r="BK12" i="1"/>
  <c r="BL12" i="1"/>
  <c r="BK16" i="1"/>
  <c r="AT27" i="1"/>
  <c r="AP225" i="1"/>
  <c r="AQ12" i="1"/>
  <c r="AQ188" i="1"/>
  <c r="BU11" i="1"/>
  <c r="BQ16" i="1"/>
  <c r="BQ12" i="1"/>
  <c r="BS103" i="1"/>
  <c r="BS104" i="1"/>
  <c r="BO103" i="1"/>
  <c r="BO104" i="1"/>
  <c r="BU27" i="1"/>
  <c r="BU16" i="1"/>
  <c r="BM16" i="1"/>
  <c r="AI27" i="1"/>
  <c r="BH27" i="1"/>
  <c r="AS16" i="1"/>
  <c r="AW11" i="1"/>
  <c r="BV27" i="1"/>
  <c r="BT225" i="1"/>
  <c r="AY179" i="1"/>
  <c r="BY11" i="1"/>
  <c r="BU188" i="1"/>
  <c r="BE12" i="1"/>
  <c r="BG225" i="1"/>
  <c r="BD27" i="1"/>
  <c r="BG102" i="1"/>
  <c r="BV11" i="1"/>
  <c r="BV17" i="1"/>
  <c r="BZ18" i="1"/>
  <c r="BV18" i="1"/>
  <c r="BV181" i="1"/>
  <c r="AQ103" i="1"/>
  <c r="AQ16" i="1"/>
  <c r="AQ11" i="1"/>
  <c r="AR12" i="1"/>
  <c r="AS11" i="1"/>
  <c r="AS104" i="1"/>
  <c r="J206" i="1"/>
  <c r="AI184" i="1"/>
  <c r="AO27" i="1"/>
  <c r="BS27" i="1"/>
  <c r="AZ28" i="1"/>
  <c r="BB27" i="1"/>
  <c r="BP27" i="1"/>
  <c r="O206" i="1"/>
  <c r="P244" i="1"/>
  <c r="N197" i="1"/>
  <c r="BR184" i="1"/>
  <c r="BP181" i="1"/>
  <c r="N33" i="1"/>
  <c r="N138" i="1"/>
  <c r="U138" i="1"/>
  <c r="U33" i="1"/>
  <c r="D248" i="1"/>
  <c r="D168" i="1"/>
  <c r="D109" i="1" s="1"/>
  <c r="D110" i="1" s="1"/>
  <c r="D113" i="1" s="1"/>
  <c r="E209" i="1"/>
  <c r="G54" i="1"/>
  <c r="G207" i="1"/>
  <c r="G175" i="1"/>
  <c r="H168" i="1"/>
  <c r="H109" i="1" s="1"/>
  <c r="H248" i="1"/>
  <c r="I209" i="1"/>
  <c r="C175" i="1"/>
  <c r="C129" i="1"/>
  <c r="C55" i="1" s="1"/>
  <c r="P206" i="1"/>
  <c r="P37" i="1"/>
  <c r="P249" i="1"/>
  <c r="P251" i="1" s="1"/>
  <c r="P168" i="1"/>
  <c r="P109" i="1" s="1"/>
  <c r="P129" i="1"/>
  <c r="P55" i="1" s="1"/>
  <c r="P207" i="1"/>
  <c r="P248" i="1"/>
  <c r="P54" i="1"/>
  <c r="P175" i="1"/>
  <c r="Q207" i="1"/>
  <c r="O33" i="1"/>
  <c r="O138" i="1"/>
  <c r="G182" i="1"/>
  <c r="G181" i="1" s="1"/>
  <c r="H196" i="1"/>
  <c r="V197" i="1"/>
  <c r="V185" i="1"/>
  <c r="C138" i="1"/>
  <c r="C33" i="1"/>
  <c r="H33" i="1"/>
  <c r="H138" i="1"/>
  <c r="J196" i="1"/>
  <c r="J182" i="1"/>
  <c r="J181" i="1" s="1"/>
  <c r="K196" i="1"/>
  <c r="V182" i="1"/>
  <c r="V181" i="1" s="1"/>
  <c r="V157" i="1"/>
  <c r="U209" i="1"/>
  <c r="T248" i="1"/>
  <c r="S185" i="1"/>
  <c r="S184" i="1" s="1"/>
  <c r="T197" i="1"/>
  <c r="C248" i="1"/>
  <c r="D209" i="1"/>
  <c r="C168" i="1"/>
  <c r="C109" i="1" s="1"/>
  <c r="H182" i="1"/>
  <c r="H157" i="1"/>
  <c r="I196" i="1"/>
  <c r="S207" i="1"/>
  <c r="R54" i="1"/>
  <c r="R207" i="1"/>
  <c r="J248" i="1"/>
  <c r="K209" i="1"/>
  <c r="V138" i="1"/>
  <c r="V33" i="1"/>
  <c r="I37" i="1"/>
  <c r="I206" i="1"/>
  <c r="I249" i="1"/>
  <c r="I251" i="1" s="1"/>
  <c r="I129" i="1"/>
  <c r="I55" i="1" s="1"/>
  <c r="M248" i="1"/>
  <c r="N209" i="1"/>
  <c r="M168" i="1"/>
  <c r="M109" i="1" s="1"/>
  <c r="J138" i="1"/>
  <c r="J33" i="1"/>
  <c r="R248" i="1"/>
  <c r="S209" i="1"/>
  <c r="K157" i="1"/>
  <c r="L196" i="1"/>
  <c r="K182" i="1"/>
  <c r="T182" i="1"/>
  <c r="T157" i="1"/>
  <c r="M138" i="1"/>
  <c r="M33" i="1"/>
  <c r="N185" i="1"/>
  <c r="N184" i="1" s="1"/>
  <c r="O197" i="1"/>
  <c r="D129" i="1"/>
  <c r="D55" i="1" s="1"/>
  <c r="D207" i="1"/>
  <c r="I207" i="1"/>
  <c r="I54" i="1"/>
  <c r="I175" i="1"/>
  <c r="Q168" i="1"/>
  <c r="Q109" i="1" s="1"/>
  <c r="Q249" i="1"/>
  <c r="Q251" i="1" s="1"/>
  <c r="Q37" i="1"/>
  <c r="R206" i="1"/>
  <c r="Q129" i="1"/>
  <c r="Q55" i="1" s="1"/>
  <c r="Q206" i="1"/>
  <c r="R249" i="1"/>
  <c r="R251" i="1" s="1"/>
  <c r="T196" i="1"/>
  <c r="S182" i="1"/>
  <c r="S157" i="1"/>
  <c r="L157" i="1"/>
  <c r="L182" i="1"/>
  <c r="M196" i="1"/>
  <c r="T185" i="1"/>
  <c r="T184" i="1" s="1"/>
  <c r="U197" i="1"/>
  <c r="V175" i="1"/>
  <c r="V54" i="1"/>
  <c r="V248" i="1"/>
  <c r="V129" i="1"/>
  <c r="V55" i="1" s="1"/>
  <c r="E182" i="1"/>
  <c r="E181" i="1" s="1"/>
  <c r="F196" i="1"/>
  <c r="G129" i="1"/>
  <c r="G55" i="1" s="1"/>
  <c r="G37" i="1"/>
  <c r="G168" i="1"/>
  <c r="G109" i="1" s="1"/>
  <c r="H206" i="1"/>
  <c r="F248" i="1"/>
  <c r="F54" i="1"/>
  <c r="F175" i="1"/>
  <c r="S196" i="1"/>
  <c r="R182" i="1"/>
  <c r="Q33" i="1"/>
  <c r="Q138" i="1"/>
  <c r="J249" i="1"/>
  <c r="J251" i="1" s="1"/>
  <c r="J37" i="1"/>
  <c r="J129" i="1"/>
  <c r="J55" i="1" s="1"/>
  <c r="J168" i="1"/>
  <c r="J109" i="1" s="1"/>
  <c r="K54" i="1"/>
  <c r="K175" i="1"/>
  <c r="B185" i="1"/>
  <c r="B184" i="1" s="1"/>
  <c r="C197" i="1"/>
  <c r="B157" i="1"/>
  <c r="P196" i="1"/>
  <c r="O182" i="1"/>
  <c r="F157" i="1"/>
  <c r="F244" i="1"/>
  <c r="F182" i="1"/>
  <c r="F246" i="1"/>
  <c r="G196" i="1"/>
  <c r="P185" i="1"/>
  <c r="P184" i="1" s="1"/>
  <c r="P197" i="1"/>
  <c r="T37" i="1"/>
  <c r="T206" i="1"/>
  <c r="L168" i="1"/>
  <c r="L109" i="1" s="1"/>
  <c r="L249" i="1"/>
  <c r="L251" i="1" s="1"/>
  <c r="L206" i="1"/>
  <c r="C182" i="1"/>
  <c r="C181" i="1" s="1"/>
  <c r="C196" i="1"/>
  <c r="T209" i="1"/>
  <c r="S248" i="1"/>
  <c r="S168" i="1"/>
  <c r="S109" i="1" s="1"/>
  <c r="H207" i="1"/>
  <c r="H54" i="1"/>
  <c r="H175" i="1"/>
  <c r="B33" i="1"/>
  <c r="B138" i="1"/>
  <c r="J209" i="1"/>
  <c r="I248" i="1"/>
  <c r="Q157" i="1"/>
  <c r="Q182" i="1"/>
  <c r="BV248" i="1"/>
  <c r="BH129" i="1"/>
  <c r="BY225" i="1"/>
  <c r="AP181" i="1"/>
  <c r="AV184" i="1"/>
  <c r="BJ103" i="1"/>
  <c r="BJ104" i="1"/>
  <c r="BU104" i="1"/>
  <c r="BU103" i="1"/>
  <c r="AU103" i="1"/>
  <c r="AU104" i="1"/>
  <c r="BO27" i="1"/>
  <c r="Q196" i="1"/>
  <c r="BV186" i="1"/>
  <c r="BZ189" i="1" s="1"/>
  <c r="AT12" i="1"/>
  <c r="AX188" i="1"/>
  <c r="M197" i="1"/>
  <c r="F207" i="1"/>
  <c r="AR181" i="1"/>
  <c r="AT184" i="1"/>
  <c r="BD184" i="1"/>
  <c r="BH206" i="1"/>
  <c r="BX249" i="1"/>
  <c r="BX206" i="1"/>
  <c r="BR12" i="1"/>
  <c r="BS225" i="1"/>
  <c r="AR16" i="1"/>
  <c r="AR28" i="1" s="1"/>
  <c r="AR29" i="1" s="1"/>
  <c r="AR27" i="1"/>
  <c r="AU225" i="1"/>
  <c r="BH188" i="1"/>
  <c r="BL188" i="1"/>
  <c r="BK225" i="1"/>
  <c r="BI188" i="1"/>
  <c r="BI249" i="1"/>
  <c r="BJ206" i="1"/>
  <c r="BJ249" i="1"/>
  <c r="BI206" i="1"/>
  <c r="T33" i="1"/>
  <c r="T138" i="1"/>
  <c r="T244" i="1" s="1"/>
  <c r="O168" i="1"/>
  <c r="O109" i="1" s="1"/>
  <c r="O37" i="1"/>
  <c r="R175" i="1"/>
  <c r="W249" i="1"/>
  <c r="W251" i="1" s="1"/>
  <c r="W206" i="1"/>
  <c r="W37" i="1"/>
  <c r="X249" i="1"/>
  <c r="X251" i="1" s="1"/>
  <c r="X206" i="1"/>
  <c r="D175" i="1"/>
  <c r="D54" i="1"/>
  <c r="K249" i="1"/>
  <c r="K251" i="1" s="1"/>
  <c r="K129" i="1"/>
  <c r="K55" i="1" s="1"/>
  <c r="K37" i="1"/>
  <c r="K168" i="1"/>
  <c r="K109" i="1" s="1"/>
  <c r="K206" i="1"/>
  <c r="C249" i="1"/>
  <c r="C251" i="1" s="1"/>
  <c r="B37" i="1"/>
  <c r="C206" i="1"/>
  <c r="H249" i="1"/>
  <c r="H251" i="1" s="1"/>
  <c r="G206" i="1"/>
  <c r="R157" i="1"/>
  <c r="R196" i="1"/>
  <c r="AT16" i="1"/>
  <c r="AT11" i="1"/>
  <c r="AU188" i="1"/>
  <c r="AU12" i="1"/>
  <c r="AW225" i="1"/>
  <c r="BY188" i="1"/>
  <c r="BV12" i="1"/>
  <c r="BV188" i="1"/>
  <c r="BZ188" i="1"/>
  <c r="AW188" i="1"/>
  <c r="AZ188" i="1"/>
  <c r="AV188" i="1"/>
  <c r="AV27" i="1"/>
  <c r="AV16" i="1"/>
  <c r="AW12" i="1"/>
  <c r="AZ11" i="1"/>
  <c r="AV12" i="1"/>
  <c r="AN103" i="1"/>
  <c r="AR188" i="1"/>
  <c r="AO188" i="1"/>
  <c r="AN27" i="1"/>
  <c r="AS188" i="1"/>
  <c r="AN16" i="1"/>
  <c r="AN225" i="1"/>
  <c r="AN11" i="1"/>
  <c r="AO225" i="1"/>
  <c r="AN12" i="1"/>
  <c r="AO12" i="1"/>
  <c r="AR11" i="1"/>
  <c r="AQ225" i="1"/>
  <c r="AP103" i="1"/>
  <c r="AP104" i="1"/>
  <c r="T58" i="1"/>
  <c r="BK188" i="1"/>
  <c r="BG188" i="1"/>
  <c r="BG27" i="1"/>
  <c r="BJ225" i="1"/>
  <c r="BJ244" i="1"/>
  <c r="BH12" i="1"/>
  <c r="BG16" i="1"/>
  <c r="BT27" i="1"/>
  <c r="BX11" i="1"/>
  <c r="BU12" i="1"/>
  <c r="BT188" i="1"/>
  <c r="BT16" i="1"/>
  <c r="BT11" i="1"/>
  <c r="BH92" i="1"/>
  <c r="BH248" i="1"/>
  <c r="BV103" i="1"/>
  <c r="BV104" i="1"/>
  <c r="W58" i="1"/>
  <c r="BV225" i="1"/>
  <c r="BS12" i="1"/>
  <c r="BU225" i="1"/>
  <c r="BT12" i="1"/>
  <c r="BS16" i="1"/>
  <c r="AI186" i="1"/>
  <c r="AI181" i="1"/>
  <c r="AM11" i="1"/>
  <c r="AL225" i="1"/>
  <c r="AI16" i="1"/>
  <c r="N58" i="1"/>
  <c r="AL244" i="1"/>
  <c r="AJ12" i="1"/>
  <c r="AN188" i="1"/>
  <c r="AL104" i="1"/>
  <c r="AL102" i="1"/>
  <c r="BK104" i="1"/>
  <c r="BK103" i="1"/>
  <c r="BP188" i="1"/>
  <c r="BO11" i="1"/>
  <c r="BP12" i="1"/>
  <c r="BO16" i="1"/>
  <c r="V58" i="1"/>
  <c r="BR225" i="1"/>
  <c r="BO188" i="1"/>
  <c r="BS11" i="1"/>
  <c r="BF225" i="1"/>
  <c r="BI11" i="1"/>
  <c r="BE16" i="1"/>
  <c r="BF12" i="1"/>
  <c r="BH225" i="1"/>
  <c r="S58" i="1"/>
  <c r="BF27" i="1"/>
  <c r="BJ188" i="1"/>
  <c r="BF188" i="1"/>
  <c r="BI225" i="1"/>
  <c r="BG12" i="1"/>
  <c r="BI103" i="1"/>
  <c r="BI104" i="1"/>
  <c r="BI102" i="1"/>
  <c r="BA11" i="1"/>
  <c r="BA16" i="1"/>
  <c r="BE11" i="1"/>
  <c r="K248" i="1"/>
  <c r="K207" i="1"/>
  <c r="C207" i="1"/>
  <c r="B175" i="1"/>
  <c r="D33" i="1"/>
  <c r="D138" i="1"/>
  <c r="J54" i="1"/>
  <c r="J207" i="1"/>
  <c r="J175" i="1"/>
  <c r="F37" i="1"/>
  <c r="F249" i="1"/>
  <c r="F251" i="1" s="1"/>
  <c r="M249" i="1"/>
  <c r="M251" i="1" s="1"/>
  <c r="M206" i="1"/>
  <c r="D185" i="1"/>
  <c r="D197" i="1"/>
  <c r="E197" i="1"/>
  <c r="AX104" i="1"/>
  <c r="U196" i="1"/>
  <c r="V196" i="1"/>
  <c r="BR11" i="1"/>
  <c r="BN16" i="1"/>
  <c r="BN27" i="1"/>
  <c r="BO12" i="1"/>
  <c r="BQ225" i="1"/>
  <c r="BN11" i="1"/>
  <c r="J157" i="1"/>
  <c r="J185" i="1"/>
  <c r="K197" i="1"/>
  <c r="R37" i="1"/>
  <c r="R168" i="1"/>
  <c r="R109" i="1" s="1"/>
  <c r="S249" i="1"/>
  <c r="S251" i="1" s="1"/>
  <c r="R129" i="1"/>
  <c r="R55" i="1" s="1"/>
  <c r="V209" i="1"/>
  <c r="U168" i="1"/>
  <c r="U109" i="1" s="1"/>
  <c r="E196" i="1"/>
  <c r="D157" i="1"/>
  <c r="D182" i="1"/>
  <c r="D181" i="1" s="1"/>
  <c r="V207" i="1"/>
  <c r="U129" i="1"/>
  <c r="U55" i="1" s="1"/>
  <c r="U175" i="1"/>
  <c r="BE103" i="1"/>
  <c r="V37" i="1"/>
  <c r="V206" i="1"/>
  <c r="V249" i="1"/>
  <c r="V251" i="1" s="1"/>
  <c r="I33" i="1"/>
  <c r="I138" i="1"/>
  <c r="BF11" i="1"/>
  <c r="BB12" i="1"/>
  <c r="BC12" i="1"/>
  <c r="BB225" i="1"/>
  <c r="BE225" i="1"/>
  <c r="BB16" i="1"/>
  <c r="R58" i="1"/>
  <c r="BF102" i="1"/>
  <c r="BF104" i="1"/>
  <c r="BF103" i="1"/>
  <c r="BD103" i="1"/>
  <c r="BD104" i="1"/>
  <c r="L185" i="1"/>
  <c r="L184" i="1" s="1"/>
  <c r="L197" i="1"/>
  <c r="R185" i="1"/>
  <c r="R184" i="1" s="1"/>
  <c r="S197" i="1"/>
  <c r="R197" i="1"/>
  <c r="BH138" i="1"/>
  <c r="BI33" i="1"/>
  <c r="E185" i="1"/>
  <c r="E157" i="1"/>
  <c r="E206" i="1"/>
  <c r="E168" i="1"/>
  <c r="E109" i="1" s="1"/>
  <c r="F206" i="1"/>
  <c r="E37" i="1"/>
  <c r="H197" i="1"/>
  <c r="G157" i="1"/>
  <c r="G185" i="1"/>
  <c r="BW206" i="1"/>
  <c r="BV129" i="1"/>
  <c r="BZ103" i="1"/>
  <c r="BZ102" i="1"/>
  <c r="BZ104" i="1"/>
  <c r="I157" i="1"/>
  <c r="I197" i="1"/>
  <c r="I185" i="1"/>
  <c r="J197" i="1"/>
  <c r="O196" i="1"/>
  <c r="N182" i="1"/>
  <c r="N157" i="1"/>
  <c r="O207" i="1"/>
  <c r="N175" i="1"/>
  <c r="N129" i="1"/>
  <c r="N55" i="1" s="1"/>
  <c r="AV102" i="1"/>
  <c r="AV104" i="1"/>
  <c r="AV103" i="1"/>
  <c r="BW104" i="1"/>
  <c r="BW103" i="1"/>
  <c r="AU11" i="1"/>
  <c r="AR225" i="1"/>
  <c r="AS225" i="1"/>
  <c r="BX104" i="1"/>
  <c r="BX103" i="1"/>
  <c r="AR104" i="1"/>
  <c r="L248" i="1"/>
  <c r="L207" i="1"/>
  <c r="BN225" i="1"/>
  <c r="BN12" i="1"/>
  <c r="BM12" i="1"/>
  <c r="BQ11" i="1"/>
  <c r="B54" i="1"/>
  <c r="T168" i="1"/>
  <c r="T109" i="1" s="1"/>
  <c r="BV92" i="1"/>
  <c r="BN103" i="1"/>
  <c r="B129" i="1"/>
  <c r="B55" i="1" s="1"/>
  <c r="BO225" i="1"/>
  <c r="C157" i="1"/>
  <c r="BM104" i="1"/>
  <c r="BM27" i="1"/>
  <c r="BB184" i="1"/>
  <c r="D196" i="1"/>
  <c r="BZ244" i="1"/>
  <c r="BC225" i="1"/>
  <c r="BD225" i="1"/>
  <c r="BE188" i="1"/>
  <c r="G197" i="1"/>
  <c r="O249" i="1"/>
  <c r="O251" i="1" s="1"/>
  <c r="U37" i="1"/>
  <c r="O157" i="1"/>
  <c r="G249" i="1"/>
  <c r="G251" i="1" s="1"/>
  <c r="U54" i="1"/>
  <c r="F129" i="1"/>
  <c r="BQ188" i="1"/>
  <c r="BC103" i="1"/>
  <c r="U206" i="1"/>
  <c r="BP225" i="1"/>
  <c r="T249" i="1"/>
  <c r="T251" i="1" s="1"/>
  <c r="BA103" i="1"/>
  <c r="BV157" i="1"/>
  <c r="U58" i="1"/>
  <c r="BS188" i="1"/>
  <c r="BP104" i="1"/>
  <c r="F197" i="1"/>
  <c r="T129" i="1"/>
  <c r="T55" i="1" s="1"/>
  <c r="AX11" i="1"/>
  <c r="BI134" i="1"/>
  <c r="BR188" i="1"/>
  <c r="BD102" i="1"/>
  <c r="BA12" i="1"/>
  <c r="BM11" i="1"/>
  <c r="AZ184" i="1"/>
  <c r="L37" i="1"/>
  <c r="V168" i="1"/>
  <c r="V109" i="1" s="1"/>
  <c r="O54" i="1"/>
  <c r="BN188" i="1"/>
  <c r="N196" i="1"/>
  <c r="U248" i="1"/>
  <c r="O129" i="1"/>
  <c r="O55" i="1" s="1"/>
  <c r="BA188" i="1"/>
  <c r="BM188" i="1"/>
  <c r="BH168" i="1"/>
  <c r="BH109" i="1" s="1"/>
  <c r="AX225" i="1"/>
  <c r="Q197" i="1"/>
  <c r="P157" i="1"/>
  <c r="P165" i="1" s="1"/>
  <c r="B248" i="1"/>
  <c r="I168" i="1"/>
  <c r="I109" i="1" s="1"/>
  <c r="BW16" i="1"/>
  <c r="BH186" i="1"/>
  <c r="BL189" i="1" s="1"/>
  <c r="CA188" i="1"/>
  <c r="BW249" i="1"/>
  <c r="BX188" i="1"/>
  <c r="BV168" i="1"/>
  <c r="BV109" i="1" s="1"/>
  <c r="X58" i="1"/>
  <c r="P246" i="1"/>
  <c r="BW27" i="1"/>
  <c r="AY103" i="1"/>
  <c r="AZ104" i="1"/>
  <c r="BY103" i="1"/>
  <c r="BY102" i="1"/>
  <c r="BT103" i="1"/>
  <c r="BW11" i="1"/>
  <c r="BH157" i="1"/>
  <c r="M185" i="1"/>
  <c r="M186" i="1" s="1"/>
  <c r="V165" i="1"/>
  <c r="V166" i="1" s="1"/>
  <c r="BH181" i="1"/>
  <c r="CB188" i="1"/>
  <c r="BW188" i="1"/>
  <c r="M157" i="1"/>
  <c r="AY12" i="1"/>
  <c r="BW12" i="1"/>
  <c r="BW225" i="1"/>
  <c r="BR104" i="1"/>
  <c r="AS12" i="1"/>
  <c r="O209" i="1"/>
  <c r="N248" i="1"/>
  <c r="E175" i="1"/>
  <c r="E207" i="1"/>
  <c r="E54" i="1"/>
  <c r="AR138" i="1"/>
  <c r="E129" i="1"/>
  <c r="E55" i="1" s="1"/>
  <c r="AS27" i="1"/>
  <c r="AS33" i="1"/>
  <c r="L54" i="1"/>
  <c r="L175" i="1"/>
  <c r="AY225" i="1"/>
  <c r="BX225" i="1"/>
  <c r="P209" i="1"/>
  <c r="O248" i="1"/>
  <c r="Q58" i="1"/>
  <c r="BX244" i="1"/>
  <c r="AZ225" i="1"/>
  <c r="BB11" i="1"/>
  <c r="BX12" i="1"/>
  <c r="AX16" i="1"/>
  <c r="AX19" i="1" s="1"/>
  <c r="BB188" i="1"/>
  <c r="AX27" i="1"/>
  <c r="BA225" i="1"/>
  <c r="BC188" i="1"/>
  <c r="AV225" i="1"/>
  <c r="BZ225" i="1"/>
  <c r="P58" i="1"/>
  <c r="AX12" i="1"/>
  <c r="AT188" i="1"/>
  <c r="AY188" i="1"/>
  <c r="BR249" i="1"/>
  <c r="B168" i="1"/>
  <c r="B109" i="1" s="1"/>
  <c r="R138" i="1"/>
  <c r="S203" i="1" s="1"/>
  <c r="S201" i="1" s="1"/>
  <c r="R33" i="1"/>
  <c r="N207" i="1"/>
  <c r="N54" i="1"/>
  <c r="AT225" i="1"/>
  <c r="BU202" i="1"/>
  <c r="L129" i="1"/>
  <c r="L55" i="1" s="1"/>
  <c r="B107" i="1"/>
  <c r="B66" i="1"/>
  <c r="M175" i="1"/>
  <c r="M54" i="1"/>
  <c r="M207" i="1"/>
  <c r="L244" i="1"/>
  <c r="L246" i="1"/>
  <c r="C68" i="1"/>
  <c r="C69" i="1"/>
  <c r="S244" i="1"/>
  <c r="E244" i="1"/>
  <c r="E246" i="1"/>
  <c r="F203" i="1"/>
  <c r="F201" i="1" s="1"/>
  <c r="AR202" i="1"/>
  <c r="AQ202" i="1"/>
  <c r="BB168" i="1"/>
  <c r="AV168" i="1"/>
  <c r="C184" i="1"/>
  <c r="BS33" i="1"/>
  <c r="BS134" i="1"/>
  <c r="BR138" i="1"/>
  <c r="AQ249" i="1"/>
  <c r="AN92" i="1"/>
  <c r="AN95" i="1" s="1"/>
  <c r="AN248" i="1"/>
  <c r="P181" i="1"/>
  <c r="AV249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K184" i="1"/>
  <c r="BN168" i="1"/>
  <c r="BN129" i="1"/>
  <c r="BC206" i="1"/>
  <c r="BC249" i="1"/>
  <c r="O184" i="1"/>
  <c r="AT248" i="1"/>
  <c r="AS206" i="1"/>
  <c r="AS249" i="1"/>
  <c r="AR168" i="1"/>
  <c r="AS37" i="1" s="1"/>
  <c r="AR129" i="1"/>
  <c r="AR92" i="1"/>
  <c r="AX92" i="1"/>
  <c r="AX248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T182" i="1"/>
  <c r="BT157" i="1"/>
  <c r="BR182" i="1"/>
  <c r="BR186" i="1" s="1"/>
  <c r="BR157" i="1"/>
  <c r="BN182" i="1"/>
  <c r="BN157" i="1"/>
  <c r="AZ182" i="1"/>
  <c r="AZ157" i="1"/>
  <c r="AP19" i="1"/>
  <c r="AM54" i="1"/>
  <c r="AM207" i="1"/>
  <c r="AM205" i="1" s="1"/>
  <c r="AM55" i="1"/>
  <c r="AM92" i="1"/>
  <c r="AM86" i="1"/>
  <c r="AM85" i="1"/>
  <c r="AM87" i="1"/>
  <c r="AY28" i="1"/>
  <c r="AY17" i="1"/>
  <c r="AZ19" i="1"/>
  <c r="AP28" i="1"/>
  <c r="AP18" i="1"/>
  <c r="AP17" i="1"/>
  <c r="AS138" i="1"/>
  <c r="AT33" i="1"/>
  <c r="BI17" i="1"/>
  <c r="BI28" i="1"/>
  <c r="BJ19" i="1"/>
  <c r="BP28" i="1"/>
  <c r="BP18" i="1"/>
  <c r="BP17" i="1"/>
  <c r="BN184" i="1"/>
  <c r="BF17" i="1"/>
  <c r="BJ18" i="1"/>
  <c r="BD17" i="1"/>
  <c r="BD28" i="1"/>
  <c r="BD18" i="1"/>
  <c r="BF29" i="1"/>
  <c r="BF34" i="1"/>
  <c r="BF38" i="1" s="1"/>
  <c r="BF232" i="1"/>
  <c r="BF233" i="1" s="1"/>
  <c r="AU28" i="1"/>
  <c r="AY18" i="1"/>
  <c r="AU17" i="1"/>
  <c r="BD19" i="1"/>
  <c r="BC28" i="1"/>
  <c r="BC17" i="1"/>
  <c r="BC18" i="1"/>
  <c r="BR28" i="1"/>
  <c r="BR17" i="1"/>
  <c r="BH28" i="1"/>
  <c r="BH17" i="1"/>
  <c r="BL18" i="1"/>
  <c r="BH18" i="1"/>
  <c r="AT96" i="1"/>
  <c r="BV34" i="1"/>
  <c r="BV38" i="1" s="1"/>
  <c r="BZ30" i="1"/>
  <c r="BV29" i="1"/>
  <c r="BV232" i="1"/>
  <c r="BV233" i="1" s="1"/>
  <c r="BW138" i="1"/>
  <c r="BX33" i="1"/>
  <c r="BI19" i="1"/>
  <c r="BV244" i="1"/>
  <c r="BV246" i="1"/>
  <c r="BR96" i="1"/>
  <c r="BR95" i="1"/>
  <c r="AO18" i="1"/>
  <c r="AO28" i="1"/>
  <c r="AO17" i="1"/>
  <c r="BH244" i="1"/>
  <c r="O59" i="1"/>
  <c r="BB17" i="1"/>
  <c r="BB28" i="1"/>
  <c r="BF18" i="1"/>
  <c r="BJ41" i="1"/>
  <c r="BJ40" i="1"/>
  <c r="CR194" i="1"/>
  <c r="CR132" i="1"/>
  <c r="CQ203" i="1"/>
  <c r="CQ201" i="1" s="1"/>
  <c r="AB206" i="1"/>
  <c r="DB63" i="1"/>
  <c r="DB65" i="1" s="1"/>
  <c r="DA65" i="1"/>
  <c r="BQ28" i="1" l="1"/>
  <c r="S165" i="1"/>
  <c r="S166" i="1" s="1"/>
  <c r="T205" i="1"/>
  <c r="L203" i="1"/>
  <c r="L201" i="1" s="1"/>
  <c r="BB96" i="1"/>
  <c r="BU17" i="1"/>
  <c r="AS17" i="1"/>
  <c r="BM28" i="1"/>
  <c r="AZ29" i="1"/>
  <c r="P198" i="1"/>
  <c r="P199" i="1" s="1"/>
  <c r="F165" i="1"/>
  <c r="BF184" i="1"/>
  <c r="AL103" i="1"/>
  <c r="AX102" i="1"/>
  <c r="BM102" i="1"/>
  <c r="AW17" i="1"/>
  <c r="AW28" i="1"/>
  <c r="S246" i="1"/>
  <c r="U205" i="1"/>
  <c r="BV165" i="1"/>
  <c r="S205" i="1"/>
  <c r="K203" i="1"/>
  <c r="K201" i="1" s="1"/>
  <c r="G246" i="1"/>
  <c r="D69" i="1"/>
  <c r="K244" i="1"/>
  <c r="U186" i="1"/>
  <c r="BU33" i="1"/>
  <c r="BB95" i="1"/>
  <c r="BV19" i="1"/>
  <c r="BQ18" i="1"/>
  <c r="BD30" i="1"/>
  <c r="BR19" i="1"/>
  <c r="AZ232" i="1"/>
  <c r="AZ233" i="1" s="1"/>
  <c r="AQ28" i="1"/>
  <c r="AQ18" i="1"/>
  <c r="G203" i="1"/>
  <c r="G201" i="1" s="1"/>
  <c r="D68" i="1"/>
  <c r="BT138" i="1"/>
  <c r="BQ17" i="1"/>
  <c r="BY18" i="1"/>
  <c r="AS28" i="1"/>
  <c r="BM18" i="1"/>
  <c r="AU18" i="1"/>
  <c r="AQ19" i="1"/>
  <c r="G244" i="1"/>
  <c r="K246" i="1"/>
  <c r="U184" i="1"/>
  <c r="BB129" i="1"/>
  <c r="BU134" i="1"/>
  <c r="BB94" i="1"/>
  <c r="BU18" i="1"/>
  <c r="AW18" i="1"/>
  <c r="BQ19" i="1"/>
  <c r="AZ34" i="1"/>
  <c r="AZ38" i="1" s="1"/>
  <c r="BF157" i="1"/>
  <c r="BU28" i="1"/>
  <c r="BM17" i="1"/>
  <c r="BM19" i="1"/>
  <c r="AS18" i="1"/>
  <c r="AQ17" i="1"/>
  <c r="H165" i="1"/>
  <c r="H166" i="1" s="1"/>
  <c r="C203" i="1"/>
  <c r="C201" i="1" s="1"/>
  <c r="O205" i="1"/>
  <c r="H246" i="1"/>
  <c r="H244" i="1"/>
  <c r="C165" i="1"/>
  <c r="O165" i="1"/>
  <c r="N198" i="1"/>
  <c r="N199" i="1" s="1"/>
  <c r="P166" i="1"/>
  <c r="N205" i="1"/>
  <c r="D111" i="1"/>
  <c r="D114" i="1" s="1"/>
  <c r="U165" i="1"/>
  <c r="N246" i="1"/>
  <c r="N244" i="1"/>
  <c r="G205" i="1"/>
  <c r="L165" i="1"/>
  <c r="L166" i="1" s="1"/>
  <c r="J246" i="1"/>
  <c r="J244" i="1"/>
  <c r="U244" i="1"/>
  <c r="U246" i="1"/>
  <c r="S186" i="1"/>
  <c r="S181" i="1"/>
  <c r="R205" i="1"/>
  <c r="I165" i="1"/>
  <c r="I166" i="1" s="1"/>
  <c r="B181" i="1"/>
  <c r="AR34" i="1"/>
  <c r="AR38" i="1" s="1"/>
  <c r="P59" i="1"/>
  <c r="BL19" i="1"/>
  <c r="BK17" i="1"/>
  <c r="BK28" i="1"/>
  <c r="BK19" i="1"/>
  <c r="AR232" i="1"/>
  <c r="AR233" i="1" s="1"/>
  <c r="AR19" i="1"/>
  <c r="D203" i="1"/>
  <c r="D201" i="1" s="1"/>
  <c r="J205" i="1"/>
  <c r="U198" i="1"/>
  <c r="U199" i="1" s="1"/>
  <c r="V198" i="1"/>
  <c r="V199" i="1" s="1"/>
  <c r="J165" i="1"/>
  <c r="J166" i="1" s="1"/>
  <c r="O166" i="1"/>
  <c r="U203" i="1"/>
  <c r="U201" i="1" s="1"/>
  <c r="T203" i="1"/>
  <c r="T201" i="1" s="1"/>
  <c r="F205" i="1"/>
  <c r="H198" i="1"/>
  <c r="H199" i="1" s="1"/>
  <c r="G165" i="1"/>
  <c r="G166" i="1" s="1"/>
  <c r="E165" i="1"/>
  <c r="AL95" i="1"/>
  <c r="AL107" i="1"/>
  <c r="AL110" i="1" s="1"/>
  <c r="HZ19" i="4"/>
  <c r="AT78" i="1" s="1"/>
  <c r="IN8" i="4"/>
  <c r="JB21" i="4"/>
  <c r="BV77" i="1" s="1"/>
  <c r="IW15" i="4"/>
  <c r="IW20" i="4" s="1"/>
  <c r="BQ79" i="1" s="1"/>
  <c r="IA21" i="4"/>
  <c r="AU77" i="1" s="1"/>
  <c r="AU102" i="1" s="1"/>
  <c r="HT9" i="4"/>
  <c r="O203" i="1"/>
  <c r="O201" i="1" s="1"/>
  <c r="V203" i="1"/>
  <c r="V201" i="1" s="1"/>
  <c r="P205" i="1"/>
  <c r="K198" i="1"/>
  <c r="K199" i="1" s="1"/>
  <c r="T198" i="1"/>
  <c r="T199" i="1" s="1"/>
  <c r="I205" i="1"/>
  <c r="H205" i="1"/>
  <c r="S198" i="1"/>
  <c r="S199" i="1" s="1"/>
  <c r="B165" i="1"/>
  <c r="K205" i="1"/>
  <c r="D198" i="1"/>
  <c r="D199" i="1" s="1"/>
  <c r="V205" i="1"/>
  <c r="D205" i="1"/>
  <c r="BV166" i="1"/>
  <c r="F198" i="1"/>
  <c r="F199" i="1" s="1"/>
  <c r="T246" i="1"/>
  <c r="T165" i="1"/>
  <c r="T166" i="1" s="1"/>
  <c r="Q198" i="1"/>
  <c r="Q199" i="1" s="1"/>
  <c r="BH165" i="1"/>
  <c r="BH166" i="1" s="1"/>
  <c r="E205" i="1"/>
  <c r="J198" i="1"/>
  <c r="J199" i="1" s="1"/>
  <c r="N165" i="1"/>
  <c r="N166" i="1" s="1"/>
  <c r="H203" i="1"/>
  <c r="H201" i="1" s="1"/>
  <c r="I203" i="1"/>
  <c r="I201" i="1" s="1"/>
  <c r="I244" i="1"/>
  <c r="I246" i="1"/>
  <c r="J203" i="1"/>
  <c r="J201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M165" i="1"/>
  <c r="M166" i="1" s="1"/>
  <c r="B186" i="1"/>
  <c r="O198" i="1"/>
  <c r="O199" i="1" s="1"/>
  <c r="J184" i="1"/>
  <c r="J186" i="1"/>
  <c r="L198" i="1"/>
  <c r="L199" i="1" s="1"/>
  <c r="C186" i="1"/>
  <c r="P186" i="1"/>
  <c r="AS19" i="1"/>
  <c r="AU19" i="1"/>
  <c r="BG28" i="1"/>
  <c r="AN28" i="1"/>
  <c r="AO19" i="1"/>
  <c r="AN18" i="1"/>
  <c r="AN19" i="1"/>
  <c r="AV28" i="1"/>
  <c r="AW19" i="1"/>
  <c r="AZ18" i="1"/>
  <c r="BT28" i="1"/>
  <c r="BX18" i="1"/>
  <c r="BH246" i="1"/>
  <c r="BV189" i="1"/>
  <c r="AS31" i="1"/>
  <c r="AR17" i="1"/>
  <c r="BC19" i="1"/>
  <c r="AV19" i="1"/>
  <c r="BH19" i="1"/>
  <c r="BK18" i="1"/>
  <c r="T59" i="1"/>
  <c r="AR18" i="1"/>
  <c r="AN17" i="1"/>
  <c r="AV17" i="1"/>
  <c r="AV18" i="1"/>
  <c r="BU19" i="1"/>
  <c r="BT17" i="1"/>
  <c r="BT18" i="1"/>
  <c r="E198" i="1"/>
  <c r="E199" i="1" s="1"/>
  <c r="L205" i="1"/>
  <c r="L210" i="1" s="1"/>
  <c r="L211" i="1" s="1"/>
  <c r="G198" i="1"/>
  <c r="G199" i="1" s="1"/>
  <c r="BQ232" i="1"/>
  <c r="BQ233" i="1" s="1"/>
  <c r="BQ29" i="1"/>
  <c r="BQ34" i="1"/>
  <c r="BQ38" i="1" s="1"/>
  <c r="O244" i="1"/>
  <c r="P203" i="1"/>
  <c r="P201" i="1" s="1"/>
  <c r="P213" i="1" s="1"/>
  <c r="O246" i="1"/>
  <c r="V184" i="1"/>
  <c r="V186" i="1"/>
  <c r="V189" i="1" s="1"/>
  <c r="V190" i="1" s="1"/>
  <c r="V244" i="1"/>
  <c r="V246" i="1"/>
  <c r="W203" i="1"/>
  <c r="W201" i="1" s="1"/>
  <c r="K181" i="1"/>
  <c r="K186" i="1"/>
  <c r="T186" i="1"/>
  <c r="T181" i="1"/>
  <c r="R181" i="1"/>
  <c r="R186" i="1"/>
  <c r="Q203" i="1"/>
  <c r="Q201" i="1" s="1"/>
  <c r="Q244" i="1"/>
  <c r="Q246" i="1"/>
  <c r="O181" i="1"/>
  <c r="O186" i="1"/>
  <c r="F181" i="1"/>
  <c r="F186" i="1"/>
  <c r="Q181" i="1"/>
  <c r="Q186" i="1"/>
  <c r="Q189" i="1" s="1"/>
  <c r="Q190" i="1" s="1"/>
  <c r="AT18" i="1"/>
  <c r="AT19" i="1"/>
  <c r="BG19" i="1"/>
  <c r="BG18" i="1"/>
  <c r="BG17" i="1"/>
  <c r="BS17" i="1"/>
  <c r="BS28" i="1"/>
  <c r="BB19" i="1"/>
  <c r="R59" i="1"/>
  <c r="E186" i="1"/>
  <c r="E189" i="1" s="1"/>
  <c r="E190" i="1" s="1"/>
  <c r="E184" i="1"/>
  <c r="G184" i="1"/>
  <c r="G186" i="1"/>
  <c r="I184" i="1"/>
  <c r="I186" i="1"/>
  <c r="J189" i="1" s="1"/>
  <c r="J190" i="1" s="1"/>
  <c r="N181" i="1"/>
  <c r="N186" i="1"/>
  <c r="N189" i="1" s="1"/>
  <c r="N190" i="1" s="1"/>
  <c r="AW232" i="1"/>
  <c r="AW233" i="1" s="1"/>
  <c r="AW29" i="1"/>
  <c r="AW34" i="1"/>
  <c r="AW38" i="1" s="1"/>
  <c r="BI138" i="1"/>
  <c r="BJ33" i="1"/>
  <c r="BW19" i="1"/>
  <c r="BW17" i="1"/>
  <c r="CA18" i="1"/>
  <c r="BX19" i="1"/>
  <c r="BW28" i="1"/>
  <c r="X59" i="1"/>
  <c r="C205" i="1"/>
  <c r="AR246" i="1"/>
  <c r="AR244" i="1"/>
  <c r="AT28" i="1"/>
  <c r="AT17" i="1"/>
  <c r="BA17" i="1"/>
  <c r="BA28" i="1"/>
  <c r="BA19" i="1"/>
  <c r="M205" i="1"/>
  <c r="B110" i="1"/>
  <c r="B113" i="1" s="1"/>
  <c r="AR165" i="1"/>
  <c r="AR166" i="1" s="1"/>
  <c r="BS19" i="1"/>
  <c r="BW18" i="1"/>
  <c r="BT19" i="1"/>
  <c r="AI17" i="1"/>
  <c r="AJ19" i="1"/>
  <c r="AM18" i="1"/>
  <c r="AI28" i="1"/>
  <c r="N59" i="1"/>
  <c r="BO17" i="1"/>
  <c r="BO18" i="1"/>
  <c r="BS18" i="1"/>
  <c r="BO28" i="1"/>
  <c r="BP19" i="1"/>
  <c r="V59" i="1"/>
  <c r="BE17" i="1"/>
  <c r="BI18" i="1"/>
  <c r="BE19" i="1"/>
  <c r="BE28" i="1"/>
  <c r="S60" i="1" s="1"/>
  <c r="BF19" i="1"/>
  <c r="S59" i="1"/>
  <c r="BE18" i="1"/>
  <c r="BA18" i="1"/>
  <c r="D165" i="1"/>
  <c r="E203" i="1"/>
  <c r="E201" i="1" s="1"/>
  <c r="BR18" i="1"/>
  <c r="BN18" i="1"/>
  <c r="BN28" i="1"/>
  <c r="U59" i="1"/>
  <c r="BN17" i="1"/>
  <c r="BN19" i="1"/>
  <c r="BO19" i="1"/>
  <c r="F55" i="1"/>
  <c r="F166" i="1"/>
  <c r="B111" i="1"/>
  <c r="B114" i="1" s="1"/>
  <c r="BW37" i="1"/>
  <c r="M184" i="1"/>
  <c r="BV95" i="1"/>
  <c r="BB18" i="1"/>
  <c r="BV96" i="1"/>
  <c r="BI37" i="1"/>
  <c r="R165" i="1"/>
  <c r="R166" i="1" s="1"/>
  <c r="AY19" i="1"/>
  <c r="AX28" i="1"/>
  <c r="AX18" i="1"/>
  <c r="AX17" i="1"/>
  <c r="R244" i="1"/>
  <c r="R246" i="1"/>
  <c r="Q59" i="1"/>
  <c r="B69" i="1"/>
  <c r="C70" i="1" s="1"/>
  <c r="B68" i="1"/>
  <c r="R203" i="1"/>
  <c r="R201" i="1" s="1"/>
  <c r="D70" i="1"/>
  <c r="C87" i="1"/>
  <c r="C85" i="1"/>
  <c r="C86" i="1"/>
  <c r="B89" i="1"/>
  <c r="I189" i="1"/>
  <c r="I190" i="1" s="1"/>
  <c r="AW37" i="1"/>
  <c r="AV109" i="1"/>
  <c r="BS138" i="1"/>
  <c r="BT33" i="1"/>
  <c r="BR246" i="1"/>
  <c r="BR244" i="1"/>
  <c r="AP33" i="1"/>
  <c r="AO138" i="1"/>
  <c r="BR165" i="1"/>
  <c r="BR166" i="1" s="1"/>
  <c r="BB109" i="1"/>
  <c r="BC37" i="1"/>
  <c r="L213" i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6" i="1"/>
  <c r="AX96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Q250" i="1"/>
  <c r="AQ251" i="1" s="1"/>
  <c r="AQ31" i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U30" i="1"/>
  <c r="BU29" i="1"/>
  <c r="BU232" i="1"/>
  <c r="BU233" i="1" s="1"/>
  <c r="BY30" i="1"/>
  <c r="BU34" i="1"/>
  <c r="BU38" i="1" s="1"/>
  <c r="AS203" i="1"/>
  <c r="AS201" i="1" s="1"/>
  <c r="AT203" i="1"/>
  <c r="AT201" i="1" s="1"/>
  <c r="AS232" i="1"/>
  <c r="AS233" i="1" s="1"/>
  <c r="AS34" i="1"/>
  <c r="AS38" i="1" s="1"/>
  <c r="AW30" i="1"/>
  <c r="AS250" i="1"/>
  <c r="AS251" i="1" s="1"/>
  <c r="AS29" i="1"/>
  <c r="AS226" i="1"/>
  <c r="AS112" i="1"/>
  <c r="BI232" i="1"/>
  <c r="BI233" i="1" s="1"/>
  <c r="BI34" i="1"/>
  <c r="BI29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C31" i="1"/>
  <c r="AU232" i="1"/>
  <c r="AU233" i="1" s="1"/>
  <c r="AU29" i="1"/>
  <c r="AU34" i="1"/>
  <c r="AU38" i="1" s="1"/>
  <c r="AY30" i="1"/>
  <c r="AU30" i="1"/>
  <c r="BV110" i="1"/>
  <c r="BV111" i="1"/>
  <c r="BD31" i="1"/>
  <c r="BG30" i="1"/>
  <c r="BC34" i="1"/>
  <c r="BC29" i="1"/>
  <c r="BC232" i="1"/>
  <c r="BC233" i="1" s="1"/>
  <c r="BC30" i="1"/>
  <c r="BV30" i="1"/>
  <c r="AQ226" i="1"/>
  <c r="AZ41" i="1"/>
  <c r="AZ40" i="1"/>
  <c r="BR250" i="1"/>
  <c r="BR251" i="1" s="1"/>
  <c r="BR29" i="1"/>
  <c r="BR31" i="1"/>
  <c r="BR232" i="1"/>
  <c r="BR233" i="1" s="1"/>
  <c r="BR34" i="1"/>
  <c r="AQ112" i="1"/>
  <c r="AR226" i="1"/>
  <c r="AP226" i="1"/>
  <c r="AP250" i="1"/>
  <c r="AP251" i="1" s="1"/>
  <c r="AP112" i="1"/>
  <c r="BV40" i="1"/>
  <c r="BV41" i="1"/>
  <c r="AV34" i="1"/>
  <c r="AZ30" i="1"/>
  <c r="AV29" i="1"/>
  <c r="AV232" i="1"/>
  <c r="AV233" i="1" s="1"/>
  <c r="AW250" i="1"/>
  <c r="AW251" i="1" s="1"/>
  <c r="AW31" i="1"/>
  <c r="BG29" i="1"/>
  <c r="T60" i="1"/>
  <c r="BJ112" i="1"/>
  <c r="BG250" i="1"/>
  <c r="BG251" i="1" s="1"/>
  <c r="BI226" i="1"/>
  <c r="BG34" i="1"/>
  <c r="BI112" i="1"/>
  <c r="BG232" i="1"/>
  <c r="BG233" i="1" s="1"/>
  <c r="BJ226" i="1"/>
  <c r="BH31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B34" i="1"/>
  <c r="BF30" i="1"/>
  <c r="BB232" i="1"/>
  <c r="BB233" i="1" s="1"/>
  <c r="BB29" i="1"/>
  <c r="BC250" i="1"/>
  <c r="BC251" i="1" s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T34" i="1"/>
  <c r="BU250" i="1"/>
  <c r="BU251" i="1" s="1"/>
  <c r="BT29" i="1"/>
  <c r="BX30" i="1"/>
  <c r="BU31" i="1"/>
  <c r="BT232" i="1"/>
  <c r="BT233" i="1" s="1"/>
  <c r="BT30" i="1"/>
  <c r="AV30" i="1"/>
  <c r="BJ234" i="1"/>
  <c r="BJ42" i="1"/>
  <c r="BJ245" i="1" s="1"/>
  <c r="BJ48" i="1"/>
  <c r="BQ40" i="1"/>
  <c r="BQ41" i="1"/>
  <c r="CR134" i="1"/>
  <c r="AE142" i="1"/>
  <c r="AC124" i="1"/>
  <c r="BE226" i="1" l="1"/>
  <c r="BE112" i="1"/>
  <c r="U166" i="1"/>
  <c r="C210" i="1"/>
  <c r="C211" i="1" s="1"/>
  <c r="F213" i="1"/>
  <c r="F210" i="1"/>
  <c r="F211" i="1" s="1"/>
  <c r="C213" i="1"/>
  <c r="V210" i="1"/>
  <c r="V211" i="1" s="1"/>
  <c r="V213" i="1"/>
  <c r="M210" i="1"/>
  <c r="M211" i="1" s="1"/>
  <c r="U60" i="1"/>
  <c r="C244" i="1"/>
  <c r="C166" i="1"/>
  <c r="D210" i="1"/>
  <c r="D211" i="1" s="1"/>
  <c r="E166" i="1"/>
  <c r="R210" i="1"/>
  <c r="R211" i="1" s="1"/>
  <c r="S213" i="1"/>
  <c r="U210" i="1"/>
  <c r="U211" i="1" s="1"/>
  <c r="J213" i="1"/>
  <c r="D213" i="1"/>
  <c r="H210" i="1"/>
  <c r="H211" i="1" s="1"/>
  <c r="B244" i="1"/>
  <c r="B166" i="1"/>
  <c r="U213" i="1"/>
  <c r="S210" i="1"/>
  <c r="S211" i="1" s="1"/>
  <c r="T213" i="1"/>
  <c r="T210" i="1"/>
  <c r="T211" i="1" s="1"/>
  <c r="K210" i="1"/>
  <c r="K211" i="1" s="1"/>
  <c r="K213" i="1"/>
  <c r="I210" i="1"/>
  <c r="I211" i="1" s="1"/>
  <c r="I213" i="1"/>
  <c r="J210" i="1"/>
  <c r="J211" i="1" s="1"/>
  <c r="H213" i="1"/>
  <c r="Q213" i="1"/>
  <c r="Q210" i="1"/>
  <c r="Q211" i="1" s="1"/>
  <c r="M213" i="1"/>
  <c r="N213" i="1"/>
  <c r="P210" i="1"/>
  <c r="P211" i="1" s="1"/>
  <c r="N210" i="1"/>
  <c r="N211" i="1" s="1"/>
  <c r="O213" i="1"/>
  <c r="O210" i="1"/>
  <c r="O211" i="1" s="1"/>
  <c r="BL112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BM112" i="1"/>
  <c r="BM226" i="1"/>
  <c r="BK112" i="1"/>
  <c r="BL226" i="1"/>
  <c r="AV31" i="1"/>
  <c r="AV250" i="1"/>
  <c r="AV251" i="1" s="1"/>
  <c r="BT112" i="1"/>
  <c r="BT31" i="1"/>
  <c r="BK226" i="1"/>
  <c r="AR41" i="1"/>
  <c r="AR40" i="1"/>
  <c r="C189" i="1"/>
  <c r="C190" i="1" s="1"/>
  <c r="D189" i="1"/>
  <c r="D190" i="1" s="1"/>
  <c r="M189" i="1"/>
  <c r="M190" i="1" s="1"/>
  <c r="BF250" i="1"/>
  <c r="BF251" i="1" s="1"/>
  <c r="BO29" i="1"/>
  <c r="BO34" i="1"/>
  <c r="BO38" i="1" s="1"/>
  <c r="BO232" i="1"/>
  <c r="BO233" i="1" s="1"/>
  <c r="AT95" i="1"/>
  <c r="AT103" i="1"/>
  <c r="AT107" i="1"/>
  <c r="IN20" i="4"/>
  <c r="BH79" i="1" s="1"/>
  <c r="HX9" i="4"/>
  <c r="HX21" i="4" s="1"/>
  <c r="AR77" i="1" s="1"/>
  <c r="BV94" i="1"/>
  <c r="BV102" i="1"/>
  <c r="BQ104" i="1"/>
  <c r="BQ108" i="1"/>
  <c r="HT21" i="4"/>
  <c r="AN77" i="1" s="1"/>
  <c r="IW9" i="4"/>
  <c r="F189" i="1"/>
  <c r="F190" i="1" s="1"/>
  <c r="BS34" i="1"/>
  <c r="BS38" i="1" s="1"/>
  <c r="BS29" i="1"/>
  <c r="BS232" i="1"/>
  <c r="BS233" i="1" s="1"/>
  <c r="BS250" i="1"/>
  <c r="BS251" i="1" s="1"/>
  <c r="BS112" i="1"/>
  <c r="BT226" i="1"/>
  <c r="BV226" i="1"/>
  <c r="BS31" i="1"/>
  <c r="BV112" i="1"/>
  <c r="G210" i="1"/>
  <c r="G211" i="1" s="1"/>
  <c r="G213" i="1"/>
  <c r="L189" i="1"/>
  <c r="L190" i="1" s="1"/>
  <c r="K189" i="1"/>
  <c r="K190" i="1" s="1"/>
  <c r="T189" i="1"/>
  <c r="T190" i="1" s="1"/>
  <c r="U189" i="1"/>
  <c r="U190" i="1" s="1"/>
  <c r="S189" i="1"/>
  <c r="S190" i="1" s="1"/>
  <c r="R189" i="1"/>
  <c r="R190" i="1" s="1"/>
  <c r="P189" i="1"/>
  <c r="P190" i="1" s="1"/>
  <c r="O189" i="1"/>
  <c r="O190" i="1" s="1"/>
  <c r="BW30" i="1"/>
  <c r="BS226" i="1"/>
  <c r="BT250" i="1"/>
  <c r="BT251" i="1" s="1"/>
  <c r="BU112" i="1"/>
  <c r="H189" i="1"/>
  <c r="H190" i="1" s="1"/>
  <c r="G189" i="1"/>
  <c r="G190" i="1" s="1"/>
  <c r="AW40" i="1"/>
  <c r="AW41" i="1"/>
  <c r="BJ203" i="1"/>
  <c r="BJ201" i="1" s="1"/>
  <c r="BI203" i="1"/>
  <c r="BI201" i="1" s="1"/>
  <c r="BW112" i="1"/>
  <c r="BY226" i="1"/>
  <c r="BX226" i="1"/>
  <c r="BX112" i="1"/>
  <c r="BW31" i="1"/>
  <c r="BW226" i="1"/>
  <c r="BW232" i="1"/>
  <c r="BW233" i="1" s="1"/>
  <c r="BX31" i="1"/>
  <c r="X60" i="1"/>
  <c r="BW29" i="1"/>
  <c r="BZ226" i="1"/>
  <c r="BW250" i="1"/>
  <c r="BW251" i="1" s="1"/>
  <c r="BW34" i="1"/>
  <c r="BY112" i="1"/>
  <c r="CA30" i="1"/>
  <c r="BX250" i="1"/>
  <c r="BX251" i="1" s="1"/>
  <c r="BZ112" i="1"/>
  <c r="AT30" i="1"/>
  <c r="AT31" i="1"/>
  <c r="AT226" i="1"/>
  <c r="P60" i="1"/>
  <c r="AT112" i="1"/>
  <c r="AT250" i="1"/>
  <c r="AT251" i="1" s="1"/>
  <c r="BE30" i="1"/>
  <c r="BB112" i="1"/>
  <c r="BD112" i="1"/>
  <c r="BB250" i="1"/>
  <c r="BB251" i="1" s="1"/>
  <c r="BB31" i="1"/>
  <c r="AT232" i="1"/>
  <c r="AT233" i="1" s="1"/>
  <c r="AT29" i="1"/>
  <c r="AT34" i="1"/>
  <c r="AT38" i="1" s="1"/>
  <c r="BA31" i="1"/>
  <c r="BA30" i="1"/>
  <c r="BA34" i="1"/>
  <c r="BA232" i="1"/>
  <c r="BA233" i="1" s="1"/>
  <c r="BA29" i="1"/>
  <c r="BA250" i="1"/>
  <c r="BA251" i="1" s="1"/>
  <c r="AV226" i="1"/>
  <c r="AV112" i="1"/>
  <c r="AW226" i="1"/>
  <c r="AU226" i="1"/>
  <c r="AW112" i="1"/>
  <c r="AU31" i="1"/>
  <c r="AU250" i="1"/>
  <c r="AU251" i="1" s="1"/>
  <c r="AU112" i="1"/>
  <c r="R60" i="1"/>
  <c r="BB226" i="1"/>
  <c r="BC226" i="1"/>
  <c r="BD226" i="1"/>
  <c r="BC112" i="1"/>
  <c r="N60" i="1"/>
  <c r="AJ31" i="1"/>
  <c r="AL112" i="1"/>
  <c r="AI29" i="1"/>
  <c r="AM30" i="1"/>
  <c r="AI34" i="1"/>
  <c r="AL226" i="1"/>
  <c r="AI232" i="1"/>
  <c r="AI233" i="1" s="1"/>
  <c r="BO250" i="1"/>
  <c r="BO251" i="1" s="1"/>
  <c r="BO30" i="1"/>
  <c r="BP250" i="1"/>
  <c r="BP251" i="1" s="1"/>
  <c r="BS30" i="1"/>
  <c r="V60" i="1"/>
  <c r="BR226" i="1"/>
  <c r="BP31" i="1"/>
  <c r="BR112" i="1"/>
  <c r="BF226" i="1"/>
  <c r="BF112" i="1"/>
  <c r="BH226" i="1"/>
  <c r="BG112" i="1"/>
  <c r="BH112" i="1"/>
  <c r="BG226" i="1"/>
  <c r="D166" i="1"/>
  <c r="D244" i="1"/>
  <c r="E213" i="1"/>
  <c r="E210" i="1"/>
  <c r="E211" i="1" s="1"/>
  <c r="BN112" i="1"/>
  <c r="BN232" i="1"/>
  <c r="BN233" i="1" s="1"/>
  <c r="BN250" i="1"/>
  <c r="BN251" i="1" s="1"/>
  <c r="BP112" i="1"/>
  <c r="BO112" i="1"/>
  <c r="BN34" i="1"/>
  <c r="BP226" i="1"/>
  <c r="BO226" i="1"/>
  <c r="BR30" i="1"/>
  <c r="BQ112" i="1"/>
  <c r="BN29" i="1"/>
  <c r="BO31" i="1"/>
  <c r="BN31" i="1"/>
  <c r="BN226" i="1"/>
  <c r="BN30" i="1"/>
  <c r="BQ226" i="1"/>
  <c r="AX226" i="1"/>
  <c r="BA112" i="1"/>
  <c r="R213" i="1"/>
  <c r="B87" i="1"/>
  <c r="B85" i="1"/>
  <c r="B86" i="1"/>
  <c r="AX29" i="1"/>
  <c r="AX31" i="1"/>
  <c r="AX250" i="1"/>
  <c r="AX251" i="1" s="1"/>
  <c r="AX112" i="1"/>
  <c r="AX34" i="1"/>
  <c r="AX38" i="1" s="1"/>
  <c r="AZ112" i="1"/>
  <c r="BB30" i="1"/>
  <c r="BA226" i="1"/>
  <c r="Q60" i="1"/>
  <c r="AX30" i="1"/>
  <c r="AY226" i="1"/>
  <c r="AZ226" i="1"/>
  <c r="AY250" i="1"/>
  <c r="AY251" i="1" s="1"/>
  <c r="AY31" i="1"/>
  <c r="AX232" i="1"/>
  <c r="AX233" i="1" s="1"/>
  <c r="AY112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1" i="1"/>
  <c r="AP110" i="1"/>
  <c r="AP113" i="1" s="1"/>
  <c r="AP111" i="1"/>
  <c r="AP114" i="1" s="1"/>
  <c r="AZ111" i="1"/>
  <c r="BH189" i="1"/>
  <c r="BD189" i="1"/>
  <c r="BN189" i="1"/>
  <c r="BR189" i="1"/>
  <c r="BB189" i="1"/>
  <c r="BF189" i="1"/>
  <c r="BT189" i="1"/>
  <c r="BX189" i="1"/>
  <c r="AY40" i="1"/>
  <c r="AY41" i="1"/>
  <c r="AP40" i="1"/>
  <c r="AP41" i="1"/>
  <c r="AP43" i="1" s="1"/>
  <c r="BU41" i="1"/>
  <c r="BY43" i="1" s="1"/>
  <c r="BU40" i="1"/>
  <c r="AS40" i="1"/>
  <c r="AS41" i="1"/>
  <c r="BP40" i="1"/>
  <c r="BP41" i="1"/>
  <c r="BQ44" i="1" s="1"/>
  <c r="BI38" i="1"/>
  <c r="BM40" i="1"/>
  <c r="BM41" i="1"/>
  <c r="BE40" i="1"/>
  <c r="BE41" i="1"/>
  <c r="BF234" i="1"/>
  <c r="BF42" i="1"/>
  <c r="BF245" i="1" s="1"/>
  <c r="BF48" i="1"/>
  <c r="BJ43" i="1"/>
  <c r="BD40" i="1"/>
  <c r="BD41" i="1"/>
  <c r="AU41" i="1"/>
  <c r="AU40" i="1"/>
  <c r="BC38" i="1"/>
  <c r="BF55" i="1"/>
  <c r="AZ234" i="1"/>
  <c r="AZ48" i="1"/>
  <c r="AZ42" i="1"/>
  <c r="AZ245" i="1" s="1"/>
  <c r="BR38" i="1"/>
  <c r="AR55" i="1"/>
  <c r="AP55" i="1"/>
  <c r="AO41" i="1"/>
  <c r="BV42" i="1"/>
  <c r="BV245" i="1" s="1"/>
  <c r="BV48" i="1"/>
  <c r="BV234" i="1"/>
  <c r="BZ43" i="1"/>
  <c r="BH41" i="1"/>
  <c r="BH40" i="1"/>
  <c r="AQ38" i="1"/>
  <c r="BB38" i="1"/>
  <c r="AN55" i="1"/>
  <c r="AN38" i="1"/>
  <c r="AV38" i="1"/>
  <c r="BT38" i="1"/>
  <c r="BJ113" i="1"/>
  <c r="BJ114" i="1"/>
  <c r="BJ55" i="1"/>
  <c r="BG38" i="1"/>
  <c r="BH55" i="1"/>
  <c r="BJ52" i="1"/>
  <c r="BJ193" i="1"/>
  <c r="BJ195" i="1" s="1"/>
  <c r="BJ66" i="1"/>
  <c r="BQ42" i="1"/>
  <c r="BQ245" i="1" s="1"/>
  <c r="BQ48" i="1"/>
  <c r="BQ234" i="1"/>
  <c r="CR138" i="1"/>
  <c r="CS32" i="1"/>
  <c r="BL114" i="1" l="1"/>
  <c r="BK40" i="1"/>
  <c r="BL55" i="1"/>
  <c r="AR42" i="1"/>
  <c r="AR245" i="1" s="1"/>
  <c r="AR48" i="1"/>
  <c r="AR234" i="1"/>
  <c r="BR55" i="1"/>
  <c r="BK41" i="1"/>
  <c r="AS44" i="1"/>
  <c r="AV113" i="1"/>
  <c r="AV114" i="1"/>
  <c r="BB114" i="1"/>
  <c r="BB113" i="1"/>
  <c r="AT110" i="1"/>
  <c r="BT114" i="1"/>
  <c r="BT113" i="1"/>
  <c r="BD114" i="1"/>
  <c r="BD113" i="1"/>
  <c r="BV55" i="1"/>
  <c r="BO41" i="1"/>
  <c r="BO40" i="1"/>
  <c r="BT55" i="1"/>
  <c r="BS40" i="1"/>
  <c r="BS41" i="1"/>
  <c r="BV113" i="1"/>
  <c r="BH96" i="1"/>
  <c r="BH104" i="1"/>
  <c r="BH108" i="1"/>
  <c r="BH111" i="1" s="1"/>
  <c r="AR94" i="1"/>
  <c r="AR102" i="1"/>
  <c r="AN94" i="1"/>
  <c r="AN102" i="1"/>
  <c r="IW21" i="4"/>
  <c r="BQ77" i="1" s="1"/>
  <c r="BQ102" i="1" s="1"/>
  <c r="II8" i="4"/>
  <c r="BX113" i="1"/>
  <c r="BX114" i="1"/>
  <c r="BV114" i="1"/>
  <c r="AT55" i="1"/>
  <c r="BX55" i="1"/>
  <c r="BZ55" i="1"/>
  <c r="BW38" i="1"/>
  <c r="BB55" i="1"/>
  <c r="AV55" i="1"/>
  <c r="BN55" i="1"/>
  <c r="BY55" i="1"/>
  <c r="BZ113" i="1"/>
  <c r="BZ114" i="1"/>
  <c r="AW48" i="1"/>
  <c r="AW234" i="1"/>
  <c r="AW42" i="1"/>
  <c r="AW245" i="1" s="1"/>
  <c r="AT114" i="1"/>
  <c r="AT113" i="1"/>
  <c r="AT41" i="1"/>
  <c r="AT40" i="1"/>
  <c r="BN114" i="1"/>
  <c r="BN113" i="1"/>
  <c r="BP113" i="1"/>
  <c r="BP114" i="1"/>
  <c r="BF114" i="1"/>
  <c r="BF113" i="1"/>
  <c r="BR113" i="1"/>
  <c r="BR114" i="1"/>
  <c r="AX114" i="1"/>
  <c r="BA38" i="1"/>
  <c r="BD55" i="1"/>
  <c r="AL114" i="1"/>
  <c r="AL113" i="1"/>
  <c r="AI38" i="1"/>
  <c r="AL55" i="1"/>
  <c r="BP55" i="1"/>
  <c r="BN38" i="1"/>
  <c r="AX55" i="1"/>
  <c r="AZ114" i="1"/>
  <c r="AZ55" i="1"/>
  <c r="BL44" i="1"/>
  <c r="BK48" i="1"/>
  <c r="BK42" i="1"/>
  <c r="BK245" i="1" s="1"/>
  <c r="AY234" i="1"/>
  <c r="AY42" i="1"/>
  <c r="AY245" i="1" s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U42" i="1"/>
  <c r="AU245" i="1" s="1"/>
  <c r="AU234" i="1"/>
  <c r="AY43" i="1"/>
  <c r="AU48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CS194" i="1"/>
  <c r="CS132" i="1"/>
  <c r="CR203" i="1"/>
  <c r="CR201" i="1" s="1"/>
  <c r="AC125" i="1"/>
  <c r="AC128" i="1" s="1"/>
  <c r="AC249" i="1" s="1"/>
  <c r="AW193" i="1" l="1"/>
  <c r="AW195" i="1" s="1"/>
  <c r="AW66" i="1"/>
  <c r="AW119" i="1"/>
  <c r="AW120" i="1" s="1"/>
  <c r="AW52" i="1"/>
  <c r="AT43" i="1"/>
  <c r="BH114" i="1"/>
  <c r="BW41" i="1"/>
  <c r="BW43" i="1" s="1"/>
  <c r="BW40" i="1"/>
  <c r="II20" i="4"/>
  <c r="BC79" i="1" s="1"/>
  <c r="HU9" i="4"/>
  <c r="JA16" i="4" s="1"/>
  <c r="AI41" i="1"/>
  <c r="AI40" i="1"/>
  <c r="AU227" i="1"/>
  <c r="AU44" i="1"/>
  <c r="BN41" i="1"/>
  <c r="BN40" i="1"/>
  <c r="AT42" i="1"/>
  <c r="AT245" i="1" s="1"/>
  <c r="AT234" i="1"/>
  <c r="AT48" i="1"/>
  <c r="BA40" i="1"/>
  <c r="BA41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B42" i="1"/>
  <c r="BB245" i="1" s="1"/>
  <c r="BF43" i="1"/>
  <c r="BB234" i="1"/>
  <c r="BB48" i="1"/>
  <c r="BC44" i="1"/>
  <c r="BE227" i="1"/>
  <c r="BB43" i="1"/>
  <c r="AX48" i="1"/>
  <c r="AX234" i="1"/>
  <c r="AX42" i="1"/>
  <c r="AX245" i="1" s="1"/>
  <c r="AZ227" i="1"/>
  <c r="AX44" i="1"/>
  <c r="AY44" i="1"/>
  <c r="AX43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BN234" i="1" l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4" i="1"/>
  <c r="BC227" i="1"/>
  <c r="BA227" i="1"/>
  <c r="BX227" i="1"/>
  <c r="BW234" i="1"/>
  <c r="BW44" i="1"/>
  <c r="BX44" i="1"/>
  <c r="BW48" i="1"/>
  <c r="X61" i="1"/>
  <c r="BY227" i="1"/>
  <c r="CA43" i="1"/>
  <c r="BW42" i="1"/>
  <c r="BW245" i="1" s="1"/>
  <c r="BZ227" i="1"/>
  <c r="BC104" i="1"/>
  <c r="BC108" i="1"/>
  <c r="HY16" i="4"/>
  <c r="HY21" i="4" s="1"/>
  <c r="AS77" i="1" s="1"/>
  <c r="AT52" i="1"/>
  <c r="AT193" i="1"/>
  <c r="AT195" i="1" s="1"/>
  <c r="AT66" i="1"/>
  <c r="BE43" i="1"/>
  <c r="BA48" i="1"/>
  <c r="BA44" i="1"/>
  <c r="BA234" i="1"/>
  <c r="BA43" i="1"/>
  <c r="BA42" i="1"/>
  <c r="BA245" i="1" s="1"/>
  <c r="BD227" i="1"/>
  <c r="BB227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6" i="1"/>
  <c r="AW94" i="1"/>
  <c r="AW96" i="1"/>
  <c r="CS138" i="1"/>
  <c r="CT32" i="1"/>
  <c r="AD124" i="1"/>
  <c r="W59" i="1"/>
  <c r="BX54" i="1" l="1"/>
  <c r="BW119" i="1"/>
  <c r="BW120" i="1" s="1"/>
  <c r="BY54" i="1"/>
  <c r="BW193" i="1"/>
  <c r="BW195" i="1" s="1"/>
  <c r="BW52" i="1"/>
  <c r="BZ54" i="1"/>
  <c r="AU69" i="1"/>
  <c r="BW66" i="1"/>
  <c r="AS102" i="1"/>
  <c r="JA9" i="4"/>
  <c r="BA193" i="1"/>
  <c r="BA195" i="1" s="1"/>
  <c r="BA66" i="1"/>
  <c r="BA119" i="1"/>
  <c r="BA120" i="1" s="1"/>
  <c r="BA52" i="1"/>
  <c r="BB54" i="1"/>
  <c r="BD54" i="1"/>
  <c r="R61" i="1"/>
  <c r="BM85" i="1"/>
  <c r="BM87" i="1"/>
  <c r="BK96" i="1"/>
  <c r="BK95" i="1"/>
  <c r="BU96" i="1"/>
  <c r="BU95" i="1"/>
  <c r="AY95" i="1"/>
  <c r="AY96" i="1"/>
  <c r="BL69" i="1"/>
  <c r="BK69" i="1"/>
  <c r="BR69" i="1"/>
  <c r="BR86" i="1" s="1"/>
  <c r="BT69" i="1"/>
  <c r="BS69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6" i="1"/>
  <c r="BM94" i="1"/>
  <c r="BU69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5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V87" i="1"/>
  <c r="BV86" i="1"/>
  <c r="BV85" i="1"/>
  <c r="BS95" i="1"/>
  <c r="BS96" i="1"/>
  <c r="AC32" i="1"/>
  <c r="CT194" i="1"/>
  <c r="CT132" i="1"/>
  <c r="CS203" i="1"/>
  <c r="CS201" i="1" s="1"/>
  <c r="W60" i="1"/>
  <c r="BB69" i="1" l="1"/>
  <c r="BC69" i="1"/>
  <c r="BZ69" i="1"/>
  <c r="BX69" i="1"/>
  <c r="BY69" i="1"/>
  <c r="BW69" i="1"/>
  <c r="BW207" i="1"/>
  <c r="BW205" i="1" s="1"/>
  <c r="BX207" i="1"/>
  <c r="BX205" i="1" s="1"/>
  <c r="BW129" i="1"/>
  <c r="BW55" i="1" s="1"/>
  <c r="BW54" i="1"/>
  <c r="BW92" i="1"/>
  <c r="AU87" i="1"/>
  <c r="AU86" i="1"/>
  <c r="AQ89" i="1"/>
  <c r="AU85" i="1"/>
  <c r="BA69" i="1"/>
  <c r="BD69" i="1"/>
  <c r="JA21" i="4"/>
  <c r="BU77" i="1" s="1"/>
  <c r="IR7" i="4"/>
  <c r="BA54" i="1"/>
  <c r="BA207" i="1"/>
  <c r="BA205" i="1" s="1"/>
  <c r="BA129" i="1"/>
  <c r="BA55" i="1" s="1"/>
  <c r="BA92" i="1"/>
  <c r="BB207" i="1"/>
  <c r="BB205" i="1" s="1"/>
  <c r="BL85" i="1"/>
  <c r="BN89" i="1"/>
  <c r="BR87" i="1"/>
  <c r="BV70" i="1"/>
  <c r="BP89" i="1"/>
  <c r="BT87" i="1"/>
  <c r="BT86" i="1"/>
  <c r="BS87" i="1"/>
  <c r="BO89" i="1"/>
  <c r="BS86" i="1"/>
  <c r="BL87" i="1"/>
  <c r="BK86" i="1"/>
  <c r="BK87" i="1"/>
  <c r="BG89" i="1"/>
  <c r="BT70" i="1"/>
  <c r="BV89" i="1"/>
  <c r="BZ70" i="1"/>
  <c r="BY70" i="1"/>
  <c r="BI95" i="1"/>
  <c r="BI96" i="1"/>
  <c r="BI94" i="1"/>
  <c r="BU87" i="1"/>
  <c r="BU86" i="1"/>
  <c r="BW70" i="1"/>
  <c r="BC95" i="1"/>
  <c r="BC96" i="1"/>
  <c r="AQ86" i="1"/>
  <c r="BU70" i="1"/>
  <c r="AX70" i="1"/>
  <c r="AR70" i="1"/>
  <c r="AN86" i="1"/>
  <c r="AN85" i="1"/>
  <c r="BO85" i="1"/>
  <c r="BK89" i="1"/>
  <c r="BO86" i="1"/>
  <c r="BO70" i="1"/>
  <c r="BO87" i="1"/>
  <c r="AP89" i="1"/>
  <c r="BI70" i="1"/>
  <c r="BJ86" i="1"/>
  <c r="BJ70" i="1"/>
  <c r="AU70" i="1"/>
  <c r="AQ70" i="1"/>
  <c r="AQ87" i="1"/>
  <c r="BQ85" i="1"/>
  <c r="BQ70" i="1"/>
  <c r="BQ87" i="1"/>
  <c r="AW85" i="1"/>
  <c r="AW87" i="1"/>
  <c r="AV89" i="1"/>
  <c r="AZ87" i="1"/>
  <c r="AZ85" i="1"/>
  <c r="AY87" i="1"/>
  <c r="AU89" i="1"/>
  <c r="AY70" i="1"/>
  <c r="AT86" i="1"/>
  <c r="BJ87" i="1"/>
  <c r="AM89" i="1"/>
  <c r="BS70" i="1"/>
  <c r="BM70" i="1"/>
  <c r="BI87" i="1"/>
  <c r="BI85" i="1"/>
  <c r="BI86" i="1"/>
  <c r="BE89" i="1"/>
  <c r="AO87" i="1"/>
  <c r="AS70" i="1"/>
  <c r="AO86" i="1"/>
  <c r="BP70" i="1"/>
  <c r="BP86" i="1"/>
  <c r="BP87" i="1"/>
  <c r="AO89" i="1"/>
  <c r="AS87" i="1"/>
  <c r="AS85" i="1"/>
  <c r="AW70" i="1"/>
  <c r="AV86" i="1"/>
  <c r="AV85" i="1"/>
  <c r="AZ70" i="1"/>
  <c r="AV87" i="1"/>
  <c r="BC89" i="1"/>
  <c r="BG85" i="1"/>
  <c r="BG86" i="1"/>
  <c r="BK70" i="1"/>
  <c r="AT87" i="1"/>
  <c r="BA89" i="1"/>
  <c r="BN70" i="1"/>
  <c r="BH87" i="1"/>
  <c r="BD89" i="1"/>
  <c r="BL70" i="1"/>
  <c r="AT70" i="1"/>
  <c r="AP87" i="1"/>
  <c r="AP70" i="1"/>
  <c r="AL89" i="1"/>
  <c r="AP86" i="1"/>
  <c r="BR70" i="1"/>
  <c r="BJ89" i="1"/>
  <c r="BN87" i="1"/>
  <c r="BN86" i="1"/>
  <c r="AN89" i="1"/>
  <c r="AR87" i="1"/>
  <c r="AR85" i="1"/>
  <c r="AV70" i="1"/>
  <c r="AX85" i="1"/>
  <c r="AT89" i="1"/>
  <c r="AX87" i="1"/>
  <c r="BG94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CD70" i="1" l="1"/>
  <c r="BZ87" i="1"/>
  <c r="BX86" i="1"/>
  <c r="BT89" i="1"/>
  <c r="BX87" i="1"/>
  <c r="CB70" i="1"/>
  <c r="CA70" i="1"/>
  <c r="BS89" i="1"/>
  <c r="BW87" i="1"/>
  <c r="BC70" i="1"/>
  <c r="BW86" i="1"/>
  <c r="BC87" i="1"/>
  <c r="AY89" i="1"/>
  <c r="BG70" i="1"/>
  <c r="BC86" i="1"/>
  <c r="BZ86" i="1"/>
  <c r="CC90" i="1" s="1"/>
  <c r="BZ85" i="1"/>
  <c r="CC70" i="1"/>
  <c r="BY87" i="1"/>
  <c r="BU89" i="1"/>
  <c r="BY86" i="1"/>
  <c r="BY85" i="1"/>
  <c r="BF70" i="1"/>
  <c r="BB87" i="1"/>
  <c r="BB86" i="1"/>
  <c r="BB85" i="1"/>
  <c r="BB70" i="1"/>
  <c r="BX70" i="1"/>
  <c r="BW96" i="1"/>
  <c r="BW95" i="1"/>
  <c r="BE70" i="1"/>
  <c r="BA87" i="1"/>
  <c r="BA70" i="1"/>
  <c r="BD70" i="1"/>
  <c r="BD85" i="1"/>
  <c r="BH70" i="1"/>
  <c r="BD87" i="1"/>
  <c r="BD86" i="1"/>
  <c r="BA86" i="1"/>
  <c r="BU85" i="1"/>
  <c r="BU94" i="1"/>
  <c r="BU102" i="1"/>
  <c r="IR19" i="4"/>
  <c r="BL78" i="1" s="1"/>
  <c r="IE16" i="4"/>
  <c r="BA96" i="1"/>
  <c r="BA95" i="1"/>
  <c r="CB90" i="1"/>
  <c r="BG90" i="1"/>
  <c r="BB90" i="1"/>
  <c r="AW90" i="1"/>
  <c r="BY90" i="1"/>
  <c r="AR90" i="1"/>
  <c r="BE90" i="1"/>
  <c r="AS90" i="1"/>
  <c r="AT90" i="1"/>
  <c r="AQ90" i="1"/>
  <c r="AP90" i="1"/>
  <c r="AO90" i="1"/>
  <c r="AY90" i="1"/>
  <c r="AX90" i="1"/>
  <c r="CA90" i="1"/>
  <c r="BZ90" i="1"/>
  <c r="BF90" i="1"/>
  <c r="BD90" i="1"/>
  <c r="BX90" i="1"/>
  <c r="BV90" i="1"/>
  <c r="BU90" i="1"/>
  <c r="CU32" i="1"/>
  <c r="CT138" i="1"/>
  <c r="AD206" i="1"/>
  <c r="AB138" i="1"/>
  <c r="AR111" i="1"/>
  <c r="AR114" i="1" s="1"/>
  <c r="CA227" i="1"/>
  <c r="CB227" i="1"/>
  <c r="W193" i="1"/>
  <c r="W195" i="1" s="1"/>
  <c r="BU227" i="1"/>
  <c r="BW90" i="1" l="1"/>
  <c r="BL89" i="1"/>
  <c r="BL86" i="1"/>
  <c r="BL90" i="1" s="1"/>
  <c r="BL103" i="1"/>
  <c r="BL95" i="1"/>
  <c r="BL107" i="1"/>
  <c r="BL110" i="1" s="1"/>
  <c r="BL113" i="1" s="1"/>
  <c r="IE21" i="4"/>
  <c r="AY77" i="1" s="1"/>
  <c r="HV16" i="4"/>
  <c r="CT203" i="1"/>
  <c r="CT201" i="1" s="1"/>
  <c r="CU194" i="1"/>
  <c r="CU132" i="1"/>
  <c r="AB203" i="1"/>
  <c r="AB201" i="1" s="1"/>
  <c r="AE124" i="1"/>
  <c r="CA89" i="1"/>
  <c r="AY85" i="1" l="1"/>
  <c r="AY94" i="1"/>
  <c r="AY102" i="1"/>
  <c r="HV21" i="4"/>
  <c r="AP77" i="1" s="1"/>
  <c r="IG16" i="4"/>
  <c r="CU134" i="1"/>
  <c r="CF89" i="1"/>
  <c r="AP85" i="1" l="1"/>
  <c r="AP94" i="1"/>
  <c r="AP102" i="1"/>
  <c r="IW14" i="4"/>
  <c r="IG21" i="4"/>
  <c r="BA77" i="1" s="1"/>
  <c r="JD9" i="4"/>
  <c r="CU138" i="1"/>
  <c r="CV32" i="1"/>
  <c r="AE125" i="1"/>
  <c r="AE128" i="1" s="1"/>
  <c r="AE249" i="1" s="1"/>
  <c r="IW19" i="4" l="1"/>
  <c r="BQ78" i="1" s="1"/>
  <c r="IK9" i="4"/>
  <c r="BA94" i="1"/>
  <c r="BA85" i="1"/>
  <c r="BA102" i="1"/>
  <c r="JD21" i="4"/>
  <c r="BX77" i="1" s="1"/>
  <c r="HT15" i="4"/>
  <c r="CV194" i="1"/>
  <c r="CV132" i="1"/>
  <c r="CU203" i="1"/>
  <c r="CU201" i="1" s="1"/>
  <c r="AE206" i="1"/>
  <c r="AC138" i="1"/>
  <c r="W120" i="1"/>
  <c r="BQ86" i="1" l="1"/>
  <c r="BQ89" i="1"/>
  <c r="BQ95" i="1"/>
  <c r="BQ103" i="1"/>
  <c r="BQ107" i="1"/>
  <c r="IK21" i="4"/>
  <c r="BE77" i="1" s="1"/>
  <c r="IN9" i="4"/>
  <c r="IN21" i="4" s="1"/>
  <c r="BH77" i="1" s="1"/>
  <c r="BX85" i="1"/>
  <c r="BX102" i="1"/>
  <c r="BX94" i="1"/>
  <c r="HT20" i="4"/>
  <c r="AN79" i="1" s="1"/>
  <c r="IX16" i="4"/>
  <c r="CV134" i="1"/>
  <c r="W54" i="1"/>
  <c r="AC203" i="1"/>
  <c r="AC201" i="1" s="1"/>
  <c r="X207" i="1"/>
  <c r="X205" i="1" s="1"/>
  <c r="W207" i="1"/>
  <c r="W205" i="1" s="1"/>
  <c r="W129" i="1"/>
  <c r="W55" i="1" s="1"/>
  <c r="W175" i="1"/>
  <c r="BT90" i="1" l="1"/>
  <c r="BR90" i="1"/>
  <c r="BS90" i="1"/>
  <c r="BQ90" i="1"/>
  <c r="BE85" i="1"/>
  <c r="BE94" i="1"/>
  <c r="BE102" i="1"/>
  <c r="BH85" i="1"/>
  <c r="BH94" i="1"/>
  <c r="BH102" i="1"/>
  <c r="AN87" i="1"/>
  <c r="AN96" i="1"/>
  <c r="AN104" i="1"/>
  <c r="AN108" i="1"/>
  <c r="AN111" i="1" s="1"/>
  <c r="AN114" i="1" s="1"/>
  <c r="IX21" i="4"/>
  <c r="BR77" i="1" s="1"/>
  <c r="ID7" i="4"/>
  <c r="CW32" i="1"/>
  <c r="CV138" i="1"/>
  <c r="BR85" i="1" l="1"/>
  <c r="BR94" i="1"/>
  <c r="BR102" i="1"/>
  <c r="ID19" i="4"/>
  <c r="AX78" i="1" s="1"/>
  <c r="JC9" i="4"/>
  <c r="CV203" i="1"/>
  <c r="CV201" i="1" s="1"/>
  <c r="CW194" i="1"/>
  <c r="CW132" i="1"/>
  <c r="AX86" i="1" l="1"/>
  <c r="BA90" i="1" s="1"/>
  <c r="AX89" i="1"/>
  <c r="AX95" i="1"/>
  <c r="AX103" i="1"/>
  <c r="AX107" i="1"/>
  <c r="AX110" i="1" s="1"/>
  <c r="AX113" i="1" s="1"/>
  <c r="JC21" i="4"/>
  <c r="BW77" i="1" s="1"/>
  <c r="HQ9" i="4"/>
  <c r="CW134" i="1"/>
  <c r="BW94" i="1" l="1"/>
  <c r="BW85" i="1"/>
  <c r="BW102" i="1"/>
  <c r="HQ21" i="4"/>
  <c r="AK77" i="1" s="1"/>
  <c r="IQ9" i="4"/>
  <c r="CW138" i="1"/>
  <c r="CX32" i="1"/>
  <c r="IQ21" i="4" l="1"/>
  <c r="BK77" i="1" s="1"/>
  <c r="IV9" i="4"/>
  <c r="AD32" i="1"/>
  <c r="CX194" i="1"/>
  <c r="CX132" i="1"/>
  <c r="CW203" i="1"/>
  <c r="CW201" i="1" s="1"/>
  <c r="BK85" i="1" l="1"/>
  <c r="BK94" i="1"/>
  <c r="BK102" i="1"/>
  <c r="IV21" i="4"/>
  <c r="BP77" i="1" s="1"/>
  <c r="II9" i="4"/>
  <c r="II21" i="4" s="1"/>
  <c r="BC77" i="1" s="1"/>
  <c r="AD194" i="1"/>
  <c r="AD132" i="1"/>
  <c r="AD134" i="1" s="1"/>
  <c r="CX134" i="1"/>
  <c r="BP85" i="1" l="1"/>
  <c r="BP102" i="1"/>
  <c r="BP94" i="1"/>
  <c r="BC85" i="1"/>
  <c r="BC94" i="1"/>
  <c r="BC102" i="1"/>
  <c r="IC7" i="4"/>
  <c r="AD138" i="1"/>
  <c r="AD203" i="1" s="1"/>
  <c r="AD201" i="1" s="1"/>
  <c r="AD33" i="1"/>
  <c r="CX138" i="1"/>
  <c r="CY32" i="1"/>
  <c r="IC19" i="4" l="1"/>
  <c r="AW78" i="1" s="1"/>
  <c r="IY9" i="4"/>
  <c r="CY194" i="1"/>
  <c r="CY132" i="1"/>
  <c r="CX203" i="1"/>
  <c r="CX201" i="1" s="1"/>
  <c r="AW86" i="1" l="1"/>
  <c r="AZ90" i="1" s="1"/>
  <c r="AW89" i="1"/>
  <c r="AW95" i="1"/>
  <c r="AW103" i="1"/>
  <c r="AW107" i="1"/>
  <c r="IY21" i="4"/>
  <c r="BS77" i="1" s="1"/>
  <c r="IT16" i="4"/>
  <c r="CY134" i="1"/>
  <c r="W180" i="1"/>
  <c r="BS85" i="1" l="1"/>
  <c r="BS94" i="1"/>
  <c r="BS102" i="1"/>
  <c r="HY7" i="4"/>
  <c r="HW16" i="4"/>
  <c r="CY138" i="1"/>
  <c r="CZ32" i="1"/>
  <c r="W183" i="1"/>
  <c r="W156" i="1"/>
  <c r="X197" i="1" s="1"/>
  <c r="HX14" i="4" l="1"/>
  <c r="HY19" i="4"/>
  <c r="AS78" i="1" s="1"/>
  <c r="HW21" i="4"/>
  <c r="AQ77" i="1" s="1"/>
  <c r="IZ16" i="4"/>
  <c r="CZ194" i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HX19" i="4" l="1"/>
  <c r="AR78" i="1" s="1"/>
  <c r="HU16" i="4"/>
  <c r="HU21" i="4" s="1"/>
  <c r="AO77" i="1" s="1"/>
  <c r="AS86" i="1"/>
  <c r="AV90" i="1" s="1"/>
  <c r="AS89" i="1"/>
  <c r="AS95" i="1"/>
  <c r="AS103" i="1"/>
  <c r="AS107" i="1"/>
  <c r="AQ94" i="1"/>
  <c r="AQ85" i="1"/>
  <c r="AQ102" i="1"/>
  <c r="IZ21" i="4"/>
  <c r="BT77" i="1" s="1"/>
  <c r="HZ9" i="4"/>
  <c r="HZ21" i="4" s="1"/>
  <c r="AT77" i="1" s="1"/>
  <c r="CZ134" i="1"/>
  <c r="W182" i="1"/>
  <c r="W157" i="1"/>
  <c r="W196" i="1"/>
  <c r="W198" i="1" s="1"/>
  <c r="W199" i="1" s="1"/>
  <c r="AR86" i="1" l="1"/>
  <c r="AU90" i="1" s="1"/>
  <c r="AR89" i="1"/>
  <c r="AR95" i="1"/>
  <c r="AR103" i="1"/>
  <c r="AR107" i="1"/>
  <c r="AR110" i="1" s="1"/>
  <c r="AR113" i="1" s="1"/>
  <c r="AO85" i="1"/>
  <c r="AO94" i="1"/>
  <c r="AO102" i="1"/>
  <c r="IK8" i="4"/>
  <c r="BT85" i="1"/>
  <c r="BT94" i="1"/>
  <c r="BT102" i="1"/>
  <c r="AT85" i="1"/>
  <c r="AT94" i="1"/>
  <c r="AT102" i="1"/>
  <c r="IT9" i="4"/>
  <c r="CZ138" i="1"/>
  <c r="CZ203" i="1" s="1"/>
  <c r="CZ201" i="1" s="1"/>
  <c r="DA32" i="1"/>
  <c r="W181" i="1"/>
  <c r="W186" i="1"/>
  <c r="W210" i="1"/>
  <c r="W213" i="1"/>
  <c r="IK20" i="4" l="1"/>
  <c r="BE79" i="1" s="1"/>
  <c r="IP16" i="4"/>
  <c r="IP21" i="4" s="1"/>
  <c r="BJ77" i="1" s="1"/>
  <c r="IT21" i="4"/>
  <c r="BN77" i="1" s="1"/>
  <c r="IS7" i="4"/>
  <c r="DA194" i="1"/>
  <c r="DA132" i="1"/>
  <c r="W189" i="1"/>
  <c r="W190" i="1" s="1"/>
  <c r="X189" i="1"/>
  <c r="X190" i="1" s="1"/>
  <c r="BE87" i="1" l="1"/>
  <c r="BE96" i="1"/>
  <c r="BE104" i="1"/>
  <c r="BE108" i="1"/>
  <c r="BJ85" i="1"/>
  <c r="BJ102" i="1"/>
  <c r="BJ94" i="1"/>
  <c r="IN7" i="4"/>
  <c r="IN19" i="4" s="1"/>
  <c r="BH78" i="1" s="1"/>
  <c r="BN102" i="1"/>
  <c r="BN94" i="1"/>
  <c r="BN85" i="1"/>
  <c r="IS19" i="4"/>
  <c r="BM78" i="1" s="1"/>
  <c r="IM8" i="4"/>
  <c r="DA134" i="1"/>
  <c r="W161" i="1"/>
  <c r="BH86" i="1" l="1"/>
  <c r="BH89" i="1"/>
  <c r="BH95" i="1"/>
  <c r="BH103" i="1"/>
  <c r="BH107" i="1"/>
  <c r="BH110" i="1" s="1"/>
  <c r="BH113" i="1" s="1"/>
  <c r="BM89" i="1"/>
  <c r="BM95" i="1"/>
  <c r="BM86" i="1"/>
  <c r="BM103" i="1"/>
  <c r="BM107" i="1"/>
  <c r="IM20" i="4"/>
  <c r="BG79" i="1" s="1"/>
  <c r="IF14" i="4"/>
  <c r="IF19" i="4" s="1"/>
  <c r="AZ78" i="1" s="1"/>
  <c r="X209" i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BK90" i="1" l="1"/>
  <c r="BH90" i="1"/>
  <c r="BJ90" i="1"/>
  <c r="BI90" i="1"/>
  <c r="BP90" i="1"/>
  <c r="BO90" i="1"/>
  <c r="BN90" i="1"/>
  <c r="BM90" i="1"/>
  <c r="BG87" i="1"/>
  <c r="BG96" i="1"/>
  <c r="BG104" i="1"/>
  <c r="BG108" i="1"/>
  <c r="AZ89" i="1"/>
  <c r="AZ86" i="1"/>
  <c r="BC90" i="1" s="1"/>
  <c r="AZ95" i="1"/>
  <c r="AZ103" i="1"/>
  <c r="AZ107" i="1"/>
  <c r="AZ110" i="1" s="1"/>
  <c r="AZ113" i="1" s="1"/>
  <c r="AE32" i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U34" i="1"/>
  <c r="CU29" i="1"/>
  <c r="CU30" i="1"/>
  <c r="CU232" i="1"/>
  <c r="CU233" i="1" s="1"/>
  <c r="CY145" i="1"/>
  <c r="CY16" i="1"/>
  <c r="CY153" i="1"/>
  <c r="CY146" i="1"/>
  <c r="CY152" i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6" i="1"/>
  <c r="CZ19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K54" i="1"/>
  <c r="CK92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7" i="1"/>
  <c r="AA108" i="1"/>
  <c r="AA111" i="1"/>
  <c r="AA114" i="1"/>
  <c r="AA86" i="1"/>
  <c r="AA85" i="1"/>
  <c r="AA107" i="1"/>
  <c r="AA110" i="1"/>
  <c r="AA113" i="1"/>
  <c r="AA99" i="1"/>
  <c r="AA92" i="1"/>
  <c r="AA102" i="1"/>
  <c r="AA104" i="1"/>
  <c r="AA103" i="1"/>
  <c r="AA94" i="1"/>
  <c r="AA96" i="1"/>
  <c r="AA9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108" i="1"/>
  <c r="Z111" i="1"/>
  <c r="Z114" i="1"/>
  <c r="Z99" i="1"/>
  <c r="Z107" i="1"/>
  <c r="Z110" i="1"/>
  <c r="Z113" i="1"/>
  <c r="Z92" i="1"/>
  <c r="Z66" i="1"/>
  <c r="X63" i="1"/>
  <c r="Y65" i="1"/>
  <c r="AC65" i="1"/>
  <c r="AD63" i="1"/>
  <c r="Z102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9" i="1"/>
  <c r="Z94" i="1"/>
  <c r="H65" i="1"/>
  <c r="T65" i="1"/>
  <c r="AE99" i="1"/>
  <c r="AE92" i="1"/>
  <c r="AE66" i="1"/>
  <c r="AE69" i="1"/>
  <c r="AD89" i="1"/>
  <c r="AB108" i="1"/>
  <c r="U65" i="1"/>
  <c r="U92" i="1"/>
  <c r="U95" i="1"/>
  <c r="F65" i="1"/>
  <c r="F92" i="1"/>
  <c r="F94" i="1"/>
  <c r="M65" i="1"/>
  <c r="M66" i="1"/>
  <c r="M69" i="1"/>
  <c r="M85" i="1"/>
  <c r="K65" i="1"/>
  <c r="K108" i="1"/>
  <c r="K111" i="1"/>
  <c r="K114" i="1"/>
  <c r="F66" i="1"/>
  <c r="F69" i="1"/>
  <c r="F86" i="1"/>
  <c r="Q65" i="1"/>
  <c r="Q92" i="1"/>
  <c r="Q95" i="1"/>
  <c r="AB107" i="1"/>
  <c r="H92" i="1"/>
  <c r="R65" i="1"/>
  <c r="R66" i="1"/>
  <c r="R69" i="1"/>
  <c r="R87" i="1"/>
  <c r="Q89" i="1"/>
  <c r="L65" i="1"/>
  <c r="L66" i="1"/>
  <c r="L69" i="1"/>
  <c r="L85" i="1"/>
  <c r="E65" i="1"/>
  <c r="Z95" i="1"/>
  <c r="Z96" i="1"/>
  <c r="AD99" i="1"/>
  <c r="AE103" i="1"/>
  <c r="J65" i="1"/>
  <c r="W65" i="1"/>
  <c r="AB99" i="1"/>
  <c r="T108" i="1"/>
  <c r="AE94" i="1"/>
  <c r="T66" i="1"/>
  <c r="T69" i="1"/>
  <c r="H107" i="1"/>
  <c r="H99" i="1"/>
  <c r="V65" i="1"/>
  <c r="T70" i="1"/>
  <c r="T85" i="1"/>
  <c r="O65" i="1"/>
  <c r="O66" i="1"/>
  <c r="AE107" i="1"/>
  <c r="AE96" i="1"/>
  <c r="Z104" i="1"/>
  <c r="X99" i="1"/>
  <c r="X108" i="1"/>
  <c r="X111" i="1"/>
  <c r="X114" i="1"/>
  <c r="X66" i="1"/>
  <c r="Y68" i="1"/>
  <c r="Y69" i="1"/>
  <c r="Y103" i="1"/>
  <c r="Y104" i="1"/>
  <c r="Y95" i="1"/>
  <c r="Y94" i="1"/>
  <c r="Y96" i="1"/>
  <c r="Z86" i="1"/>
  <c r="Z85" i="1"/>
  <c r="Z87" i="1"/>
  <c r="X107" i="1"/>
  <c r="X110" i="1"/>
  <c r="X113" i="1"/>
  <c r="X92" i="1"/>
  <c r="Z70" i="1"/>
  <c r="X104" i="1"/>
  <c r="X103" i="1"/>
  <c r="X102" i="1"/>
  <c r="X96" i="1"/>
  <c r="Y85" i="1"/>
  <c r="Y86" i="1"/>
  <c r="X69" i="1"/>
  <c r="Y70" i="1"/>
  <c r="X68" i="1"/>
  <c r="X85" i="1"/>
  <c r="X86" i="1"/>
  <c r="I65" i="1"/>
  <c r="N65" i="1"/>
  <c r="N66" i="1"/>
  <c r="S65" i="1"/>
  <c r="G65" i="1"/>
  <c r="AC66" i="1"/>
  <c r="AD108" i="1"/>
  <c r="AD111" i="1"/>
  <c r="AE87" i="1"/>
  <c r="H66" i="1"/>
  <c r="L107" i="1"/>
  <c r="K66" i="1"/>
  <c r="Q66" i="1"/>
  <c r="S66" i="1"/>
  <c r="S69" i="1"/>
  <c r="S87" i="1"/>
  <c r="S85" i="1"/>
  <c r="T92" i="1"/>
  <c r="AE95" i="1"/>
  <c r="Q107" i="1"/>
  <c r="AC68" i="1"/>
  <c r="Y102" i="1"/>
  <c r="X95" i="1"/>
  <c r="Y87" i="1"/>
  <c r="X94" i="1"/>
  <c r="X87" i="1"/>
  <c r="F99" i="1"/>
  <c r="I99" i="1"/>
  <c r="N69" i="1"/>
  <c r="P65" i="1"/>
  <c r="G66" i="1"/>
  <c r="Q99" i="1"/>
  <c r="AC108" i="1"/>
  <c r="AE86" i="1"/>
  <c r="K69" i="1"/>
  <c r="S108" i="1"/>
  <c r="V66" i="1"/>
  <c r="F103" i="1"/>
  <c r="I108" i="1"/>
  <c r="I111" i="1"/>
  <c r="AB111" i="1"/>
  <c r="AB114" i="1"/>
  <c r="K99" i="1"/>
  <c r="N68" i="1"/>
  <c r="L108" i="1"/>
  <c r="L111" i="1"/>
  <c r="W107" i="1"/>
  <c r="M99" i="1"/>
  <c r="O68" i="1"/>
  <c r="V108" i="1"/>
  <c r="Q69" i="1"/>
  <c r="Q70" i="1"/>
  <c r="V99" i="1"/>
  <c r="K89" i="1"/>
  <c r="K87" i="1"/>
  <c r="M87" i="1"/>
  <c r="AC107" i="1"/>
  <c r="AC110" i="1"/>
  <c r="AC113" i="1"/>
  <c r="G107" i="1"/>
  <c r="G110" i="1"/>
  <c r="G113" i="1"/>
  <c r="I104" i="1"/>
  <c r="M102" i="1"/>
  <c r="U94" i="1"/>
  <c r="F96" i="1"/>
  <c r="T107" i="1"/>
  <c r="R85" i="1"/>
  <c r="AB110" i="1"/>
  <c r="AB113" i="1"/>
  <c r="H68" i="1"/>
  <c r="E66" i="1"/>
  <c r="E69" i="1"/>
  <c r="E85" i="1"/>
  <c r="Q102" i="1"/>
  <c r="U107" i="1"/>
  <c r="J99" i="1"/>
  <c r="J102" i="1"/>
  <c r="J66" i="1"/>
  <c r="J69" i="1"/>
  <c r="H104" i="1"/>
  <c r="R70" i="1"/>
  <c r="K70" i="1"/>
  <c r="N86" i="1"/>
  <c r="R99" i="1"/>
  <c r="R102" i="1"/>
  <c r="K68" i="1"/>
  <c r="R107" i="1"/>
  <c r="R110" i="1"/>
  <c r="V92" i="1"/>
  <c r="V94" i="1"/>
  <c r="J85" i="1"/>
  <c r="E99" i="1"/>
  <c r="E103" i="1"/>
  <c r="S86" i="1"/>
  <c r="N107" i="1"/>
  <c r="L86" i="1"/>
  <c r="AD107" i="1"/>
  <c r="G99" i="1"/>
  <c r="AD110" i="1"/>
  <c r="N99" i="1"/>
  <c r="I66" i="1"/>
  <c r="I69" i="1"/>
  <c r="H69" i="1"/>
  <c r="G89" i="1"/>
  <c r="O92" i="1"/>
  <c r="V107" i="1"/>
  <c r="V110" i="1"/>
  <c r="V113" i="1"/>
  <c r="N92" i="1"/>
  <c r="X70" i="1"/>
  <c r="W92" i="1"/>
  <c r="W94" i="1"/>
  <c r="W108" i="1"/>
  <c r="W111" i="1"/>
  <c r="AC99" i="1"/>
  <c r="Z89" i="1"/>
  <c r="AB66" i="1"/>
  <c r="AB69" i="1"/>
  <c r="AB85" i="1"/>
  <c r="AC92" i="1"/>
  <c r="AD66" i="1"/>
  <c r="AE70" i="1"/>
  <c r="AE85" i="1"/>
  <c r="L110" i="1"/>
  <c r="P108" i="1"/>
  <c r="P111" i="1"/>
  <c r="P114" i="1"/>
  <c r="T95" i="1"/>
  <c r="F107" i="1"/>
  <c r="F110" i="1"/>
  <c r="F113" i="1"/>
  <c r="I92" i="1"/>
  <c r="J92" i="1"/>
  <c r="M108" i="1"/>
  <c r="M111" i="1"/>
  <c r="M114" i="1"/>
  <c r="G108" i="1"/>
  <c r="G111" i="1"/>
  <c r="G114" i="1"/>
  <c r="J107" i="1"/>
  <c r="J110" i="1"/>
  <c r="J113" i="1"/>
  <c r="R92" i="1"/>
  <c r="R96" i="1"/>
  <c r="J96" i="1"/>
  <c r="N95" i="1"/>
  <c r="M89" i="1"/>
  <c r="M86" i="1"/>
  <c r="I107" i="1"/>
  <c r="I103" i="1"/>
  <c r="J89" i="1"/>
  <c r="J103" i="1"/>
  <c r="Q87" i="1"/>
  <c r="Q108" i="1"/>
  <c r="K86" i="1"/>
  <c r="I87" i="1"/>
  <c r="H86" i="1"/>
  <c r="J108" i="1"/>
  <c r="P107" i="1"/>
  <c r="O107" i="1"/>
  <c r="N108" i="1"/>
  <c r="G92" i="1"/>
  <c r="I110" i="1"/>
  <c r="I95" i="1"/>
  <c r="Q110" i="1"/>
  <c r="AD114" i="1"/>
  <c r="U99" i="1"/>
  <c r="S99" i="1"/>
  <c r="P110" i="1"/>
  <c r="E70" i="1"/>
  <c r="U110" i="1"/>
  <c r="R104" i="1"/>
  <c r="J94" i="1"/>
  <c r="V111" i="1"/>
  <c r="V114" i="1"/>
  <c r="U96" i="1"/>
  <c r="N102" i="1"/>
  <c r="Q68" i="1"/>
  <c r="L70" i="1"/>
  <c r="D89" i="1"/>
  <c r="T111" i="1"/>
  <c r="V68" i="1"/>
  <c r="O110" i="1"/>
  <c r="N110" i="1"/>
  <c r="P89" i="1"/>
  <c r="L68" i="1"/>
  <c r="N113" i="1"/>
  <c r="V104" i="1"/>
  <c r="V103" i="1"/>
  <c r="K85" i="1"/>
  <c r="AB102" i="1"/>
  <c r="K107" i="1"/>
  <c r="K110" i="1"/>
  <c r="K113" i="1"/>
  <c r="F102" i="1"/>
  <c r="G94" i="1"/>
  <c r="AE104" i="1"/>
  <c r="I89" i="1"/>
  <c r="R103" i="1"/>
  <c r="Q85" i="1"/>
  <c r="G102" i="1"/>
  <c r="F95" i="1"/>
  <c r="N70" i="1"/>
  <c r="J111" i="1"/>
  <c r="J114" i="1"/>
  <c r="M70" i="1"/>
  <c r="J86" i="1"/>
  <c r="F70" i="1"/>
  <c r="N96" i="1"/>
  <c r="N111" i="1"/>
  <c r="N114" i="1"/>
  <c r="I85" i="1"/>
  <c r="W99" i="1"/>
  <c r="W104" i="1"/>
  <c r="R113" i="1"/>
  <c r="T110" i="1"/>
  <c r="Q94" i="1"/>
  <c r="Q96" i="1"/>
  <c r="E89" i="1"/>
  <c r="M92" i="1"/>
  <c r="W66" i="1"/>
  <c r="W69" i="1"/>
  <c r="V89" i="1"/>
  <c r="W85" i="1"/>
  <c r="E107" i="1"/>
  <c r="L92" i="1"/>
  <c r="L94" i="1"/>
  <c r="E92" i="1"/>
  <c r="E95" i="1"/>
  <c r="E96" i="1"/>
  <c r="W68" i="1"/>
  <c r="X89" i="1"/>
  <c r="W96" i="1"/>
  <c r="P99" i="1"/>
  <c r="AB92" i="1"/>
  <c r="S68" i="1"/>
  <c r="T96" i="1"/>
  <c r="K104" i="1"/>
  <c r="O69" i="1"/>
  <c r="W102" i="1"/>
  <c r="U104" i="1"/>
  <c r="O86" i="1"/>
  <c r="N104" i="1"/>
  <c r="S92" i="1"/>
  <c r="H108" i="1"/>
  <c r="H111" i="1"/>
  <c r="H114" i="1"/>
  <c r="AC69" i="1"/>
  <c r="AB89" i="1"/>
  <c r="M68" i="1"/>
  <c r="I70" i="1"/>
  <c r="AD113" i="1"/>
  <c r="S89" i="1"/>
  <c r="U103" i="1"/>
  <c r="AC86" i="1"/>
  <c r="AB95" i="1"/>
  <c r="H89" i="1"/>
  <c r="AB96" i="1"/>
  <c r="U102" i="1"/>
  <c r="G68" i="1"/>
  <c r="H70" i="1"/>
  <c r="Q86" i="1"/>
  <c r="F104" i="1"/>
  <c r="I113" i="1"/>
  <c r="Y89" i="1"/>
  <c r="F108" i="1"/>
  <c r="F111" i="1"/>
  <c r="F114" i="1"/>
  <c r="G103" i="1"/>
  <c r="J87" i="1"/>
  <c r="J70" i="1"/>
  <c r="AC96" i="1"/>
  <c r="G69" i="1"/>
  <c r="AE102" i="1"/>
  <c r="V96" i="1"/>
  <c r="N103" i="1"/>
  <c r="AC87" i="1"/>
  <c r="AD92" i="1"/>
  <c r="AD95" i="1"/>
  <c r="U66" i="1"/>
  <c r="U69" i="1"/>
  <c r="T89" i="1"/>
  <c r="AE108" i="1"/>
  <c r="O108" i="1"/>
  <c r="M107" i="1"/>
  <c r="G96" i="1"/>
  <c r="S107" i="1"/>
  <c r="S110" i="1"/>
  <c r="S113" i="1"/>
  <c r="L96" i="1"/>
  <c r="V69" i="1"/>
  <c r="V86" i="1"/>
  <c r="P92" i="1"/>
  <c r="AD69" i="1"/>
  <c r="AC89" i="1"/>
  <c r="Q104" i="1"/>
  <c r="K102" i="1"/>
  <c r="W103" i="1"/>
  <c r="S102" i="1"/>
  <c r="F68" i="1"/>
  <c r="I68" i="1"/>
  <c r="H110" i="1"/>
  <c r="Q111" i="1"/>
  <c r="V70" i="1"/>
  <c r="N85" i="1"/>
  <c r="H103" i="1"/>
  <c r="AE68" i="1"/>
  <c r="AA89" i="1"/>
  <c r="AC95" i="1"/>
  <c r="AD102" i="1"/>
  <c r="O99" i="1"/>
  <c r="P66" i="1"/>
  <c r="P69" i="1"/>
  <c r="L99" i="1"/>
  <c r="K92" i="1"/>
  <c r="L114" i="1"/>
  <c r="P113" i="1"/>
  <c r="R108" i="1"/>
  <c r="R111" i="1"/>
  <c r="U108" i="1"/>
  <c r="U111" i="1"/>
  <c r="U114" i="1"/>
  <c r="O96" i="1"/>
  <c r="M96" i="1"/>
  <c r="W89" i="1"/>
  <c r="AC94" i="1"/>
  <c r="O111" i="1"/>
  <c r="L87" i="1"/>
  <c r="AE111" i="1"/>
  <c r="AE114" i="1"/>
  <c r="S111" i="1"/>
  <c r="E108" i="1"/>
  <c r="R94" i="1"/>
  <c r="U85" i="1"/>
  <c r="AB104" i="1"/>
  <c r="V95" i="1"/>
  <c r="S94" i="1"/>
  <c r="W110" i="1"/>
  <c r="O70" i="1"/>
  <c r="T99" i="1"/>
  <c r="AE110" i="1"/>
  <c r="AB70" i="1"/>
  <c r="AD68" i="1"/>
  <c r="V102" i="1"/>
  <c r="V85" i="1"/>
  <c r="T68" i="1"/>
  <c r="T87" i="1"/>
  <c r="T94" i="1"/>
  <c r="P94" i="1"/>
  <c r="V87" i="1"/>
  <c r="Z68" i="1"/>
  <c r="U87" i="1"/>
  <c r="AC111" i="1"/>
  <c r="M104" i="1"/>
  <c r="I86" i="1"/>
  <c r="L89" i="1"/>
  <c r="H95" i="1"/>
  <c r="U70" i="1"/>
  <c r="AD94" i="1"/>
  <c r="AD104" i="1"/>
  <c r="O87" i="1"/>
  <c r="U89" i="1"/>
  <c r="S114" i="1"/>
  <c r="K103" i="1"/>
  <c r="U68" i="1"/>
  <c r="J95" i="1"/>
  <c r="AC102" i="1"/>
  <c r="AC70" i="1"/>
  <c r="G87" i="1"/>
  <c r="M95" i="1"/>
  <c r="G104" i="1"/>
  <c r="P104" i="1"/>
  <c r="R95" i="1"/>
  <c r="F87" i="1"/>
  <c r="G70" i="1"/>
  <c r="E111" i="1"/>
  <c r="E114" i="1"/>
  <c r="AD96" i="1"/>
  <c r="E68" i="1"/>
  <c r="T113" i="1"/>
  <c r="O102" i="1"/>
  <c r="R68" i="1"/>
  <c r="G86" i="1"/>
  <c r="F85" i="1"/>
  <c r="E94" i="1"/>
  <c r="I96" i="1"/>
  <c r="L113" i="1"/>
  <c r="AD103" i="1"/>
  <c r="W70" i="1"/>
  <c r="H102" i="1"/>
  <c r="Q103" i="1"/>
  <c r="T86" i="1"/>
  <c r="S103" i="1"/>
  <c r="R86" i="1"/>
  <c r="F89" i="1"/>
  <c r="W113" i="1"/>
  <c r="H85" i="1"/>
  <c r="W95" i="1"/>
  <c r="I114" i="1"/>
  <c r="I102" i="1"/>
  <c r="W114" i="1"/>
  <c r="T102" i="1"/>
  <c r="T104" i="1"/>
  <c r="AB103" i="1"/>
  <c r="Q113" i="1"/>
  <c r="U86" i="1"/>
  <c r="R89" i="1"/>
  <c r="S104" i="1"/>
  <c r="J68" i="1"/>
  <c r="E102" i="1"/>
  <c r="H96" i="1"/>
  <c r="P85" i="1"/>
  <c r="AB68" i="1"/>
  <c r="H94" i="1"/>
  <c r="E86" i="1"/>
  <c r="E87" i="1"/>
  <c r="N87" i="1"/>
  <c r="P102" i="1"/>
  <c r="S70" i="1"/>
  <c r="L103" i="1"/>
  <c r="M103" i="1"/>
  <c r="AC103" i="1"/>
  <c r="AB86" i="1"/>
  <c r="O104" i="1"/>
  <c r="AC104" i="1"/>
  <c r="U113" i="1"/>
  <c r="K95" i="1"/>
  <c r="P95" i="1"/>
  <c r="L95" i="1"/>
  <c r="O89" i="1"/>
  <c r="P70" i="1"/>
  <c r="T114" i="1"/>
  <c r="G85" i="1"/>
  <c r="N94" i="1"/>
  <c r="T103" i="1"/>
  <c r="O113" i="1"/>
  <c r="J104" i="1"/>
  <c r="E110" i="1"/>
  <c r="E113" i="1"/>
  <c r="P86" i="1"/>
  <c r="AD70" i="1"/>
  <c r="E104" i="1"/>
  <c r="K96" i="1"/>
  <c r="AD86" i="1"/>
  <c r="AC114" i="1"/>
  <c r="H87" i="1"/>
  <c r="P96" i="1"/>
  <c r="G95" i="1"/>
  <c r="L104" i="1"/>
  <c r="Q114" i="1"/>
  <c r="I94" i="1"/>
  <c r="AB87" i="1"/>
  <c r="O95" i="1"/>
  <c r="M110" i="1"/>
  <c r="M113" i="1"/>
  <c r="O94" i="1"/>
  <c r="O114" i="1"/>
  <c r="AD87" i="1"/>
  <c r="AD85" i="1"/>
  <c r="O85" i="1"/>
  <c r="S96" i="1"/>
  <c r="AE113" i="1"/>
  <c r="P103" i="1"/>
  <c r="O103" i="1"/>
  <c r="M94" i="1"/>
  <c r="AB94" i="1"/>
  <c r="W86" i="1"/>
  <c r="K94" i="1"/>
  <c r="W87" i="1"/>
  <c r="R114" i="1"/>
  <c r="S95" i="1"/>
  <c r="AC85" i="1"/>
  <c r="P68" i="1"/>
  <c r="P87" i="1"/>
  <c r="H113" i="1"/>
  <c r="N89" i="1"/>
  <c r="L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<sst xmlns="http://schemas.openxmlformats.org/spreadsheetml/2006/main" count="662" uniqueCount="523">
  <si>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</si>
  <si>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</si>
  <si>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</si>
  <si>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</si>
  <si>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</si>
  <si>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</si>
  <si>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</si>
  <si>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</si>
  <si>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</si>
  <si>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</si>
  <si>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</si>
  <si>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</si>
  <si>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</si>
  <si>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</si>
  <si>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</si>
  <si>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</si>
  <si>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</si>
  <si>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</si>
  <si>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</si>
  <si>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</si>
  <si>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</si>
  <si>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</si>
  <si>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</si>
  <si>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</si>
  <si>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</si>
  <si>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</si>
  <si>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</si>
  <si>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</si>
  <si>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</si>
  <si>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</si>
  <si>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</si>
  <si>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</si>
  <si>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</si>
  <si>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</si>
  <si>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</si>
  <si>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</si>
  <si>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</si>
  <si>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</si>
  <si>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</si>
  <si>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</si>
  <si>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</si>
  <si>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</si>
  <si>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</si>
  <si>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</si>
  <si>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</si>
  <si>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</si>
  <si>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</si>
  <si>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</si>
  <si>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</si>
  <si>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</si>
  <si>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</si>
  <si>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</si>
  <si>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</si>
  <si>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</si>
  <si>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</si>
  <si>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</si>
  <si>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</si>
  <si>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</si>
  <si>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</si>
  <si>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</si>
  <si>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</si>
  <si>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</si>
  <si>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</si>
  <si>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</si>
  <si>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</si>
  <si>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</si>
  <si>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</si>
  <si>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</si>
  <si>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</si>
  <si>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</si>
  <si>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</si>
  <si>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</si>
  <si>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</si>
  <si>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</si>
  <si>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</si>
  <si>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</si>
  <si>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</si>
  <si>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</si>
  <si>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</si>
  <si>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</si>
  <si>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</si>
  <si>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</si>
  <si>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</si>
  <si>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</si>
  <si>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</si>
  <si>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</si>
  <si>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</si>
  <si>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</si>
  <si>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</si>
  <si>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</si>
  <si>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</si>
  <si>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</si>
  <si>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</si>
  <si>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</si>
  <si>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</si>
  <si>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</si>
  <si>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</si>
  <si>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</si>
  <si>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</si>
  <si>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</si>
  <si>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</si>
  <si>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</si>
  <si>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</si>
  <si>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</si>
  <si>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</si>
  <si>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</si>
  <si>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</si>
  <si>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</si>
  <si>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</si>
  <si>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</si>
  <si>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</si>
  <si>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</si>
  <si>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</si>
  <si>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</si>
  <si>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</si>
  <si>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</si>
  <si>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</si>
  <si>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</si>
  <si>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</si>
  <si>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</si>
  <si>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</si>
  <si>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</si>
  <si>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</si>
  <si>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</si>
  <si>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</si>
  <si>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</si>
  <si>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</si>
  <si>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</si>
  <si>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</si>
  <si>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</si>
  <si>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</si>
  <si>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</si>
  <si>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</si>
  <si>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</si>
  <si>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</si>
  <si>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</si>
  <si>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</si>
  <si>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</si>
  <si>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</si>
  <si>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</si>
  <si>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</si>
  <si>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</si>
  <si>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</si>
  <si>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</si>
  <si>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</si>
  <si>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</si>
  <si>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</si>
  <si>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</si>
  <si>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</si>
  <si>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</si>
  <si>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</si>
  <si>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</si>
  <si>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</si>
  <si>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</si>
  <si>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</si>
  <si>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</si>
  <si>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</si>
  <si>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</si>
  <si>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</si>
  <si>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</si>
  <si>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</si>
  <si>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</si>
  <si>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</si>
  <si>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</si>
  <si>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</si>
  <si>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</si>
  <si>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</si>
  <si>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</si>
  <si>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</si>
  <si>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</si>
  <si>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</si>
  <si>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</si>
  <si>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</si>
  <si>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</si>
  <si>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</si>
  <si>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</si>
  <si>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</si>
  <si>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</si>
  <si>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</si>
  <si>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</si>
  <si>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</si>
  <si>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</si>
  <si>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</si>
  <si>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</si>
  <si>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</si>
  <si>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</si>
  <si>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</si>
  <si>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</si>
  <si>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</si>
  <si>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</si>
  <si>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</si>
  <si>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</si>
  <si>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</si>
  <si>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</si>
  <si>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</si>
  <si>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</si>
  <si>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</si>
  <si>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</si>
  <si>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</si>
  <si>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</si>
  <si>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</si>
  <si>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</si>
  <si>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</si>
  <si>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</si>
  <si>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</si>
  <si>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</si>
  <si>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</si>
  <si>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</si>
  <si>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</si>
  <si>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</si>
  <si>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</si>
  <si>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</si>
  <si>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</si>
  <si>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</si>
  <si>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</si>
  <si>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</si>
  <si>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</si>
  <si>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</si>
  <si>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</si>
  <si>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</si>
  <si>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</si>
  <si>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</si>
  <si>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</si>
  <si>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</si>
  <si>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</si>
  <si>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</si>
  <si>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</si>
  <si>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</si>
  <si>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</si>
  <si>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</si>
  <si>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</si>
  <si>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</si>
  <si>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</si>
  <si>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</si>
  <si>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</si>
  <si>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</si>
  <si>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</si>
  <si>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</si>
  <si>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</si>
  <si>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</si>
  <si>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</si>
  <si>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</si>
  <si>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</si>
  <si>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</si>
  <si>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</si>
  <si>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</si>
  <si>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</si>
  <si>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</si>
  <si>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</si>
  <si>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</si>
  <si>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</si>
  <si>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</si>
  <si>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</si>
  <si>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</si>
  <si>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</si>
  <si>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</si>
  <si>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</si>
  <si>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</si>
  <si>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</si>
  <si>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</si>
  <si>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</si>
  <si>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</si>
  <si>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</si>
  <si>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</si>
  <si>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</si>
  <si>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</si>
  <si>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</si>
  <si>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</si>
  <si>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</si>
  <si>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</si>
  <si>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</si>
  <si>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</si>
  <si>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</si>
  <si>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</si>
  <si>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</si>
  <si>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</si>
  <si>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</si>
  <si>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</si>
  <si>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</si>
  <si>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</si>
  <si>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</si>
  <si>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</si>
  <si>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</si>
  <si>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</si>
  <si>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</si>
  <si>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</si>
  <si>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</si>
  <si>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</si>
  <si>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</si>
  <si>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</si>
  <si>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</si>
  <si>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</si>
  <si>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</si>
  <si>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</si>
  <si>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</si>
  <si>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</si>
  <si>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</si>
  <si>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</si>
  <si>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</si>
  <si>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</si>
  <si>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</si>
  <si>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</si>
  <si>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</si>
  <si>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</si>
  <si>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</si>
  <si>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</si>
  <si>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</si>
  <si>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</si>
  <si>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</si>
  <si>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</si>
  <si>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</si>
  <si>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</si>
  <si>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</si>
  <si>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</si>
  <si>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</si>
  <si>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</si>
  <si>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</si>
  <si>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</si>
  <si>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</si>
  <si>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</si>
  <si>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</si>
  <si>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</si>
  <si>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</si>
  <si>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</si>
  <si>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</si>
  <si>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</si>
  <si>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</si>
  <si>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</si>
  <si>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</si>
  <si>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</si>
  <si>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</si>
  <si>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</si>
  <si>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</si>
  <si>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</si>
  <si>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</si>
  <si>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</si>
  <si>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</si>
  <si>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</si>
  <si>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</si>
  <si>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</si>
  <si>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</si>
  <si>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</si>
  <si>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</si>
  <si>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</si>
  <si>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</si>
  <si>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</si>
  <si>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</si>
  <si>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</si>
  <si>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</si>
  <si>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</si>
  <si>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</si>
  <si>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</si>
  <si>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</si>
  <si>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</si>
  <si>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</si>
  <si>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</si>
  <si>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</si>
  <si>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</si>
  <si>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</si>
  <si>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</si>
  <si>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</si>
  <si>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</si>
  <si>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</si>
  <si>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</si>
  <si>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</si>
  <si>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</si>
  <si>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</si>
  <si>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</si>
  <si>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</si>
  <si>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</si>
  <si>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</si>
  <si>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</si>
  <si>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</si>
  <si>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</si>
  <si>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</si>
  <si>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</si>
  <si>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</si>
  <si>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</si>
  <si>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</si>
  <si>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</si>
  <si>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</si>
  <si>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</si>
  <si>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</si>
  <si>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</si>
  <si>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</si>
  <si>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</si>
  <si>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</si>
  <si>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</si>
  <si>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</si>
  <si>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</si>
  <si>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</si>
  <si>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</si>
  <si>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</si>
  <si>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</si>
  <si>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</si>
  <si>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</si>
  <si>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</si>
  <si>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</si>
  <si>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</si>
  <si>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</si>
  <si>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</si>
  <si>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</si>
  <si>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</si>
  <si>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</si>
  <si>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</si>
  <si>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</si>
  <si>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</si>
  <si>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</si>
  <si>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</si>
  <si>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</si>
  <si>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</si>
  <si>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</si>
  <si>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</si>
  <si>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</si>
  <si>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</si>
  <si>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</si>
  <si>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</si>
  <si>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</si>
  <si>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</si>
  <si>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</si>
  <si>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</si>
  <si>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</si>
  <si>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</si>
  <si>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</si>
  <si>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</si>
  <si>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</si>
  <si>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</si>
  <si>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</si>
  <si>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</si>
  <si>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</si>
  <si>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</si>
  <si>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</si>
  <si>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</si>
  <si>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</si>
  <si>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</si>
  <si>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</si>
  <si>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</si>
  <si>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</si>
  <si>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</si>
  <si>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</si>
  <si>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</si>
  <si>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</si>
  <si>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</si>
  <si>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</si>
  <si>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</si>
  <si>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</si>
  <si>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</si>
  <si>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</si>
  <si>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</si>
  <si>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</si>
  <si>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</si>
  <si>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</si>
  <si>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</si>
  <si>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</si>
  <si>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</si>
  <si>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</si>
  <si>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</si>
  <si>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</si>
  <si>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</si>
  <si>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</si>
  <si>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</si>
  <si>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</si>
  <si>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</si>
  <si>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</si>
  <si>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</si>
  <si>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</si>
  <si>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</si>
  <si>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</si>
  <si>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</si>
  <si>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</si>
  <si>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</si>
  <si>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</si>
  <si>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</si>
  <si>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</si>
  <si>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</si>
  <si>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</si>
  <si>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</si>
  <si>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</si>
  <si>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</si>
  <si>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</si>
  <si>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</si>
  <si>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</si>
  <si>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</si>
  <si>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</si>
  <si>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</si>
  <si>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</si>
  <si>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</si>
  <si>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</si>
  <si>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</si>
  <si>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</si>
  <si>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</si>
  <si>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</si>
  <si>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</si>
  <si>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</si>
  <si>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</si>
  <si>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</si>
  <si>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</si>
  <si>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</si>
  <si>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</si>
  <si>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</si>
  <si>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</si>
  <si>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</si>
  <si>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</si>
  <si>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</si>
  <si>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</si>
  <si>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</si>
  <si>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</si>
  <si>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</si>
  <si>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</si>
  <si>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</si>
  <si>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</si>
  <si>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</si>
  <si>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</si>
  <si>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</si>
  <si>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</si>
  <si>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SBI Life Insurance Company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</si>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</sst>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SBI Life Insurance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25">
        <f>'Annual Raw'!AB6</f>
        <v>0</v>
      </c>
      <c r="AB8" s="17">
        <f>+SUM(CM8:CP8)</f>
        <v>118882.73470730054</v>
      </c>
      <c r="AC8" s="17">
        <f>+SUM(CQ8:CT8)</f>
        <v>141318.63003365661</v>
      </c>
      <c r="AD8" s="17">
        <f>+SUM(CU8:CX8)</f>
        <v>167963.33265676021</v>
      </c>
      <c r="AE8" s="17">
        <f>+SUM(CY8:DB8)</f>
        <v>199625.47421944566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4921.47</v>
      </c>
      <c r="BA8" s="25">
        <f>'QTR Raw'!U6+'QTR Raw'!U8</f>
        <v>5242.88</v>
      </c>
      <c r="BB8" s="25">
        <f>'QTR Raw'!V6+'QTR Raw'!V8</f>
        <v>7346.05</v>
      </c>
      <c r="BC8" s="25">
        <f>'QTR Raw'!W6+'QTR Raw'!W8</f>
        <v>3762.58</v>
      </c>
      <c r="BD8" s="25">
        <f>'QTR Raw'!X6+'QTR Raw'!X8</f>
        <v>5384.57</v>
      </c>
      <c r="BE8" s="25">
        <f>'QTR Raw'!Y6+'QTR Raw'!Y8</f>
        <v>6776.21</v>
      </c>
      <c r="BF8" s="25">
        <f>'QTR Raw'!Z6+'QTR Raw'!Z8</f>
        <v>9236.7000000000007</v>
      </c>
      <c r="BG8" s="25">
        <f>'QTR Raw'!AA6+'QTR Raw'!AA8</f>
        <v>4754.5200000000004</v>
      </c>
      <c r="BH8" s="25">
        <f>'QTR Raw'!AB6+'QTR Raw'!AB8</f>
        <v>7661.55</v>
      </c>
      <c r="BI8" s="25">
        <f>'QTR Raw'!AC6+'QTR Raw'!AC8</f>
        <v>9141.26</v>
      </c>
      <c r="BJ8" s="25">
        <f>'QTR Raw'!AD6+'QTR Raw'!AD8</f>
        <v>11333.02</v>
      </c>
      <c r="BK8" s="25">
        <f>'QTR Raw'!AE6+'QTR Raw'!AE8</f>
        <v>6655.02</v>
      </c>
      <c r="BL8" s="25">
        <f>'QTR Raw'!AF6+'QTR Raw'!AF8</f>
        <v>10111.51</v>
      </c>
      <c r="BM8" s="25">
        <f>'QTR Raw'!AG6+'QTR Raw'!AG8</f>
        <v>11694.51</v>
      </c>
      <c r="BN8" s="25">
        <f>'QTR Raw'!AH6+'QTR Raw'!AH8</f>
        <v>11862.98</v>
      </c>
      <c r="BO8" s="25">
        <f>'QTR Raw'!AI6+'QTR Raw'!AI8</f>
        <v>7588.09</v>
      </c>
      <c r="BP8" s="25">
        <f>'QTR Raw'!AJ6+'QTR Raw'!AJ8</f>
        <v>12857.95</v>
      </c>
      <c r="BQ8" s="25">
        <f>'QTR Raw'!AK6+'QTR Raw'!AK8</f>
        <v>13766.49</v>
      </c>
      <c r="BR8" s="25">
        <f>'QTR Raw'!AL6+'QTR Raw'!AL8</f>
        <v>15555.74</v>
      </c>
      <c r="BS8" s="25">
        <f>'QTR Raw'!AM6+'QTR Raw'!AM8</f>
        <v>8312.5499999999993</v>
      </c>
      <c r="BT8" s="25">
        <f>'QTR Raw'!AN6+'QTR Raw'!AN8</f>
        <v>14660.64</v>
      </c>
      <c r="BU8" s="25">
        <f>'QTR Raw'!AO6+'QTR Raw'!AO8</f>
        <v>18025.34</v>
      </c>
      <c r="BV8" s="25">
        <f>'QTR Raw'!AP6+'QTR Raw'!AP8</f>
        <v>17433.77</v>
      </c>
      <c r="BW8" s="25">
        <f>'QTR Raw'!AQ6+'QTR Raw'!AQ8</f>
        <v>11036.02</v>
      </c>
      <c r="BX8" s="25">
        <f>'QTR Raw'!AR6+'QTR Raw'!AR8</f>
        <v>16477.259999999998</v>
      </c>
      <c r="BY8" s="25">
        <f>'QTR Raw'!AS6+'QTR Raw'!AS8</f>
        <v>19170.8</v>
      </c>
      <c r="BZ8" s="25">
        <f>'QTR Raw'!AT6+'QTR Raw'!AT8</f>
        <v>19896.919999999998</v>
      </c>
      <c r="CA8" s="25">
        <f>'QTR Raw'!AU6+'QTR Raw'!AU8</f>
        <v>13104.49</v>
      </c>
      <c r="CB8" s="25">
        <f>'QTR Raw'!AV6+'QTR Raw'!AV8</f>
        <v>20049.66</v>
      </c>
      <c r="CC8" s="25">
        <f>'QTR Raw'!AW6+'QTR Raw'!AW8</f>
        <v>22316.47</v>
      </c>
      <c r="CD8" s="25">
        <f>'QTR Raw'!AX6+'QTR Raw'!AX8</f>
        <v>25116.47</v>
      </c>
      <c r="CE8" s="25">
        <f>'QTR Raw'!AY6+'QTR Raw'!AY8</f>
        <v>15105.48</v>
      </c>
      <c r="CF8" s="25">
        <f>'QTR Raw'!AZ6+'QTR Raw'!AZ8</f>
        <v>20266.099999999999</v>
      </c>
      <c r="CG8" s="25">
        <f>'QTR Raw'!BA6+'QTR Raw'!BA8</f>
        <v>24827.54</v>
      </c>
      <c r="CH8" s="25">
        <f>'QTR Raw'!BB6+'QTR Raw'!BB8</f>
        <v>23860.71</v>
      </c>
      <c r="CI8" s="25">
        <f>'QTR Raw'!BC6+'QTR Raw'!BC8</f>
        <v>17178.5</v>
      </c>
      <c r="CJ8" s="25">
        <f>'QTR Raw'!BD6+'QTR Raw'!BD8</f>
        <v>24848.31</v>
      </c>
      <c r="CK8" s="25">
        <f>'QTR Raw'!BE6+'QTR Raw'!BE8</f>
        <v>30245.32</v>
      </c>
      <c r="CL8" s="25">
        <f>'QTR Raw'!BF6+'QTR Raw'!BF8</f>
        <v>27683.79</v>
      </c>
      <c r="CM8" s="17">
        <f t="shared" ref="CM8:DB8" si="33">+CI10+(CM11*CI10)</f>
        <v>20364.166709869805</v>
      </c>
      <c r="CN8" s="17">
        <f t="shared" si="33"/>
        <v>29755.780702036718</v>
      </c>
      <c r="CO8" s="17">
        <f t="shared" si="33"/>
        <v>36002.392650208392</v>
      </c>
      <c r="CP8" s="17">
        <f t="shared" si="33"/>
        <v>32760.394645185621</v>
      </c>
      <c r="CQ8" s="17">
        <f t="shared" si="33"/>
        <v>24216.386313952771</v>
      </c>
      <c r="CR8" s="17">
        <f t="shared" si="33"/>
        <v>35412.264393692007</v>
      </c>
      <c r="CS8" s="17">
        <f t="shared" si="33"/>
        <v>42779.73216207706</v>
      </c>
      <c r="CT8" s="17">
        <f t="shared" si="33"/>
        <v>38910.247163934786</v>
      </c>
      <c r="CU8" s="17">
        <f t="shared" si="33"/>
        <v>28788.637618011333</v>
      </c>
      <c r="CV8" s="17">
        <f t="shared" si="33"/>
        <v>42095.215762973516</v>
      </c>
      <c r="CW8" s="17">
        <f t="shared" si="33"/>
        <v>50838.319369828336</v>
      </c>
      <c r="CX8" s="17">
        <f t="shared" si="33"/>
        <v>46241.15990594701</v>
      </c>
      <c r="CY8" s="17">
        <f t="shared" si="33"/>
        <v>34217.500841556874</v>
      </c>
      <c r="CZ8" s="17">
        <f t="shared" si="33"/>
        <v>50030.951228494625</v>
      </c>
      <c r="DA8" s="17">
        <f t="shared" si="33"/>
        <v>60419.753344824931</v>
      </c>
      <c r="DB8" s="17">
        <f t="shared" si="33"/>
        <v>54957.268804569248</v>
      </c>
      <c r="DE8" s="119"/>
      <c r="DF8" s="25">
        <v>27031.545263009728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0</v>
      </c>
      <c r="X10" s="26">
        <f>+X8-X9</f>
        <v>0</v>
      </c>
      <c r="Y10" s="26">
        <f>+Y8-Y9</f>
        <v>0</v>
      </c>
      <c r="Z10" s="26">
        <f>+Z8-Z9</f>
        <v>0</v>
      </c>
      <c r="AA10" s="26">
        <f>+AA8-AA9</f>
        <v>0</v>
      </c>
      <c r="AB10" s="27">
        <f t="shared" ref="AB10:AD10" si="35">+AB8-AB9</f>
        <v>118882.73470730054</v>
      </c>
      <c r="AC10" s="27">
        <f t="shared" si="35"/>
        <v>141318.63003365661</v>
      </c>
      <c r="AD10" s="27">
        <f t="shared" si="35"/>
        <v>167963.33265676021</v>
      </c>
      <c r="AE10" s="27">
        <f t="shared" ref="AE10" si="36">+AE8-AE9</f>
        <v>199625.47421944566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4921.47</v>
      </c>
      <c r="BA10" s="26">
        <f t="shared" si="42"/>
        <v>5242.88</v>
      </c>
      <c r="BB10" s="26">
        <f t="shared" si="42"/>
        <v>7346.05</v>
      </c>
      <c r="BC10" s="26">
        <f t="shared" si="42"/>
        <v>3762.58</v>
      </c>
      <c r="BD10" s="26">
        <f t="shared" si="42"/>
        <v>5384.57</v>
      </c>
      <c r="BE10" s="26">
        <f t="shared" si="42"/>
        <v>6776.21</v>
      </c>
      <c r="BF10" s="26">
        <f t="shared" si="42"/>
        <v>9236.7000000000007</v>
      </c>
      <c r="BG10" s="26">
        <f t="shared" si="42"/>
        <v>4754.5200000000004</v>
      </c>
      <c r="BH10" s="26">
        <f t="shared" si="42"/>
        <v>7661.55</v>
      </c>
      <c r="BI10" s="26">
        <f t="shared" si="42"/>
        <v>9141.26</v>
      </c>
      <c r="BJ10" s="26">
        <f t="shared" si="42"/>
        <v>11333.02</v>
      </c>
      <c r="BK10" s="26">
        <f t="shared" si="42"/>
        <v>6655.02</v>
      </c>
      <c r="BL10" s="26">
        <f t="shared" si="42"/>
        <v>10111.51</v>
      </c>
      <c r="BM10" s="26">
        <f t="shared" si="42"/>
        <v>11694.51</v>
      </c>
      <c r="BN10" s="26">
        <f t="shared" si="42"/>
        <v>11862.98</v>
      </c>
      <c r="BO10" s="26">
        <f t="shared" si="42"/>
        <v>7588.09</v>
      </c>
      <c r="BP10" s="26">
        <f t="shared" si="42"/>
        <v>12857.95</v>
      </c>
      <c r="BQ10" s="26">
        <f t="shared" si="42"/>
        <v>13766.49</v>
      </c>
      <c r="BR10" s="26">
        <f t="shared" si="42"/>
        <v>15555.74</v>
      </c>
      <c r="BS10" s="26">
        <f t="shared" si="42"/>
        <v>8312.5499999999993</v>
      </c>
      <c r="BT10" s="26">
        <f t="shared" si="42"/>
        <v>14660.64</v>
      </c>
      <c r="BU10" s="26">
        <f t="shared" si="42"/>
        <v>18025.34</v>
      </c>
      <c r="BV10" s="26">
        <f t="shared" si="42"/>
        <v>17433.77</v>
      </c>
      <c r="BW10" s="26">
        <f t="shared" si="42"/>
        <v>11036.02</v>
      </c>
      <c r="BX10" s="26">
        <f t="shared" si="42"/>
        <v>16477.259999999998</v>
      </c>
      <c r="BY10" s="26">
        <f t="shared" si="42"/>
        <v>19170.8</v>
      </c>
      <c r="BZ10" s="26">
        <f t="shared" si="42"/>
        <v>19896.919999999998</v>
      </c>
      <c r="CA10" s="26">
        <f t="shared" si="42"/>
        <v>13104.49</v>
      </c>
      <c r="CB10" s="26">
        <f t="shared" si="42"/>
        <v>20049.66</v>
      </c>
      <c r="CC10" s="26">
        <f t="shared" si="42"/>
        <v>22316.47</v>
      </c>
      <c r="CD10" s="26">
        <f t="shared" si="42"/>
        <v>25116.47</v>
      </c>
      <c r="CE10" s="26">
        <f t="shared" si="42"/>
        <v>15105.48</v>
      </c>
      <c r="CF10" s="26">
        <f t="shared" si="42"/>
        <v>20266.099999999999</v>
      </c>
      <c r="CG10" s="26">
        <f t="shared" ref="CG10:CH10" si="43">+CG8-CG9</f>
        <v>24827.54</v>
      </c>
      <c r="CH10" s="26">
        <f t="shared" si="43"/>
        <v>23860.71</v>
      </c>
      <c r="CI10" s="26">
        <f t="shared" ref="CI10:CJ10" si="44">+CI8-CI9</f>
        <v>17178.5</v>
      </c>
      <c r="CJ10" s="26">
        <f t="shared" si="44"/>
        <v>24848.31</v>
      </c>
      <c r="CK10" s="26">
        <f t="shared" ref="CK10:CL10" si="45">+CK8-CK9</f>
        <v>30245.32</v>
      </c>
      <c r="CL10" s="26">
        <f t="shared" si="45"/>
        <v>27683.79</v>
      </c>
      <c r="CM10" s="27">
        <f t="shared" ref="CM10:DB10" si="46">+CM8-CM9</f>
        <v>20364.166709869805</v>
      </c>
      <c r="CN10" s="27">
        <f t="shared" si="46"/>
        <v>29755.780702036718</v>
      </c>
      <c r="CO10" s="27">
        <f t="shared" si="46"/>
        <v>36002.392650208392</v>
      </c>
      <c r="CP10" s="27">
        <f t="shared" si="46"/>
        <v>32760.394645185621</v>
      </c>
      <c r="CQ10" s="27">
        <f t="shared" si="46"/>
        <v>24216.386313952771</v>
      </c>
      <c r="CR10" s="27">
        <f t="shared" si="46"/>
        <v>35412.264393692007</v>
      </c>
      <c r="CS10" s="27">
        <f t="shared" si="46"/>
        <v>42779.73216207706</v>
      </c>
      <c r="CT10" s="27">
        <f t="shared" si="46"/>
        <v>38910.247163934786</v>
      </c>
      <c r="CU10" s="27">
        <f t="shared" si="46"/>
        <v>28788.637618011333</v>
      </c>
      <c r="CV10" s="27">
        <f t="shared" si="46"/>
        <v>42095.215762973516</v>
      </c>
      <c r="CW10" s="27">
        <f t="shared" si="46"/>
        <v>50838.319369828336</v>
      </c>
      <c r="CX10" s="27">
        <f t="shared" si="46"/>
        <v>46241.15990594701</v>
      </c>
      <c r="CY10" s="27">
        <f t="shared" si="46"/>
        <v>34217.500841556874</v>
      </c>
      <c r="CZ10" s="27">
        <f t="shared" si="46"/>
        <v>50030.951228494625</v>
      </c>
      <c r="DA10" s="27">
        <f t="shared" si="46"/>
        <v>60419.753344824931</v>
      </c>
      <c r="DB10" s="27">
        <f t="shared" si="46"/>
        <v>54957.268804569248</v>
      </c>
      <c r="DE10" s="121"/>
      <c r="DF10" s="26">
        <v>27031.545263009728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 t="e">
        <f t="shared" si="50"/>
        <v>#DIV/0!</v>
      </c>
      <c r="P11" s="39" t="e">
        <f t="shared" si="50"/>
        <v>#DIV/0!</v>
      </c>
      <c r="Q11" s="39" t="e">
        <f t="shared" si="50"/>
        <v>#DIV/0!</v>
      </c>
      <c r="R11" s="39" t="e">
        <f t="shared" si="50"/>
        <v>#DIV/0!</v>
      </c>
      <c r="S11" s="39" t="e">
        <f t="shared" ref="S11:AA11" si="51">S10/R10-1</f>
        <v>#DIV/0!</v>
      </c>
      <c r="T11" s="39" t="e">
        <f t="shared" si="51"/>
        <v>#DIV/0!</v>
      </c>
      <c r="U11" s="39" t="e">
        <f t="shared" si="51"/>
        <v>#DIV/0!</v>
      </c>
      <c r="V11" s="39" t="e">
        <f t="shared" si="51"/>
        <v>#DIV/0!</v>
      </c>
      <c r="W11" s="39" t="e">
        <f t="shared" si="51"/>
        <v>#DIV/0!</v>
      </c>
      <c r="X11" s="39" t="e">
        <f t="shared" si="51"/>
        <v>#DIV/0!</v>
      </c>
      <c r="Y11" s="39" t="e">
        <f t="shared" si="51"/>
        <v>#DIV/0!</v>
      </c>
      <c r="Z11" s="39" t="e">
        <f t="shared" si="51"/>
        <v>#DIV/0!</v>
      </c>
      <c r="AA11" s="39" t="e">
        <f t="shared" si="51"/>
        <v>#DIV/0!</v>
      </c>
      <c r="AB11" s="40" t="e">
        <f t="shared" ref="AB11" si="52">AB10/AA10-1</f>
        <v>#DIV/0!</v>
      </c>
      <c r="AC11" s="40">
        <f t="shared" ref="AC11" si="53">AC10/AB10-1</f>
        <v>0.18872290733885921</v>
      </c>
      <c r="AD11" s="40">
        <f t="shared" ref="AD11" si="54">AD10/AC10-1</f>
        <v>0.18854345401422212</v>
      </c>
      <c r="AE11" s="40">
        <f t="shared" ref="AE11" si="55">AE10/AD10-1</f>
        <v>0.18850627135023768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>
        <f t="shared" si="56"/>
        <v>9.4097901643208193E-2</v>
      </c>
      <c r="BE11" s="39">
        <f t="shared" si="56"/>
        <v>0.29245948791503906</v>
      </c>
      <c r="BF11" s="39">
        <f t="shared" si="56"/>
        <v>0.2573696067954887</v>
      </c>
      <c r="BG11" s="39">
        <f t="shared" si="56"/>
        <v>0.26363293272169641</v>
      </c>
      <c r="BH11" s="39">
        <f t="shared" si="56"/>
        <v>0.42287127848649031</v>
      </c>
      <c r="BI11" s="39">
        <f t="shared" si="56"/>
        <v>0.34902253619648738</v>
      </c>
      <c r="BJ11" s="39">
        <f t="shared" si="56"/>
        <v>0.22695551441532147</v>
      </c>
      <c r="BK11" s="39">
        <f t="shared" si="56"/>
        <v>0.3997248933646298</v>
      </c>
      <c r="BL11" s="39">
        <f t="shared" si="56"/>
        <v>0.31977341399586234</v>
      </c>
      <c r="BM11" s="39">
        <f t="shared" si="56"/>
        <v>0.27931051080485614</v>
      </c>
      <c r="BN11" s="39">
        <f t="shared" si="56"/>
        <v>4.6762469315328126E-2</v>
      </c>
      <c r="BO11" s="39">
        <f t="shared" si="56"/>
        <v>0.14020543890176129</v>
      </c>
      <c r="BP11" s="39">
        <f t="shared" si="56"/>
        <v>0.27161521869631744</v>
      </c>
      <c r="BQ11" s="39">
        <f t="shared" si="56"/>
        <v>0.17717544386211981</v>
      </c>
      <c r="BR11" s="39">
        <f t="shared" si="56"/>
        <v>0.31128434845207531</v>
      </c>
      <c r="BS11" s="39">
        <f t="shared" si="56"/>
        <v>9.5473300922893634E-2</v>
      </c>
      <c r="BT11" s="39">
        <f t="shared" si="56"/>
        <v>0.14020042075136385</v>
      </c>
      <c r="BU11" s="39">
        <f t="shared" si="56"/>
        <v>0.30936353420516061</v>
      </c>
      <c r="BV11" s="39">
        <f t="shared" si="56"/>
        <v>0.12072906849818787</v>
      </c>
      <c r="BW11" s="39">
        <f t="shared" si="56"/>
        <v>0.32763351799387697</v>
      </c>
      <c r="BX11" s="39">
        <f t="shared" si="56"/>
        <v>0.12391137085420545</v>
      </c>
      <c r="BY11" s="39">
        <f t="shared" si="56"/>
        <v>6.3547206321767025E-2</v>
      </c>
      <c r="BZ11" s="39">
        <f t="shared" si="56"/>
        <v>0.14128613604515827</v>
      </c>
      <c r="CA11" s="39">
        <f t="shared" si="56"/>
        <v>0.18742898254986851</v>
      </c>
      <c r="CB11" s="39">
        <f t="shared" si="56"/>
        <v>0.21680789160333713</v>
      </c>
      <c r="CC11" s="39">
        <f t="shared" si="56"/>
        <v>0.16408652742712881</v>
      </c>
      <c r="CD11" s="39">
        <f t="shared" si="56"/>
        <v>0.26232954648257145</v>
      </c>
      <c r="CE11" s="39">
        <f t="shared" si="56"/>
        <v>0.1526949923270573</v>
      </c>
      <c r="CF11" s="39">
        <f t="shared" si="56"/>
        <v>1.0795195529500257E-2</v>
      </c>
      <c r="CG11" s="39">
        <f t="shared" si="56"/>
        <v>0.11252093184988476</v>
      </c>
      <c r="CH11" s="39">
        <f t="shared" si="56"/>
        <v>-4.9997471778478464E-2</v>
      </c>
      <c r="CI11" s="39">
        <f t="shared" si="56"/>
        <v>0.13723628775782037</v>
      </c>
      <c r="CJ11" s="39">
        <f>+IF(CF10&lt;0,1-CJ10/CF10,CJ10/CF10-1)</f>
        <v>0.22610221009469034</v>
      </c>
      <c r="CK11" s="39">
        <f>+IF(CG10&lt;0,1-CK10/CG10,CK10/CG10-1)</f>
        <v>0.21821654501412535</v>
      </c>
      <c r="CL11" s="39">
        <f>+IF(CH10&lt;0,1-CL10/CH10,CL10/CH10-1)</f>
        <v>0.16022490529410072</v>
      </c>
      <c r="CM11" s="40">
        <f t="shared" ref="CM11" si="57">+AVERAGE(CI11:CL11)</f>
        <v>0.18544498704018419</v>
      </c>
      <c r="CN11" s="40">
        <f t="shared" ref="CN11" si="58">+AVERAGE(CJ11:CM11)</f>
        <v>0.19749716186077515</v>
      </c>
      <c r="CO11" s="40">
        <f t="shared" ref="CO11" si="59">+AVERAGE(CK11:CN11)</f>
        <v>0.19034589980229635</v>
      </c>
      <c r="CP11" s="40">
        <f t="shared" ref="CP11" si="60">+AVERAGE(CL11:CO11)</f>
        <v>0.1833782384993391</v>
      </c>
      <c r="CQ11" s="40">
        <f t="shared" ref="CQ11" si="61">+AVERAGE(CM11:CP11)</f>
        <v>0.18916657180064869</v>
      </c>
      <c r="CR11" s="40">
        <f t="shared" ref="CR11" si="62">+AVERAGE(CN11:CQ11)</f>
        <v>0.19009696799076481</v>
      </c>
      <c r="CS11" s="40">
        <f t="shared" ref="CS11" si="63">+AVERAGE(CO11:CR11)</f>
        <v>0.18824691952326222</v>
      </c>
      <c r="CT11" s="40">
        <f t="shared" ref="CT11" si="64">+AVERAGE(CP11:CS11)</f>
        <v>0.1877221744535037</v>
      </c>
      <c r="CU11" s="40">
        <f t="shared" ref="CU11" si="65">+AVERAGE(CQ11:CT11)</f>
        <v>0.18880815844204485</v>
      </c>
      <c r="CV11" s="40">
        <f t="shared" ref="CV11" si="66">+AVERAGE(CR11:CU11)</f>
        <v>0.18871855510239388</v>
      </c>
      <c r="CW11" s="40">
        <f t="shared" ref="CW11" si="67">+AVERAGE(CS11:CV11)</f>
        <v>0.18837395188030118</v>
      </c>
      <c r="CX11" s="40">
        <f t="shared" ref="CX11" si="68">+AVERAGE(CT11:CW11)</f>
        <v>0.18840570996956091</v>
      </c>
      <c r="CY11" s="40">
        <f t="shared" ref="CY11" si="69">+AVERAGE(CU11:CX11)</f>
        <v>0.18857659384857522</v>
      </c>
      <c r="CZ11" s="40">
        <f t="shared" ref="CZ11" si="70">+AVERAGE(CV11:CY11)</f>
        <v>0.18851870270020782</v>
      </c>
      <c r="DA11" s="40">
        <f t="shared" ref="DA11" si="71">+AVERAGE(CW11:CZ11)</f>
        <v>0.18846873959966126</v>
      </c>
      <c r="DB11" s="40">
        <f t="shared" ref="DB11" si="72">+AVERAGE(CX11:DA11)</f>
        <v>0.18849243652950129</v>
      </c>
      <c r="DE11" s="122"/>
      <c r="DF11" s="39">
        <v>0.1328893927720394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>
        <f t="shared" si="74"/>
        <v>6.5307723098992687E-2</v>
      </c>
      <c r="BB12" s="39">
        <f t="shared" si="74"/>
        <v>0.40114784240722656</v>
      </c>
      <c r="BC12" s="39">
        <f t="shared" si="74"/>
        <v>-0.48780909468353739</v>
      </c>
      <c r="BD12" s="39">
        <f t="shared" si="74"/>
        <v>0.43108452179089873</v>
      </c>
      <c r="BE12" s="39">
        <f t="shared" si="74"/>
        <v>0.25844960693240138</v>
      </c>
      <c r="BF12" s="39">
        <f t="shared" si="74"/>
        <v>0.36310710559442527</v>
      </c>
      <c r="BG12" s="39">
        <f t="shared" si="74"/>
        <v>-0.48525772191367045</v>
      </c>
      <c r="BH12" s="39">
        <f t="shared" si="74"/>
        <v>0.61142449711011837</v>
      </c>
      <c r="BI12" s="39">
        <f t="shared" si="74"/>
        <v>0.19313454849214584</v>
      </c>
      <c r="BJ12" s="39">
        <f t="shared" si="74"/>
        <v>0.23976563405919982</v>
      </c>
      <c r="BK12" s="39">
        <f t="shared" si="74"/>
        <v>-0.4127761179279662</v>
      </c>
      <c r="BL12" s="39">
        <f t="shared" si="74"/>
        <v>0.51938085835955405</v>
      </c>
      <c r="BM12" s="39">
        <f t="shared" si="74"/>
        <v>0.15655426340872935</v>
      </c>
      <c r="BN12" s="39">
        <f t="shared" si="74"/>
        <v>1.4405904993026519E-2</v>
      </c>
      <c r="BO12" s="39">
        <f t="shared" si="74"/>
        <v>-0.36035549246479381</v>
      </c>
      <c r="BP12" s="39">
        <f t="shared" si="74"/>
        <v>0.69449097203644139</v>
      </c>
      <c r="BQ12" s="39">
        <f t="shared" si="74"/>
        <v>7.0659786357856413E-2</v>
      </c>
      <c r="BR12" s="39">
        <f t="shared" si="74"/>
        <v>0.12997140157004439</v>
      </c>
      <c r="BS12" s="39">
        <f t="shared" si="74"/>
        <v>-0.46562812183798397</v>
      </c>
      <c r="BT12" s="39">
        <f t="shared" si="74"/>
        <v>0.76367540646372056</v>
      </c>
      <c r="BU12" s="39">
        <f t="shared" si="74"/>
        <v>0.22950566960241847</v>
      </c>
      <c r="BV12" s="39">
        <f t="shared" si="74"/>
        <v>-3.281879842488411E-2</v>
      </c>
      <c r="BW12" s="39">
        <f t="shared" si="74"/>
        <v>-0.36697455570424531</v>
      </c>
      <c r="BX12" s="39">
        <f t="shared" si="74"/>
        <v>0.49304368785123609</v>
      </c>
      <c r="BY12" s="39">
        <f t="shared" si="74"/>
        <v>0.16347014005969451</v>
      </c>
      <c r="BZ12" s="39">
        <f t="shared" si="74"/>
        <v>3.7876353621132175E-2</v>
      </c>
      <c r="CA12" s="39">
        <f t="shared" si="74"/>
        <v>-0.34138097755833563</v>
      </c>
      <c r="CB12" s="39">
        <f t="shared" si="74"/>
        <v>0.52998399785111827</v>
      </c>
      <c r="CC12" s="39">
        <f t="shared" si="74"/>
        <v>0.11305977258467226</v>
      </c>
      <c r="CD12" s="39">
        <f t="shared" si="74"/>
        <v>0.12546787193494313</v>
      </c>
      <c r="CE12" s="39">
        <f t="shared" si="74"/>
        <v>-0.39858268299645616</v>
      </c>
      <c r="CF12" s="39">
        <f t="shared" si="74"/>
        <v>0.34163892838890253</v>
      </c>
      <c r="CG12" s="39">
        <f t="shared" si="74"/>
        <v>0.22507734591263251</v>
      </c>
      <c r="CH12" s="39">
        <f t="shared" si="74"/>
        <v>-3.8941836363973303E-2</v>
      </c>
      <c r="CI12" s="39">
        <f t="shared" si="74"/>
        <v>-0.28005076127240136</v>
      </c>
      <c r="CJ12" s="39">
        <f>+IF(CI10&lt;0,1-CJ10/CI10,CJ10/CI10-1)</f>
        <v>0.446477282649824</v>
      </c>
      <c r="CK12" s="39">
        <f>+IF(CJ10&lt;0,1-CK10/CJ10,CK10/CJ10-1)</f>
        <v>0.2171982722366228</v>
      </c>
      <c r="CL12" s="39">
        <f>+IF(CK10&lt;0,1-CL10/CK10,CL10/CK10-1)</f>
        <v>-8.469178041429215E-2</v>
      </c>
      <c r="CM12" s="40">
        <f t="shared" ref="CM12" si="75">+CM10/CL10-1</f>
        <v>-0.26440105527928781</v>
      </c>
      <c r="CN12" s="40">
        <f t="shared" ref="CN12" si="76">+CN10/CM10-1</f>
        <v>0.46118331901177778</v>
      </c>
      <c r="CO12" s="40">
        <f t="shared" ref="CO12" si="77">+CO10/CN10-1</f>
        <v>0.20992935828916459</v>
      </c>
      <c r="CP12" s="40">
        <f t="shared" ref="CP12" si="78">+CP10/CO10-1</f>
        <v>-9.0049515223094678E-2</v>
      </c>
      <c r="CQ12" s="40">
        <f t="shared" ref="CQ12" si="79">+CQ10/CP10-1</f>
        <v>-0.26080297333928648</v>
      </c>
      <c r="CR12" s="40">
        <f t="shared" ref="CR12" si="80">+CR10/CQ10-1</f>
        <v>0.46232653933541279</v>
      </c>
      <c r="CS12" s="40">
        <f t="shared" ref="CS12" si="81">+CS10/CR10-1</f>
        <v>0.20804847965885576</v>
      </c>
      <c r="CT12" s="40">
        <f t="shared" ref="CT12" si="82">+CT10/CS10-1</f>
        <v>-9.0451361020264964E-2</v>
      </c>
      <c r="CU12" s="40">
        <f t="shared" ref="CU12" si="83">+CU10/CT10-1</f>
        <v>-0.26012709462573125</v>
      </c>
      <c r="CV12" s="40">
        <f t="shared" ref="CV12" si="84">+CV10/CU10-1</f>
        <v>0.46221632025535841</v>
      </c>
      <c r="CW12" s="40">
        <f t="shared" ref="CW12" si="85">+CW10/CV10-1</f>
        <v>0.20769827279386832</v>
      </c>
      <c r="CX12" s="40">
        <f t="shared" ref="CX12" si="86">+CX10/CW10-1</f>
        <v>-9.0427054254859196E-2</v>
      </c>
      <c r="CY12" s="40">
        <f t="shared" ref="CY12" si="87">+CY10/CX10-1</f>
        <v>-0.26002070641925634</v>
      </c>
      <c r="CZ12" s="40">
        <f t="shared" ref="CZ12" si="88">+CZ10/CY10-1</f>
        <v>0.46214510113293983</v>
      </c>
      <c r="DA12" s="40">
        <f t="shared" ref="DA12" si="89">+DA10/CZ10-1</f>
        <v>0.20764750342011218</v>
      </c>
      <c r="DB12" s="40">
        <f t="shared" ref="DB12" si="90">+DB10/DA10-1</f>
        <v>-9.0408918240371339E-2</v>
      </c>
      <c r="DE12" s="122"/>
      <c r="DF12" s="39">
        <v>-0.1062569262613281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0</v>
      </c>
      <c r="O16" s="31">
        <f t="shared" si="92"/>
        <v>0</v>
      </c>
      <c r="P16" s="31">
        <f t="shared" si="92"/>
        <v>0</v>
      </c>
      <c r="Q16" s="31">
        <f t="shared" si="92"/>
        <v>0</v>
      </c>
      <c r="R16" s="31">
        <f t="shared" si="92"/>
        <v>0</v>
      </c>
      <c r="S16" s="31">
        <f t="shared" si="92"/>
        <v>0</v>
      </c>
      <c r="T16" s="31">
        <f t="shared" si="92"/>
        <v>0</v>
      </c>
      <c r="U16" s="31">
        <f t="shared" ref="U16:Z16" si="93">U10-U13-U15-U14</f>
        <v>0</v>
      </c>
      <c r="V16" s="31">
        <f t="shared" si="93"/>
        <v>0</v>
      </c>
      <c r="W16" s="31">
        <f t="shared" si="93"/>
        <v>0</v>
      </c>
      <c r="X16" s="31">
        <f t="shared" si="93"/>
        <v>0</v>
      </c>
      <c r="Y16" s="31">
        <f t="shared" si="93"/>
        <v>0</v>
      </c>
      <c r="Z16" s="31">
        <f t="shared" si="93"/>
        <v>0</v>
      </c>
      <c r="AA16" s="31">
        <f t="shared" ref="AA16" si="94">AA10-AA13-AA15-AA14</f>
        <v>0</v>
      </c>
      <c r="AB16" s="32">
        <f t="shared" ref="AA16:AD16" si="95">AB10-AB13-AB15-AB14</f>
        <v>118882.73470730054</v>
      </c>
      <c r="AC16" s="32">
        <f t="shared" si="95"/>
        <v>141318.63003365661</v>
      </c>
      <c r="AD16" s="32">
        <f t="shared" si="95"/>
        <v>167963.33265676021</v>
      </c>
      <c r="AE16" s="32">
        <f t="shared" ref="AE16" si="96">AE10-AE13-AE15-AE14</f>
        <v>199625.47421944566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4921.47</v>
      </c>
      <c r="BA16" s="31">
        <f t="shared" si="101"/>
        <v>5242.88</v>
      </c>
      <c r="BB16" s="31">
        <f t="shared" si="101"/>
        <v>7346.05</v>
      </c>
      <c r="BC16" s="31">
        <f t="shared" si="101"/>
        <v>3762.58</v>
      </c>
      <c r="BD16" s="31">
        <f t="shared" si="101"/>
        <v>5384.57</v>
      </c>
      <c r="BE16" s="31">
        <f t="shared" si="101"/>
        <v>6776.21</v>
      </c>
      <c r="BF16" s="31">
        <f t="shared" si="101"/>
        <v>9236.7000000000007</v>
      </c>
      <c r="BG16" s="31">
        <f t="shared" si="101"/>
        <v>4754.5200000000004</v>
      </c>
      <c r="BH16" s="31">
        <f t="shared" si="101"/>
        <v>7661.55</v>
      </c>
      <c r="BI16" s="31">
        <f t="shared" si="101"/>
        <v>9141.26</v>
      </c>
      <c r="BJ16" s="31">
        <f t="shared" si="101"/>
        <v>11333.02</v>
      </c>
      <c r="BK16" s="31">
        <f t="shared" si="101"/>
        <v>6655.02</v>
      </c>
      <c r="BL16" s="31">
        <f t="shared" si="101"/>
        <v>10111.51</v>
      </c>
      <c r="BM16" s="31">
        <f t="shared" si="101"/>
        <v>11694.51</v>
      </c>
      <c r="BN16" s="31">
        <f t="shared" si="101"/>
        <v>11862.98</v>
      </c>
      <c r="BO16" s="31">
        <f t="shared" si="101"/>
        <v>7588.09</v>
      </c>
      <c r="BP16" s="31">
        <f t="shared" si="101"/>
        <v>12857.95</v>
      </c>
      <c r="BQ16" s="31">
        <f t="shared" si="101"/>
        <v>13766.49</v>
      </c>
      <c r="BR16" s="31">
        <f t="shared" si="101"/>
        <v>15555.74</v>
      </c>
      <c r="BS16" s="31">
        <f t="shared" si="101"/>
        <v>8312.5499999999993</v>
      </c>
      <c r="BT16" s="31">
        <f t="shared" si="101"/>
        <v>14660.64</v>
      </c>
      <c r="BU16" s="31">
        <f t="shared" si="101"/>
        <v>18025.34</v>
      </c>
      <c r="BV16" s="31">
        <f t="shared" si="101"/>
        <v>17433.77</v>
      </c>
      <c r="BW16" s="31">
        <f t="shared" si="101"/>
        <v>11036.02</v>
      </c>
      <c r="BX16" s="31">
        <f t="shared" si="101"/>
        <v>16477.259999999998</v>
      </c>
      <c r="BY16" s="31">
        <f t="shared" si="101"/>
        <v>19170.8</v>
      </c>
      <c r="BZ16" s="31">
        <f t="shared" si="101"/>
        <v>19896.919999999998</v>
      </c>
      <c r="CA16" s="31">
        <f t="shared" si="101"/>
        <v>13104.49</v>
      </c>
      <c r="CB16" s="31">
        <f t="shared" si="101"/>
        <v>20049.66</v>
      </c>
      <c r="CC16" s="31">
        <f t="shared" si="101"/>
        <v>22316.47</v>
      </c>
      <c r="CD16" s="31">
        <f t="shared" si="101"/>
        <v>25116.47</v>
      </c>
      <c r="CE16" s="31">
        <f t="shared" ref="CE16:CF16" si="102">CE10-CE13-CE15-CE14</f>
        <v>15105.48</v>
      </c>
      <c r="CF16" s="31">
        <f t="shared" si="102"/>
        <v>20266.099999999999</v>
      </c>
      <c r="CG16" s="31">
        <f t="shared" ref="CG16:CH16" si="103">CG10-CG13-CG15-CG14</f>
        <v>24827.54</v>
      </c>
      <c r="CH16" s="31">
        <f t="shared" si="103"/>
        <v>23860.71</v>
      </c>
      <c r="CI16" s="31">
        <f t="shared" ref="CI16:CJ16" si="104">CI10-CI13-CI15-CI14</f>
        <v>17178.5</v>
      </c>
      <c r="CJ16" s="31">
        <f t="shared" si="104"/>
        <v>24848.31</v>
      </c>
      <c r="CK16" s="31">
        <f t="shared" ref="CK16:CL16" si="105">CK10-CK13-CK15-CK14</f>
        <v>30245.32</v>
      </c>
      <c r="CL16" s="31">
        <f t="shared" si="105"/>
        <v>27683.79</v>
      </c>
      <c r="CM16" s="32">
        <f t="shared" ref="CM16:DB16" si="106">+CM17*CM10</f>
        <v>20364.166709869805</v>
      </c>
      <c r="CN16" s="32">
        <f t="shared" si="106"/>
        <v>29755.780702036718</v>
      </c>
      <c r="CO16" s="32">
        <f t="shared" si="106"/>
        <v>36002.392650208392</v>
      </c>
      <c r="CP16" s="32">
        <f t="shared" si="106"/>
        <v>32760.394645185621</v>
      </c>
      <c r="CQ16" s="32">
        <f t="shared" si="106"/>
        <v>24216.386313952771</v>
      </c>
      <c r="CR16" s="32">
        <f t="shared" si="106"/>
        <v>35412.264393692007</v>
      </c>
      <c r="CS16" s="32">
        <f t="shared" si="106"/>
        <v>42779.73216207706</v>
      </c>
      <c r="CT16" s="32">
        <f t="shared" si="106"/>
        <v>38910.247163934786</v>
      </c>
      <c r="CU16" s="32">
        <f t="shared" si="106"/>
        <v>28788.637618011333</v>
      </c>
      <c r="CV16" s="32">
        <f t="shared" si="106"/>
        <v>42095.215762973516</v>
      </c>
      <c r="CW16" s="32">
        <f t="shared" si="106"/>
        <v>50838.319369828336</v>
      </c>
      <c r="CX16" s="32">
        <f t="shared" si="106"/>
        <v>46241.15990594701</v>
      </c>
      <c r="CY16" s="32">
        <f t="shared" si="106"/>
        <v>34217.500841556874</v>
      </c>
      <c r="CZ16" s="32">
        <f t="shared" si="106"/>
        <v>50030.951228494625</v>
      </c>
      <c r="DA16" s="32">
        <f t="shared" si="106"/>
        <v>60419.753344824931</v>
      </c>
      <c r="DB16" s="32">
        <f t="shared" si="106"/>
        <v>54957.268804569248</v>
      </c>
      <c r="DE16" s="124"/>
      <c r="DF16" s="31">
        <v>27031.545263009728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 t="e">
        <f>V16/V10</f>
        <v>#DIV/0!</v>
      </c>
      <c r="W17" s="41" t="e">
        <f>W16/W10</f>
        <v>#DIV/0!</v>
      </c>
      <c r="X17" s="41" t="e">
        <f>X16/X10</f>
        <v>#DIV/0!</v>
      </c>
      <c r="Y17" s="41" t="e">
        <f>Y16/Y10</f>
        <v>#DIV/0!</v>
      </c>
      <c r="Z17" s="41" t="e">
        <f>Z16/Z10</f>
        <v>#DIV/0!</v>
      </c>
      <c r="AA17" s="41" t="e">
        <f>AA16/AA10</f>
        <v>#DIV/0!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>
        <f t="shared" si="114"/>
        <v>1</v>
      </c>
      <c r="BA17" s="41">
        <f t="shared" si="114"/>
        <v>1</v>
      </c>
      <c r="BB17" s="41">
        <f t="shared" si="114"/>
        <v>1</v>
      </c>
      <c r="BC17" s="41">
        <f t="shared" si="114"/>
        <v>1</v>
      </c>
      <c r="BD17" s="41">
        <f t="shared" si="114"/>
        <v>1</v>
      </c>
      <c r="BE17" s="41">
        <f t="shared" si="114"/>
        <v>1</v>
      </c>
      <c r="BF17" s="41">
        <f t="shared" si="114"/>
        <v>1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 t="e">
        <f t="shared" si="120"/>
        <v>#DIV/0!</v>
      </c>
      <c r="X18" s="39" t="e">
        <f t="shared" si="120"/>
        <v>#DIV/0!</v>
      </c>
      <c r="Y18" s="39" t="e">
        <f t="shared" si="120"/>
        <v>#DIV/0!</v>
      </c>
      <c r="Z18" s="39" t="e">
        <f t="shared" si="120"/>
        <v>#DIV/0!</v>
      </c>
      <c r="AA18" s="39" t="e">
        <f t="shared" si="120"/>
        <v>#DIV/0!</v>
      </c>
      <c r="AB18" s="40" t="e">
        <f t="shared" si="120"/>
        <v>#DIV/0!</v>
      </c>
      <c r="AC18" s="40">
        <f t="shared" si="120"/>
        <v>0.18872290733885921</v>
      </c>
      <c r="AD18" s="40">
        <f t="shared" si="120"/>
        <v>0.18854345401422212</v>
      </c>
      <c r="AE18" s="40">
        <f t="shared" si="120"/>
        <v>0.18850627135023768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>
        <f t="shared" ref="BD18" si="137">+IF(AZ16&lt;0,1-BD16/AZ16,BD16/AZ16-1)</f>
        <v>9.4097901643208193E-2</v>
      </c>
      <c r="BE18" s="39">
        <f t="shared" ref="BE18" si="138">+IF(BA16&lt;0,1-BE16/BA16,BE16/BA16-1)</f>
        <v>0.29245948791503906</v>
      </c>
      <c r="BF18" s="39">
        <f t="shared" ref="BF18" si="139">+IF(BB16&lt;0,1-BF16/BB16,BF16/BB16-1)</f>
        <v>0.2573696067954887</v>
      </c>
      <c r="BG18" s="39">
        <f t="shared" ref="BG18" si="140">+IF(BC16&lt;0,1-BG16/BC16,BG16/BC16-1)</f>
        <v>0.26363293272169641</v>
      </c>
      <c r="BH18" s="39">
        <f t="shared" ref="BH18" si="141">+IF(BD16&lt;0,1-BH16/BD16,BH16/BD16-1)</f>
        <v>0.42287127848649031</v>
      </c>
      <c r="BI18" s="39">
        <f t="shared" ref="BI18" si="142">+IF(BE16&lt;0,1-BI16/BE16,BI16/BE16-1)</f>
        <v>0.34902253619648738</v>
      </c>
      <c r="BJ18" s="39">
        <f t="shared" ref="BJ18" si="143">+IF(BF16&lt;0,1-BJ16/BF16,BJ16/BF16-1)</f>
        <v>0.22695551441532147</v>
      </c>
      <c r="BK18" s="39">
        <f t="shared" ref="BK18" si="144">+IF(BG16&lt;0,1-BK16/BG16,BK16/BG16-1)</f>
        <v>0.3997248933646298</v>
      </c>
      <c r="BL18" s="39">
        <f t="shared" ref="BL18" si="145">+IF(BH16&lt;0,1-BL16/BH16,BL16/BH16-1)</f>
        <v>0.31977341399586234</v>
      </c>
      <c r="BM18" s="39">
        <f t="shared" ref="BM18" si="146">+IF(BI16&lt;0,1-BM16/BI16,BM16/BI16-1)</f>
        <v>0.27931051080485614</v>
      </c>
      <c r="BN18" s="39">
        <f t="shared" ref="BN18" si="147">+IF(BJ16&lt;0,1-BN16/BJ16,BN16/BJ16-1)</f>
        <v>4.6762469315328126E-2</v>
      </c>
      <c r="BO18" s="39">
        <f t="shared" ref="BO18" si="148">+IF(BK16&lt;0,1-BO16/BK16,BO16/BK16-1)</f>
        <v>0.14020543890176129</v>
      </c>
      <c r="BP18" s="39">
        <f t="shared" ref="BP18" si="149">+IF(BL16&lt;0,1-BP16/BL16,BP16/BL16-1)</f>
        <v>0.27161521869631744</v>
      </c>
      <c r="BQ18" s="39">
        <f t="shared" ref="BQ18" si="150">+IF(BM16&lt;0,1-BQ16/BM16,BQ16/BM16-1)</f>
        <v>0.17717544386211981</v>
      </c>
      <c r="BR18" s="39">
        <f t="shared" ref="BR18" si="151">+IF(BN16&lt;0,1-BR16/BN16,BR16/BN16-1)</f>
        <v>0.31128434845207531</v>
      </c>
      <c r="BS18" s="39">
        <f t="shared" ref="BS18" si="152">+IF(BO16&lt;0,1-BS16/BO16,BS16/BO16-1)</f>
        <v>9.5473300922893634E-2</v>
      </c>
      <c r="BT18" s="39">
        <f t="shared" ref="BT18" si="153">+IF(BP16&lt;0,1-BT16/BP16,BT16/BP16-1)</f>
        <v>0.14020042075136385</v>
      </c>
      <c r="BU18" s="39">
        <f t="shared" ref="BU18" si="154">+IF(BQ16&lt;0,1-BU16/BQ16,BU16/BQ16-1)</f>
        <v>0.30936353420516061</v>
      </c>
      <c r="BV18" s="39">
        <f t="shared" ref="BV18" si="155">+IF(BR16&lt;0,1-BV16/BR16,BV16/BR16-1)</f>
        <v>0.12072906849818787</v>
      </c>
      <c r="BW18" s="39">
        <f t="shared" ref="BW18" si="156">+IF(BS16&lt;0,1-BW16/BS16,BW16/BS16-1)</f>
        <v>0.32763351799387697</v>
      </c>
      <c r="BX18" s="39">
        <f t="shared" ref="BX18" si="157">+IF(BT16&lt;0,1-BX16/BT16,BX16/BT16-1)</f>
        <v>0.12391137085420545</v>
      </c>
      <c r="BY18" s="39">
        <f t="shared" ref="BY18" si="158">+IF(BU16&lt;0,1-BY16/BU16,BY16/BU16-1)</f>
        <v>6.3547206321767025E-2</v>
      </c>
      <c r="BZ18" s="39">
        <f t="shared" ref="BZ18" si="159">+IF(BV16&lt;0,1-BZ16/BV16,BZ16/BV16-1)</f>
        <v>0.14128613604515827</v>
      </c>
      <c r="CA18" s="39">
        <f t="shared" ref="CA18" si="160">+IF(BW16&lt;0,1-CA16/BW16,CA16/BW16-1)</f>
        <v>0.18742898254986851</v>
      </c>
      <c r="CB18" s="39">
        <f t="shared" ref="CB18" si="161">+IF(BX16&lt;0,1-CB16/BX16,CB16/BX16-1)</f>
        <v>0.21680789160333713</v>
      </c>
      <c r="CC18" s="39">
        <f t="shared" ref="CC18" si="162">+IF(BY16&lt;0,1-CC16/BY16,CC16/BY16-1)</f>
        <v>0.16408652742712881</v>
      </c>
      <c r="CD18" s="39">
        <f t="shared" ref="CD18" si="163">+IF(BZ16&lt;0,1-CD16/BZ16,CD16/BZ16-1)</f>
        <v>0.26232954648257145</v>
      </c>
      <c r="CE18" s="39">
        <f t="shared" ref="CE18" si="164">+IF(CA16&lt;0,1-CE16/CA16,CE16/CA16-1)</f>
        <v>0.1526949923270573</v>
      </c>
      <c r="CF18" s="39">
        <f t="shared" ref="CF18" si="165">+IF(CB16&lt;0,1-CF16/CB16,CF16/CB16-1)</f>
        <v>1.0795195529500257E-2</v>
      </c>
      <c r="CG18" s="39">
        <f t="shared" ref="CG18" si="166">+IF(CC16&lt;0,1-CG16/CC16,CG16/CC16-1)</f>
        <v>0.11252093184988476</v>
      </c>
      <c r="CH18" s="39">
        <f t="shared" ref="CH18:CL18" si="167">+IF(CD16&lt;0,1-CH16/CD16,CH16/CD16-1)</f>
        <v>-4.9997471778478464E-2</v>
      </c>
      <c r="CI18" s="39">
        <f t="shared" si="167"/>
        <v>0.13723628775782037</v>
      </c>
      <c r="CJ18" s="39">
        <f t="shared" si="167"/>
        <v>0.22610221009469034</v>
      </c>
      <c r="CK18" s="39">
        <f t="shared" si="167"/>
        <v>0.21821654501412535</v>
      </c>
      <c r="CL18" s="39">
        <f t="shared" si="167"/>
        <v>0.16022490529410072</v>
      </c>
      <c r="CM18" s="40">
        <f t="shared" ref="CM18" si="168">+CM16/CI16-1</f>
        <v>0.18544498704018419</v>
      </c>
      <c r="CN18" s="40">
        <f t="shared" ref="CN18" si="169">+CN16/CJ16-1</f>
        <v>0.19749716186077504</v>
      </c>
      <c r="CO18" s="40">
        <f t="shared" ref="CO18" si="170">+CO16/CK16-1</f>
        <v>0.19034589980229644</v>
      </c>
      <c r="CP18" s="40">
        <f t="shared" ref="CP18" si="171">+CP16/CL16-1</f>
        <v>0.18337823849933921</v>
      </c>
      <c r="CQ18" s="40">
        <f t="shared" ref="CQ18" si="172">+CQ16/CM16-1</f>
        <v>0.18916657180064878</v>
      </c>
      <c r="CR18" s="40">
        <f t="shared" ref="CR18" si="173">+CR16/CN16-1</f>
        <v>0.1900969679907647</v>
      </c>
      <c r="CS18" s="40">
        <f t="shared" ref="CS18" si="174">+CS16/CO16-1</f>
        <v>0.18824691952326233</v>
      </c>
      <c r="CT18" s="40">
        <f t="shared" ref="CT18" si="175">+CT16/CP16-1</f>
        <v>0.18772217445350381</v>
      </c>
      <c r="CU18" s="40">
        <f t="shared" ref="CU18" si="176">+CU16/CQ16-1</f>
        <v>0.1888081584420449</v>
      </c>
      <c r="CV18" s="40">
        <f t="shared" ref="CV18" si="177">+CV16/CR16-1</f>
        <v>0.18871855510239399</v>
      </c>
      <c r="CW18" s="40">
        <f t="shared" ref="CW18" si="178">+CW16/CS16-1</f>
        <v>0.18837395188030115</v>
      </c>
      <c r="CX18" s="40">
        <f t="shared" ref="CX18" si="179">+CX16/CT16-1</f>
        <v>0.18840570996956085</v>
      </c>
      <c r="CY18" s="40">
        <f t="shared" ref="CY18" si="180">+CY16/CU16-1</f>
        <v>0.18857659384857528</v>
      </c>
      <c r="CZ18" s="40">
        <f t="shared" ref="CZ18" si="181">+CZ16/CV16-1</f>
        <v>0.18851870270020799</v>
      </c>
      <c r="DA18" s="40">
        <f t="shared" ref="DA18" si="182">+DA16/CW16-1</f>
        <v>0.18846873959966137</v>
      </c>
      <c r="DB18" s="40">
        <f t="shared" ref="DB18" si="183">+DB16/CX16-1</f>
        <v>0.18849243652950132</v>
      </c>
      <c r="DE18" s="122"/>
      <c r="DF18" s="39">
        <v>0.13288939277203937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>
        <f t="shared" ref="BA19" si="200">+IF(AZ16&lt;0,1-BA16/AZ16,BA16/AZ16-1)</f>
        <v>6.5307723098992687E-2</v>
      </c>
      <c r="BB19" s="39">
        <f t="shared" ref="BB19" si="201">+IF(BA16&lt;0,1-BB16/BA16,BB16/BA16-1)</f>
        <v>0.40114784240722656</v>
      </c>
      <c r="BC19" s="39">
        <f t="shared" ref="BC19" si="202">+IF(BB16&lt;0,1-BC16/BB16,BC16/BB16-1)</f>
        <v>-0.48780909468353739</v>
      </c>
      <c r="BD19" s="39">
        <f t="shared" ref="BD19" si="203">+IF(BC16&lt;0,1-BD16/BC16,BD16/BC16-1)</f>
        <v>0.43108452179089873</v>
      </c>
      <c r="BE19" s="39">
        <f t="shared" ref="BE19" si="204">+IF(BD16&lt;0,1-BE16/BD16,BE16/BD16-1)</f>
        <v>0.25844960693240138</v>
      </c>
      <c r="BF19" s="39">
        <f t="shared" ref="BF19" si="205">+IF(BE16&lt;0,1-BF16/BE16,BF16/BE16-1)</f>
        <v>0.36310710559442527</v>
      </c>
      <c r="BG19" s="39">
        <f t="shared" ref="BG19" si="206">+IF(BF16&lt;0,1-BG16/BF16,BG16/BF16-1)</f>
        <v>-0.48525772191367045</v>
      </c>
      <c r="BH19" s="39">
        <f t="shared" ref="BH19" si="207">+IF(BG16&lt;0,1-BH16/BG16,BH16/BG16-1)</f>
        <v>0.61142449711011837</v>
      </c>
      <c r="BI19" s="39">
        <f t="shared" ref="BI19" si="208">+IF(BH16&lt;0,1-BI16/BH16,BI16/BH16-1)</f>
        <v>0.19313454849214584</v>
      </c>
      <c r="BJ19" s="39">
        <f t="shared" ref="BJ19" si="209">+IF(BI16&lt;0,1-BJ16/BI16,BJ16/BI16-1)</f>
        <v>0.23976563405919982</v>
      </c>
      <c r="BK19" s="39">
        <f t="shared" ref="BK19" si="210">+IF(BJ16&lt;0,1-BK16/BJ16,BK16/BJ16-1)</f>
        <v>-0.4127761179279662</v>
      </c>
      <c r="BL19" s="39">
        <f t="shared" ref="BL19" si="211">+IF(BK16&lt;0,1-BL16/BK16,BL16/BK16-1)</f>
        <v>0.51938085835955405</v>
      </c>
      <c r="BM19" s="39">
        <f t="shared" ref="BM19" si="212">+IF(BL16&lt;0,1-BM16/BL16,BM16/BL16-1)</f>
        <v>0.15655426340872935</v>
      </c>
      <c r="BN19" s="39">
        <f t="shared" ref="BN19" si="213">+IF(BM16&lt;0,1-BN16/BM16,BN16/BM16-1)</f>
        <v>1.4405904993026519E-2</v>
      </c>
      <c r="BO19" s="39">
        <f t="shared" ref="BO19" si="214">+IF(BN16&lt;0,1-BO16/BN16,BO16/BN16-1)</f>
        <v>-0.36035549246479381</v>
      </c>
      <c r="BP19" s="39">
        <f t="shared" ref="BP19" si="215">+IF(BO16&lt;0,1-BP16/BO16,BP16/BO16-1)</f>
        <v>0.69449097203644139</v>
      </c>
      <c r="BQ19" s="39">
        <f t="shared" ref="BQ19" si="216">+IF(BP16&lt;0,1-BQ16/BP16,BQ16/BP16-1)</f>
        <v>7.0659786357856413E-2</v>
      </c>
      <c r="BR19" s="39">
        <f t="shared" ref="BR19" si="217">+IF(BQ16&lt;0,1-BR16/BQ16,BR16/BQ16-1)</f>
        <v>0.12997140157004439</v>
      </c>
      <c r="BS19" s="39">
        <f t="shared" ref="BS19" si="218">+IF(BR16&lt;0,1-BS16/BR16,BS16/BR16-1)</f>
        <v>-0.46562812183798397</v>
      </c>
      <c r="BT19" s="39">
        <f t="shared" ref="BT19" si="219">+IF(BS16&lt;0,1-BT16/BS16,BT16/BS16-1)</f>
        <v>0.76367540646372056</v>
      </c>
      <c r="BU19" s="39">
        <f t="shared" ref="BU19" si="220">+IF(BT16&lt;0,1-BU16/BT16,BU16/BT16-1)</f>
        <v>0.22950566960241847</v>
      </c>
      <c r="BV19" s="39">
        <f t="shared" ref="BV19" si="221">+IF(BU16&lt;0,1-BV16/BU16,BV16/BU16-1)</f>
        <v>-3.281879842488411E-2</v>
      </c>
      <c r="BW19" s="39">
        <f t="shared" ref="BW19" si="222">+IF(BV16&lt;0,1-BW16/BV16,BW16/BV16-1)</f>
        <v>-0.36697455570424531</v>
      </c>
      <c r="BX19" s="39">
        <f t="shared" ref="BX19" si="223">+IF(BW16&lt;0,1-BX16/BW16,BX16/BW16-1)</f>
        <v>0.49304368785123609</v>
      </c>
      <c r="BY19" s="39">
        <f t="shared" ref="BY19" si="224">+IF(BX16&lt;0,1-BY16/BX16,BY16/BX16-1)</f>
        <v>0.16347014005969451</v>
      </c>
      <c r="BZ19" s="39">
        <f t="shared" ref="BZ19" si="225">+IF(BY16&lt;0,1-BZ16/BY16,BZ16/BY16-1)</f>
        <v>3.7876353621132175E-2</v>
      </c>
      <c r="CA19" s="39">
        <f t="shared" ref="CA19" si="226">+IF(BZ16&lt;0,1-CA16/BZ16,CA16/BZ16-1)</f>
        <v>-0.34138097755833563</v>
      </c>
      <c r="CB19" s="39">
        <f t="shared" ref="CB19" si="227">+IF(CA16&lt;0,1-CB16/CA16,CB16/CA16-1)</f>
        <v>0.52998399785111827</v>
      </c>
      <c r="CC19" s="39">
        <f t="shared" ref="CC19" si="228">+IF(CB16&lt;0,1-CC16/CB16,CC16/CB16-1)</f>
        <v>0.11305977258467226</v>
      </c>
      <c r="CD19" s="39">
        <f t="shared" ref="CD19" si="229">+IF(CC16&lt;0,1-CD16/CC16,CD16/CC16-1)</f>
        <v>0.12546787193494313</v>
      </c>
      <c r="CE19" s="39">
        <f t="shared" ref="CE19" si="230">+IF(CD16&lt;0,1-CE16/CD16,CE16/CD16-1)</f>
        <v>-0.39858268299645616</v>
      </c>
      <c r="CF19" s="39">
        <f t="shared" ref="CF19" si="231">+IF(CE16&lt;0,1-CF16/CE16,CF16/CE16-1)</f>
        <v>0.34163892838890253</v>
      </c>
      <c r="CG19" s="39">
        <f t="shared" ref="CG19" si="232">+IF(CF16&lt;0,1-CG16/CF16,CG16/CF16-1)</f>
        <v>0.22507734591263251</v>
      </c>
      <c r="CH19" s="39">
        <f t="shared" ref="CH19:CL19" si="233">+IF(CG16&lt;0,1-CH16/CG16,CH16/CG16-1)</f>
        <v>-3.8941836363973303E-2</v>
      </c>
      <c r="CI19" s="39">
        <f t="shared" si="233"/>
        <v>-0.28005076127240136</v>
      </c>
      <c r="CJ19" s="39">
        <f t="shared" si="233"/>
        <v>0.446477282649824</v>
      </c>
      <c r="CK19" s="39">
        <f t="shared" si="233"/>
        <v>0.2171982722366228</v>
      </c>
      <c r="CL19" s="39">
        <f t="shared" si="233"/>
        <v>-8.469178041429215E-2</v>
      </c>
      <c r="CM19" s="40">
        <f t="shared" ref="CM19" si="234">+CM16/CL16-1</f>
        <v>-0.26440105527928781</v>
      </c>
      <c r="CN19" s="40">
        <f t="shared" ref="CN19" si="235">+CN16/CM16-1</f>
        <v>0.46118331901177778</v>
      </c>
      <c r="CO19" s="40">
        <f t="shared" ref="CO19" si="236">+CO16/CN16-1</f>
        <v>0.20992935828916459</v>
      </c>
      <c r="CP19" s="40">
        <f t="shared" ref="CP19" si="237">+CP16/CO16-1</f>
        <v>-9.0049515223094678E-2</v>
      </c>
      <c r="CQ19" s="40">
        <f t="shared" ref="CQ19" si="238">+CQ16/CP16-1</f>
        <v>-0.26080297333928648</v>
      </c>
      <c r="CR19" s="40">
        <f t="shared" ref="CR19" si="239">+CR16/CQ16-1</f>
        <v>0.46232653933541279</v>
      </c>
      <c r="CS19" s="40">
        <f t="shared" ref="CS19" si="240">+CS16/CR16-1</f>
        <v>0.20804847965885576</v>
      </c>
      <c r="CT19" s="40">
        <f t="shared" ref="CT19" si="241">+CT16/CS16-1</f>
        <v>-9.0451361020264964E-2</v>
      </c>
      <c r="CU19" s="40">
        <f t="shared" ref="CU19" si="242">+CU16/CT16-1</f>
        <v>-0.26012709462573125</v>
      </c>
      <c r="CV19" s="40">
        <f t="shared" ref="CV19" si="243">+CV16/CU16-1</f>
        <v>0.46221632025535841</v>
      </c>
      <c r="CW19" s="40">
        <f t="shared" ref="CW19" si="244">+CW16/CV16-1</f>
        <v>0.20769827279386832</v>
      </c>
      <c r="CX19" s="40">
        <f t="shared" ref="CX19" si="245">+CX16/CW16-1</f>
        <v>-9.0427054254859196E-2</v>
      </c>
      <c r="CY19" s="40">
        <f t="shared" ref="CY19" si="246">+CY16/CX16-1</f>
        <v>-0.26002070641925634</v>
      </c>
      <c r="CZ19" s="40">
        <f t="shared" ref="CZ19" si="247">+CZ16/CY16-1</f>
        <v>0.46214510113293983</v>
      </c>
      <c r="DA19" s="40">
        <f t="shared" ref="DA19" si="248">+DA16/CZ16-1</f>
        <v>0.20764750342011218</v>
      </c>
      <c r="DB19" s="40">
        <f t="shared" ref="DB19" si="249">+DB16/DA16-1</f>
        <v>-9.0408918240371339E-2</v>
      </c>
      <c r="DE19" s="122"/>
      <c r="DF19" s="39">
        <v>-0.1062569262613281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23">
        <f>'Annual Raw'!AB14</f>
        <v>0</v>
      </c>
      <c r="AB20" s="76">
        <f t="shared" ref="AB20:AB25" si="250">+SUM(CM20:CP20)</f>
        <v>3479.3832000000002</v>
      </c>
      <c r="AC20" s="76">
        <f t="shared" ref="AC20:AC25" si="251">+SUM(CQ20:CT20)</f>
        <v>3722.9400240000004</v>
      </c>
      <c r="AD20" s="76">
        <f t="shared" ref="AD20:AD25" si="252">+SUM(CU20:CX20)</f>
        <v>3983.5458256800002</v>
      </c>
      <c r="AE20" s="76">
        <f t="shared" ref="AE20:AE25" si="253">+SUM(CY20:DB20)</f>
        <v>4262.3940334776007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231.11</v>
      </c>
      <c r="BA20" s="23">
        <f>'QTR Raw'!U16</f>
        <v>194.29</v>
      </c>
      <c r="BB20" s="23">
        <f>'QTR Raw'!V16</f>
        <v>192.85</v>
      </c>
      <c r="BC20" s="23">
        <f>'QTR Raw'!W16</f>
        <v>225.82</v>
      </c>
      <c r="BD20" s="23">
        <f>'QTR Raw'!X16</f>
        <v>246.48</v>
      </c>
      <c r="BE20" s="23">
        <f>'QTR Raw'!Y16</f>
        <v>241.3</v>
      </c>
      <c r="BF20" s="23">
        <f>'QTR Raw'!Z16</f>
        <v>244.6</v>
      </c>
      <c r="BG20" s="23">
        <f>'QTR Raw'!AA16</f>
        <v>292.64999999999998</v>
      </c>
      <c r="BH20" s="23">
        <f>'QTR Raw'!AB16</f>
        <v>297.88</v>
      </c>
      <c r="BI20" s="23">
        <f>'QTR Raw'!AC16</f>
        <v>299.81</v>
      </c>
      <c r="BJ20" s="23">
        <f>'QTR Raw'!AD16</f>
        <v>346.85</v>
      </c>
      <c r="BK20" s="23">
        <f>'QTR Raw'!AE16</f>
        <v>294.60000000000002</v>
      </c>
      <c r="BL20" s="23">
        <f>'QTR Raw'!AF16</f>
        <v>333.72</v>
      </c>
      <c r="BM20" s="23">
        <f>'QTR Raw'!AG16</f>
        <v>363.61</v>
      </c>
      <c r="BN20" s="23">
        <f>'QTR Raw'!AH16</f>
        <v>369.46</v>
      </c>
      <c r="BO20" s="23">
        <f>'QTR Raw'!AI16</f>
        <v>353.69</v>
      </c>
      <c r="BP20" s="23">
        <f>'QTR Raw'!AJ16</f>
        <v>367.62</v>
      </c>
      <c r="BQ20" s="23">
        <f>'QTR Raw'!AK16</f>
        <v>398.44</v>
      </c>
      <c r="BR20" s="23">
        <f>'QTR Raw'!AL16</f>
        <v>371.23</v>
      </c>
      <c r="BS20" s="23">
        <f>'QTR Raw'!AM16</f>
        <v>387.15</v>
      </c>
      <c r="BT20" s="23">
        <f>'QTR Raw'!AN16</f>
        <v>464.11</v>
      </c>
      <c r="BU20" s="23">
        <f>'QTR Raw'!AO16</f>
        <v>482.94</v>
      </c>
      <c r="BV20" s="23">
        <f>'QTR Raw'!AP16</f>
        <v>482.17</v>
      </c>
      <c r="BW20" s="23">
        <f>'QTR Raw'!AQ16</f>
        <v>477.76</v>
      </c>
      <c r="BX20" s="23">
        <f>'QTR Raw'!AR16</f>
        <v>499.48</v>
      </c>
      <c r="BY20" s="23">
        <f>'QTR Raw'!AS16</f>
        <v>532.19000000000005</v>
      </c>
      <c r="BZ20" s="23">
        <f>'QTR Raw'!AT16</f>
        <v>536.91999999999996</v>
      </c>
      <c r="CA20" s="23">
        <f>'QTR Raw'!AU16</f>
        <v>548.88</v>
      </c>
      <c r="CB20" s="23">
        <f>'QTR Raw'!AV16</f>
        <v>603.01</v>
      </c>
      <c r="CC20" s="23">
        <f>'QTR Raw'!AW16</f>
        <v>647.82000000000005</v>
      </c>
      <c r="CD20" s="23">
        <f>'QTR Raw'!AX16</f>
        <v>598.58000000000004</v>
      </c>
      <c r="CE20" s="23">
        <f>'QTR Raw'!AY16</f>
        <v>625.21</v>
      </c>
      <c r="CF20" s="23">
        <f>'QTR Raw'!AZ16</f>
        <v>683.87</v>
      </c>
      <c r="CG20" s="23">
        <f>'QTR Raw'!BA16</f>
        <v>737.82</v>
      </c>
      <c r="CH20" s="23">
        <f>'QTR Raw'!BB16</f>
        <v>681.9</v>
      </c>
      <c r="CI20" s="23">
        <f>'QTR Raw'!BC16</f>
        <v>709.16</v>
      </c>
      <c r="CJ20" s="23">
        <f>'QTR Raw'!BD16</f>
        <v>827.85</v>
      </c>
      <c r="CK20" s="23">
        <f>'QTR Raw'!BE16</f>
        <v>1007.85</v>
      </c>
      <c r="CL20" s="23">
        <f>'QTR Raw'!BF16</f>
        <v>706.9</v>
      </c>
      <c r="CM20" s="24">
        <f t="shared" ref="CM20:DB20" si="254">CI20*107%</f>
        <v>758.80119999999999</v>
      </c>
      <c r="CN20" s="24">
        <f t="shared" si="254"/>
        <v>885.79950000000008</v>
      </c>
      <c r="CO20" s="24">
        <f t="shared" si="254"/>
        <v>1078.3995</v>
      </c>
      <c r="CP20" s="24">
        <f t="shared" si="254"/>
        <v>756.38300000000004</v>
      </c>
      <c r="CQ20" s="24">
        <f t="shared" si="254"/>
        <v>811.917284</v>
      </c>
      <c r="CR20" s="24">
        <f t="shared" si="254"/>
        <v>947.80546500000014</v>
      </c>
      <c r="CS20" s="24">
        <f t="shared" si="254"/>
        <v>1153.887465</v>
      </c>
      <c r="CT20" s="24">
        <f t="shared" si="254"/>
        <v>809.32981000000007</v>
      </c>
      <c r="CU20" s="24">
        <f t="shared" si="254"/>
        <v>868.75149388</v>
      </c>
      <c r="CV20" s="24">
        <f t="shared" si="254"/>
        <v>1014.1518475500002</v>
      </c>
      <c r="CW20" s="24">
        <f t="shared" si="254"/>
        <v>1234.6595875500002</v>
      </c>
      <c r="CX20" s="24">
        <f t="shared" si="254"/>
        <v>865.98289670000008</v>
      </c>
      <c r="CY20" s="24">
        <f t="shared" si="254"/>
        <v>929.5640984516001</v>
      </c>
      <c r="CZ20" s="24">
        <f t="shared" si="254"/>
        <v>1085.1424768785002</v>
      </c>
      <c r="DA20" s="24">
        <f t="shared" si="254"/>
        <v>1321.0857586785003</v>
      </c>
      <c r="DB20" s="24">
        <f t="shared" si="254"/>
        <v>926.6016994690001</v>
      </c>
      <c r="DE20" s="123"/>
      <c r="DF20" s="23">
        <v>729.63300000000004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23">
        <f>'Annual Raw'!AB17</f>
        <v>0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51.29</v>
      </c>
      <c r="BA21" s="23">
        <f>'QTR Raw'!U17</f>
        <v>59.93</v>
      </c>
      <c r="BB21" s="23">
        <f>'QTR Raw'!V17</f>
        <v>74.03</v>
      </c>
      <c r="BC21" s="23">
        <f>'QTR Raw'!W17</f>
        <v>56.3</v>
      </c>
      <c r="BD21" s="23">
        <f>'QTR Raw'!X17</f>
        <v>82.17</v>
      </c>
      <c r="BE21" s="23">
        <f>'QTR Raw'!Y17</f>
        <v>95.27</v>
      </c>
      <c r="BF21" s="23">
        <f>'QTR Raw'!Z17</f>
        <v>113.39</v>
      </c>
      <c r="BG21" s="23">
        <f>'QTR Raw'!AA17</f>
        <v>86.68</v>
      </c>
      <c r="BH21" s="23">
        <f>'QTR Raw'!AB17</f>
        <v>105.77</v>
      </c>
      <c r="BI21" s="23">
        <f>'QTR Raw'!AC17</f>
        <v>121.43</v>
      </c>
      <c r="BJ21" s="23">
        <f>'QTR Raw'!AD17</f>
        <v>139.44999999999999</v>
      </c>
      <c r="BK21" s="23">
        <f>'QTR Raw'!AE17</f>
        <v>111.35</v>
      </c>
      <c r="BL21" s="23">
        <f>'QTR Raw'!AF17</f>
        <v>131.97999999999999</v>
      </c>
      <c r="BM21" s="23">
        <f>'QTR Raw'!AG17</f>
        <v>153.38999999999999</v>
      </c>
      <c r="BN21" s="23">
        <f>'QTR Raw'!AH17</f>
        <v>156.46</v>
      </c>
      <c r="BO21" s="23">
        <f>'QTR Raw'!AI17</f>
        <v>126.08</v>
      </c>
      <c r="BP21" s="23">
        <f>'QTR Raw'!AJ17</f>
        <v>155.54</v>
      </c>
      <c r="BQ21" s="23">
        <f>'QTR Raw'!AK17</f>
        <v>175.77</v>
      </c>
      <c r="BR21" s="23">
        <f>'QTR Raw'!AL17</f>
        <v>186.08</v>
      </c>
      <c r="BS21" s="23">
        <f>'QTR Raw'!AM17</f>
        <v>144.59</v>
      </c>
      <c r="BT21" s="23">
        <f>'QTR Raw'!AN17</f>
        <v>183.2</v>
      </c>
      <c r="BU21" s="23">
        <f>'QTR Raw'!AO17</f>
        <v>202.84</v>
      </c>
      <c r="BV21" s="23">
        <f>'QTR Raw'!AP17</f>
        <v>211.34</v>
      </c>
      <c r="BW21" s="23">
        <f>'QTR Raw'!AQ17</f>
        <v>163.27000000000001</v>
      </c>
      <c r="BX21" s="23">
        <f>'QTR Raw'!AR17</f>
        <v>197.81</v>
      </c>
      <c r="BY21" s="23">
        <f>'QTR Raw'!AS17</f>
        <v>231.69</v>
      </c>
      <c r="BZ21" s="23">
        <f>'QTR Raw'!AT17</f>
        <v>226.65</v>
      </c>
      <c r="CA21" s="23">
        <f>'QTR Raw'!AU17</f>
        <v>187.43</v>
      </c>
      <c r="CB21" s="23">
        <f>'QTR Raw'!AV17</f>
        <v>230.31</v>
      </c>
      <c r="CC21" s="23">
        <f>'QTR Raw'!AW17</f>
        <v>266.44</v>
      </c>
      <c r="CD21" s="23">
        <f>'QTR Raw'!AX17</f>
        <v>263.41000000000003</v>
      </c>
      <c r="CE21" s="23">
        <f>'QTR Raw'!AY17</f>
        <v>227.07</v>
      </c>
      <c r="CF21" s="23">
        <f>'QTR Raw'!AZ17</f>
        <v>276.36</v>
      </c>
      <c r="CG21" s="23">
        <f>'QTR Raw'!BA17</f>
        <v>312.23</v>
      </c>
      <c r="CH21" s="23">
        <f>'QTR Raw'!BB17</f>
        <v>290.17</v>
      </c>
      <c r="CI21" s="23">
        <f>'QTR Raw'!BC17</f>
        <v>261.08999999999997</v>
      </c>
      <c r="CJ21" s="23">
        <f>'QTR Raw'!BD17</f>
        <v>267.74</v>
      </c>
      <c r="CK21" s="23">
        <f>'QTR Raw'!BE17</f>
        <v>-3.41</v>
      </c>
      <c r="CL21" s="23">
        <f>'QTR Raw'!BF17</f>
        <v>-0.12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525.29999999999995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0.48949999999999999</v>
      </c>
      <c r="K22" s="23">
        <f>'Annual Raw'!L19-'Annual Raw'!L20</f>
        <v>0.38800000000000001</v>
      </c>
      <c r="L22" s="23">
        <f>'Annual Raw'!M19-'Annual Raw'!M20</f>
        <v>3.0182000000000002</v>
      </c>
      <c r="M22" s="23">
        <f>'Annual Raw'!N19-'Annual Raw'!N20</f>
        <v>2.3307000000000002</v>
      </c>
      <c r="N22" s="23">
        <f>'Annual Raw'!O19-'Annual Raw'!O20</f>
        <v>7.4481000000000002</v>
      </c>
      <c r="O22" s="23">
        <f>'Annual Raw'!P19-'Annual Raw'!P20</f>
        <v>2.9819</v>
      </c>
      <c r="P22" s="23">
        <f>'Annual Raw'!Q19-'Annual Raw'!Q20</f>
        <v>1.5983000000000001</v>
      </c>
      <c r="Q22" s="23">
        <f>'Annual Raw'!R19-'Annual Raw'!R20</f>
        <v>117.1054</v>
      </c>
      <c r="R22" s="23">
        <f>'Annual Raw'!S19-'Annual Raw'!S20</f>
        <v>90.174700000000001</v>
      </c>
      <c r="S22" s="23">
        <f>'Annual Raw'!T19-'Annual Raw'!T20</f>
        <v>107.73439999999999</v>
      </c>
      <c r="T22" s="23">
        <f>'Annual Raw'!U19-'Annual Raw'!U20</f>
        <v>128.90690000000001</v>
      </c>
      <c r="U22" s="23">
        <f>'Annual Raw'!V19-'Annual Raw'!V20</f>
        <v>524.57719999999995</v>
      </c>
      <c r="V22" s="23">
        <f>'Annual Raw'!W19-'Annual Raw'!W20</f>
        <v>855.77859999999998</v>
      </c>
      <c r="W22" s="23">
        <f>'Annual Raw'!X19-'Annual Raw'!X20</f>
        <v>1139.1255000000001</v>
      </c>
      <c r="X22" s="23">
        <f>'Annual Raw'!Y19-'Annual Raw'!Y20</f>
        <v>1744.7161000000001</v>
      </c>
      <c r="Y22" s="23">
        <f>'Annual Raw'!Z19-'Annual Raw'!Z20</f>
        <v>1679.03</v>
      </c>
      <c r="Z22" s="23">
        <f>'Annual Raw'!AA19-'Annual Raw'!AA20</f>
        <v>1380.1</v>
      </c>
      <c r="AA22" s="23">
        <f>'Annual Raw'!AB19-'Annual Raw'!AB20</f>
        <v>1903.67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-0.02</v>
      </c>
      <c r="BA22" s="23">
        <f>+'QTR Raw'!U21</f>
        <v>-2.2599999999999998</v>
      </c>
      <c r="BB22" s="23">
        <f>+'QTR Raw'!V21</f>
        <v>-2.02</v>
      </c>
      <c r="BC22" s="23">
        <f>+'QTR Raw'!W21</f>
        <v>1.25</v>
      </c>
      <c r="BD22" s="23">
        <f>+'QTR Raw'!X21</f>
        <v>12.09</v>
      </c>
      <c r="BE22" s="23">
        <f>+'QTR Raw'!Y21</f>
        <v>-11.12</v>
      </c>
      <c r="BF22" s="23">
        <f>+'QTR Raw'!Z21</f>
        <v>4.05</v>
      </c>
      <c r="BG22" s="23">
        <f>+'QTR Raw'!AA21</f>
        <v>-4.2300000000000004</v>
      </c>
      <c r="BH22" s="23">
        <f>+'QTR Raw'!AB21</f>
        <v>9.51</v>
      </c>
      <c r="BI22" s="23">
        <f>+'QTR Raw'!AC21</f>
        <v>88.97</v>
      </c>
      <c r="BJ22" s="23">
        <f>+'QTR Raw'!AD21</f>
        <v>18.79</v>
      </c>
      <c r="BK22" s="23">
        <f>+'QTR Raw'!AE21</f>
        <v>198.58</v>
      </c>
      <c r="BL22" s="23">
        <f>+'QTR Raw'!AF21</f>
        <v>104.66</v>
      </c>
      <c r="BM22" s="23">
        <f>+'QTR Raw'!AG21</f>
        <v>55.97</v>
      </c>
      <c r="BN22" s="23">
        <f>+'QTR Raw'!AH21</f>
        <v>-48.84</v>
      </c>
      <c r="BO22" s="23">
        <f>+'QTR Raw'!AI21</f>
        <v>-113.37</v>
      </c>
      <c r="BP22" s="23">
        <f>+'QTR Raw'!AJ21</f>
        <v>6.19</v>
      </c>
      <c r="BQ22" s="23">
        <f>+'QTR Raw'!AK21</f>
        <v>-38.46</v>
      </c>
      <c r="BR22" s="23">
        <f>+'QTR Raw'!AL21</f>
        <v>-31.88</v>
      </c>
      <c r="BS22" s="23">
        <f>+'QTR Raw'!AM21</f>
        <v>0.52</v>
      </c>
      <c r="BT22" s="23">
        <f>+'QTR Raw'!AN21</f>
        <v>-24.37</v>
      </c>
      <c r="BU22" s="23">
        <f>+'QTR Raw'!AO21</f>
        <v>0.81</v>
      </c>
      <c r="BV22" s="23">
        <f>+'QTR Raw'!AP21</f>
        <v>84.9</v>
      </c>
      <c r="BW22" s="23">
        <f>+'QTR Raw'!AQ21</f>
        <v>-1.1599999999999999</v>
      </c>
      <c r="BX22" s="23">
        <f>+'QTR Raw'!AR21</f>
        <v>-4.84</v>
      </c>
      <c r="BY22" s="23">
        <f>+'QTR Raw'!AS21</f>
        <v>7.56</v>
      </c>
      <c r="BZ22" s="23">
        <f>+'QTR Raw'!AT21</f>
        <v>10.57</v>
      </c>
      <c r="CA22" s="23">
        <f>+'QTR Raw'!AU21</f>
        <v>0.94</v>
      </c>
      <c r="CB22" s="23">
        <f>+'QTR Raw'!AV21</f>
        <v>11.88</v>
      </c>
      <c r="CC22" s="23">
        <f>+'QTR Raw'!AW21</f>
        <v>-32.89</v>
      </c>
      <c r="CD22" s="23">
        <f>+'QTR Raw'!AX21</f>
        <v>11.33</v>
      </c>
      <c r="CE22" s="23">
        <f>+'QTR Raw'!AY21</f>
        <v>-20.54</v>
      </c>
      <c r="CF22" s="23">
        <f>+'QTR Raw'!AZ21</f>
        <v>-20.62</v>
      </c>
      <c r="CG22" s="23">
        <f>+'QTR Raw'!BA21</f>
        <v>2.19</v>
      </c>
      <c r="CH22" s="23">
        <f>+'QTR Raw'!BB21</f>
        <v>8.67</v>
      </c>
      <c r="CI22" s="23">
        <f>+'QTR Raw'!BC21</f>
        <v>-16.149999999999999</v>
      </c>
      <c r="CJ22" s="23">
        <f>+'QTR Raw'!BD21</f>
        <v>42.49</v>
      </c>
      <c r="CK22" s="23">
        <f>+'QTR Raw'!BE21</f>
        <v>22.62</v>
      </c>
      <c r="CL22" s="23">
        <f>+'QTR Raw'!BF21</f>
        <v>-23.58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25.38000000000001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>
        <f t="shared" si="250"/>
        <v>111159.42065747231</v>
      </c>
      <c r="AC23" s="76">
        <f t="shared" si="251"/>
        <v>128564.95731927526</v>
      </c>
      <c r="AD23" s="76">
        <f t="shared" si="252"/>
        <v>152439.35702484881</v>
      </c>
      <c r="AE23" s="76">
        <f t="shared" si="253"/>
        <v>181501.38441984123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7133.38</v>
      </c>
      <c r="BA23" s="23">
        <f>'QTR Raw'!U14</f>
        <v>5380.18</v>
      </c>
      <c r="BB23" s="23">
        <f>'QTR Raw'!V14</f>
        <v>9894.66</v>
      </c>
      <c r="BC23" s="23">
        <f>'QTR Raw'!W14</f>
        <v>5606.28</v>
      </c>
      <c r="BD23" s="23">
        <f>'QTR Raw'!X14</f>
        <v>6971.99</v>
      </c>
      <c r="BE23" s="23">
        <f>'QTR Raw'!Y14</f>
        <v>8801.51</v>
      </c>
      <c r="BF23" s="23">
        <f>'QTR Raw'!Z14</f>
        <v>8913.67</v>
      </c>
      <c r="BG23" s="23">
        <f>'QTR Raw'!AA14</f>
        <v>5904.35</v>
      </c>
      <c r="BH23" s="23">
        <f>'QTR Raw'!AB14</f>
        <v>8733.34</v>
      </c>
      <c r="BI23" s="23">
        <f>'QTR Raw'!AC14</f>
        <v>11079.28</v>
      </c>
      <c r="BJ23" s="23">
        <f>'QTR Raw'!AD14</f>
        <v>14172.5</v>
      </c>
      <c r="BK23" s="23">
        <f>'QTR Raw'!AE14</f>
        <v>8584.68</v>
      </c>
      <c r="BL23" s="23">
        <f>'QTR Raw'!AF14</f>
        <v>9168.52</v>
      </c>
      <c r="BM23" s="23">
        <f>'QTR Raw'!AG14</f>
        <v>14457.38</v>
      </c>
      <c r="BN23" s="23">
        <f>'QTR Raw'!AH14</f>
        <v>3671.41</v>
      </c>
      <c r="BO23" s="23">
        <f>'QTR Raw'!AI14</f>
        <v>15055.75</v>
      </c>
      <c r="BP23" s="23">
        <f>'QTR Raw'!AJ14</f>
        <v>17408.22</v>
      </c>
      <c r="BQ23" s="23">
        <f>'QTR Raw'!AK14</f>
        <v>25379.040000000001</v>
      </c>
      <c r="BR23" s="23">
        <f>'QTR Raw'!AL14</f>
        <v>18687.939999999999</v>
      </c>
      <c r="BS23" s="23">
        <f>'QTR Raw'!AM14</f>
        <v>14958.14</v>
      </c>
      <c r="BT23" s="23">
        <f>'QTR Raw'!AN14</f>
        <v>24210.880000000001</v>
      </c>
      <c r="BU23" s="23">
        <f>'QTR Raw'!AO14</f>
        <v>18970.68</v>
      </c>
      <c r="BV23" s="23">
        <f>'QTR Raw'!AP14</f>
        <v>19484.75</v>
      </c>
      <c r="BW23" s="23">
        <f>'QTR Raw'!AQ14</f>
        <v>3368.99</v>
      </c>
      <c r="BX23" s="23">
        <f>'QTR Raw'!AR14</f>
        <v>25887.29</v>
      </c>
      <c r="BY23" s="23">
        <f>'QTR Raw'!AS14</f>
        <v>24866.639999999999</v>
      </c>
      <c r="BZ23" s="23">
        <f>'QTR Raw'!AT14</f>
        <v>20551.14</v>
      </c>
      <c r="CA23" s="23">
        <f>'QTR Raw'!AU14</f>
        <v>26212.959999999999</v>
      </c>
      <c r="CB23" s="23">
        <f>'QTR Raw'!AV14</f>
        <v>26750.959999999999</v>
      </c>
      <c r="CC23" s="23">
        <f>'QTR Raw'!AW14</f>
        <v>36862.839999999997</v>
      </c>
      <c r="CD23" s="23">
        <f>'QTR Raw'!AX14</f>
        <v>35318.68</v>
      </c>
      <c r="CE23" s="23">
        <f>'QTR Raw'!AY14</f>
        <v>32659.34</v>
      </c>
      <c r="CF23" s="23">
        <f>'QTR Raw'!AZ14</f>
        <v>37741.74</v>
      </c>
      <c r="CG23" s="23">
        <f>'QTR Raw'!BA14</f>
        <v>15954.98</v>
      </c>
      <c r="CH23" s="23">
        <f>'QTR Raw'!BB14</f>
        <v>21762.59</v>
      </c>
      <c r="CI23" s="23">
        <f>'QTR Raw'!BC14</f>
        <v>36712.44</v>
      </c>
      <c r="CJ23" s="23">
        <f>'QTR Raw'!BD14</f>
        <v>20221.400000000001</v>
      </c>
      <c r="CK23" s="23">
        <f>'QTR Raw'!BE14</f>
        <v>42880.06</v>
      </c>
      <c r="CL23" s="23">
        <f>'QTR Raw'!BF14</f>
        <v>3574.41</v>
      </c>
      <c r="CM23" s="24">
        <f t="shared" ref="CM23:DB23" si="255">CM26-CM20-CM21-CM22-CM24-CM25</f>
        <v>23834.511438480225</v>
      </c>
      <c r="CN23" s="24">
        <f t="shared" si="255"/>
        <v>27433.909562579833</v>
      </c>
      <c r="CO23" s="24">
        <f t="shared" si="255"/>
        <v>33566.52443763621</v>
      </c>
      <c r="CP23" s="24">
        <f t="shared" si="255"/>
        <v>26324.475218776028</v>
      </c>
      <c r="CQ23" s="24">
        <f t="shared" si="255"/>
        <v>23091.732769756698</v>
      </c>
      <c r="CR23" s="24">
        <f t="shared" si="255"/>
        <v>32054.237605847946</v>
      </c>
      <c r="CS23" s="24">
        <f t="shared" si="255"/>
        <v>38502.422635102608</v>
      </c>
      <c r="CT23" s="24">
        <f t="shared" si="255"/>
        <v>34916.564308568006</v>
      </c>
      <c r="CU23" s="24">
        <f t="shared" si="255"/>
        <v>26222.607714488888</v>
      </c>
      <c r="CV23" s="24">
        <f t="shared" si="255"/>
        <v>38114.735622367996</v>
      </c>
      <c r="CW23" s="24">
        <f t="shared" si="255"/>
        <v>45990.659311572781</v>
      </c>
      <c r="CX23" s="24">
        <f t="shared" si="255"/>
        <v>42111.354376419164</v>
      </c>
      <c r="CY23" s="24">
        <f t="shared" si="255"/>
        <v>30969.061813705863</v>
      </c>
      <c r="CZ23" s="24">
        <f t="shared" si="255"/>
        <v>45445.057149080487</v>
      </c>
      <c r="DA23" s="24">
        <f t="shared" si="255"/>
        <v>54878.476554825902</v>
      </c>
      <c r="DB23" s="24">
        <f t="shared" si="255"/>
        <v>50208.788902228982</v>
      </c>
      <c r="DE23" s="123"/>
      <c r="DF23" s="23">
        <v>37328.087906564957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176.58</v>
      </c>
      <c r="BA25" s="23">
        <f>'QTR Raw'!U18</f>
        <v>210.45</v>
      </c>
      <c r="BB25" s="23">
        <f>'QTR Raw'!V18</f>
        <v>283.19</v>
      </c>
      <c r="BC25" s="23">
        <f>'QTR Raw'!W18</f>
        <v>165.13</v>
      </c>
      <c r="BD25" s="23">
        <f>'QTR Raw'!X18</f>
        <v>267.41000000000003</v>
      </c>
      <c r="BE25" s="23">
        <f>'QTR Raw'!Y18</f>
        <v>312.38</v>
      </c>
      <c r="BF25" s="23">
        <f>'QTR Raw'!Z18</f>
        <v>375.94</v>
      </c>
      <c r="BG25" s="23">
        <f>'QTR Raw'!AA18</f>
        <v>195.89</v>
      </c>
      <c r="BH25" s="23">
        <f>'QTR Raw'!AB18</f>
        <v>319.24</v>
      </c>
      <c r="BI25" s="23">
        <f>'QTR Raw'!AC18</f>
        <v>379.17</v>
      </c>
      <c r="BJ25" s="23">
        <f>'QTR Raw'!AD18</f>
        <v>452.05</v>
      </c>
      <c r="BK25" s="23">
        <f>'QTR Raw'!AE18</f>
        <v>249.37</v>
      </c>
      <c r="BL25" s="23">
        <f>'QTR Raw'!AF18</f>
        <v>408.23</v>
      </c>
      <c r="BM25" s="23">
        <f>'QTR Raw'!AG18</f>
        <v>455.22</v>
      </c>
      <c r="BN25" s="23">
        <f>'QTR Raw'!AH18</f>
        <v>453.4</v>
      </c>
      <c r="BO25" s="23">
        <f>'QTR Raw'!AI18</f>
        <v>225.34</v>
      </c>
      <c r="BP25" s="23">
        <f>'QTR Raw'!AJ18</f>
        <v>414.49</v>
      </c>
      <c r="BQ25" s="23">
        <f>'QTR Raw'!AK18</f>
        <v>517.15</v>
      </c>
      <c r="BR25" s="23">
        <f>'QTR Raw'!AL18</f>
        <v>585.54999999999995</v>
      </c>
      <c r="BS25" s="23">
        <f>'QTR Raw'!AM18</f>
        <v>261.69</v>
      </c>
      <c r="BT25" s="23">
        <f>'QTR Raw'!AN18</f>
        <v>529.94000000000005</v>
      </c>
      <c r="BU25" s="23">
        <f>'QTR Raw'!AO18</f>
        <v>614.54999999999995</v>
      </c>
      <c r="BV25" s="23">
        <f>'QTR Raw'!AP18</f>
        <v>677.86</v>
      </c>
      <c r="BW25" s="23">
        <f>'QTR Raw'!AQ18</f>
        <v>507.57</v>
      </c>
      <c r="BX25" s="23">
        <f>'QTR Raw'!AR18</f>
        <v>711.77</v>
      </c>
      <c r="BY25" s="23">
        <f>'QTR Raw'!AS18</f>
        <v>845.21</v>
      </c>
      <c r="BZ25" s="23">
        <f>'QTR Raw'!AT18</f>
        <v>871.4</v>
      </c>
      <c r="CA25" s="23">
        <f>'QTR Raw'!AU18</f>
        <v>521.15</v>
      </c>
      <c r="CB25" s="23">
        <f>'QTR Raw'!AV18</f>
        <v>795.92</v>
      </c>
      <c r="CC25" s="23">
        <f>'QTR Raw'!AW18</f>
        <v>936.64</v>
      </c>
      <c r="CD25" s="23">
        <f>'QTR Raw'!AX18</f>
        <v>851.39</v>
      </c>
      <c r="CE25" s="23">
        <f>'QTR Raw'!AY18</f>
        <v>568.91</v>
      </c>
      <c r="CF25" s="23">
        <f>'QTR Raw'!AZ18</f>
        <v>1014.82</v>
      </c>
      <c r="CG25" s="23">
        <f>'QTR Raw'!BA18</f>
        <v>1258.46</v>
      </c>
      <c r="CH25" s="23">
        <f>'QTR Raw'!BB18</f>
        <v>776.77</v>
      </c>
      <c r="CI25" s="23">
        <f>'QTR Raw'!BC18</f>
        <v>666.03</v>
      </c>
      <c r="CJ25" s="23">
        <f>'QTR Raw'!BD18</f>
        <v>1240.31</v>
      </c>
      <c r="CK25" s="23">
        <f>'QTR Raw'!BE18</f>
        <v>1610.24</v>
      </c>
      <c r="CL25" s="23">
        <f>'QTR Raw'!BF18</f>
        <v>859.11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4375.6899999999996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0.48949999999999999</v>
      </c>
      <c r="K26" s="22">
        <f t="shared" si="257"/>
        <v>0.38800000000000001</v>
      </c>
      <c r="L26" s="22">
        <f t="shared" si="257"/>
        <v>3.0182000000000002</v>
      </c>
      <c r="M26" s="22">
        <f t="shared" si="257"/>
        <v>2.3307000000000002</v>
      </c>
      <c r="N26" s="22">
        <f t="shared" si="257"/>
        <v>7.4481000000000002</v>
      </c>
      <c r="O26" s="22">
        <f t="shared" si="257"/>
        <v>2.9819</v>
      </c>
      <c r="P26" s="22">
        <f t="shared" si="257"/>
        <v>1.5983000000000001</v>
      </c>
      <c r="Q26" s="22">
        <f t="shared" si="257"/>
        <v>117.1054</v>
      </c>
      <c r="R26" s="22">
        <f t="shared" si="257"/>
        <v>90.174700000000001</v>
      </c>
      <c r="S26" s="22">
        <f t="shared" si="257"/>
        <v>107.73439999999999</v>
      </c>
      <c r="T26" s="22">
        <f t="shared" si="257"/>
        <v>128.90690000000001</v>
      </c>
      <c r="U26" s="22">
        <f t="shared" si="257"/>
        <v>524.57719999999995</v>
      </c>
      <c r="V26" s="22">
        <f t="shared" si="257"/>
        <v>855.77859999999998</v>
      </c>
      <c r="W26" s="22">
        <f t="shared" si="257"/>
        <v>1139.1255000000001</v>
      </c>
      <c r="X26" s="22">
        <f t="shared" si="257"/>
        <v>1744.7161000000001</v>
      </c>
      <c r="Y26" s="22">
        <f t="shared" si="257"/>
        <v>1679.03</v>
      </c>
      <c r="Z26" s="22">
        <f t="shared" ref="Z26:AA26" si="258">+SUM(Z20:Z25)</f>
        <v>1380.1</v>
      </c>
      <c r="AA26" s="22">
        <f t="shared" si="258"/>
        <v>1903.67</v>
      </c>
      <c r="AB26" s="21">
        <f t="shared" si="257"/>
        <v>114638.8038574723</v>
      </c>
      <c r="AC26" s="21">
        <f t="shared" si="257"/>
        <v>132287.89734327525</v>
      </c>
      <c r="AD26" s="21">
        <f t="shared" si="257"/>
        <v>156422.9028505288</v>
      </c>
      <c r="AE26" s="21">
        <f t="shared" si="257"/>
        <v>185763.77845331884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7592.34</v>
      </c>
      <c r="BA26" s="22">
        <f t="shared" si="259"/>
        <v>5842.59</v>
      </c>
      <c r="BB26" s="22">
        <f t="shared" si="259"/>
        <v>10442.710000000001</v>
      </c>
      <c r="BC26" s="22">
        <f t="shared" si="259"/>
        <v>6054.78</v>
      </c>
      <c r="BD26" s="22">
        <f t="shared" si="259"/>
        <v>7580.1399999999994</v>
      </c>
      <c r="BE26" s="22">
        <f t="shared" si="259"/>
        <v>9439.34</v>
      </c>
      <c r="BF26" s="22">
        <f t="shared" si="259"/>
        <v>9651.6500000000015</v>
      </c>
      <c r="BG26" s="22">
        <f t="shared" si="259"/>
        <v>6475.3400000000011</v>
      </c>
      <c r="BH26" s="22">
        <f t="shared" si="259"/>
        <v>9465.74</v>
      </c>
      <c r="BI26" s="22">
        <f t="shared" si="259"/>
        <v>11968.660000000002</v>
      </c>
      <c r="BJ26" s="22">
        <f t="shared" si="259"/>
        <v>15129.64</v>
      </c>
      <c r="BK26" s="22">
        <f t="shared" si="259"/>
        <v>9438.5800000000017</v>
      </c>
      <c r="BL26" s="22">
        <f t="shared" si="259"/>
        <v>10147.11</v>
      </c>
      <c r="BM26" s="22">
        <f t="shared" si="259"/>
        <v>15485.569999999998</v>
      </c>
      <c r="BN26" s="22">
        <f t="shared" si="259"/>
        <v>4601.8899999999994</v>
      </c>
      <c r="BO26" s="22">
        <f t="shared" ref="BO26:CH26" si="260">+SUM(BO20:BO25)</f>
        <v>15647.49</v>
      </c>
      <c r="BP26" s="22">
        <f t="shared" si="260"/>
        <v>18352.060000000001</v>
      </c>
      <c r="BQ26" s="22">
        <f t="shared" si="260"/>
        <v>26431.940000000002</v>
      </c>
      <c r="BR26" s="22">
        <f t="shared" si="260"/>
        <v>19798.919999999998</v>
      </c>
      <c r="BS26" s="22">
        <f t="shared" si="260"/>
        <v>15752.09</v>
      </c>
      <c r="BT26" s="22">
        <f t="shared" si="260"/>
        <v>25363.759999999998</v>
      </c>
      <c r="BU26" s="22">
        <f t="shared" si="260"/>
        <v>20271.82</v>
      </c>
      <c r="BV26" s="22">
        <f t="shared" si="260"/>
        <v>20941.02</v>
      </c>
      <c r="BW26" s="22">
        <f t="shared" si="260"/>
        <v>4516.4299999999994</v>
      </c>
      <c r="BX26" s="22">
        <f t="shared" si="260"/>
        <v>27291.510000000002</v>
      </c>
      <c r="BY26" s="22">
        <f t="shared" si="260"/>
        <v>26483.289999999997</v>
      </c>
      <c r="BZ26" s="22">
        <f t="shared" si="260"/>
        <v>22196.68</v>
      </c>
      <c r="CA26" s="22">
        <f t="shared" si="260"/>
        <v>27471.360000000001</v>
      </c>
      <c r="CB26" s="22">
        <f t="shared" si="260"/>
        <v>28392.079999999998</v>
      </c>
      <c r="CC26" s="22">
        <f t="shared" si="260"/>
        <v>38680.85</v>
      </c>
      <c r="CD26" s="22">
        <f t="shared" si="260"/>
        <v>37043.39</v>
      </c>
      <c r="CE26" s="22">
        <f t="shared" si="260"/>
        <v>34059.990000000005</v>
      </c>
      <c r="CF26" s="22">
        <f t="shared" si="260"/>
        <v>39696.17</v>
      </c>
      <c r="CG26" s="22">
        <f t="shared" si="260"/>
        <v>18265.68</v>
      </c>
      <c r="CH26" s="22">
        <f t="shared" si="260"/>
        <v>23520.100000000002</v>
      </c>
      <c r="CI26" s="22">
        <f t="shared" ref="CI26:CJ26" si="261">+SUM(CI20:CI25)</f>
        <v>38332.57</v>
      </c>
      <c r="CJ26" s="22">
        <f t="shared" si="261"/>
        <v>22599.790000000005</v>
      </c>
      <c r="CK26" s="22">
        <f t="shared" ref="CK26:CL26" si="262">+SUM(CK20:CK25)</f>
        <v>45517.359999999993</v>
      </c>
      <c r="CL26" s="22">
        <f t="shared" si="262"/>
        <v>5116.7199999999993</v>
      </c>
      <c r="CM26" s="21">
        <f t="shared" ref="CM26:DB26" si="263">CM27*CM10</f>
        <v>24593.312638480227</v>
      </c>
      <c r="CN26" s="21">
        <f t="shared" si="263"/>
        <v>28319.709062579834</v>
      </c>
      <c r="CO26" s="21">
        <f t="shared" si="263"/>
        <v>34644.923937636209</v>
      </c>
      <c r="CP26" s="21">
        <f t="shared" si="263"/>
        <v>27080.858218776029</v>
      </c>
      <c r="CQ26" s="21">
        <f t="shared" si="263"/>
        <v>23903.650053756697</v>
      </c>
      <c r="CR26" s="21">
        <f t="shared" si="263"/>
        <v>33002.043070847947</v>
      </c>
      <c r="CS26" s="21">
        <f t="shared" si="263"/>
        <v>39656.310100102608</v>
      </c>
      <c r="CT26" s="21">
        <f t="shared" si="263"/>
        <v>35725.894118568009</v>
      </c>
      <c r="CU26" s="21">
        <f t="shared" si="263"/>
        <v>27091.359208368889</v>
      </c>
      <c r="CV26" s="21">
        <f t="shared" si="263"/>
        <v>39128.887469917994</v>
      </c>
      <c r="CW26" s="21">
        <f t="shared" si="263"/>
        <v>47225.31889912278</v>
      </c>
      <c r="CX26" s="21">
        <f t="shared" si="263"/>
        <v>42977.337273119163</v>
      </c>
      <c r="CY26" s="21">
        <f t="shared" si="263"/>
        <v>31898.625912157462</v>
      </c>
      <c r="CZ26" s="21">
        <f t="shared" si="263"/>
        <v>46530.199625958987</v>
      </c>
      <c r="DA26" s="21">
        <f t="shared" si="263"/>
        <v>56199.562313504401</v>
      </c>
      <c r="DB26" s="21">
        <f t="shared" si="263"/>
        <v>51135.390601697982</v>
      </c>
      <c r="DE26" s="126"/>
      <c r="DF26" s="22">
        <v>38057.720906564959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 t="e">
        <f t="shared" si="265"/>
        <v>#DIV/0!</v>
      </c>
      <c r="P27" s="44" t="e">
        <f t="shared" si="265"/>
        <v>#DIV/0!</v>
      </c>
      <c r="Q27" s="44" t="e">
        <f t="shared" si="265"/>
        <v>#DIV/0!</v>
      </c>
      <c r="R27" s="44" t="e">
        <f t="shared" si="265"/>
        <v>#DIV/0!</v>
      </c>
      <c r="S27" s="44" t="e">
        <f t="shared" si="265"/>
        <v>#DIV/0!</v>
      </c>
      <c r="T27" s="44" t="e">
        <f t="shared" si="265"/>
        <v>#DIV/0!</v>
      </c>
      <c r="U27" s="44" t="e">
        <f t="shared" si="265"/>
        <v>#DIV/0!</v>
      </c>
      <c r="V27" s="44" t="e">
        <f t="shared" si="265"/>
        <v>#DIV/0!</v>
      </c>
      <c r="W27" s="44" t="e">
        <f t="shared" si="265"/>
        <v>#DIV/0!</v>
      </c>
      <c r="X27" s="44" t="e">
        <f t="shared" si="265"/>
        <v>#DIV/0!</v>
      </c>
      <c r="Y27" s="44" t="e">
        <f t="shared" si="265"/>
        <v>#DIV/0!</v>
      </c>
      <c r="Z27" s="44" t="e">
        <f t="shared" ref="Z27:AA27" si="266">Z26/Z10</f>
        <v>#DIV/0!</v>
      </c>
      <c r="AA27" s="44" t="e">
        <f t="shared" si="266"/>
        <v>#DIV/0!</v>
      </c>
      <c r="AB27" s="52">
        <f t="shared" si="265"/>
        <v>0.96430153747491465</v>
      </c>
      <c r="AC27" s="52">
        <f t="shared" si="265"/>
        <v>0.93609665839365563</v>
      </c>
      <c r="AD27" s="52">
        <f t="shared" si="265"/>
        <v>0.93129196936205871</v>
      </c>
      <c r="AE27" s="52">
        <f t="shared" si="265"/>
        <v>0.93056148860596399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>
        <f t="shared" si="267"/>
        <v>1.5426976086413204</v>
      </c>
      <c r="BA27" s="44">
        <f t="shared" si="267"/>
        <v>1.1143856048583984</v>
      </c>
      <c r="BB27" s="44">
        <f t="shared" si="267"/>
        <v>1.4215408280640618</v>
      </c>
      <c r="BC27" s="44">
        <f t="shared" si="267"/>
        <v>1.6092096380674963</v>
      </c>
      <c r="BD27" s="44">
        <f t="shared" si="267"/>
        <v>1.4077521510538447</v>
      </c>
      <c r="BE27" s="44">
        <f t="shared" si="267"/>
        <v>1.3930117277947407</v>
      </c>
      <c r="BF27" s="44">
        <f t="shared" si="267"/>
        <v>1.0449240529626382</v>
      </c>
      <c r="BG27" s="44">
        <f t="shared" si="267"/>
        <v>1.3619334864507879</v>
      </c>
      <c r="BH27" s="44">
        <f t="shared" si="267"/>
        <v>1.2354862919383154</v>
      </c>
      <c r="BI27" s="44">
        <f t="shared" si="267"/>
        <v>1.3093009060020173</v>
      </c>
      <c r="BJ27" s="44">
        <f t="shared" si="267"/>
        <v>1.3350051442598707</v>
      </c>
      <c r="BK27" s="44">
        <f t="shared" si="267"/>
        <v>1.4182647084456548</v>
      </c>
      <c r="BL27" s="44">
        <f t="shared" si="267"/>
        <v>1.0035207402257427</v>
      </c>
      <c r="BM27" s="44">
        <f t="shared" si="267"/>
        <v>1.3241743347947026</v>
      </c>
      <c r="BN27" s="44">
        <f t="shared" si="267"/>
        <v>0.38792023589351071</v>
      </c>
      <c r="BO27" s="44">
        <f t="shared" ref="BO27:CH27" si="268">BO26/BO10</f>
        <v>2.0621118094276687</v>
      </c>
      <c r="BP27" s="44">
        <f t="shared" si="268"/>
        <v>1.4272928421715747</v>
      </c>
      <c r="BQ27" s="44">
        <f t="shared" si="268"/>
        <v>1.9200202811319373</v>
      </c>
      <c r="BR27" s="44">
        <f t="shared" si="268"/>
        <v>1.2727726228389005</v>
      </c>
      <c r="BS27" s="44">
        <f t="shared" si="268"/>
        <v>1.8949768723195652</v>
      </c>
      <c r="BT27" s="44">
        <f t="shared" si="268"/>
        <v>1.7300581693568629</v>
      </c>
      <c r="BU27" s="44">
        <f t="shared" si="268"/>
        <v>1.1246289945154988</v>
      </c>
      <c r="BV27" s="44">
        <f t="shared" si="268"/>
        <v>1.2011756493288601</v>
      </c>
      <c r="BW27" s="44">
        <f t="shared" si="268"/>
        <v>0.40924445588173991</v>
      </c>
      <c r="BX27" s="44">
        <f t="shared" si="268"/>
        <v>1.6563136103939615</v>
      </c>
      <c r="BY27" s="44">
        <f t="shared" si="268"/>
        <v>1.3814389592505267</v>
      </c>
      <c r="BZ27" s="44">
        <f t="shared" si="268"/>
        <v>1.1155837184850721</v>
      </c>
      <c r="CA27" s="44">
        <f t="shared" si="268"/>
        <v>2.0963318679322889</v>
      </c>
      <c r="CB27" s="44">
        <f t="shared" si="268"/>
        <v>1.4160878538588684</v>
      </c>
      <c r="CC27" s="44">
        <f t="shared" si="268"/>
        <v>1.7332871193338371</v>
      </c>
      <c r="CD27" s="44">
        <f t="shared" si="268"/>
        <v>1.4748645012615227</v>
      </c>
      <c r="CE27" s="44">
        <f t="shared" si="268"/>
        <v>2.2548101748504519</v>
      </c>
      <c r="CF27" s="44">
        <f t="shared" si="268"/>
        <v>1.9587473662914918</v>
      </c>
      <c r="CG27" s="44">
        <f t="shared" si="268"/>
        <v>0.73570236922385379</v>
      </c>
      <c r="CH27" s="44">
        <f t="shared" si="268"/>
        <v>0.9857250685331661</v>
      </c>
      <c r="CI27" s="44">
        <f t="shared" ref="CI27:CJ27" si="269">CI26/CI10</f>
        <v>2.2314270745408504</v>
      </c>
      <c r="CJ27" s="44">
        <f t="shared" si="269"/>
        <v>0.90951014374820671</v>
      </c>
      <c r="CK27" s="44">
        <f t="shared" ref="CK27:CL27" si="270">CK26/CK10</f>
        <v>1.5049389459261795</v>
      </c>
      <c r="CL27" s="44">
        <f t="shared" si="270"/>
        <v>0.18482729423969765</v>
      </c>
      <c r="CM27" s="52">
        <f t="shared" ref="CM27:DB27" si="271">AVERAGE(CI27:CL27)</f>
        <v>1.2076758646137336</v>
      </c>
      <c r="CN27" s="52">
        <f t="shared" si="271"/>
        <v>0.95173806213195444</v>
      </c>
      <c r="CO27" s="52">
        <f t="shared" si="271"/>
        <v>0.96229504172789126</v>
      </c>
      <c r="CP27" s="52">
        <f t="shared" si="271"/>
        <v>0.82663406567831932</v>
      </c>
      <c r="CQ27" s="52">
        <f t="shared" si="271"/>
        <v>0.98708575853797464</v>
      </c>
      <c r="CR27" s="52">
        <f t="shared" si="271"/>
        <v>0.93193823201903492</v>
      </c>
      <c r="CS27" s="52">
        <f t="shared" si="271"/>
        <v>0.92698827449080501</v>
      </c>
      <c r="CT27" s="52">
        <f t="shared" si="271"/>
        <v>0.91816158268153347</v>
      </c>
      <c r="CU27" s="52">
        <f t="shared" si="271"/>
        <v>0.9410434619323369</v>
      </c>
      <c r="CV27" s="52">
        <f t="shared" si="271"/>
        <v>0.92953288778092757</v>
      </c>
      <c r="CW27" s="52">
        <f t="shared" si="271"/>
        <v>0.92893155172140074</v>
      </c>
      <c r="CX27" s="52">
        <f t="shared" si="271"/>
        <v>0.92941737102904964</v>
      </c>
      <c r="CY27" s="52">
        <f t="shared" si="271"/>
        <v>0.93223131811592863</v>
      </c>
      <c r="CZ27" s="52">
        <f t="shared" si="271"/>
        <v>0.93002828216182665</v>
      </c>
      <c r="DA27" s="52">
        <f t="shared" si="271"/>
        <v>0.9301521307570515</v>
      </c>
      <c r="DB27" s="52">
        <f t="shared" si="271"/>
        <v>0.93045727551596402</v>
      </c>
      <c r="DE27" s="128"/>
      <c r="DF27" s="44">
        <v>1.4079003081871007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-0.48949999999999999</v>
      </c>
      <c r="K28" s="26">
        <f t="shared" si="273"/>
        <v>-0.38800000000000001</v>
      </c>
      <c r="L28" s="26">
        <f t="shared" si="273"/>
        <v>-3.0182000000000002</v>
      </c>
      <c r="M28" s="26">
        <f t="shared" si="273"/>
        <v>-2.3307000000000002</v>
      </c>
      <c r="N28" s="26">
        <f t="shared" si="273"/>
        <v>-7.4481000000000002</v>
      </c>
      <c r="O28" s="26">
        <f t="shared" si="273"/>
        <v>-2.9819</v>
      </c>
      <c r="P28" s="26">
        <f t="shared" si="273"/>
        <v>-1.5983000000000001</v>
      </c>
      <c r="Q28" s="26">
        <f t="shared" si="273"/>
        <v>-117.1054</v>
      </c>
      <c r="R28" s="26">
        <f t="shared" si="273"/>
        <v>-90.174700000000001</v>
      </c>
      <c r="S28" s="26">
        <f t="shared" si="273"/>
        <v>-107.73439999999999</v>
      </c>
      <c r="T28" s="26">
        <f t="shared" si="273"/>
        <v>-128.90690000000001</v>
      </c>
      <c r="U28" s="26">
        <f t="shared" si="273"/>
        <v>-524.57719999999995</v>
      </c>
      <c r="V28" s="26">
        <f t="shared" si="273"/>
        <v>-855.77859999999998</v>
      </c>
      <c r="W28" s="26">
        <f t="shared" si="273"/>
        <v>-1139.1255000000001</v>
      </c>
      <c r="X28" s="26">
        <f t="shared" si="273"/>
        <v>-1744.7161000000001</v>
      </c>
      <c r="Y28" s="26">
        <f t="shared" si="273"/>
        <v>-1679.03</v>
      </c>
      <c r="Z28" s="26">
        <f t="shared" ref="Z28:AA28" si="274">Z16-Z26</f>
        <v>-1380.1</v>
      </c>
      <c r="AA28" s="26">
        <f t="shared" si="274"/>
        <v>-1903.67</v>
      </c>
      <c r="AB28" s="27">
        <f t="shared" si="273"/>
        <v>4243.9308498282335</v>
      </c>
      <c r="AC28" s="27">
        <f t="shared" si="273"/>
        <v>9030.7326903813519</v>
      </c>
      <c r="AD28" s="27">
        <f t="shared" si="273"/>
        <v>11540.429806231405</v>
      </c>
      <c r="AE28" s="27">
        <f t="shared" si="273"/>
        <v>13861.695766126824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-2670.87</v>
      </c>
      <c r="BA28" s="26">
        <f t="shared" si="275"/>
        <v>-599.71</v>
      </c>
      <c r="BB28" s="26">
        <f t="shared" si="275"/>
        <v>-3096.6600000000008</v>
      </c>
      <c r="BC28" s="26">
        <f t="shared" si="275"/>
        <v>-2292.1999999999998</v>
      </c>
      <c r="BD28" s="26">
        <f t="shared" si="275"/>
        <v>-2195.5699999999997</v>
      </c>
      <c r="BE28" s="26">
        <f t="shared" si="275"/>
        <v>-2663.13</v>
      </c>
      <c r="BF28" s="26">
        <f t="shared" si="275"/>
        <v>-414.95000000000073</v>
      </c>
      <c r="BG28" s="26">
        <f t="shared" si="275"/>
        <v>-1720.8200000000006</v>
      </c>
      <c r="BH28" s="26">
        <f t="shared" si="275"/>
        <v>-1804.1899999999996</v>
      </c>
      <c r="BI28" s="26">
        <f t="shared" si="275"/>
        <v>-2827.4000000000015</v>
      </c>
      <c r="BJ28" s="26">
        <f t="shared" si="275"/>
        <v>-3796.619999999999</v>
      </c>
      <c r="BK28" s="26">
        <f t="shared" si="275"/>
        <v>-2783.5600000000013</v>
      </c>
      <c r="BL28" s="26">
        <f t="shared" si="275"/>
        <v>-35.600000000000364</v>
      </c>
      <c r="BM28" s="26">
        <f t="shared" si="275"/>
        <v>-3791.0599999999977</v>
      </c>
      <c r="BN28" s="26">
        <f t="shared" si="275"/>
        <v>7261.09</v>
      </c>
      <c r="BO28" s="26">
        <f t="shared" ref="BO28:CT28" si="276">BO16-BO26</f>
        <v>-8059.4</v>
      </c>
      <c r="BP28" s="26">
        <f t="shared" si="276"/>
        <v>-5494.1100000000006</v>
      </c>
      <c r="BQ28" s="26">
        <f t="shared" si="276"/>
        <v>-12665.450000000003</v>
      </c>
      <c r="BR28" s="26">
        <f t="shared" si="276"/>
        <v>-4243.1799999999985</v>
      </c>
      <c r="BS28" s="26">
        <f t="shared" si="276"/>
        <v>-7439.5400000000009</v>
      </c>
      <c r="BT28" s="26">
        <f t="shared" si="276"/>
        <v>-10703.119999999999</v>
      </c>
      <c r="BU28" s="26">
        <f t="shared" si="276"/>
        <v>-2246.4799999999996</v>
      </c>
      <c r="BV28" s="26">
        <f t="shared" si="276"/>
        <v>-3507.25</v>
      </c>
      <c r="BW28" s="26">
        <f t="shared" si="276"/>
        <v>6519.5900000000011</v>
      </c>
      <c r="BX28" s="26">
        <f t="shared" si="276"/>
        <v>-10814.250000000004</v>
      </c>
      <c r="BY28" s="26">
        <f t="shared" si="276"/>
        <v>-7312.489999999998</v>
      </c>
      <c r="BZ28" s="26">
        <f t="shared" si="276"/>
        <v>-2299.760000000002</v>
      </c>
      <c r="CA28" s="26">
        <f t="shared" si="276"/>
        <v>-14366.87</v>
      </c>
      <c r="CB28" s="26">
        <f t="shared" si="276"/>
        <v>-8342.4199999999983</v>
      </c>
      <c r="CC28" s="26">
        <f t="shared" si="276"/>
        <v>-16364.379999999997</v>
      </c>
      <c r="CD28" s="26">
        <f t="shared" si="276"/>
        <v>-11926.919999999998</v>
      </c>
      <c r="CE28" s="26">
        <f t="shared" si="276"/>
        <v>-18954.510000000006</v>
      </c>
      <c r="CF28" s="26">
        <f t="shared" si="276"/>
        <v>-19430.07</v>
      </c>
      <c r="CG28" s="26">
        <f t="shared" si="276"/>
        <v>6561.8600000000006</v>
      </c>
      <c r="CH28" s="26">
        <f t="shared" si="276"/>
        <v>340.60999999999694</v>
      </c>
      <c r="CI28" s="26">
        <f t="shared" ref="CI28:CJ28" si="277">CI16-CI26</f>
        <v>-21154.07</v>
      </c>
      <c r="CJ28" s="26">
        <f t="shared" si="277"/>
        <v>2248.5199999999968</v>
      </c>
      <c r="CK28" s="26">
        <f t="shared" ref="CK28:CL28" si="278">CK16-CK26</f>
        <v>-15272.039999999994</v>
      </c>
      <c r="CL28" s="26">
        <f t="shared" si="278"/>
        <v>22567.07</v>
      </c>
      <c r="CM28" s="27">
        <f t="shared" si="276"/>
        <v>-4229.1459286104218</v>
      </c>
      <c r="CN28" s="27">
        <f t="shared" si="276"/>
        <v>1436.0716394568844</v>
      </c>
      <c r="CO28" s="27">
        <f t="shared" si="276"/>
        <v>1357.468712572183</v>
      </c>
      <c r="CP28" s="27">
        <f t="shared" si="276"/>
        <v>5679.5364264095915</v>
      </c>
      <c r="CQ28" s="27">
        <f t="shared" si="276"/>
        <v>312.736260196074</v>
      </c>
      <c r="CR28" s="27">
        <f t="shared" si="276"/>
        <v>2410.2213228440596</v>
      </c>
      <c r="CS28" s="27">
        <f t="shared" si="276"/>
        <v>3123.4220619744519</v>
      </c>
      <c r="CT28" s="27">
        <f t="shared" si="276"/>
        <v>3184.3530453667772</v>
      </c>
      <c r="CU28" s="27">
        <f t="shared" ref="CU28:DB28" si="279">CU16-CU26</f>
        <v>1697.2784096424439</v>
      </c>
      <c r="CV28" s="27">
        <f t="shared" si="279"/>
        <v>2966.3282930555215</v>
      </c>
      <c r="CW28" s="27">
        <f t="shared" si="279"/>
        <v>3613.0004707055559</v>
      </c>
      <c r="CX28" s="27">
        <f t="shared" si="279"/>
        <v>3263.822632827847</v>
      </c>
      <c r="CY28" s="27">
        <f t="shared" si="279"/>
        <v>2318.8749293994115</v>
      </c>
      <c r="CZ28" s="27">
        <f t="shared" si="279"/>
        <v>3500.7516025356381</v>
      </c>
      <c r="DA28" s="27">
        <f t="shared" si="279"/>
        <v>4220.1910313205299</v>
      </c>
      <c r="DB28" s="27">
        <f t="shared" si="279"/>
        <v>3821.8782028712667</v>
      </c>
      <c r="DE28" s="121"/>
      <c r="DF28" s="26">
        <v>-11026.175643555231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 t="e">
        <f t="shared" si="281"/>
        <v>#DIV/0!</v>
      </c>
      <c r="O29" s="166" t="e">
        <f t="shared" si="281"/>
        <v>#DIV/0!</v>
      </c>
      <c r="P29" s="166" t="e">
        <f t="shared" si="281"/>
        <v>#DIV/0!</v>
      </c>
      <c r="Q29" s="166" t="e">
        <f t="shared" si="281"/>
        <v>#DIV/0!</v>
      </c>
      <c r="R29" s="166" t="e">
        <f t="shared" si="281"/>
        <v>#DIV/0!</v>
      </c>
      <c r="S29" s="166" t="e">
        <f t="shared" si="281"/>
        <v>#DIV/0!</v>
      </c>
      <c r="T29" s="166" t="e">
        <f t="shared" si="281"/>
        <v>#DIV/0!</v>
      </c>
      <c r="U29" s="166" t="e">
        <f t="shared" si="281"/>
        <v>#DIV/0!</v>
      </c>
      <c r="V29" s="166" t="e">
        <f t="shared" si="281"/>
        <v>#DIV/0!</v>
      </c>
      <c r="W29" s="166" t="e">
        <f t="shared" si="281"/>
        <v>#DIV/0!</v>
      </c>
      <c r="X29" s="166" t="e">
        <f t="shared" si="281"/>
        <v>#DIV/0!</v>
      </c>
      <c r="Y29" s="166" t="e">
        <f t="shared" si="281"/>
        <v>#DIV/0!</v>
      </c>
      <c r="Z29" s="166" t="e">
        <f t="shared" ref="Z29:AA29" si="282">Z28/Z10</f>
        <v>#DIV/0!</v>
      </c>
      <c r="AA29" s="166" t="e">
        <f t="shared" si="282"/>
        <v>#DIV/0!</v>
      </c>
      <c r="AB29" s="167">
        <f t="shared" si="281"/>
        <v>3.5698462525085364E-2</v>
      </c>
      <c r="AC29" s="167">
        <f t="shared" si="281"/>
        <v>6.3903341606344352E-2</v>
      </c>
      <c r="AD29" s="167">
        <f t="shared" si="281"/>
        <v>6.8708030637941286E-2</v>
      </c>
      <c r="AE29" s="167">
        <f t="shared" si="281"/>
        <v>6.9438511394036034E-2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>
        <f t="shared" si="283"/>
        <v>-0.54269760864132055</v>
      </c>
      <c r="BA29" s="166">
        <f t="shared" si="283"/>
        <v>-0.11438560485839844</v>
      </c>
      <c r="BB29" s="166">
        <f t="shared" si="283"/>
        <v>-0.42154082806406173</v>
      </c>
      <c r="BC29" s="166">
        <f t="shared" si="283"/>
        <v>-0.60920963806749617</v>
      </c>
      <c r="BD29" s="166">
        <f t="shared" si="283"/>
        <v>-0.40775215105384455</v>
      </c>
      <c r="BE29" s="166">
        <f t="shared" si="283"/>
        <v>-0.39301172779474075</v>
      </c>
      <c r="BF29" s="166">
        <f t="shared" si="283"/>
        <v>-4.4924052962638246E-2</v>
      </c>
      <c r="BG29" s="166">
        <f t="shared" si="283"/>
        <v>-0.36193348645078799</v>
      </c>
      <c r="BH29" s="166">
        <f t="shared" si="283"/>
        <v>-0.2354862919383153</v>
      </c>
      <c r="BI29" s="166">
        <f t="shared" si="283"/>
        <v>-0.30930090600201737</v>
      </c>
      <c r="BJ29" s="166">
        <f t="shared" si="283"/>
        <v>-0.3350051442598706</v>
      </c>
      <c r="BK29" s="166">
        <f t="shared" si="283"/>
        <v>-0.41826470844565472</v>
      </c>
      <c r="BL29" s="166">
        <f t="shared" si="283"/>
        <v>-3.5207402257427787E-3</v>
      </c>
      <c r="BM29" s="166">
        <f t="shared" si="283"/>
        <v>-0.32417433479470259</v>
      </c>
      <c r="BN29" s="166">
        <f t="shared" si="283"/>
        <v>0.61207976410648934</v>
      </c>
      <c r="BO29" s="166">
        <f t="shared" ref="BO29:CT29" si="284">BO28/BO10</f>
        <v>-1.0621118094276689</v>
      </c>
      <c r="BP29" s="166">
        <f t="shared" si="284"/>
        <v>-0.42729284217157482</v>
      </c>
      <c r="BQ29" s="166">
        <f t="shared" si="284"/>
        <v>-0.92002028113193723</v>
      </c>
      <c r="BR29" s="166">
        <f t="shared" si="284"/>
        <v>-0.27277262283890052</v>
      </c>
      <c r="BS29" s="166">
        <f t="shared" si="284"/>
        <v>-0.89497687231956513</v>
      </c>
      <c r="BT29" s="166">
        <f t="shared" si="284"/>
        <v>-0.73005816935686296</v>
      </c>
      <c r="BU29" s="166">
        <f t="shared" si="284"/>
        <v>-0.12462899451549871</v>
      </c>
      <c r="BV29" s="166">
        <f t="shared" si="284"/>
        <v>-0.20117564932886001</v>
      </c>
      <c r="BW29" s="166">
        <f t="shared" si="284"/>
        <v>0.59075554411826015</v>
      </c>
      <c r="BX29" s="166">
        <f t="shared" si="284"/>
        <v>-0.65631361039396141</v>
      </c>
      <c r="BY29" s="166">
        <f t="shared" si="284"/>
        <v>-0.38143895925052673</v>
      </c>
      <c r="BZ29" s="166">
        <f t="shared" si="284"/>
        <v>-0.11558371848507218</v>
      </c>
      <c r="CA29" s="166">
        <f t="shared" si="284"/>
        <v>-1.0963318679322889</v>
      </c>
      <c r="CB29" s="166">
        <f t="shared" si="284"/>
        <v>-0.41608785385886837</v>
      </c>
      <c r="CC29" s="166">
        <f t="shared" si="284"/>
        <v>-0.73328711933383717</v>
      </c>
      <c r="CD29" s="166">
        <f t="shared" si="284"/>
        <v>-0.47486450126152274</v>
      </c>
      <c r="CE29" s="166">
        <f t="shared" si="284"/>
        <v>-1.2548101748504521</v>
      </c>
      <c r="CF29" s="166">
        <f t="shared" si="284"/>
        <v>-0.95874736629149171</v>
      </c>
      <c r="CG29" s="166">
        <f t="shared" si="284"/>
        <v>0.26429763077614621</v>
      </c>
      <c r="CH29" s="166">
        <f t="shared" si="284"/>
        <v>1.4274931466833844E-2</v>
      </c>
      <c r="CI29" s="166">
        <f t="shared" ref="CI29:CJ29" si="285">CI28/CI10</f>
        <v>-1.2314270745408504</v>
      </c>
      <c r="CJ29" s="166">
        <f t="shared" si="285"/>
        <v>9.0489856251793246E-2</v>
      </c>
      <c r="CK29" s="166">
        <f t="shared" ref="CK29:CL29" si="286">CK28/CK10</f>
        <v>-0.50493894592617949</v>
      </c>
      <c r="CL29" s="166">
        <f t="shared" si="286"/>
        <v>0.81517270576030232</v>
      </c>
      <c r="CM29" s="167">
        <f t="shared" si="284"/>
        <v>-0.20767586461373358</v>
      </c>
      <c r="CN29" s="167">
        <f t="shared" si="284"/>
        <v>4.8261937868045536E-2</v>
      </c>
      <c r="CO29" s="167">
        <f t="shared" si="284"/>
        <v>3.770495827210877E-2</v>
      </c>
      <c r="CP29" s="167">
        <f t="shared" si="284"/>
        <v>0.17336593432168074</v>
      </c>
      <c r="CQ29" s="167">
        <f t="shared" si="284"/>
        <v>1.2914241462025428E-2</v>
      </c>
      <c r="CR29" s="167">
        <f t="shared" si="284"/>
        <v>6.8061767980965165E-2</v>
      </c>
      <c r="CS29" s="167">
        <f t="shared" si="284"/>
        <v>7.3011725509195005E-2</v>
      </c>
      <c r="CT29" s="167">
        <f t="shared" si="284"/>
        <v>8.1838417318466625E-2</v>
      </c>
      <c r="CU29" s="167">
        <f t="shared" ref="CU29:DB29" si="287">CU28/CU10</f>
        <v>5.8956538067663128E-2</v>
      </c>
      <c r="CV29" s="167">
        <f t="shared" si="287"/>
        <v>7.0467112219072439E-2</v>
      </c>
      <c r="CW29" s="167">
        <f t="shared" si="287"/>
        <v>7.1068448278599261E-2</v>
      </c>
      <c r="CX29" s="167">
        <f t="shared" si="287"/>
        <v>7.0582628970950426E-2</v>
      </c>
      <c r="CY29" s="167">
        <f t="shared" si="287"/>
        <v>6.7768681884071355E-2</v>
      </c>
      <c r="CZ29" s="167">
        <f t="shared" si="287"/>
        <v>6.9971717838173353E-2</v>
      </c>
      <c r="DA29" s="167">
        <f t="shared" si="287"/>
        <v>6.984786924294846E-2</v>
      </c>
      <c r="DB29" s="167">
        <f t="shared" si="287"/>
        <v>6.954272448403602E-2</v>
      </c>
      <c r="DE29" s="169"/>
      <c r="DF29" s="168">
        <v>-0.40790030818710071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>
        <f t="shared" si="289"/>
        <v>0.20735444330949948</v>
      </c>
      <c r="L30" s="39">
        <f t="shared" si="289"/>
        <v>-6.7788659793814432</v>
      </c>
      <c r="M30" s="39">
        <f t="shared" si="289"/>
        <v>0.22778477238088923</v>
      </c>
      <c r="N30" s="39">
        <f t="shared" si="289"/>
        <v>-2.195649375724031</v>
      </c>
      <c r="O30" s="39">
        <f t="shared" si="289"/>
        <v>0.59964286193794392</v>
      </c>
      <c r="P30" s="39">
        <f t="shared" si="289"/>
        <v>0.46399946342935705</v>
      </c>
      <c r="Q30" s="39">
        <f t="shared" si="289"/>
        <v>-72.268723018206842</v>
      </c>
      <c r="R30" s="39">
        <f t="shared" si="289"/>
        <v>0.22996975374320916</v>
      </c>
      <c r="S30" s="39">
        <f t="shared" si="289"/>
        <v>-0.19472978562723231</v>
      </c>
      <c r="T30" s="39">
        <f t="shared" si="289"/>
        <v>-0.19652497252502465</v>
      </c>
      <c r="U30" s="39">
        <f t="shared" si="289"/>
        <v>-3.0694268499203679</v>
      </c>
      <c r="V30" s="39">
        <f t="shared" si="289"/>
        <v>-0.63136827143840812</v>
      </c>
      <c r="W30" s="39">
        <f t="shared" si="289"/>
        <v>-0.3310983705364916</v>
      </c>
      <c r="X30" s="39">
        <f t="shared" si="289"/>
        <v>-0.53162763892126019</v>
      </c>
      <c r="Y30" s="39">
        <f t="shared" si="289"/>
        <v>3.7648589360756213E-2</v>
      </c>
      <c r="Z30" s="39">
        <f t="shared" ref="Z30:AE30" si="290">+IF(Y28&lt;0,1-Z28/Y28,Z28/Y28-1)</f>
        <v>0.17803731916642351</v>
      </c>
      <c r="AA30" s="39">
        <f t="shared" si="290"/>
        <v>-0.37937106006811105</v>
      </c>
      <c r="AB30" s="40">
        <f t="shared" si="290"/>
        <v>3.2293416662700118</v>
      </c>
      <c r="AC30" s="40">
        <f t="shared" si="290"/>
        <v>1.127917020784365</v>
      </c>
      <c r="AD30" s="40">
        <f t="shared" si="290"/>
        <v>0.27790625654584322</v>
      </c>
      <c r="AE30" s="40">
        <f t="shared" si="290"/>
        <v>0.20114207173133369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>
        <f t="shared" ref="BD30" si="307">+IF(AZ28&lt;0,1-BD28/AZ28,BD28/AZ28-1)</f>
        <v>0.17795699528618025</v>
      </c>
      <c r="BE30" s="39">
        <f t="shared" ref="BE30" si="308">+IF(BA28&lt;0,1-BE28/BA28,BE28/BA28-1)</f>
        <v>-3.4406963365626719</v>
      </c>
      <c r="BF30" s="39">
        <f t="shared" ref="BF30" si="309">+IF(BB28&lt;0,1-BF28/BB28,BF28/BB28-1)</f>
        <v>0.86600078794572199</v>
      </c>
      <c r="BG30" s="39">
        <f t="shared" ref="BG30" si="310">+IF(BC28&lt;0,1-BG28/BC28,BG28/BC28-1)</f>
        <v>0.24927144228252296</v>
      </c>
      <c r="BH30" s="39">
        <f t="shared" ref="BH30" si="311">+IF(BD28&lt;0,1-BH28/BD28,BH28/BD28-1)</f>
        <v>0.17825894870124848</v>
      </c>
      <c r="BI30" s="39">
        <f t="shared" ref="BI30" si="312">+IF(BE28&lt;0,1-BI28/BE28,BI28/BE28-1)</f>
        <v>-6.168305715455169E-2</v>
      </c>
      <c r="BJ30" s="39">
        <f t="shared" ref="BJ30" si="313">+IF(BF28&lt;0,1-BJ28/BF28,BJ28/BF28-1)</f>
        <v>-8.149584287263508</v>
      </c>
      <c r="BK30" s="39">
        <f t="shared" ref="BK30" si="314">+IF(BG28&lt;0,1-BK28/BG28,BK28/BG28-1)</f>
        <v>-0.61757766646133838</v>
      </c>
      <c r="BL30" s="39">
        <f t="shared" ref="BL30" si="315">+IF(BH28&lt;0,1-BL28/BH28,BL28/BH28-1)</f>
        <v>0.98026815357584274</v>
      </c>
      <c r="BM30" s="39">
        <f t="shared" ref="BM30" si="316">+IF(BI28&lt;0,1-BM28/BI28,BM28/BI28-1)</f>
        <v>-0.34082903020442656</v>
      </c>
      <c r="BN30" s="39">
        <f t="shared" ref="BN30" si="317">+IF(BJ28&lt;0,1-BN28/BJ28,BN28/BJ28-1)</f>
        <v>2.912514289025502</v>
      </c>
      <c r="BO30" s="39">
        <f t="shared" ref="BO30" si="318">+IF(BK28&lt;0,1-BO28/BK28,BO28/BK28-1)</f>
        <v>-1.8953570248171392</v>
      </c>
      <c r="BP30" s="39">
        <f t="shared" ref="BP30" si="319">+IF(BL28&lt;0,1-BP28/BL28,BP28/BL28-1)</f>
        <v>-153.3289325842681</v>
      </c>
      <c r="BQ30" s="39">
        <f t="shared" ref="BQ30" si="320">+IF(BM28&lt;0,1-BQ28/BM28,BQ28/BM28-1)</f>
        <v>-2.3408730012186592</v>
      </c>
      <c r="BR30" s="39">
        <f t="shared" ref="BR30" si="321">+IF(BN28&lt;0,1-BR28/BN28,BR28/BN28-1)</f>
        <v>-1.5843723187565502</v>
      </c>
      <c r="BS30" s="39">
        <f t="shared" ref="BS30" si="322">+IF(BO28&lt;0,1-BS28/BO28,BS28/BO28-1)</f>
        <v>7.6911432612849495E-2</v>
      </c>
      <c r="BT30" s="39">
        <f t="shared" ref="BT30" si="323">+IF(BP28&lt;0,1-BT28/BP28,BT28/BP28-1)</f>
        <v>-0.94810806481850518</v>
      </c>
      <c r="BU30" s="39">
        <f t="shared" ref="BU30" si="324">+IF(BQ28&lt;0,1-BU28/BQ28,BU28/BQ28-1)</f>
        <v>0.82262927886494364</v>
      </c>
      <c r="BV30" s="39">
        <f t="shared" ref="BV30" si="325">+IF(BR28&lt;0,1-BV28/BR28,BV28/BR28-1)</f>
        <v>0.17343831748829852</v>
      </c>
      <c r="BW30" s="39">
        <f t="shared" ref="BW30" si="326">+IF(BS28&lt;0,1-BW28/BS28,BW28/BS28-1)</f>
        <v>1.8763431610018899</v>
      </c>
      <c r="BX30" s="39">
        <f t="shared" ref="BX30" si="327">+IF(BT28&lt;0,1-BX28/BT28,BX28/BT28-1)</f>
        <v>-1.038295375554088E-2</v>
      </c>
      <c r="BY30" s="39">
        <f t="shared" ref="BY30" si="328">+IF(BU28&lt;0,1-BY28/BU28,BY28/BU28-1)</f>
        <v>-2.2550879598304903</v>
      </c>
      <c r="BZ30" s="39">
        <f t="shared" ref="BZ30" si="329">+IF(BV28&lt;0,1-BZ28/BV28,BZ28/BV28-1)</f>
        <v>0.3442839831777027</v>
      </c>
      <c r="CA30" s="39">
        <f t="shared" ref="CA30" si="330">+IF(BW28&lt;0,1-CA28/BW28,CA28/BW28-1)</f>
        <v>-3.2036462415581344</v>
      </c>
      <c r="CB30" s="39">
        <f t="shared" ref="CB30" si="331">+IF(BX28&lt;0,1-CB28/BX28,CB28/BX28-1)</f>
        <v>0.22857156067226159</v>
      </c>
      <c r="CC30" s="39">
        <f t="shared" ref="CC30" si="332">+IF(BY28&lt;0,1-CC28/BY28,CC28/BY28-1)</f>
        <v>-1.2378669919548613</v>
      </c>
      <c r="CD30" s="39">
        <f t="shared" ref="CD30" si="333">+IF(BZ28&lt;0,1-CD28/BZ28,CD28/BZ28-1)</f>
        <v>-4.1861585556753695</v>
      </c>
      <c r="CE30" s="39">
        <f t="shared" ref="CE30" si="334">+IF(CA28&lt;0,1-CE28/CA28,CE28/CA28-1)</f>
        <v>-0.31932077063410502</v>
      </c>
      <c r="CF30" s="39">
        <f t="shared" ref="CF30" si="335">+IF(CB28&lt;0,1-CF28/CB28,CF28/CB28-1)</f>
        <v>-1.3290687833985828</v>
      </c>
      <c r="CG30" s="39">
        <f t="shared" ref="CG30" si="336">+IF(CC28&lt;0,1-CG28/CC28,CG28/CC28-1)</f>
        <v>1.4009843330453096</v>
      </c>
      <c r="CH30" s="39">
        <f t="shared" ref="CH30:CL30" si="337">+IF(CD28&lt;0,1-CH28/CD28,CH28/CD28-1)</f>
        <v>1.0285580854067937</v>
      </c>
      <c r="CI30" s="39">
        <f t="shared" si="337"/>
        <v>-0.11604414991471645</v>
      </c>
      <c r="CJ30" s="39">
        <f t="shared" si="337"/>
        <v>1.1157237210159303</v>
      </c>
      <c r="CK30" s="39">
        <f t="shared" si="337"/>
        <v>-3.3273949764243662</v>
      </c>
      <c r="CL30" s="39">
        <f t="shared" si="337"/>
        <v>65.254866269340894</v>
      </c>
      <c r="CM30" s="40">
        <f t="shared" ref="CM30" si="338">+CM28/CI28-1</f>
        <v>-0.80007885344945806</v>
      </c>
      <c r="CN30" s="40">
        <f t="shared" ref="CN30" si="339">+CN28/CJ28-1</f>
        <v>-0.36132583234443705</v>
      </c>
      <c r="CO30" s="40">
        <f t="shared" ref="CO30" si="340">+CO28/CK28-1</f>
        <v>-1.0888858798544387</v>
      </c>
      <c r="CP30" s="40">
        <f t="shared" ref="CP30" si="341">+CP28/CL28-1</f>
        <v>-0.74832636995367174</v>
      </c>
      <c r="CQ30" s="40">
        <f t="shared" ref="CQ30" si="342">+CQ28/CM28-1</f>
        <v>-1.0739478527048203</v>
      </c>
      <c r="CR30" s="40">
        <f t="shared" ref="CR30" si="343">+CR28/CN28-1</f>
        <v>0.67834337551265489</v>
      </c>
      <c r="CS30" s="40">
        <f t="shared" ref="CS30" si="344">+CS28/CO28-1</f>
        <v>1.3009164285312136</v>
      </c>
      <c r="CT30" s="40">
        <f t="shared" ref="CT30" si="345">+CT28/CP28-1</f>
        <v>-0.43932870461756746</v>
      </c>
      <c r="CU30" s="40">
        <f t="shared" ref="CU30" si="346">+CU28/CQ28-1</f>
        <v>4.4271877798190511</v>
      </c>
      <c r="CV30" s="40">
        <f t="shared" ref="CV30" si="347">+CV28/CR28-1</f>
        <v>0.23072859116326128</v>
      </c>
      <c r="CW30" s="40">
        <f t="shared" ref="CW30" si="348">+CW28/CS28-1</f>
        <v>0.15674423725547348</v>
      </c>
      <c r="CX30" s="40">
        <f t="shared" ref="CX30" si="349">+CX28/CT28-1</f>
        <v>2.4956274109335208E-2</v>
      </c>
      <c r="CY30" s="40">
        <f t="shared" ref="CY30" si="350">+CY28/CU28-1</f>
        <v>0.36623132435174011</v>
      </c>
      <c r="CZ30" s="40">
        <f t="shared" ref="CZ30" si="351">+CZ28/CV28-1</f>
        <v>0.1801632377411686</v>
      </c>
      <c r="DA30" s="40">
        <f t="shared" ref="DA30" si="352">+DA28/CW28-1</f>
        <v>0.16805714960131191</v>
      </c>
      <c r="DB30" s="40">
        <f t="shared" ref="DB30" si="353">+DB28/CX28-1</f>
        <v>0.17098219873544673</v>
      </c>
      <c r="DE30" s="122"/>
      <c r="DF30" s="38">
        <v>-33.371849457019259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>
        <f t="shared" ref="BA31" si="368">+IF(AZ28&lt;0,1-BA28/AZ28,BA28/AZ28-1)</f>
        <v>0.7754626769554489</v>
      </c>
      <c r="BB31" s="39">
        <f t="shared" ref="BB31" si="369">+IF(BA28&lt;0,1-BB28/BA28,BB28/BA28-1)</f>
        <v>-4.163595737940005</v>
      </c>
      <c r="BC31" s="39">
        <f t="shared" ref="BC31" si="370">+IF(BB28&lt;0,1-BC28/BB28,BC28/BB28-1)</f>
        <v>0.25978312116926006</v>
      </c>
      <c r="BD31" s="39">
        <f t="shared" ref="BD31" si="371">+IF(BC28&lt;0,1-BD28/BC28,BD28/BC28-1)</f>
        <v>4.2156007329203438E-2</v>
      </c>
      <c r="BE31" s="39">
        <f t="shared" ref="BE31" si="372">+IF(BD28&lt;0,1-BE28/BD28,BE28/BD28-1)</f>
        <v>-0.21295608885164241</v>
      </c>
      <c r="BF31" s="39">
        <f t="shared" ref="BF31" si="373">+IF(BE28&lt;0,1-BF28/BE28,BF28/BE28-1)</f>
        <v>0.84418710314554657</v>
      </c>
      <c r="BG31" s="39">
        <f t="shared" ref="BG31" si="374">+IF(BF28&lt;0,1-BG28/BF28,BG28/BF28-1)</f>
        <v>-3.1470538619110675</v>
      </c>
      <c r="BH31" s="39">
        <f t="shared" ref="BH31" si="375">+IF(BG28&lt;0,1-BH28/BG28,BH28/BG28-1)</f>
        <v>-4.8447833009843455E-2</v>
      </c>
      <c r="BI31" s="39">
        <f t="shared" ref="BI31" si="376">+IF(BH28&lt;0,1-BI28/BH28,BI28/BH28-1)</f>
        <v>-0.56712984774330977</v>
      </c>
      <c r="BJ31" s="39">
        <f t="shared" ref="BJ31" si="377">+IF(BI28&lt;0,1-BJ28/BI28,BJ28/BI28-1)</f>
        <v>-0.34279550116714907</v>
      </c>
      <c r="BK31" s="39">
        <f t="shared" ref="BK31" si="378">+IF(BJ28&lt;0,1-BK28/BJ28,BK28/BJ28-1)</f>
        <v>0.26683207695265732</v>
      </c>
      <c r="BL31" s="39">
        <f t="shared" ref="BL31" si="379">+IF(BK28&lt;0,1-BL28/BK28,BL28/BK28-1)</f>
        <v>0.98721062236847767</v>
      </c>
      <c r="BM31" s="39">
        <f t="shared" ref="BM31" si="380">+IF(BL28&lt;0,1-BM28/BL28,BM28/BL28-1)</f>
        <v>-105.4904494382011</v>
      </c>
      <c r="BN31" s="39">
        <f t="shared" ref="BN31" si="381">+IF(BM28&lt;0,1-BN28/BM28,BN28/BM28-1)</f>
        <v>2.9153191983244806</v>
      </c>
      <c r="BO31" s="39">
        <f t="shared" ref="BO31" si="382">+IF(BN28&lt;0,1-BO28/BN28,BO28/BN28-1)</f>
        <v>-2.1099435484204161</v>
      </c>
      <c r="BP31" s="39">
        <f t="shared" ref="BP31" si="383">+IF(BO28&lt;0,1-BP28/BO28,BP28/BO28-1)</f>
        <v>0.3182978881802615</v>
      </c>
      <c r="BQ31" s="39">
        <f t="shared" ref="BQ31" si="384">+IF(BP28&lt;0,1-BQ28/BP28,BQ28/BP28-1)</f>
        <v>-1.3052778338984843</v>
      </c>
      <c r="BR31" s="39">
        <f t="shared" ref="BR31" si="385">+IF(BQ28&lt;0,1-BR28/BQ28,BR28/BQ28-1)</f>
        <v>0.66497992570339015</v>
      </c>
      <c r="BS31" s="39">
        <f t="shared" ref="BS31" si="386">+IF(BR28&lt;0,1-BS28/BR28,BS28/BR28-1)</f>
        <v>-0.75329352042571918</v>
      </c>
      <c r="BT31" s="39">
        <f t="shared" ref="BT31" si="387">+IF(BS28&lt;0,1-BT28/BS28,BT28/BS28-1)</f>
        <v>-0.43868034851617144</v>
      </c>
      <c r="BU31" s="39">
        <f t="shared" ref="BU31" si="388">+IF(BT28&lt;0,1-BU28/BT28,BU28/BT28-1)</f>
        <v>0.7901097997593225</v>
      </c>
      <c r="BV31" s="39">
        <f t="shared" ref="BV31" si="389">+IF(BU28&lt;0,1-BV28/BU28,BV28/BU28-1)</f>
        <v>-0.56122022007763284</v>
      </c>
      <c r="BW31" s="39">
        <f t="shared" ref="BW31" si="390">+IF(BV28&lt;0,1-BW28/BV28,BW28/BV28-1)</f>
        <v>2.8588894432960297</v>
      </c>
      <c r="BX31" s="39">
        <f t="shared" ref="BX31" si="391">+IF(BW28&lt;0,1-BX28/BW28,BX28/BW28-1)</f>
        <v>-2.6587316073556773</v>
      </c>
      <c r="BY31" s="39">
        <f t="shared" ref="BY31" si="392">+IF(BX28&lt;0,1-BY28/BX28,BY28/BX28-1)</f>
        <v>0.32380978801118931</v>
      </c>
      <c r="BZ31" s="39">
        <f t="shared" ref="BZ31" si="393">+IF(BY28&lt;0,1-BZ28/BY28,BZ28/BY28-1)</f>
        <v>0.68550247590082136</v>
      </c>
      <c r="CA31" s="39">
        <f t="shared" ref="CA31" si="394">+IF(BZ28&lt;0,1-CA28/BZ28,CA28/BZ28-1)</f>
        <v>-5.2471170904790014</v>
      </c>
      <c r="CB31" s="39">
        <f t="shared" ref="CB31" si="395">+IF(CA28&lt;0,1-CB28/CA28,CB28/CA28-1)</f>
        <v>0.41932933199785349</v>
      </c>
      <c r="CC31" s="39">
        <f t="shared" ref="CC31" si="396">+IF(CB28&lt;0,1-CC28/CB28,CC28/CB28-1)</f>
        <v>-0.96158668587771912</v>
      </c>
      <c r="CD31" s="39">
        <f t="shared" ref="CD31" si="397">+IF(CC28&lt;0,1-CD28/CC28,CD28/CC28-1)</f>
        <v>0.27116578813251713</v>
      </c>
      <c r="CE31" s="39">
        <f t="shared" ref="CE31" si="398">+IF(CD28&lt;0,1-CE28/CD28,CE28/CD28-1)</f>
        <v>-0.58922085500699328</v>
      </c>
      <c r="CF31" s="39">
        <f t="shared" ref="CF31" si="399">+IF(CE28&lt;0,1-CF28/CE28,CF28/CE28-1)</f>
        <v>-2.508954333295832E-2</v>
      </c>
      <c r="CG31" s="39">
        <f t="shared" ref="CG31" si="400">+IF(CF28&lt;0,1-CG28/CF28,CG28/CF28-1)</f>
        <v>1.3377167452304599</v>
      </c>
      <c r="CH31" s="39">
        <f t="shared" ref="CH31:CI31" si="401">+IF(CG28&lt;0,1-CH28/CG28,CH28/CG28-1)</f>
        <v>-0.94809246158863536</v>
      </c>
      <c r="CI31" s="39">
        <f t="shared" si="401"/>
        <v>-63.106426705029769</v>
      </c>
      <c r="CJ31" s="39">
        <f>+IF(CI28&gt;1,CJ28/CI28-1,1-CJ28/CI28)</f>
        <v>1.1062925479588559</v>
      </c>
      <c r="CK31" s="39">
        <f>+IF(CJ28&gt;1,CK28/CJ28-1,1-CK28/CJ28)</f>
        <v>-7.7920409869603189</v>
      </c>
      <c r="CL31" s="39">
        <f>+IF(CK28&gt;1,CL28/CK28-1,1-CL28/CK28)</f>
        <v>2.4776722690616322</v>
      </c>
      <c r="CM31" s="40">
        <f t="shared" ref="CM31" si="402">+CM28/CL28-1</f>
        <v>-1.1874034125214492</v>
      </c>
      <c r="CN31" s="40">
        <f t="shared" ref="CN31" si="403">+CN28/CM28-1</f>
        <v>-1.3395654024945736</v>
      </c>
      <c r="CO31" s="40">
        <f t="shared" ref="CO31" si="404">+CO28/CN28-1</f>
        <v>-5.4734683650203397E-2</v>
      </c>
      <c r="CP31" s="40">
        <f t="shared" ref="CP31" si="405">+CP28/CO28-1</f>
        <v>3.1839170021442271</v>
      </c>
      <c r="CQ31" s="40">
        <f t="shared" ref="CQ31" si="406">+CQ28/CP28-1</f>
        <v>-0.9449363052340215</v>
      </c>
      <c r="CR31" s="40">
        <f t="shared" ref="CR31" si="407">+CR28/CQ28-1</f>
        <v>6.7068815791713456</v>
      </c>
      <c r="CS31" s="40">
        <f t="shared" ref="CS31" si="408">+CS28/CR28-1</f>
        <v>0.29590674199530187</v>
      </c>
      <c r="CT31" s="40">
        <f t="shared" ref="CT31" si="409">+CT28/CS28-1</f>
        <v>1.9507764939653338E-2</v>
      </c>
      <c r="CU31" s="40">
        <f t="shared" ref="CU31" si="410">+CU28/CT28-1</f>
        <v>-0.46699427310298458</v>
      </c>
      <c r="CV31" s="40">
        <f t="shared" ref="CV31" si="411">+CV28/CU28-1</f>
        <v>0.74769694600688474</v>
      </c>
      <c r="CW31" s="40">
        <f t="shared" ref="CW31" si="412">+CW28/CV28-1</f>
        <v>0.21800425096708276</v>
      </c>
      <c r="CX31" s="40">
        <f t="shared" ref="CX31" si="413">+CX28/CW28-1</f>
        <v>-9.6644835977428123E-2</v>
      </c>
      <c r="CY31" s="40">
        <f t="shared" ref="CY31" si="414">+CY28/CX28-1</f>
        <v>-0.28952176932779961</v>
      </c>
      <c r="CZ31" s="40">
        <f t="shared" ref="CZ31" si="415">+CZ28/CY28-1</f>
        <v>0.50967676529338846</v>
      </c>
      <c r="DA31" s="40">
        <f t="shared" ref="DA31" si="416">+DA28/CZ28-1</f>
        <v>0.2055099905585398</v>
      </c>
      <c r="DB31" s="40">
        <f t="shared" ref="DB31" si="417">+DB28/DA28-1</f>
        <v>-9.4382653650782244E-2</v>
      </c>
      <c r="DE31" s="122"/>
      <c r="DF31" s="38">
        <v>0.27801553403767698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23">
        <f>'Annual Raw'!AB27</f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0</v>
      </c>
      <c r="CG32" s="23">
        <f>'QTR Raw'!BA28</f>
        <v>0</v>
      </c>
      <c r="CH32" s="23">
        <f>'QTR Raw'!BB28</f>
        <v>0</v>
      </c>
      <c r="CI32" s="23">
        <f>'QTR Raw'!BC28</f>
        <v>0</v>
      </c>
      <c r="CJ32" s="23">
        <f>'QTR Raw'!BD28</f>
        <v>0</v>
      </c>
      <c r="CK32" s="23">
        <f>'QTR Raw'!BE28</f>
        <v>0</v>
      </c>
      <c r="CL32" s="23">
        <f>'QTR Raw'!BF28</f>
        <v>0</v>
      </c>
      <c r="CM32" s="24">
        <f t="shared" ref="CM32:DB32" si="418">CM33*CL134</f>
        <v>0</v>
      </c>
      <c r="CN32" s="24">
        <f t="shared" si="418"/>
        <v>0</v>
      </c>
      <c r="CO32" s="24">
        <f t="shared" si="418"/>
        <v>0</v>
      </c>
      <c r="CP32" s="24">
        <f t="shared" si="418"/>
        <v>0</v>
      </c>
      <c r="CQ32" s="24">
        <f t="shared" si="418"/>
        <v>0</v>
      </c>
      <c r="CR32" s="24">
        <f t="shared" si="418"/>
        <v>0</v>
      </c>
      <c r="CS32" s="24">
        <f t="shared" si="418"/>
        <v>0</v>
      </c>
      <c r="CT32" s="24">
        <f t="shared" si="418"/>
        <v>0</v>
      </c>
      <c r="CU32" s="24">
        <f t="shared" si="418"/>
        <v>0</v>
      </c>
      <c r="CV32" s="24">
        <f t="shared" si="418"/>
        <v>0</v>
      </c>
      <c r="CW32" s="24">
        <f t="shared" si="418"/>
        <v>0</v>
      </c>
      <c r="CX32" s="24">
        <f t="shared" si="418"/>
        <v>0</v>
      </c>
      <c r="CY32" s="24">
        <f t="shared" si="418"/>
        <v>0</v>
      </c>
      <c r="CZ32" s="24">
        <f t="shared" si="418"/>
        <v>0</v>
      </c>
      <c r="DA32" s="24">
        <f t="shared" si="418"/>
        <v>0</v>
      </c>
      <c r="DB32" s="24">
        <f t="shared" si="418"/>
        <v>0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>
        <f t="shared" si="420"/>
        <v>0</v>
      </c>
      <c r="K33" s="46">
        <f t="shared" si="420"/>
        <v>0</v>
      </c>
      <c r="L33" s="46">
        <f t="shared" si="420"/>
        <v>0</v>
      </c>
      <c r="M33" s="46">
        <f t="shared" si="420"/>
        <v>0</v>
      </c>
      <c r="N33" s="46">
        <f t="shared" si="420"/>
        <v>0</v>
      </c>
      <c r="O33" s="46">
        <f t="shared" si="420"/>
        <v>0</v>
      </c>
      <c r="P33" s="46">
        <f t="shared" si="420"/>
        <v>0</v>
      </c>
      <c r="Q33" s="46">
        <f t="shared" si="420"/>
        <v>0</v>
      </c>
      <c r="R33" s="46">
        <f t="shared" si="420"/>
        <v>0</v>
      </c>
      <c r="S33" s="46">
        <f t="shared" si="420"/>
        <v>0</v>
      </c>
      <c r="T33" s="46">
        <f t="shared" si="420"/>
        <v>0</v>
      </c>
      <c r="U33" s="46">
        <f t="shared" si="420"/>
        <v>0</v>
      </c>
      <c r="V33" s="46">
        <f t="shared" si="420"/>
        <v>0</v>
      </c>
      <c r="W33" s="46">
        <f t="shared" si="420"/>
        <v>0</v>
      </c>
      <c r="X33" s="46">
        <f t="shared" si="420"/>
        <v>0</v>
      </c>
      <c r="Y33" s="46">
        <f t="shared" si="420"/>
        <v>0</v>
      </c>
      <c r="Z33" s="46">
        <f t="shared" si="420"/>
        <v>0</v>
      </c>
      <c r="AA33" s="46">
        <f t="shared" ref="AA33" si="421">+AA32/AA134</f>
        <v>0</v>
      </c>
      <c r="AB33" s="110">
        <f t="shared" si="420"/>
        <v>0</v>
      </c>
      <c r="AC33" s="110">
        <f t="shared" si="420"/>
        <v>0</v>
      </c>
      <c r="AD33" s="110">
        <f t="shared" si="420"/>
        <v>0</v>
      </c>
      <c r="AE33" s="110">
        <f t="shared" si="420"/>
        <v>0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>
        <f t="shared" si="422"/>
        <v>0</v>
      </c>
      <c r="BB33" s="46">
        <f t="shared" si="422"/>
        <v>0</v>
      </c>
      <c r="BC33" s="46">
        <f t="shared" si="422"/>
        <v>0</v>
      </c>
      <c r="BD33" s="46">
        <f t="shared" si="422"/>
        <v>0</v>
      </c>
      <c r="BE33" s="46">
        <f t="shared" si="422"/>
        <v>0</v>
      </c>
      <c r="BF33" s="46">
        <f t="shared" si="422"/>
        <v>0</v>
      </c>
      <c r="BG33" s="46">
        <f t="shared" si="422"/>
        <v>0</v>
      </c>
      <c r="BH33" s="46">
        <f t="shared" si="422"/>
        <v>0</v>
      </c>
      <c r="BI33" s="46">
        <f t="shared" si="422"/>
        <v>0</v>
      </c>
      <c r="BJ33" s="46">
        <f t="shared" si="422"/>
        <v>0</v>
      </c>
      <c r="BK33" s="46">
        <f t="shared" si="422"/>
        <v>0</v>
      </c>
      <c r="BL33" s="46">
        <f t="shared" si="422"/>
        <v>0</v>
      </c>
      <c r="BM33" s="46">
        <f t="shared" si="422"/>
        <v>0</v>
      </c>
      <c r="BN33" s="46">
        <f t="shared" si="422"/>
        <v>0</v>
      </c>
      <c r="BO33" s="46">
        <f t="shared" ref="BO33:CL33" si="423">+BO32/BN134</f>
        <v>0</v>
      </c>
      <c r="BP33" s="46">
        <f t="shared" si="423"/>
        <v>0</v>
      </c>
      <c r="BQ33" s="46">
        <f t="shared" si="423"/>
        <v>0</v>
      </c>
      <c r="BR33" s="46">
        <f t="shared" si="423"/>
        <v>0</v>
      </c>
      <c r="BS33" s="46">
        <f t="shared" si="423"/>
        <v>0</v>
      </c>
      <c r="BT33" s="46">
        <f t="shared" si="423"/>
        <v>0</v>
      </c>
      <c r="BU33" s="46">
        <f t="shared" si="423"/>
        <v>0</v>
      </c>
      <c r="BV33" s="46">
        <f t="shared" si="423"/>
        <v>0</v>
      </c>
      <c r="BW33" s="46">
        <f t="shared" si="423"/>
        <v>0</v>
      </c>
      <c r="BX33" s="46">
        <f t="shared" si="423"/>
        <v>0</v>
      </c>
      <c r="BY33" s="46">
        <f t="shared" si="423"/>
        <v>0</v>
      </c>
      <c r="BZ33" s="46">
        <f t="shared" si="423"/>
        <v>0</v>
      </c>
      <c r="CA33" s="46">
        <f t="shared" si="423"/>
        <v>0</v>
      </c>
      <c r="CB33" s="46">
        <f t="shared" si="423"/>
        <v>0</v>
      </c>
      <c r="CC33" s="46">
        <f t="shared" si="423"/>
        <v>0</v>
      </c>
      <c r="CD33" s="46">
        <f t="shared" si="423"/>
        <v>0</v>
      </c>
      <c r="CE33" s="46">
        <f t="shared" si="423"/>
        <v>0</v>
      </c>
      <c r="CF33" s="46">
        <f t="shared" si="423"/>
        <v>0</v>
      </c>
      <c r="CG33" s="46">
        <f t="shared" si="423"/>
        <v>0</v>
      </c>
      <c r="CH33" s="46">
        <f t="shared" si="423"/>
        <v>0</v>
      </c>
      <c r="CI33" s="46">
        <f t="shared" si="423"/>
        <v>0</v>
      </c>
      <c r="CJ33" s="46">
        <f t="shared" si="423"/>
        <v>0</v>
      </c>
      <c r="CK33" s="46">
        <f t="shared" si="423"/>
        <v>0</v>
      </c>
      <c r="CL33" s="46">
        <f t="shared" si="423"/>
        <v>0</v>
      </c>
      <c r="CM33" s="47">
        <f t="shared" ref="CM33" si="424">CL33</f>
        <v>0</v>
      </c>
      <c r="CN33" s="47">
        <f t="shared" ref="CN33" si="425">CM33</f>
        <v>0</v>
      </c>
      <c r="CO33" s="47">
        <f t="shared" ref="CO33" si="426">CN33</f>
        <v>0</v>
      </c>
      <c r="CP33" s="47">
        <f t="shared" ref="CP33" si="427">CO33</f>
        <v>0</v>
      </c>
      <c r="CQ33" s="47">
        <f t="shared" ref="CQ33" si="428">CP33</f>
        <v>0</v>
      </c>
      <c r="CR33" s="47">
        <f t="shared" ref="CR33" si="429">CQ33</f>
        <v>0</v>
      </c>
      <c r="CS33" s="47">
        <f t="shared" ref="CS33" si="430">CR33</f>
        <v>0</v>
      </c>
      <c r="CT33" s="47">
        <f t="shared" ref="CT33" si="431">CS33</f>
        <v>0</v>
      </c>
      <c r="CU33" s="47">
        <f t="shared" ref="CU33" si="432">CT33</f>
        <v>0</v>
      </c>
      <c r="CV33" s="47">
        <f t="shared" ref="CV33" si="433">CU33</f>
        <v>0</v>
      </c>
      <c r="CW33" s="47">
        <f t="shared" ref="CW33" si="434">CV33</f>
        <v>0</v>
      </c>
      <c r="CX33" s="47">
        <f t="shared" ref="CX33" si="435">CW33</f>
        <v>0</v>
      </c>
      <c r="CY33" s="47">
        <f t="shared" ref="CY33" si="436">CX33</f>
        <v>0</v>
      </c>
      <c r="CZ33" s="47">
        <f t="shared" ref="CZ33" si="437">CY33</f>
        <v>0</v>
      </c>
      <c r="DA33" s="47">
        <f t="shared" ref="DA33" si="438">CZ33</f>
        <v>0</v>
      </c>
      <c r="DB33" s="47">
        <f t="shared" ref="DB33" si="439">DA33</f>
        <v>0</v>
      </c>
      <c r="DE33" s="130"/>
      <c r="DF33" s="46">
        <v>0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-0.48949999999999999</v>
      </c>
      <c r="K34" s="26">
        <f t="shared" si="440"/>
        <v>-0.38800000000000001</v>
      </c>
      <c r="L34" s="26">
        <f t="shared" si="440"/>
        <v>-3.0182000000000002</v>
      </c>
      <c r="M34" s="26">
        <f t="shared" si="440"/>
        <v>-2.3307000000000002</v>
      </c>
      <c r="N34" s="26">
        <f t="shared" si="440"/>
        <v>-7.4481000000000002</v>
      </c>
      <c r="O34" s="26">
        <f t="shared" si="440"/>
        <v>-2.9819</v>
      </c>
      <c r="P34" s="26">
        <f t="shared" si="440"/>
        <v>-1.5983000000000001</v>
      </c>
      <c r="Q34" s="26">
        <f t="shared" si="440"/>
        <v>-117.1054</v>
      </c>
      <c r="R34" s="26">
        <f t="shared" si="440"/>
        <v>-90.174700000000001</v>
      </c>
      <c r="S34" s="26">
        <f t="shared" si="440"/>
        <v>-107.73439999999999</v>
      </c>
      <c r="T34" s="26">
        <f t="shared" si="440"/>
        <v>-128.90690000000001</v>
      </c>
      <c r="U34" s="26">
        <f t="shared" ref="U34:Z34" si="441">U28-U32</f>
        <v>-524.57719999999995</v>
      </c>
      <c r="V34" s="26">
        <f t="shared" si="441"/>
        <v>-855.77859999999998</v>
      </c>
      <c r="W34" s="26">
        <f t="shared" si="441"/>
        <v>-1139.1255000000001</v>
      </c>
      <c r="X34" s="26">
        <f t="shared" si="441"/>
        <v>-1744.7161000000001</v>
      </c>
      <c r="Y34" s="26">
        <f t="shared" si="441"/>
        <v>-1679.03</v>
      </c>
      <c r="Z34" s="26">
        <f t="shared" si="441"/>
        <v>-1380.1</v>
      </c>
      <c r="AA34" s="26">
        <f t="shared" ref="AA34" si="442">AA28-AA32</f>
        <v>-1903.67</v>
      </c>
      <c r="AB34" s="27">
        <f t="shared" ref="AA34:AD34" si="443">AB28-AB32</f>
        <v>4243.9308498282335</v>
      </c>
      <c r="AC34" s="27">
        <f t="shared" si="443"/>
        <v>9030.7326903813519</v>
      </c>
      <c r="AD34" s="27">
        <f t="shared" si="443"/>
        <v>11540.429806231405</v>
      </c>
      <c r="AE34" s="27">
        <f t="shared" ref="AE34" si="444">AE28-AE32</f>
        <v>13861.695766126824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-2670.87</v>
      </c>
      <c r="BA34" s="26">
        <f t="shared" si="449"/>
        <v>-599.71</v>
      </c>
      <c r="BB34" s="26">
        <f t="shared" si="449"/>
        <v>-3096.6600000000008</v>
      </c>
      <c r="BC34" s="26">
        <f t="shared" si="449"/>
        <v>-2292.1999999999998</v>
      </c>
      <c r="BD34" s="26">
        <f t="shared" si="449"/>
        <v>-2195.5699999999997</v>
      </c>
      <c r="BE34" s="26">
        <f t="shared" si="449"/>
        <v>-2663.13</v>
      </c>
      <c r="BF34" s="26">
        <f t="shared" si="449"/>
        <v>-414.95000000000073</v>
      </c>
      <c r="BG34" s="26">
        <f t="shared" si="449"/>
        <v>-1720.8200000000006</v>
      </c>
      <c r="BH34" s="26">
        <f t="shared" si="449"/>
        <v>-1804.1899999999996</v>
      </c>
      <c r="BI34" s="26">
        <f t="shared" si="449"/>
        <v>-2827.4000000000015</v>
      </c>
      <c r="BJ34" s="26">
        <f t="shared" si="449"/>
        <v>-3796.619999999999</v>
      </c>
      <c r="BK34" s="26">
        <f t="shared" si="449"/>
        <v>-2783.5600000000013</v>
      </c>
      <c r="BL34" s="26">
        <f t="shared" si="449"/>
        <v>-35.600000000000364</v>
      </c>
      <c r="BM34" s="26">
        <f t="shared" si="449"/>
        <v>-3791.0599999999977</v>
      </c>
      <c r="BN34" s="26">
        <f t="shared" si="449"/>
        <v>7261.09</v>
      </c>
      <c r="BO34" s="26">
        <f t="shared" si="449"/>
        <v>-8059.4</v>
      </c>
      <c r="BP34" s="26">
        <f t="shared" si="449"/>
        <v>-5494.1100000000006</v>
      </c>
      <c r="BQ34" s="26">
        <f t="shared" si="449"/>
        <v>-12665.450000000003</v>
      </c>
      <c r="BR34" s="26">
        <f t="shared" si="449"/>
        <v>-4243.1799999999985</v>
      </c>
      <c r="BS34" s="26">
        <f t="shared" si="449"/>
        <v>-7439.5400000000009</v>
      </c>
      <c r="BT34" s="26">
        <f t="shared" si="449"/>
        <v>-10703.119999999999</v>
      </c>
      <c r="BU34" s="26">
        <f t="shared" si="449"/>
        <v>-2246.4799999999996</v>
      </c>
      <c r="BV34" s="26">
        <f t="shared" si="449"/>
        <v>-3507.25</v>
      </c>
      <c r="BW34" s="26">
        <f t="shared" si="449"/>
        <v>6519.5900000000011</v>
      </c>
      <c r="BX34" s="26">
        <f t="shared" si="449"/>
        <v>-10814.250000000004</v>
      </c>
      <c r="BY34" s="26">
        <f t="shared" si="449"/>
        <v>-7312.489999999998</v>
      </c>
      <c r="BZ34" s="26">
        <f t="shared" si="449"/>
        <v>-2299.760000000002</v>
      </c>
      <c r="CA34" s="26">
        <f t="shared" si="449"/>
        <v>-14366.87</v>
      </c>
      <c r="CB34" s="26">
        <f t="shared" si="449"/>
        <v>-8342.4199999999983</v>
      </c>
      <c r="CC34" s="26">
        <f t="shared" si="449"/>
        <v>-16364.379999999997</v>
      </c>
      <c r="CD34" s="26">
        <f t="shared" si="449"/>
        <v>-11926.919999999998</v>
      </c>
      <c r="CE34" s="26">
        <f t="shared" ref="CE34:CF34" si="450">CE28-CE32</f>
        <v>-18954.510000000006</v>
      </c>
      <c r="CF34" s="26">
        <f t="shared" si="450"/>
        <v>-19430.07</v>
      </c>
      <c r="CG34" s="26">
        <f t="shared" ref="CG34:CH34" si="451">CG28-CG32</f>
        <v>6561.8600000000006</v>
      </c>
      <c r="CH34" s="26">
        <f t="shared" si="451"/>
        <v>340.60999999999694</v>
      </c>
      <c r="CI34" s="26">
        <f t="shared" ref="CI34:CJ34" si="452">CI28-CI32</f>
        <v>-21154.07</v>
      </c>
      <c r="CJ34" s="26">
        <f t="shared" si="452"/>
        <v>2248.5199999999968</v>
      </c>
      <c r="CK34" s="26">
        <f t="shared" ref="CK34:CL34" si="453">CK28-CK32</f>
        <v>-15272.039999999994</v>
      </c>
      <c r="CL34" s="26">
        <f t="shared" si="453"/>
        <v>22567.07</v>
      </c>
      <c r="CM34" s="27">
        <f t="shared" ref="CM34:DB34" si="454">CM28-CM32</f>
        <v>-4229.1459286104218</v>
      </c>
      <c r="CN34" s="27">
        <f t="shared" si="454"/>
        <v>1436.0716394568844</v>
      </c>
      <c r="CO34" s="27">
        <f t="shared" si="454"/>
        <v>1357.468712572183</v>
      </c>
      <c r="CP34" s="27">
        <f t="shared" si="454"/>
        <v>5679.5364264095915</v>
      </c>
      <c r="CQ34" s="27">
        <f t="shared" si="454"/>
        <v>312.736260196074</v>
      </c>
      <c r="CR34" s="27">
        <f t="shared" si="454"/>
        <v>2410.2213228440596</v>
      </c>
      <c r="CS34" s="27">
        <f t="shared" si="454"/>
        <v>3123.4220619744519</v>
      </c>
      <c r="CT34" s="27">
        <f t="shared" si="454"/>
        <v>3184.3530453667772</v>
      </c>
      <c r="CU34" s="27">
        <f t="shared" si="454"/>
        <v>1697.2784096424439</v>
      </c>
      <c r="CV34" s="27">
        <f t="shared" si="454"/>
        <v>2966.3282930555215</v>
      </c>
      <c r="CW34" s="27">
        <f t="shared" si="454"/>
        <v>3613.0004707055559</v>
      </c>
      <c r="CX34" s="27">
        <f t="shared" si="454"/>
        <v>3263.822632827847</v>
      </c>
      <c r="CY34" s="27">
        <f t="shared" si="454"/>
        <v>2318.8749293994115</v>
      </c>
      <c r="CZ34" s="27">
        <f t="shared" si="454"/>
        <v>3500.7516025356381</v>
      </c>
      <c r="DA34" s="27">
        <f t="shared" si="454"/>
        <v>4220.1910313205299</v>
      </c>
      <c r="DB34" s="27">
        <f t="shared" si="454"/>
        <v>3821.8782028712667</v>
      </c>
      <c r="DE34" s="121"/>
      <c r="DF34" s="26">
        <v>-11026.175643555231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4.0763999999999996</v>
      </c>
      <c r="M35" s="23">
        <f>'Annual Raw'!N23</f>
        <v>6.4859</v>
      </c>
      <c r="N35" s="23">
        <f>'Annual Raw'!O23</f>
        <v>6.5510000000000002</v>
      </c>
      <c r="O35" s="23">
        <f>'Annual Raw'!P23</f>
        <v>7.3552</v>
      </c>
      <c r="P35" s="23">
        <f>'Annual Raw'!Q23</f>
        <v>7.4611000000000001</v>
      </c>
      <c r="Q35" s="23">
        <f>'Annual Raw'!R23</f>
        <v>7.9305000000000003</v>
      </c>
      <c r="R35" s="23">
        <f>'Annual Raw'!S23</f>
        <v>8.2142999999999997</v>
      </c>
      <c r="S35" s="23">
        <f>'Annual Raw'!T23</f>
        <v>11.465299999999999</v>
      </c>
      <c r="T35" s="23">
        <f>'Annual Raw'!U23</f>
        <v>13.541399999999999</v>
      </c>
      <c r="U35" s="23">
        <f>'Annual Raw'!V23</f>
        <v>6.7929000000000004</v>
      </c>
      <c r="V35" s="23">
        <f>'Annual Raw'!W23</f>
        <v>6.3067000000000002</v>
      </c>
      <c r="W35" s="23">
        <f>'Annual Raw'!X23</f>
        <v>5.3582000000000001</v>
      </c>
      <c r="X35" s="23">
        <f>'Annual Raw'!Y23</f>
        <v>0.74939999999999996</v>
      </c>
      <c r="Y35" s="23">
        <f>'Annual Raw'!Z23</f>
        <v>-12.04</v>
      </c>
      <c r="Z35" s="23">
        <f>'Annual Raw'!AA23</f>
        <v>-4.72</v>
      </c>
      <c r="AA35" s="23">
        <f>'Annual Raw'!AB23</f>
        <v>0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2930.85</v>
      </c>
      <c r="BA35" s="23">
        <f>'QTR Raw'!U23</f>
        <v>819.4</v>
      </c>
      <c r="BB35" s="23">
        <f>'QTR Raw'!V23</f>
        <v>3458.09</v>
      </c>
      <c r="BC35" s="23">
        <f>'QTR Raw'!W23</f>
        <v>2735.95</v>
      </c>
      <c r="BD35" s="23">
        <f>'QTR Raw'!X23</f>
        <v>2464.9899999999998</v>
      </c>
      <c r="BE35" s="23">
        <f>'QTR Raw'!Y23</f>
        <v>2930.78</v>
      </c>
      <c r="BF35" s="23">
        <f>'QTR Raw'!Z23</f>
        <v>856.58</v>
      </c>
      <c r="BG35" s="23">
        <f>'QTR Raw'!AA23</f>
        <v>2238.87</v>
      </c>
      <c r="BH35" s="23">
        <f>'QTR Raw'!AB23</f>
        <v>2099.63</v>
      </c>
      <c r="BI35" s="23">
        <f>'QTR Raw'!AC23</f>
        <v>3144.18</v>
      </c>
      <c r="BJ35" s="23">
        <f>'QTR Raw'!AD23</f>
        <v>4307.91</v>
      </c>
      <c r="BK35" s="23">
        <f>'QTR Raw'!AE23</f>
        <v>3161.4</v>
      </c>
      <c r="BL35" s="23">
        <f>'QTR Raw'!AF23</f>
        <v>154.81</v>
      </c>
      <c r="BM35" s="23">
        <f>'QTR Raw'!AG23</f>
        <v>4260.1400000000003</v>
      </c>
      <c r="BN35" s="23">
        <f>'QTR Raw'!AH23</f>
        <v>-6673.75</v>
      </c>
      <c r="BO35" s="23">
        <f>'QTR Raw'!AI23</f>
        <v>8686.4</v>
      </c>
      <c r="BP35" s="23">
        <f>'QTR Raw'!AJ23</f>
        <v>5793.68</v>
      </c>
      <c r="BQ35" s="23">
        <f>'QTR Raw'!AK23</f>
        <v>12961.46</v>
      </c>
      <c r="BR35" s="23">
        <f>'QTR Raw'!AL23</f>
        <v>4745.09</v>
      </c>
      <c r="BS35" s="23">
        <f>'QTR Raw'!AM23</f>
        <v>7709.07</v>
      </c>
      <c r="BT35" s="23">
        <f>'QTR Raw'!AN23</f>
        <v>10985.62</v>
      </c>
      <c r="BU35" s="23">
        <f>'QTR Raw'!AO23</f>
        <v>2656.24</v>
      </c>
      <c r="BV35" s="23">
        <f>'QTR Raw'!AP23</f>
        <v>4232.38</v>
      </c>
      <c r="BW35" s="23">
        <f>'QTR Raw'!AQ23</f>
        <v>-6218.73</v>
      </c>
      <c r="BX35" s="23">
        <f>'QTR Raw'!AR23</f>
        <v>11251.2</v>
      </c>
      <c r="BY35" s="23">
        <f>'QTR Raw'!AS23</f>
        <v>7658.97</v>
      </c>
      <c r="BZ35" s="23">
        <f>'QTR Raw'!AT23</f>
        <v>3121.31</v>
      </c>
      <c r="CA35" s="23">
        <f>'QTR Raw'!AU23</f>
        <v>14799.51</v>
      </c>
      <c r="CB35" s="23">
        <f>'QTR Raw'!AV23</f>
        <v>8766.5</v>
      </c>
      <c r="CC35" s="23">
        <f>'QTR Raw'!AW23</f>
        <v>16734.330000000002</v>
      </c>
      <c r="CD35" s="23">
        <f>'QTR Raw'!AX23</f>
        <v>12778.05</v>
      </c>
      <c r="CE35" s="23">
        <f>'QTR Raw'!AY23</f>
        <v>19551.490000000002</v>
      </c>
      <c r="CF35" s="23">
        <f>'QTR Raw'!AZ23</f>
        <v>20031.509999999998</v>
      </c>
      <c r="CG35" s="23">
        <f>'QTR Raw'!BA23</f>
        <v>-5968.33</v>
      </c>
      <c r="CH35" s="23">
        <f>'QTR Raw'!BB23</f>
        <v>560.02</v>
      </c>
      <c r="CI35" s="23">
        <f>'QTR Raw'!BC23</f>
        <v>21810.27</v>
      </c>
      <c r="CJ35" s="23">
        <f>'QTR Raw'!BD23</f>
        <v>-1716.76</v>
      </c>
      <c r="CK35" s="23">
        <f>'QTR Raw'!BE23</f>
        <v>15913.98</v>
      </c>
      <c r="CL35" s="23">
        <f>'QTR Raw'!BF23</f>
        <v>-21700.080000000002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14307.410000000003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23">
        <f>'Annual Raw'!AB25</f>
        <v>0</v>
      </c>
      <c r="AB36" s="76">
        <f t="shared" si="455"/>
        <v>27365.710635709063</v>
      </c>
      <c r="AC36" s="76">
        <f t="shared" si="456"/>
        <v>55823.86701763227</v>
      </c>
      <c r="AD36" s="76">
        <f t="shared" si="457"/>
        <v>67899.653031039372</v>
      </c>
      <c r="AE36" s="76">
        <f t="shared" si="458"/>
        <v>80681.941313755495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3">
        <f>'QTR Raw'!BE25</f>
        <v>0</v>
      </c>
      <c r="CL36" s="23">
        <f>'QTR Raw'!BF25</f>
        <v>0</v>
      </c>
      <c r="CM36" s="24">
        <f t="shared" ref="CM36:DB36" si="459">CM37*CL168</f>
        <v>1524.4070160370918</v>
      </c>
      <c r="CN36" s="24">
        <f t="shared" si="459"/>
        <v>-27644.433716407682</v>
      </c>
      <c r="CO36" s="24">
        <f t="shared" si="459"/>
        <v>19255.97942308573</v>
      </c>
      <c r="CP36" s="24">
        <f t="shared" si="459"/>
        <v>34229.757912993926</v>
      </c>
      <c r="CQ36" s="24">
        <f t="shared" si="459"/>
        <v>9948.3728033410098</v>
      </c>
      <c r="CR36" s="24">
        <f t="shared" si="459"/>
        <v>-25376.275061382396</v>
      </c>
      <c r="CS36" s="24">
        <f t="shared" si="459"/>
        <v>27522.839212192353</v>
      </c>
      <c r="CT36" s="24">
        <f t="shared" si="459"/>
        <v>43728.930063481304</v>
      </c>
      <c r="CU36" s="24">
        <f t="shared" si="459"/>
        <v>11952.161961409971</v>
      </c>
      <c r="CV36" s="24">
        <f t="shared" si="459"/>
        <v>-29390.991555037555</v>
      </c>
      <c r="CW36" s="24">
        <f t="shared" si="459"/>
        <v>33190.301301256426</v>
      </c>
      <c r="CX36" s="24">
        <f t="shared" si="459"/>
        <v>52148.181323410528</v>
      </c>
      <c r="CY36" s="24">
        <f t="shared" si="459"/>
        <v>14089.591074411879</v>
      </c>
      <c r="CZ36" s="24">
        <f t="shared" si="459"/>
        <v>-34843.896583699978</v>
      </c>
      <c r="DA36" s="24">
        <f t="shared" si="459"/>
        <v>39480.27121479014</v>
      </c>
      <c r="DB36" s="24">
        <f t="shared" si="459"/>
        <v>61955.975608253459</v>
      </c>
      <c r="DE36" s="123"/>
      <c r="DF36" s="23">
        <v>-419130.15539299167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>
        <f t="shared" si="463"/>
        <v>0.43354726744585953</v>
      </c>
      <c r="BB37" s="46">
        <f t="shared" si="463"/>
        <v>1.6622076311514025</v>
      </c>
      <c r="BC37" s="46">
        <f t="shared" si="463"/>
        <v>1.1259794883613734</v>
      </c>
      <c r="BD37" s="46">
        <f t="shared" si="463"/>
        <v>0.89855246802197353</v>
      </c>
      <c r="BE37" s="46">
        <f t="shared" si="463"/>
        <v>1.7133353209748796</v>
      </c>
      <c r="BF37" s="46">
        <f t="shared" si="463"/>
        <v>0.44134271066800634</v>
      </c>
      <c r="BG37" s="46">
        <f t="shared" si="463"/>
        <v>0.91339575301389131</v>
      </c>
      <c r="BH37" s="46">
        <f t="shared" si="463"/>
        <v>0.74840579296873633</v>
      </c>
      <c r="BI37" s="46">
        <f t="shared" si="463"/>
        <v>2.005818070467551</v>
      </c>
      <c r="BJ37" s="46">
        <f t="shared" si="463"/>
        <v>2.3517231590612582</v>
      </c>
      <c r="BK37" s="46">
        <f t="shared" si="463"/>
        <v>1.4779734550095605</v>
      </c>
      <c r="BL37" s="46">
        <f t="shared" si="463"/>
        <v>6.1654937851217312E-2</v>
      </c>
      <c r="BM37" s="46">
        <f t="shared" si="463"/>
        <v>3.8156885927199773</v>
      </c>
      <c r="BN37" s="46">
        <f t="shared" si="463"/>
        <v>-4.430705394190861</v>
      </c>
      <c r="BO37" s="46">
        <f t="shared" ref="BO37:CL37" si="464">(BO36-BO35)/BN168</f>
        <v>12.241952759456563</v>
      </c>
      <c r="BP37" s="46">
        <f t="shared" si="464"/>
        <v>5.2648280248988977</v>
      </c>
      <c r="BQ37" s="46">
        <f t="shared" si="464"/>
        <v>15.514716972098199</v>
      </c>
      <c r="BR37" s="46">
        <f t="shared" si="464"/>
        <v>4.4418036469839501</v>
      </c>
      <c r="BS37" s="46">
        <f t="shared" si="464"/>
        <v>4.1264693287656566</v>
      </c>
      <c r="BT37" s="46">
        <f t="shared" si="464"/>
        <v>5.2528593833677641</v>
      </c>
      <c r="BU37" s="46">
        <f t="shared" si="464"/>
        <v>1.8852754553068265</v>
      </c>
      <c r="BV37" s="46">
        <f t="shared" si="464"/>
        <v>2.3871291596164714</v>
      </c>
      <c r="BW37" s="46">
        <f t="shared" si="464"/>
        <v>-2.8131666802377655</v>
      </c>
      <c r="BX37" s="46">
        <f t="shared" si="464"/>
        <v>4.5488249111557604</v>
      </c>
      <c r="BY37" s="46">
        <f t="shared" si="464"/>
        <v>3.8637370287599575</v>
      </c>
      <c r="BZ37" s="46">
        <f t="shared" si="464"/>
        <v>1.3651635759272194</v>
      </c>
      <c r="CA37" s="46">
        <f t="shared" si="464"/>
        <v>4.8969651046595501</v>
      </c>
      <c r="CB37" s="46">
        <f t="shared" si="464"/>
        <v>2.5759427835990625</v>
      </c>
      <c r="CC37" s="46">
        <f t="shared" si="464"/>
        <v>8.5068474348807435</v>
      </c>
      <c r="CD37" s="46">
        <f t="shared" si="464"/>
        <v>5.5825917139599088</v>
      </c>
      <c r="CE37" s="46">
        <f t="shared" si="464"/>
        <v>5.7347015395986896</v>
      </c>
      <c r="CF37" s="46">
        <f t="shared" si="464"/>
        <v>5.0985682833399126</v>
      </c>
      <c r="CG37" s="46">
        <f t="shared" si="464"/>
        <v>-1.430002515783547</v>
      </c>
      <c r="CH37" s="46">
        <f t="shared" si="464"/>
        <v>0.11853604742965881</v>
      </c>
      <c r="CI37" s="46">
        <f t="shared" si="464"/>
        <v>11.810850034928491</v>
      </c>
      <c r="CJ37" s="46">
        <f t="shared" si="464"/>
        <v>-0.89990723780943416</v>
      </c>
      <c r="CK37" s="46">
        <f t="shared" si="464"/>
        <v>9.1783005646328739</v>
      </c>
      <c r="CL37" s="46">
        <f t="shared" si="464"/>
        <v>-0.47519810720808114</v>
      </c>
      <c r="CM37" s="47">
        <f t="shared" ref="CM37" si="465">+CL37</f>
        <v>-0.47519810720808114</v>
      </c>
      <c r="CN37" s="47">
        <f t="shared" ref="CN37" si="466">+CM37</f>
        <v>-0.47519810720808114</v>
      </c>
      <c r="CO37" s="47">
        <f t="shared" ref="CO37" si="467">+CN37</f>
        <v>-0.47519810720808114</v>
      </c>
      <c r="CP37" s="47">
        <f t="shared" ref="CP37" si="468">+CO37</f>
        <v>-0.47519810720808114</v>
      </c>
      <c r="CQ37" s="47">
        <f t="shared" ref="CQ37" si="469">+CP37</f>
        <v>-0.47519810720808114</v>
      </c>
      <c r="CR37" s="47">
        <f t="shared" ref="CR37" si="470">+CQ37</f>
        <v>-0.47519810720808114</v>
      </c>
      <c r="CS37" s="47">
        <f t="shared" ref="CS37" si="471">+CR37</f>
        <v>-0.47519810720808114</v>
      </c>
      <c r="CT37" s="47">
        <f t="shared" ref="CT37" si="472">+CS37</f>
        <v>-0.47519810720808114</v>
      </c>
      <c r="CU37" s="47">
        <f t="shared" ref="CU37" si="473">+CT37</f>
        <v>-0.47519810720808114</v>
      </c>
      <c r="CV37" s="47">
        <f t="shared" ref="CV37" si="474">+CU37</f>
        <v>-0.47519810720808114</v>
      </c>
      <c r="CW37" s="47">
        <f t="shared" ref="CW37" si="475">+CV37</f>
        <v>-0.47519810720808114</v>
      </c>
      <c r="CX37" s="47">
        <f t="shared" ref="CX37" si="476">+CW37</f>
        <v>-0.47519810720808114</v>
      </c>
      <c r="CY37" s="47">
        <f t="shared" ref="CY37" si="477">+CX37</f>
        <v>-0.47519810720808114</v>
      </c>
      <c r="CZ37" s="47">
        <f t="shared" ref="CZ37" si="478">+CY37</f>
        <v>-0.47519810720808114</v>
      </c>
      <c r="DA37" s="47">
        <f t="shared" ref="DA37" si="479">+CZ37</f>
        <v>-0.47519810720808114</v>
      </c>
      <c r="DB37" s="47">
        <f t="shared" ref="DB37" si="480">+DA37</f>
        <v>-0.47519810720808114</v>
      </c>
      <c r="DE37" s="130"/>
      <c r="DF37" s="46">
        <v>9.1783005646328739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-0.48949999999999999</v>
      </c>
      <c r="K38" s="26">
        <f t="shared" si="481"/>
        <v>-0.38800000000000001</v>
      </c>
      <c r="L38" s="26">
        <f t="shared" si="481"/>
        <v>1.0581999999999994</v>
      </c>
      <c r="M38" s="26">
        <f t="shared" si="481"/>
        <v>4.1551999999999998</v>
      </c>
      <c r="N38" s="26">
        <f t="shared" si="481"/>
        <v>-0.89710000000000001</v>
      </c>
      <c r="O38" s="26">
        <f t="shared" si="481"/>
        <v>4.3733000000000004</v>
      </c>
      <c r="P38" s="26">
        <f t="shared" si="481"/>
        <v>5.8628</v>
      </c>
      <c r="Q38" s="26">
        <f t="shared" si="481"/>
        <v>-109.17490000000001</v>
      </c>
      <c r="R38" s="26">
        <f t="shared" si="481"/>
        <v>-81.960400000000007</v>
      </c>
      <c r="S38" s="26">
        <f t="shared" si="481"/>
        <v>-96.269099999999995</v>
      </c>
      <c r="T38" s="26">
        <f t="shared" si="481"/>
        <v>-115.36550000000001</v>
      </c>
      <c r="U38" s="26">
        <f t="shared" ref="U38:Z38" si="482">U34+U35-U36</f>
        <v>-517.78429999999992</v>
      </c>
      <c r="V38" s="26">
        <f t="shared" si="482"/>
        <v>-849.47190000000001</v>
      </c>
      <c r="W38" s="26">
        <f t="shared" si="482"/>
        <v>-1133.7673000000002</v>
      </c>
      <c r="X38" s="26">
        <f t="shared" si="482"/>
        <v>-1743.9667000000002</v>
      </c>
      <c r="Y38" s="26">
        <f t="shared" si="482"/>
        <v>-1691.07</v>
      </c>
      <c r="Z38" s="26">
        <f t="shared" si="482"/>
        <v>-1384.82</v>
      </c>
      <c r="AA38" s="26">
        <f t="shared" ref="AA38" si="483">AA34+AA35-AA36</f>
        <v>-1903.67</v>
      </c>
      <c r="AB38" s="27">
        <f t="shared" ref="AB38:AD38" si="484">AB34+AB35-AB36</f>
        <v>-23121.77978588083</v>
      </c>
      <c r="AC38" s="27">
        <f t="shared" si="484"/>
        <v>-46793.134327250918</v>
      </c>
      <c r="AD38" s="27">
        <f t="shared" si="484"/>
        <v>-56359.223224807967</v>
      </c>
      <c r="AE38" s="27">
        <f t="shared" ref="AE38" si="485">AE34+AE35-AE36</f>
        <v>-66820.24554762867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259.98</v>
      </c>
      <c r="BA38" s="26">
        <f t="shared" si="489"/>
        <v>219.68999999999994</v>
      </c>
      <c r="BB38" s="26">
        <f t="shared" si="489"/>
        <v>361.42999999999938</v>
      </c>
      <c r="BC38" s="26">
        <f t="shared" si="489"/>
        <v>443.75</v>
      </c>
      <c r="BD38" s="26">
        <f t="shared" si="489"/>
        <v>269.42000000000007</v>
      </c>
      <c r="BE38" s="26">
        <f t="shared" si="489"/>
        <v>267.65000000000009</v>
      </c>
      <c r="BF38" s="26">
        <f t="shared" si="489"/>
        <v>441.62999999999931</v>
      </c>
      <c r="BG38" s="26">
        <f t="shared" si="489"/>
        <v>518.04999999999927</v>
      </c>
      <c r="BH38" s="26">
        <f t="shared" si="489"/>
        <v>295.44000000000051</v>
      </c>
      <c r="BI38" s="26">
        <f t="shared" si="489"/>
        <v>316.77999999999838</v>
      </c>
      <c r="BJ38" s="26">
        <f t="shared" si="489"/>
        <v>511.29000000000087</v>
      </c>
      <c r="BK38" s="26">
        <f t="shared" si="489"/>
        <v>377.83999999999878</v>
      </c>
      <c r="BL38" s="26">
        <f t="shared" si="489"/>
        <v>119.20999999999964</v>
      </c>
      <c r="BM38" s="26">
        <f t="shared" si="489"/>
        <v>469.08000000000266</v>
      </c>
      <c r="BN38" s="26">
        <f t="shared" si="489"/>
        <v>587.34000000000015</v>
      </c>
      <c r="BO38" s="26">
        <f t="shared" si="489"/>
        <v>627</v>
      </c>
      <c r="BP38" s="26">
        <f t="shared" si="489"/>
        <v>299.56999999999971</v>
      </c>
      <c r="BQ38" s="26">
        <f t="shared" si="489"/>
        <v>296.00999999999658</v>
      </c>
      <c r="BR38" s="26">
        <f t="shared" si="489"/>
        <v>501.91000000000167</v>
      </c>
      <c r="BS38" s="26">
        <f t="shared" si="489"/>
        <v>269.52999999999884</v>
      </c>
      <c r="BT38" s="26">
        <f t="shared" si="489"/>
        <v>282.50000000000182</v>
      </c>
      <c r="BU38" s="26">
        <f t="shared" si="489"/>
        <v>409.76000000000022</v>
      </c>
      <c r="BV38" s="26">
        <f t="shared" si="489"/>
        <v>725.13000000000011</v>
      </c>
      <c r="BW38" s="26">
        <f t="shared" si="489"/>
        <v>300.86000000000149</v>
      </c>
      <c r="BX38" s="26">
        <f t="shared" si="489"/>
        <v>436.94999999999709</v>
      </c>
      <c r="BY38" s="26">
        <f t="shared" si="489"/>
        <v>346.48000000000229</v>
      </c>
      <c r="BZ38" s="26">
        <f t="shared" si="489"/>
        <v>821.54999999999791</v>
      </c>
      <c r="CA38" s="26">
        <f t="shared" si="489"/>
        <v>432.63999999999942</v>
      </c>
      <c r="CB38" s="26">
        <f t="shared" si="489"/>
        <v>424.08000000000175</v>
      </c>
      <c r="CC38" s="26">
        <f t="shared" si="489"/>
        <v>369.95000000000437</v>
      </c>
      <c r="CD38" s="26">
        <f t="shared" si="489"/>
        <v>851.13000000000102</v>
      </c>
      <c r="CE38" s="26">
        <f t="shared" ref="CE38:CF38" si="490">CE34+CE35-CE36</f>
        <v>596.97999999999593</v>
      </c>
      <c r="CF38" s="26">
        <f t="shared" si="490"/>
        <v>601.43999999999869</v>
      </c>
      <c r="CG38" s="26">
        <f t="shared" ref="CG38:CH38" si="491">CG34+CG35-CG36</f>
        <v>593.53000000000065</v>
      </c>
      <c r="CH38" s="26">
        <f t="shared" si="491"/>
        <v>900.62999999999693</v>
      </c>
      <c r="CI38" s="26">
        <f t="shared" ref="CI38:CJ38" si="492">CI34+CI35-CI36</f>
        <v>656.20000000000073</v>
      </c>
      <c r="CJ38" s="26">
        <f t="shared" si="492"/>
        <v>531.75999999999681</v>
      </c>
      <c r="CK38" s="26">
        <f t="shared" ref="CK38:CL38" si="493">CK34+CK35-CK36</f>
        <v>641.94000000000597</v>
      </c>
      <c r="CL38" s="26">
        <f t="shared" si="493"/>
        <v>866.98999999999796</v>
      </c>
      <c r="CM38" s="27">
        <f t="shared" ref="CM38:DB38" si="494">CM34+CM35-CM36</f>
        <v>-5753.5529446475139</v>
      </c>
      <c r="CN38" s="27">
        <f t="shared" si="494"/>
        <v>29080.505355864567</v>
      </c>
      <c r="CO38" s="27">
        <f t="shared" si="494"/>
        <v>-17898.510710513547</v>
      </c>
      <c r="CP38" s="27">
        <f t="shared" si="494"/>
        <v>-28550.221486584334</v>
      </c>
      <c r="CQ38" s="27">
        <f t="shared" si="494"/>
        <v>-9635.6365431449358</v>
      </c>
      <c r="CR38" s="27">
        <f t="shared" si="494"/>
        <v>27786.496384226455</v>
      </c>
      <c r="CS38" s="27">
        <f t="shared" si="494"/>
        <v>-24399.417150217902</v>
      </c>
      <c r="CT38" s="27">
        <f t="shared" si="494"/>
        <v>-40544.577018114527</v>
      </c>
      <c r="CU38" s="27">
        <f t="shared" si="494"/>
        <v>-10254.883551767527</v>
      </c>
      <c r="CV38" s="27">
        <f t="shared" si="494"/>
        <v>32357.319848093077</v>
      </c>
      <c r="CW38" s="27">
        <f t="shared" si="494"/>
        <v>-29577.30083055087</v>
      </c>
      <c r="CX38" s="27">
        <f t="shared" si="494"/>
        <v>-48884.358690582681</v>
      </c>
      <c r="CY38" s="27">
        <f t="shared" si="494"/>
        <v>-11770.716145012468</v>
      </c>
      <c r="CZ38" s="27">
        <f t="shared" si="494"/>
        <v>38344.648186235616</v>
      </c>
      <c r="DA38" s="27">
        <f t="shared" si="494"/>
        <v>-35260.08018346961</v>
      </c>
      <c r="DB38" s="27">
        <f t="shared" si="494"/>
        <v>-58134.097405382192</v>
      </c>
      <c r="DE38" s="121"/>
      <c r="DF38" s="26">
        <v>408103.97974943643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-0.32979999999999998</v>
      </c>
      <c r="K39" s="23">
        <f>'Annual Raw'!L30</f>
        <v>1.0337000000000001</v>
      </c>
      <c r="L39" s="23">
        <f>'Annual Raw'!M30</f>
        <v>4.1082000000000001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14.431800000000001</v>
      </c>
      <c r="Q39" s="23">
        <f>'Annual Raw'!R30</f>
        <v>12.746600000000001</v>
      </c>
      <c r="R39" s="23">
        <f>'Annual Raw'!S30</f>
        <v>19.916399999999999</v>
      </c>
      <c r="S39" s="23">
        <f>'Annual Raw'!T30</f>
        <v>34.066099999999999</v>
      </c>
      <c r="T39" s="23">
        <f>'Annual Raw'!U30</f>
        <v>46.068300000000001</v>
      </c>
      <c r="U39" s="23">
        <f>'Annual Raw'!V30</f>
        <v>-8.6335999999999995</v>
      </c>
      <c r="V39" s="23">
        <f>'Annual Raw'!W30</f>
        <v>86.6083</v>
      </c>
      <c r="W39" s="23">
        <f>'Annual Raw'!X30</f>
        <v>54.759799999999998</v>
      </c>
      <c r="X39" s="23">
        <f>'Annual Raw'!Y30</f>
        <v>37.874600000000001</v>
      </c>
      <c r="Y39" s="23">
        <f>'Annual Raw'!Z30</f>
        <v>48.33</v>
      </c>
      <c r="Z39" s="23">
        <f>'Annual Raw'!AA30</f>
        <v>81.37</v>
      </c>
      <c r="AA39" s="23">
        <f>'Annual Raw'!AB30</f>
        <v>67.099999999999994</v>
      </c>
      <c r="AB39" s="24">
        <f>+SUM(CM39:CP39)</f>
        <v>-1930.1979504726924</v>
      </c>
      <c r="AC39" s="24">
        <f>+SUM(CQ39:CT39)</f>
        <v>-3863.169101385829</v>
      </c>
      <c r="AD39" s="24">
        <f>+SUM(CU39:CX39)</f>
        <v>-4656.1076151847037</v>
      </c>
      <c r="AE39" s="24">
        <f>+SUM(CY39:DB39)</f>
        <v>-5521.7314336528452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47.22</v>
      </c>
      <c r="BA39" s="23">
        <f>'QTR Raw'!U29</f>
        <v>29.26</v>
      </c>
      <c r="BB39" s="23">
        <f>'QTR Raw'!V29</f>
        <v>25.38</v>
      </c>
      <c r="BC39" s="23">
        <f>'QTR Raw'!W29</f>
        <v>130.30000000000001</v>
      </c>
      <c r="BD39" s="23">
        <f>'QTR Raw'!X29</f>
        <v>43.95</v>
      </c>
      <c r="BE39" s="23">
        <f>'QTR Raw'!Y29</f>
        <v>37.369999999999997</v>
      </c>
      <c r="BF39" s="23">
        <f>'QTR Raw'!Z29</f>
        <v>60.44</v>
      </c>
      <c r="BG39" s="23">
        <f>'QTR Raw'!AA29</f>
        <v>163.72999999999999</v>
      </c>
      <c r="BH39" s="23">
        <f>'QTR Raw'!AB29</f>
        <v>44.92</v>
      </c>
      <c r="BI39" s="23">
        <f>'QTR Raw'!AC29</f>
        <v>52.5</v>
      </c>
      <c r="BJ39" s="23">
        <f>'QTR Raw'!AD29</f>
        <v>53.61</v>
      </c>
      <c r="BK39" s="23">
        <f>'QTR Raw'!AE29</f>
        <v>5.94</v>
      </c>
      <c r="BL39" s="23">
        <f>'QTR Raw'!AF29</f>
        <v>-10.63</v>
      </c>
      <c r="BM39" s="23">
        <f>'QTR Raw'!AG29</f>
        <v>79.31</v>
      </c>
      <c r="BN39" s="23">
        <f>'QTR Raw'!AH29</f>
        <v>56.67</v>
      </c>
      <c r="BO39" s="23">
        <f>'QTR Raw'!AI29</f>
        <v>236.11</v>
      </c>
      <c r="BP39" s="23">
        <f>'QTR Raw'!AJ29</f>
        <v>-0.16</v>
      </c>
      <c r="BQ39" s="23">
        <f>'QTR Raw'!AK29</f>
        <v>63.16</v>
      </c>
      <c r="BR39" s="23">
        <f>'QTR Raw'!AL29</f>
        <v>-30.47</v>
      </c>
      <c r="BS39" s="23">
        <f>'QTR Raw'!AM29</f>
        <v>46.37</v>
      </c>
      <c r="BT39" s="23">
        <f>'QTR Raw'!AN29</f>
        <v>35.880000000000003</v>
      </c>
      <c r="BU39" s="23">
        <f>'QTR Raw'!AO29</f>
        <v>45.7</v>
      </c>
      <c r="BV39" s="23">
        <f>'QTR Raw'!AP29</f>
        <v>52.98</v>
      </c>
      <c r="BW39" s="23">
        <f>'QTR Raw'!AQ29</f>
        <v>38.01</v>
      </c>
      <c r="BX39" s="23">
        <f>'QTR Raw'!AR29</f>
        <v>60.21</v>
      </c>
      <c r="BY39" s="23">
        <f>'QTR Raw'!AS29</f>
        <v>42.35</v>
      </c>
      <c r="BZ39" s="23">
        <f>'QTR Raw'!AT29</f>
        <v>44.7</v>
      </c>
      <c r="CA39" s="23">
        <f>'QTR Raw'!AU29</f>
        <v>51.6</v>
      </c>
      <c r="CB39" s="23">
        <f>'QTR Raw'!AV29</f>
        <v>43.89</v>
      </c>
      <c r="CC39" s="23">
        <f>'QTR Raw'!AW29</f>
        <v>48.2</v>
      </c>
      <c r="CD39" s="23">
        <f>'QTR Raw'!AX29</f>
        <v>40.33</v>
      </c>
      <c r="CE39" s="23">
        <f>'QTR Raw'!AY29</f>
        <v>77.459999999999994</v>
      </c>
      <c r="CF39" s="23">
        <f>'QTR Raw'!AZ29</f>
        <v>72.02</v>
      </c>
      <c r="CG39" s="23">
        <f>'QTR Raw'!BA29</f>
        <v>42.71</v>
      </c>
      <c r="CH39" s="23">
        <f>'QTR Raw'!BB29</f>
        <v>87.12</v>
      </c>
      <c r="CI39" s="23">
        <f>'QTR Raw'!BC29</f>
        <v>61.83</v>
      </c>
      <c r="CJ39" s="23">
        <f>'QTR Raw'!BD29</f>
        <v>37.17</v>
      </c>
      <c r="CK39" s="23">
        <f>'QTR Raw'!BE29</f>
        <v>65.2</v>
      </c>
      <c r="CL39" s="23">
        <f>'QTR Raw'!BF29</f>
        <v>62.35</v>
      </c>
      <c r="CM39" s="24">
        <f t="shared" ref="CM39:DB39" si="495">+CM38*CM40</f>
        <v>-485.60976328797119</v>
      </c>
      <c r="CN39" s="24">
        <f t="shared" si="495"/>
        <v>2383.0331055171137</v>
      </c>
      <c r="CO39" s="24">
        <f t="shared" si="495"/>
        <v>-1520.6144748287641</v>
      </c>
      <c r="CP39" s="24">
        <f t="shared" si="495"/>
        <v>-2307.0068178730708</v>
      </c>
      <c r="CQ39" s="24">
        <f t="shared" si="495"/>
        <v>-800.0242656067096</v>
      </c>
      <c r="CR39" s="24">
        <f t="shared" si="495"/>
        <v>2297.5023762400383</v>
      </c>
      <c r="CS39" s="24">
        <f t="shared" si="495"/>
        <v>-2021.9467490735378</v>
      </c>
      <c r="CT39" s="24">
        <f t="shared" si="495"/>
        <v>-3338.7004629456201</v>
      </c>
      <c r="CU39" s="24">
        <f t="shared" si="495"/>
        <v>-848.4040681502313</v>
      </c>
      <c r="CV39" s="24">
        <f t="shared" si="495"/>
        <v>2674.5825030661736</v>
      </c>
      <c r="CW39" s="24">
        <f t="shared" si="495"/>
        <v>-2444.5971908343686</v>
      </c>
      <c r="CX39" s="24">
        <f t="shared" si="495"/>
        <v>-4037.6888592662772</v>
      </c>
      <c r="CY39" s="24">
        <f t="shared" si="495"/>
        <v>-972.95947311110717</v>
      </c>
      <c r="CZ39" s="24">
        <f t="shared" si="495"/>
        <v>3168.8489158440984</v>
      </c>
      <c r="DA39" s="24">
        <f t="shared" si="495"/>
        <v>-2913.791006562336</v>
      </c>
      <c r="DB39" s="24">
        <f t="shared" si="495"/>
        <v>-4803.8298698235003</v>
      </c>
      <c r="DE39" s="123"/>
      <c r="DF39" s="23">
        <v>36976.637435847988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>
        <f t="shared" si="497"/>
        <v>0.67374872318692536</v>
      </c>
      <c r="K40" s="90">
        <f t="shared" si="497"/>
        <v>-2.6641752577319591</v>
      </c>
      <c r="L40" s="90">
        <f t="shared" si="497"/>
        <v>3.8822528822528848</v>
      </c>
      <c r="M40" s="90">
        <f t="shared" si="497"/>
        <v>0</v>
      </c>
      <c r="N40" s="90">
        <f t="shared" si="497"/>
        <v>0</v>
      </c>
      <c r="O40" s="90">
        <f t="shared" si="497"/>
        <v>0</v>
      </c>
      <c r="P40" s="90">
        <f t="shared" si="497"/>
        <v>2.4615883195742652</v>
      </c>
      <c r="Q40" s="90">
        <f t="shared" si="497"/>
        <v>-0.11675394252708268</v>
      </c>
      <c r="R40" s="90">
        <f t="shared" si="497"/>
        <v>-0.24300027818312256</v>
      </c>
      <c r="S40" s="90">
        <f t="shared" si="497"/>
        <v>-0.35386328531169398</v>
      </c>
      <c r="T40" s="90">
        <f t="shared" si="497"/>
        <v>-0.39932475480104535</v>
      </c>
      <c r="U40" s="90">
        <f t="shared" ref="U40:Z40" si="498">U39/U38</f>
        <v>1.6674124727227149E-2</v>
      </c>
      <c r="V40" s="90">
        <f t="shared" si="498"/>
        <v>-0.1019554619758464</v>
      </c>
      <c r="W40" s="90">
        <f t="shared" si="498"/>
        <v>-4.8298976341970695E-2</v>
      </c>
      <c r="X40" s="90">
        <f t="shared" si="498"/>
        <v>-2.171750183074023E-2</v>
      </c>
      <c r="Y40" s="90">
        <f t="shared" si="498"/>
        <v>-2.8579538398765279E-2</v>
      </c>
      <c r="Z40" s="90">
        <f t="shared" si="498"/>
        <v>-5.8758539015900987E-2</v>
      </c>
      <c r="AA40" s="90">
        <f t="shared" ref="AA40" si="499">AA39/AA38</f>
        <v>-3.5247705747319648E-2</v>
      </c>
      <c r="AB40" s="91">
        <f t="shared" ref="AA40:AD40" si="500">AB39/AB38</f>
        <v>8.3479644229262823E-2</v>
      </c>
      <c r="AC40" s="91">
        <f t="shared" si="500"/>
        <v>8.2558459845166535E-2</v>
      </c>
      <c r="AD40" s="91">
        <f t="shared" si="500"/>
        <v>8.261482945945213E-2</v>
      </c>
      <c r="AE40" s="91">
        <f t="shared" ref="AE40" si="501">AE39/AE38</f>
        <v>8.2635605248068442E-2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>
        <f t="shared" si="506"/>
        <v>0.18162935610431569</v>
      </c>
      <c r="BA40" s="90">
        <f t="shared" si="506"/>
        <v>0.1331876735399882</v>
      </c>
      <c r="BB40" s="90">
        <f t="shared" si="506"/>
        <v>7.022106631989608E-2</v>
      </c>
      <c r="BC40" s="90">
        <f t="shared" si="506"/>
        <v>0.29363380281690143</v>
      </c>
      <c r="BD40" s="90">
        <f t="shared" si="506"/>
        <v>0.16312820132135697</v>
      </c>
      <c r="BE40" s="90">
        <f t="shared" si="506"/>
        <v>0.1396226415094339</v>
      </c>
      <c r="BF40" s="90">
        <f t="shared" si="506"/>
        <v>0.1368566447025793</v>
      </c>
      <c r="BG40" s="90">
        <f t="shared" si="506"/>
        <v>0.31605057426889338</v>
      </c>
      <c r="BH40" s="90">
        <f t="shared" si="506"/>
        <v>0.15204440834010263</v>
      </c>
      <c r="BI40" s="90">
        <f t="shared" si="506"/>
        <v>0.16573015973230718</v>
      </c>
      <c r="BJ40" s="90">
        <f t="shared" si="506"/>
        <v>0.10485243208355319</v>
      </c>
      <c r="BK40" s="90">
        <f t="shared" si="506"/>
        <v>1.5720940080457387E-2</v>
      </c>
      <c r="BL40" s="90">
        <f t="shared" si="506"/>
        <v>-8.9170371613119984E-2</v>
      </c>
      <c r="BM40" s="90">
        <f t="shared" si="506"/>
        <v>0.1690756374179235</v>
      </c>
      <c r="BN40" s="90">
        <f t="shared" si="506"/>
        <v>9.6485851465931124E-2</v>
      </c>
      <c r="BO40" s="90">
        <f t="shared" si="506"/>
        <v>0.37657097288676239</v>
      </c>
      <c r="BP40" s="90">
        <f t="shared" si="506"/>
        <v>-5.3409887505424499E-4</v>
      </c>
      <c r="BQ40" s="90">
        <f t="shared" si="506"/>
        <v>0.21337116989291147</v>
      </c>
      <c r="BR40" s="90">
        <f t="shared" si="506"/>
        <v>-6.0708095076806391E-2</v>
      </c>
      <c r="BS40" s="90">
        <f t="shared" si="506"/>
        <v>0.17204021815753423</v>
      </c>
      <c r="BT40" s="90">
        <f t="shared" si="506"/>
        <v>0.12700884955752131</v>
      </c>
      <c r="BU40" s="90">
        <f t="shared" si="506"/>
        <v>0.11152869972666922</v>
      </c>
      <c r="BV40" s="90">
        <f t="shared" si="506"/>
        <v>7.3062761160067838E-2</v>
      </c>
      <c r="BW40" s="90">
        <f t="shared" si="506"/>
        <v>0.1263378315495573</v>
      </c>
      <c r="BX40" s="90">
        <f t="shared" si="506"/>
        <v>0.13779608650875477</v>
      </c>
      <c r="BY40" s="90">
        <f t="shared" si="506"/>
        <v>0.12222927730316244</v>
      </c>
      <c r="BZ40" s="90">
        <f t="shared" si="506"/>
        <v>5.4409348183312174E-2</v>
      </c>
      <c r="CA40" s="90">
        <f t="shared" si="506"/>
        <v>0.1192677514792901</v>
      </c>
      <c r="CB40" s="90">
        <f t="shared" si="506"/>
        <v>0.10349462365591355</v>
      </c>
      <c r="CC40" s="90">
        <f t="shared" si="506"/>
        <v>0.13028787674009848</v>
      </c>
      <c r="CD40" s="90">
        <f t="shared" si="506"/>
        <v>4.7384065888877079E-2</v>
      </c>
      <c r="CE40" s="90">
        <f t="shared" ref="CE40:CF40" si="507">CE39/CE38</f>
        <v>0.12975309055579839</v>
      </c>
      <c r="CF40" s="90">
        <f t="shared" si="507"/>
        <v>0.11974594306996567</v>
      </c>
      <c r="CG40" s="90">
        <f t="shared" ref="CG40:CH40" si="508">CG39/CG38</f>
        <v>7.1959294391184869E-2</v>
      </c>
      <c r="CH40" s="90">
        <f t="shared" si="508"/>
        <v>9.6732287398821157E-2</v>
      </c>
      <c r="CI40" s="90">
        <f t="shared" ref="CI40:CJ40" si="509">CI39/CI38</f>
        <v>9.4224321853093457E-2</v>
      </c>
      <c r="CJ40" s="90">
        <f t="shared" si="509"/>
        <v>6.9899954866857655E-2</v>
      </c>
      <c r="CK40" s="90">
        <f t="shared" ref="CK40:CL40" si="510">CK39/CK38</f>
        <v>0.10156712465339346</v>
      </c>
      <c r="CL40" s="90">
        <f t="shared" si="510"/>
        <v>7.1915477687170729E-2</v>
      </c>
      <c r="CM40" s="91">
        <f t="shared" ref="CM40:DB40" si="511">AVERAGE(CI40:CL40)</f>
        <v>8.4401719765128821E-2</v>
      </c>
      <c r="CN40" s="91">
        <f t="shared" si="511"/>
        <v>8.1946069243137673E-2</v>
      </c>
      <c r="CO40" s="91">
        <f t="shared" si="511"/>
        <v>8.4957597837207674E-2</v>
      </c>
      <c r="CP40" s="91">
        <f t="shared" si="511"/>
        <v>8.0805216133161231E-2</v>
      </c>
      <c r="CQ40" s="91">
        <f t="shared" si="511"/>
        <v>8.3027650744658843E-2</v>
      </c>
      <c r="CR40" s="91">
        <f t="shared" si="511"/>
        <v>8.2684133489541359E-2</v>
      </c>
      <c r="CS40" s="91">
        <f t="shared" si="511"/>
        <v>8.2868649551142273E-2</v>
      </c>
      <c r="CT40" s="91">
        <f t="shared" si="511"/>
        <v>8.2346412479625916E-2</v>
      </c>
      <c r="CU40" s="91">
        <f t="shared" si="511"/>
        <v>8.2731711566242094E-2</v>
      </c>
      <c r="CV40" s="91">
        <f t="shared" si="511"/>
        <v>8.2657726771637907E-2</v>
      </c>
      <c r="CW40" s="91">
        <f t="shared" si="511"/>
        <v>8.2651125092162048E-2</v>
      </c>
      <c r="CX40" s="91">
        <f t="shared" si="511"/>
        <v>8.2596743977416995E-2</v>
      </c>
      <c r="CY40" s="91">
        <f t="shared" si="511"/>
        <v>8.2659326851864764E-2</v>
      </c>
      <c r="CZ40" s="91">
        <f t="shared" si="511"/>
        <v>8.2641230673270435E-2</v>
      </c>
      <c r="DA40" s="91">
        <f t="shared" si="511"/>
        <v>8.2637106648678571E-2</v>
      </c>
      <c r="DB40" s="91">
        <f t="shared" si="511"/>
        <v>8.2633602037807688E-2</v>
      </c>
      <c r="DE40" s="127"/>
      <c r="DF40" s="90">
        <v>9.0605922193041422E-2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-0.15970000000000001</v>
      </c>
      <c r="K41" s="26">
        <f t="shared" si="513"/>
        <v>-1.4217</v>
      </c>
      <c r="L41" s="26">
        <f t="shared" si="513"/>
        <v>-3.0500000000000007</v>
      </c>
      <c r="M41" s="26">
        <f t="shared" si="513"/>
        <v>4.1551999999999998</v>
      </c>
      <c r="N41" s="26">
        <f t="shared" si="513"/>
        <v>-0.89710000000000001</v>
      </c>
      <c r="O41" s="26">
        <f t="shared" si="513"/>
        <v>4.3733000000000004</v>
      </c>
      <c r="P41" s="26">
        <f t="shared" si="513"/>
        <v>-8.5690000000000008</v>
      </c>
      <c r="Q41" s="26">
        <f t="shared" si="513"/>
        <v>-121.92150000000001</v>
      </c>
      <c r="R41" s="26">
        <f t="shared" si="513"/>
        <v>-101.8768</v>
      </c>
      <c r="S41" s="26">
        <f t="shared" si="513"/>
        <v>-130.33519999999999</v>
      </c>
      <c r="T41" s="26">
        <f t="shared" si="513"/>
        <v>-161.43380000000002</v>
      </c>
      <c r="U41" s="26">
        <f t="shared" ref="U41:Z41" si="514">U38-U39</f>
        <v>-509.15069999999992</v>
      </c>
      <c r="V41" s="26">
        <f t="shared" si="514"/>
        <v>-936.08019999999999</v>
      </c>
      <c r="W41" s="26">
        <f t="shared" si="514"/>
        <v>-1188.5271000000002</v>
      </c>
      <c r="X41" s="26">
        <f t="shared" si="514"/>
        <v>-1781.8413000000003</v>
      </c>
      <c r="Y41" s="26">
        <f t="shared" si="514"/>
        <v>-1739.3999999999999</v>
      </c>
      <c r="Z41" s="26">
        <f t="shared" si="514"/>
        <v>-1466.19</v>
      </c>
      <c r="AA41" s="26">
        <f t="shared" ref="AA41" si="515">AA38-AA39</f>
        <v>-1970.77</v>
      </c>
      <c r="AB41" s="27">
        <f t="shared" ref="AA41:AD41" si="516">AB38-AB39</f>
        <v>-21191.581835408138</v>
      </c>
      <c r="AC41" s="27">
        <f t="shared" si="516"/>
        <v>-42929.965225865089</v>
      </c>
      <c r="AD41" s="27">
        <f t="shared" si="516"/>
        <v>-51703.115609623266</v>
      </c>
      <c r="AE41" s="27">
        <f t="shared" ref="AE41" si="517">AE38-AE39</f>
        <v>-61298.514113975827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212.76000000000002</v>
      </c>
      <c r="BA41" s="26">
        <f t="shared" si="521"/>
        <v>190.42999999999995</v>
      </c>
      <c r="BB41" s="26">
        <f t="shared" si="521"/>
        <v>336.04999999999939</v>
      </c>
      <c r="BC41" s="26">
        <f t="shared" si="521"/>
        <v>313.45</v>
      </c>
      <c r="BD41" s="26">
        <f t="shared" si="521"/>
        <v>225.47000000000008</v>
      </c>
      <c r="BE41" s="26">
        <f t="shared" si="521"/>
        <v>230.28000000000009</v>
      </c>
      <c r="BF41" s="26">
        <f t="shared" si="521"/>
        <v>381.18999999999932</v>
      </c>
      <c r="BG41" s="26">
        <f t="shared" si="521"/>
        <v>354.31999999999925</v>
      </c>
      <c r="BH41" s="26">
        <f t="shared" si="521"/>
        <v>250.52000000000049</v>
      </c>
      <c r="BI41" s="26">
        <f t="shared" si="521"/>
        <v>264.27999999999838</v>
      </c>
      <c r="BJ41" s="26">
        <f t="shared" si="521"/>
        <v>457.68000000000086</v>
      </c>
      <c r="BK41" s="26">
        <f t="shared" si="521"/>
        <v>371.89999999999878</v>
      </c>
      <c r="BL41" s="26">
        <f t="shared" si="521"/>
        <v>129.83999999999963</v>
      </c>
      <c r="BM41" s="26">
        <f t="shared" si="521"/>
        <v>389.77000000000265</v>
      </c>
      <c r="BN41" s="26">
        <f t="shared" si="521"/>
        <v>530.67000000000019</v>
      </c>
      <c r="BO41" s="26">
        <f t="shared" si="521"/>
        <v>390.89</v>
      </c>
      <c r="BP41" s="26">
        <f t="shared" si="521"/>
        <v>299.72999999999973</v>
      </c>
      <c r="BQ41" s="26">
        <f t="shared" si="521"/>
        <v>232.84999999999658</v>
      </c>
      <c r="BR41" s="26">
        <f t="shared" si="521"/>
        <v>532.3800000000017</v>
      </c>
      <c r="BS41" s="26">
        <f t="shared" si="521"/>
        <v>223.15999999999883</v>
      </c>
      <c r="BT41" s="26">
        <f t="shared" si="521"/>
        <v>246.62000000000182</v>
      </c>
      <c r="BU41" s="26">
        <f t="shared" si="521"/>
        <v>364.06000000000023</v>
      </c>
      <c r="BV41" s="26">
        <f t="shared" si="521"/>
        <v>672.15000000000009</v>
      </c>
      <c r="BW41" s="26">
        <f t="shared" si="521"/>
        <v>262.8500000000015</v>
      </c>
      <c r="BX41" s="26">
        <f t="shared" si="521"/>
        <v>376.73999999999711</v>
      </c>
      <c r="BY41" s="26">
        <f t="shared" si="521"/>
        <v>304.13000000000227</v>
      </c>
      <c r="BZ41" s="26">
        <f t="shared" si="521"/>
        <v>776.84999999999786</v>
      </c>
      <c r="CA41" s="26">
        <f t="shared" si="521"/>
        <v>381.0399999999994</v>
      </c>
      <c r="CB41" s="26">
        <f t="shared" si="521"/>
        <v>380.19000000000176</v>
      </c>
      <c r="CC41" s="26">
        <f t="shared" si="521"/>
        <v>321.75000000000438</v>
      </c>
      <c r="CD41" s="26">
        <f t="shared" si="521"/>
        <v>810.80000000000098</v>
      </c>
      <c r="CE41" s="26">
        <f t="shared" ref="CE41:CF41" si="522">CE38-CE39</f>
        <v>519.51999999999589</v>
      </c>
      <c r="CF41" s="26">
        <f t="shared" si="522"/>
        <v>529.41999999999871</v>
      </c>
      <c r="CG41" s="26">
        <f t="shared" ref="CG41:CH41" si="523">CG38-CG39</f>
        <v>550.82000000000062</v>
      </c>
      <c r="CH41" s="26">
        <f t="shared" si="523"/>
        <v>813.50999999999692</v>
      </c>
      <c r="CI41" s="26">
        <f t="shared" ref="CI41:CJ41" si="524">CI38-CI39</f>
        <v>594.37000000000069</v>
      </c>
      <c r="CJ41" s="26">
        <f t="shared" si="524"/>
        <v>494.58999999999679</v>
      </c>
      <c r="CK41" s="26">
        <f t="shared" ref="CK41:CL41" si="525">CK38-CK39</f>
        <v>576.74000000000592</v>
      </c>
      <c r="CL41" s="26">
        <f t="shared" si="525"/>
        <v>804.63999999999794</v>
      </c>
      <c r="CM41" s="27">
        <f t="shared" ref="CM41:DB41" si="526">CM38-CM39</f>
        <v>-5267.9431813595429</v>
      </c>
      <c r="CN41" s="27">
        <f t="shared" si="526"/>
        <v>26697.472250347455</v>
      </c>
      <c r="CO41" s="27">
        <f t="shared" si="526"/>
        <v>-16377.896235684782</v>
      </c>
      <c r="CP41" s="27">
        <f t="shared" si="526"/>
        <v>-26243.214668711262</v>
      </c>
      <c r="CQ41" s="27">
        <f t="shared" si="526"/>
        <v>-8835.6122775382264</v>
      </c>
      <c r="CR41" s="27">
        <f t="shared" si="526"/>
        <v>25488.994007986417</v>
      </c>
      <c r="CS41" s="27">
        <f t="shared" si="526"/>
        <v>-22377.470401144365</v>
      </c>
      <c r="CT41" s="27">
        <f t="shared" si="526"/>
        <v>-37205.876555168907</v>
      </c>
      <c r="CU41" s="27">
        <f t="shared" si="526"/>
        <v>-9406.479483617295</v>
      </c>
      <c r="CV41" s="27">
        <f t="shared" si="526"/>
        <v>29682.737345026904</v>
      </c>
      <c r="CW41" s="27">
        <f t="shared" si="526"/>
        <v>-27132.703639716503</v>
      </c>
      <c r="CX41" s="27">
        <f t="shared" si="526"/>
        <v>-44846.669831316402</v>
      </c>
      <c r="CY41" s="27">
        <f t="shared" si="526"/>
        <v>-10797.756671901361</v>
      </c>
      <c r="CZ41" s="27">
        <f t="shared" si="526"/>
        <v>35175.799270391515</v>
      </c>
      <c r="DA41" s="27">
        <f t="shared" si="526"/>
        <v>-32346.289176907274</v>
      </c>
      <c r="DB41" s="27">
        <f t="shared" si="526"/>
        <v>-53330.267535558691</v>
      </c>
      <c r="DE41" s="121"/>
      <c r="DF41" s="26">
        <v>371127.34231358842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 t="e">
        <f t="shared" si="528"/>
        <v>#DIV/0!</v>
      </c>
      <c r="P42" s="45" t="e">
        <f t="shared" si="528"/>
        <v>#DIV/0!</v>
      </c>
      <c r="Q42" s="45" t="e">
        <f t="shared" si="528"/>
        <v>#DIV/0!</v>
      </c>
      <c r="R42" s="45" t="e">
        <f t="shared" si="528"/>
        <v>#DIV/0!</v>
      </c>
      <c r="S42" s="45" t="e">
        <f t="shared" si="528"/>
        <v>#DIV/0!</v>
      </c>
      <c r="T42" s="45" t="e">
        <f t="shared" si="528"/>
        <v>#DIV/0!</v>
      </c>
      <c r="U42" s="45" t="e">
        <f t="shared" si="528"/>
        <v>#DIV/0!</v>
      </c>
      <c r="V42" s="45" t="e">
        <f t="shared" si="528"/>
        <v>#DIV/0!</v>
      </c>
      <c r="W42" s="45" t="e">
        <f t="shared" si="528"/>
        <v>#DIV/0!</v>
      </c>
      <c r="X42" s="45" t="e">
        <f t="shared" si="528"/>
        <v>#DIV/0!</v>
      </c>
      <c r="Y42" s="45" t="e">
        <f t="shared" si="528"/>
        <v>#DIV/0!</v>
      </c>
      <c r="Z42" s="45" t="e">
        <f t="shared" ref="Z42:AA42" si="529">+Z41/Z10</f>
        <v>#DIV/0!</v>
      </c>
      <c r="AA42" s="45" t="e">
        <f t="shared" si="529"/>
        <v>#DIV/0!</v>
      </c>
      <c r="AB42" s="48">
        <f t="shared" si="528"/>
        <v>-0.17825617729591792</v>
      </c>
      <c r="AC42" s="48">
        <f t="shared" si="528"/>
        <v>-0.30378135717591404</v>
      </c>
      <c r="AD42" s="48">
        <f t="shared" si="528"/>
        <v>-0.30782382554459464</v>
      </c>
      <c r="AE42" s="48">
        <f t="shared" si="528"/>
        <v>-0.3070675942219237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>
        <f t="shared" si="530"/>
        <v>4.3230985863979665E-2</v>
      </c>
      <c r="BA42" s="45">
        <f t="shared" si="530"/>
        <v>3.6321640014648431E-2</v>
      </c>
      <c r="BB42" s="45">
        <f t="shared" si="530"/>
        <v>4.5745672844589864E-2</v>
      </c>
      <c r="BC42" s="45">
        <f t="shared" si="530"/>
        <v>8.3307198783813236E-2</v>
      </c>
      <c r="BD42" s="45">
        <f t="shared" si="530"/>
        <v>4.1873352932546161E-2</v>
      </c>
      <c r="BE42" s="45">
        <f t="shared" si="530"/>
        <v>3.3983598501227098E-2</v>
      </c>
      <c r="BF42" s="45">
        <f t="shared" si="530"/>
        <v>4.1269067957170773E-2</v>
      </c>
      <c r="BG42" s="45">
        <f t="shared" si="530"/>
        <v>7.4522769911578718E-2</v>
      </c>
      <c r="BH42" s="45">
        <f t="shared" si="530"/>
        <v>3.269834432980278E-2</v>
      </c>
      <c r="BI42" s="45">
        <f t="shared" si="530"/>
        <v>2.8910675333597161E-2</v>
      </c>
      <c r="BJ42" s="45">
        <f t="shared" si="530"/>
        <v>4.038464592844633E-2</v>
      </c>
      <c r="BK42" s="45">
        <f t="shared" si="530"/>
        <v>5.5882626949280208E-2</v>
      </c>
      <c r="BL42" s="45">
        <f t="shared" si="530"/>
        <v>1.2840812104225743E-2</v>
      </c>
      <c r="BM42" s="45">
        <f t="shared" si="530"/>
        <v>3.332931435348746E-2</v>
      </c>
      <c r="BN42" s="45">
        <f t="shared" si="530"/>
        <v>4.473327949638288E-2</v>
      </c>
      <c r="BO42" s="45">
        <f t="shared" ref="BO42:CT42" si="531">+BO41/BO10</f>
        <v>5.151362200501048E-2</v>
      </c>
      <c r="BP42" s="45">
        <f t="shared" si="531"/>
        <v>2.3310869928721119E-2</v>
      </c>
      <c r="BQ42" s="45">
        <f t="shared" si="531"/>
        <v>1.691426064305401E-2</v>
      </c>
      <c r="BR42" s="45">
        <f t="shared" si="531"/>
        <v>3.4224022772301521E-2</v>
      </c>
      <c r="BS42" s="45">
        <f t="shared" si="531"/>
        <v>2.6846154308846123E-2</v>
      </c>
      <c r="BT42" s="45">
        <f t="shared" si="531"/>
        <v>1.6821912276681089E-2</v>
      </c>
      <c r="BU42" s="45">
        <f t="shared" si="531"/>
        <v>2.0197122495331586E-2</v>
      </c>
      <c r="BV42" s="45">
        <f t="shared" si="531"/>
        <v>3.8554483625744748E-2</v>
      </c>
      <c r="BW42" s="45">
        <f t="shared" si="531"/>
        <v>2.3817463179660919E-2</v>
      </c>
      <c r="BX42" s="45">
        <f t="shared" si="531"/>
        <v>2.2864238350308069E-2</v>
      </c>
      <c r="BY42" s="45">
        <f t="shared" si="531"/>
        <v>1.5864231018006672E-2</v>
      </c>
      <c r="BZ42" s="45">
        <f t="shared" si="531"/>
        <v>3.904373139159216E-2</v>
      </c>
      <c r="CA42" s="45">
        <f t="shared" si="531"/>
        <v>2.907705679503738E-2</v>
      </c>
      <c r="CB42" s="45">
        <f t="shared" si="531"/>
        <v>1.8962416320276839E-2</v>
      </c>
      <c r="CC42" s="45">
        <f t="shared" si="531"/>
        <v>1.4417602783953034E-2</v>
      </c>
      <c r="CD42" s="45">
        <f t="shared" si="531"/>
        <v>3.2281606451862101E-2</v>
      </c>
      <c r="CE42" s="45">
        <f t="shared" si="531"/>
        <v>3.4392816381869092E-2</v>
      </c>
      <c r="CF42" s="45">
        <f t="shared" si="531"/>
        <v>2.6123427793211262E-2</v>
      </c>
      <c r="CG42" s="45">
        <f t="shared" si="531"/>
        <v>2.2185846845881655E-2</v>
      </c>
      <c r="CH42" s="45">
        <f t="shared" si="531"/>
        <v>3.4094123770834858E-2</v>
      </c>
      <c r="CI42" s="45">
        <f t="shared" ref="CI42:CJ42" si="532">+CI41/CI10</f>
        <v>3.459964490496846E-2</v>
      </c>
      <c r="CJ42" s="45">
        <f t="shared" si="532"/>
        <v>1.990437176612803E-2</v>
      </c>
      <c r="CK42" s="45">
        <f t="shared" ref="CK42:CL42" si="533">+CK41/CK10</f>
        <v>1.9068735262182907E-2</v>
      </c>
      <c r="CL42" s="45">
        <f t="shared" si="533"/>
        <v>2.9065384472284968E-2</v>
      </c>
      <c r="CM42" s="48">
        <f t="shared" si="531"/>
        <v>-0.25868690118345739</v>
      </c>
      <c r="CN42" s="48">
        <f t="shared" si="531"/>
        <v>0.89721968708151123</v>
      </c>
      <c r="CO42" s="48">
        <f t="shared" si="531"/>
        <v>-0.45491132755561409</v>
      </c>
      <c r="CP42" s="48">
        <f t="shared" si="531"/>
        <v>-0.80106527875932942</v>
      </c>
      <c r="CQ42" s="48">
        <f t="shared" si="531"/>
        <v>-0.36486089059652166</v>
      </c>
      <c r="CR42" s="48">
        <f t="shared" si="531"/>
        <v>0.71977871069229837</v>
      </c>
      <c r="CS42" s="48">
        <f t="shared" si="531"/>
        <v>-0.52308579951749479</v>
      </c>
      <c r="CT42" s="48">
        <f t="shared" si="531"/>
        <v>-0.95619738415988187</v>
      </c>
      <c r="CU42" s="48">
        <f t="shared" ref="CU42:DB42" si="534">+CU41/CU10</f>
        <v>-0.32674277985743311</v>
      </c>
      <c r="CV42" s="48">
        <f t="shared" si="534"/>
        <v>0.70513327481588794</v>
      </c>
      <c r="CW42" s="48">
        <f t="shared" si="534"/>
        <v>-0.53370575534444775</v>
      </c>
      <c r="CX42" s="48">
        <f t="shared" si="534"/>
        <v>-0.96984309914658384</v>
      </c>
      <c r="CY42" s="48">
        <f t="shared" si="534"/>
        <v>-0.31556239954227089</v>
      </c>
      <c r="CZ42" s="48">
        <f t="shared" si="534"/>
        <v>0.70308076114206464</v>
      </c>
      <c r="DA42" s="48">
        <f t="shared" si="534"/>
        <v>-0.53535950390763709</v>
      </c>
      <c r="DB42" s="48">
        <f t="shared" si="534"/>
        <v>-0.97039515783078201</v>
      </c>
      <c r="DE42" s="129"/>
      <c r="DF42" s="45">
        <v>13.729416454095329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>
        <f t="shared" si="536"/>
        <v>-7.9023168440826534</v>
      </c>
      <c r="L43" s="39">
        <f t="shared" si="536"/>
        <v>-1.1453189843145535</v>
      </c>
      <c r="M43" s="39">
        <f t="shared" si="536"/>
        <v>2.3623606557377048</v>
      </c>
      <c r="N43" s="39">
        <f t="shared" si="536"/>
        <v>-1.2158981517135157</v>
      </c>
      <c r="O43" s="39">
        <f t="shared" si="536"/>
        <v>5.8749303310667713</v>
      </c>
      <c r="P43" s="39">
        <f t="shared" si="536"/>
        <v>-2.9593899343744998</v>
      </c>
      <c r="Q43" s="39">
        <f t="shared" si="536"/>
        <v>-13.228206325125452</v>
      </c>
      <c r="R43" s="39">
        <f t="shared" si="536"/>
        <v>0.16440660588985534</v>
      </c>
      <c r="S43" s="39">
        <f t="shared" si="536"/>
        <v>-0.27934132206743811</v>
      </c>
      <c r="T43" s="39">
        <f t="shared" si="536"/>
        <v>-0.23860476678594922</v>
      </c>
      <c r="U43" s="39">
        <f t="shared" si="536"/>
        <v>-2.1539287311579103</v>
      </c>
      <c r="V43" s="39">
        <f t="shared" si="536"/>
        <v>-0.83851303749557871</v>
      </c>
      <c r="W43" s="39">
        <f t="shared" si="536"/>
        <v>-0.26968511886054225</v>
      </c>
      <c r="X43" s="39">
        <f t="shared" si="536"/>
        <v>-0.4992012382384885</v>
      </c>
      <c r="Y43" s="39">
        <f t="shared" si="536"/>
        <v>2.3818787902155192E-2</v>
      </c>
      <c r="Z43" s="39">
        <f t="shared" ref="Z43:AA43" si="537">+IF(Y41&lt;0,1-Z41/Y41,Z41/Y41-1)</f>
        <v>0.15707140393239039</v>
      </c>
      <c r="AA43" s="39">
        <f t="shared" si="537"/>
        <v>-0.34414366487290171</v>
      </c>
      <c r="AB43" s="40">
        <f t="shared" si="536"/>
        <v>-9.7529452119771154</v>
      </c>
      <c r="AC43" s="40">
        <f t="shared" si="536"/>
        <v>-1.0258027720297491</v>
      </c>
      <c r="AD43" s="40">
        <f t="shared" si="536"/>
        <v>-0.20435959678980598</v>
      </c>
      <c r="AE43" s="40">
        <f t="shared" si="536"/>
        <v>-0.18558646594532524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>
        <f t="shared" ref="BD43" si="554">+IF(AZ41&lt;0,1-BD41/AZ41,BD41/AZ41-1)</f>
        <v>5.9738672682835503E-2</v>
      </c>
      <c r="BE43" s="39">
        <f t="shared" ref="BE43" si="555">+IF(BA41&lt;0,1-BE41/BA41,BE41/BA41-1)</f>
        <v>0.20926324633723747</v>
      </c>
      <c r="BF43" s="39">
        <f t="shared" ref="BF43" si="556">+IF(BB41&lt;0,1-BF41/BB41,BF41/BB41-1)</f>
        <v>0.13432524921886624</v>
      </c>
      <c r="BG43" s="39">
        <f t="shared" ref="BG43" si="557">+IF(BC41&lt;0,1-BG41/BC41,BG41/BC41-1)</f>
        <v>0.13038762163024176</v>
      </c>
      <c r="BH43" s="39">
        <f t="shared" ref="BH43" si="558">+IF(BD41&lt;0,1-BH41/BD41,BH41/BD41-1)</f>
        <v>0.1111012551558983</v>
      </c>
      <c r="BI43" s="39">
        <f t="shared" ref="BI43" si="559">+IF(BE41&lt;0,1-BI41/BE41,BI41/BE41-1)</f>
        <v>0.14764634358171924</v>
      </c>
      <c r="BJ43" s="39">
        <f t="shared" ref="BJ43" si="560">+IF(BF41&lt;0,1-BJ41/BF41,BJ41/BF41-1)</f>
        <v>0.20066108764658486</v>
      </c>
      <c r="BK43" s="39">
        <f t="shared" ref="BK43" si="561">+IF(BG41&lt;0,1-BK41/BG41,BK41/BG41-1)</f>
        <v>4.9616166177465448E-2</v>
      </c>
      <c r="BL43" s="39">
        <f t="shared" ref="BL43" si="562">+IF(BH41&lt;0,1-BL41/BH41,BL41/BH41-1)</f>
        <v>-0.48171802650487239</v>
      </c>
      <c r="BM43" s="39">
        <f t="shared" ref="BM43" si="563">+IF(BI41&lt;0,1-BM41/BI41,BM41/BI41-1)</f>
        <v>0.47483729377934414</v>
      </c>
      <c r="BN43" s="39">
        <f t="shared" ref="BN43" si="564">+IF(BJ41&lt;0,1-BN41/BJ41,BN41/BJ41-1)</f>
        <v>0.15947823807026573</v>
      </c>
      <c r="BO43" s="39">
        <f t="shared" ref="BO43" si="565">+IF(BK41&lt;0,1-BO41/BK41,BO41/BK41-1)</f>
        <v>5.1062113471366688E-2</v>
      </c>
      <c r="BP43" s="39">
        <f t="shared" ref="BP43" si="566">+IF(BL41&lt;0,1-BP41/BL41,BP41/BL41-1)</f>
        <v>1.3084565619223705</v>
      </c>
      <c r="BQ43" s="39">
        <f t="shared" ref="BQ43" si="567">+IF(BM41&lt;0,1-BQ41/BM41,BQ41/BM41-1)</f>
        <v>-0.40259640300691435</v>
      </c>
      <c r="BR43" s="39">
        <f t="shared" ref="BR43" si="568">+IF(BN41&lt;0,1-BR41/BN41,BR41/BN41-1)</f>
        <v>3.2223415682091083E-3</v>
      </c>
      <c r="BS43" s="39">
        <f t="shared" ref="BS43" si="569">+IF(BO41&lt;0,1-BS41/BO41,BS41/BO41-1)</f>
        <v>-0.4290977001202414</v>
      </c>
      <c r="BT43" s="39">
        <f t="shared" ref="BT43" si="570">+IF(BP41&lt;0,1-BT41/BP41,BT41/BP41-1)</f>
        <v>-0.17719280685950012</v>
      </c>
      <c r="BU43" s="39">
        <f t="shared" ref="BU43" si="571">+IF(BQ41&lt;0,1-BU41/BQ41,BU41/BQ41-1)</f>
        <v>0.56349581275501648</v>
      </c>
      <c r="BV43" s="39">
        <f t="shared" ref="BV43" si="572">+IF(BR41&lt;0,1-BV41/BR41,BV41/BR41-1)</f>
        <v>0.26253803674067</v>
      </c>
      <c r="BW43" s="39">
        <f t="shared" ref="BW43" si="573">+IF(BS41&lt;0,1-BW41/BS41,BW41/BS41-1)</f>
        <v>0.17785445420327517</v>
      </c>
      <c r="BX43" s="39">
        <f t="shared" ref="BX43" si="574">+IF(BT41&lt;0,1-BX41/BT41,BX41/BT41-1)</f>
        <v>0.52761333225202467</v>
      </c>
      <c r="BY43" s="39">
        <f t="shared" ref="BY43" si="575">+IF(BU41&lt;0,1-BY41/BU41,BY41/BU41-1)</f>
        <v>-0.16461572268306857</v>
      </c>
      <c r="BZ43" s="39">
        <f t="shared" ref="BZ43" si="576">+IF(BV41&lt;0,1-BZ41/BV41,BZ41/BV41-1)</f>
        <v>0.15576880160678086</v>
      </c>
      <c r="CA43" s="39">
        <f t="shared" ref="CA43" si="577">+IF(BW41&lt;0,1-CA41/BW41,CA41/BW41-1)</f>
        <v>0.44964808826325742</v>
      </c>
      <c r="CB43" s="39">
        <f t="shared" ref="CB43" si="578">+IF(BX41&lt;0,1-CB41/BX41,CB41/BX41-1)</f>
        <v>9.1575091575215595E-3</v>
      </c>
      <c r="CC43" s="39">
        <f t="shared" ref="CC43" si="579">+IF(BY41&lt;0,1-CC41/BY41,CC41/BY41-1)</f>
        <v>5.7935751159050364E-2</v>
      </c>
      <c r="CD43" s="39">
        <f t="shared" ref="CD43" si="580">+IF(BZ41&lt;0,1-CD41/BZ41,CD41/BZ41-1)</f>
        <v>4.3702130398407979E-2</v>
      </c>
      <c r="CE43" s="39">
        <f t="shared" ref="CE43" si="581">+IF(CA41&lt;0,1-CE41/CA41,CE41/CA41-1)</f>
        <v>0.3634264119252486</v>
      </c>
      <c r="CF43" s="39">
        <f t="shared" ref="CF43" si="582">+IF(CB41&lt;0,1-CF41/CB41,CF41/CB41-1)</f>
        <v>0.39251426918118892</v>
      </c>
      <c r="CG43" s="39">
        <f t="shared" ref="CG43" si="583">+IF(CC41&lt;0,1-CG41/CC41,CG41/CC41-1)</f>
        <v>0.71195027195025062</v>
      </c>
      <c r="CH43" s="39">
        <f t="shared" ref="CH43:CL43" si="584">+IF(CD41&lt;0,1-CH41/CD41,CH41/CD41-1)</f>
        <v>3.3423778983669994E-3</v>
      </c>
      <c r="CI43" s="39">
        <f t="shared" si="584"/>
        <v>0.14407530027718929</v>
      </c>
      <c r="CJ43" s="39">
        <f t="shared" si="584"/>
        <v>-6.5788976615923089E-2</v>
      </c>
      <c r="CK43" s="39">
        <f t="shared" si="584"/>
        <v>4.7057114846964954E-2</v>
      </c>
      <c r="CL43" s="39">
        <f t="shared" si="584"/>
        <v>-1.0903369350098946E-2</v>
      </c>
      <c r="CM43" s="40">
        <f t="shared" ref="CM43" si="585">+CM41/CI41-1</f>
        <v>-9.863070446623377</v>
      </c>
      <c r="CN43" s="40">
        <f t="shared" ref="CN43" si="586">+CN41/CJ41-1</f>
        <v>52.978997250950542</v>
      </c>
      <c r="CO43" s="40">
        <f t="shared" ref="CO43" si="587">+CO41/CK41-1</f>
        <v>-29.397364905650058</v>
      </c>
      <c r="CP43" s="40">
        <f t="shared" ref="CP43" si="588">+CP41/CL41-1</f>
        <v>-33.61485219316878</v>
      </c>
      <c r="CQ43" s="40">
        <f t="shared" ref="CQ43" si="589">+CQ41/CM41-1</f>
        <v>0.67724137739426893</v>
      </c>
      <c r="CR43" s="40">
        <f t="shared" ref="CR43" si="590">+CR41/CN41-1</f>
        <v>-4.5265642793029248E-2</v>
      </c>
      <c r="CS43" s="40">
        <f t="shared" ref="CS43" si="591">+CS41/CO41-1</f>
        <v>0.36632141754491543</v>
      </c>
      <c r="CT43" s="40">
        <f t="shared" ref="CT43" si="592">+CT41/CP41-1</f>
        <v>0.41773319407884846</v>
      </c>
      <c r="CU43" s="40">
        <f t="shared" ref="CU43" si="593">+CU41/CQ41-1</f>
        <v>6.4609807237730355E-2</v>
      </c>
      <c r="CV43" s="40">
        <f t="shared" ref="CV43" si="594">+CV41/CR41-1</f>
        <v>0.16453153607107707</v>
      </c>
      <c r="CW43" s="40">
        <f t="shared" ref="CW43" si="595">+CW41/CS41-1</f>
        <v>0.21250092853788161</v>
      </c>
      <c r="CX43" s="40">
        <f t="shared" ref="CX43" si="596">+CX41/CT41-1</f>
        <v>0.20536522677587565</v>
      </c>
      <c r="CY43" s="40">
        <f t="shared" ref="CY43" si="597">+CY41/CU41-1</f>
        <v>0.14790625873443619</v>
      </c>
      <c r="CZ43" s="40">
        <f t="shared" ref="CZ43" si="598">+CZ41/CV41-1</f>
        <v>0.1850591426765742</v>
      </c>
      <c r="DA43" s="40">
        <f t="shared" ref="DA43" si="599">+DA41/CW41-1</f>
        <v>0.19215134644964715</v>
      </c>
      <c r="DB43" s="40">
        <f t="shared" ref="DB43" si="600">+DB41/CX41-1</f>
        <v>0.18916895582552695</v>
      </c>
      <c r="DE43" s="122"/>
      <c r="DF43" s="39">
        <v>455.20501568953034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>
        <f t="shared" ref="BA44" si="615">+IF(AZ41&lt;0,1-BA41/AZ41,BA41/AZ41-1)</f>
        <v>-0.10495393871028424</v>
      </c>
      <c r="BB44" s="39">
        <f t="shared" ref="BB44" si="616">+IF(BA41&lt;0,1-BB41/BA41,BB41/BA41-1)</f>
        <v>0.76469043743107434</v>
      </c>
      <c r="BC44" s="39">
        <f t="shared" ref="BC44" si="617">+IF(BB41&lt;0,1-BC41/BB41,BC41/BB41-1)</f>
        <v>-6.7251897039129371E-2</v>
      </c>
      <c r="BD44" s="39">
        <f t="shared" ref="BD44" si="618">+IF(BC41&lt;0,1-BD41/BC41,BD41/BC41-1)</f>
        <v>-0.28068272451746656</v>
      </c>
      <c r="BE44" s="39">
        <f t="shared" ref="BE44" si="619">+IF(BD41&lt;0,1-BE41/BD41,BE41/BD41-1)</f>
        <v>2.1333215061870803E-2</v>
      </c>
      <c r="BF44" s="39">
        <f t="shared" ref="BF44" si="620">+IF(BE41&lt;0,1-BF41/BE41,BF41/BE41-1)</f>
        <v>0.65533263852700707</v>
      </c>
      <c r="BG44" s="39">
        <f t="shared" ref="BG44" si="621">+IF(BF41&lt;0,1-BG41/BF41,BG41/BF41-1)</f>
        <v>-7.0489781998478773E-2</v>
      </c>
      <c r="BH44" s="39">
        <f t="shared" ref="BH44" si="622">+IF(BG41&lt;0,1-BH41/BG41,BH41/BG41-1)</f>
        <v>-0.29295552043350359</v>
      </c>
      <c r="BI44" s="39">
        <f t="shared" ref="BI44" si="623">+IF(BH41&lt;0,1-BI41/BH41,BI41/BH41-1)</f>
        <v>5.492575443077552E-2</v>
      </c>
      <c r="BJ44" s="39">
        <f t="shared" ref="BJ44" si="624">+IF(BI41&lt;0,1-BJ41/BI41,BJ41/BI41-1)</f>
        <v>0.73179960647799169</v>
      </c>
      <c r="BK44" s="39">
        <f t="shared" ref="BK44" si="625">+IF(BJ41&lt;0,1-BK41/BJ41,BK41/BJ41-1)</f>
        <v>-0.18742352735536161</v>
      </c>
      <c r="BL44" s="39">
        <f t="shared" ref="BL44" si="626">+IF(BK41&lt;0,1-BL41/BK41,BL41/BK41-1)</f>
        <v>-0.65087389083086833</v>
      </c>
      <c r="BM44" s="39">
        <f t="shared" ref="BM44" si="627">+IF(BL41&lt;0,1-BM41/BL41,BM41/BL41-1)</f>
        <v>2.0019254467036642</v>
      </c>
      <c r="BN44" s="39">
        <f t="shared" ref="BN44" si="628">+IF(BM41&lt;0,1-BN41/BM41,BN41/BM41-1)</f>
        <v>0.3614952407830172</v>
      </c>
      <c r="BO44" s="39">
        <f t="shared" ref="BO44" si="629">+IF(BN41&lt;0,1-BO41/BN41,BO41/BN41-1)</f>
        <v>-0.26340286807243707</v>
      </c>
      <c r="BP44" s="39">
        <f t="shared" ref="BP44" si="630">+IF(BO41&lt;0,1-BP41/BO41,BP41/BO41-1)</f>
        <v>-0.23321138939343611</v>
      </c>
      <c r="BQ44" s="39">
        <f t="shared" ref="BQ44" si="631">+IF(BP41&lt;0,1-BQ41/BP41,BQ41/BP41-1)</f>
        <v>-0.22313415407200887</v>
      </c>
      <c r="BR44" s="39">
        <f t="shared" ref="BR44" si="632">+IF(BQ41&lt;0,1-BR41/BQ41,BR41/BQ41-1)</f>
        <v>1.2863646124114645</v>
      </c>
      <c r="BS44" s="39">
        <f t="shared" ref="BS44" si="633">+IF(BR41&lt;0,1-BS41/BR41,BS41/BR41-1)</f>
        <v>-0.5808257259852021</v>
      </c>
      <c r="BT44" s="39">
        <f t="shared" ref="BT44" si="634">+IF(BS41&lt;0,1-BT41/BS41,BT41/BS41-1)</f>
        <v>0.10512636673240339</v>
      </c>
      <c r="BU44" s="39">
        <f t="shared" ref="BU44" si="635">+IF(BT41&lt;0,1-BU41/BT41,BU41/BT41-1)</f>
        <v>0.47619819965938515</v>
      </c>
      <c r="BV44" s="39">
        <f t="shared" ref="BV44" si="636">+IF(BU41&lt;0,1-BV41/BU41,BV41/BU41-1)</f>
        <v>0.84626160522990634</v>
      </c>
      <c r="BW44" s="39">
        <f t="shared" ref="BW44" si="637">+IF(BV41&lt;0,1-BW41/BV41,BW41/BV41-1)</f>
        <v>-0.60894145652011988</v>
      </c>
      <c r="BX44" s="39">
        <f t="shared" ref="BX44" si="638">+IF(BW41&lt;0,1-BX41/BW41,BX41/BW41-1)</f>
        <v>0.43328894806922191</v>
      </c>
      <c r="BY44" s="39">
        <f t="shared" ref="BY44" si="639">+IF(BX41&lt;0,1-BY41/BX41,BY41/BX41-1)</f>
        <v>-0.19273238838455009</v>
      </c>
      <c r="BZ44" s="39">
        <f t="shared" ref="BZ44" si="640">+IF(BY41&lt;0,1-BZ41/BY41,BZ41/BY41-1)</f>
        <v>1.5543353171340941</v>
      </c>
      <c r="CA44" s="39">
        <f t="shared" ref="CA44" si="641">+IF(BZ41&lt;0,1-CA41/BZ41,CA41/BZ41-1)</f>
        <v>-0.5095063397052193</v>
      </c>
      <c r="CB44" s="39">
        <f t="shared" ref="CB44" si="642">+IF(CA41&lt;0,1-CB41/CA41,CB41/CA41-1)</f>
        <v>-2.2307369304997993E-3</v>
      </c>
      <c r="CC44" s="39">
        <f t="shared" ref="CC44" si="643">+IF(CB41&lt;0,1-CC41/CB41,CC41/CB41-1)</f>
        <v>-0.15371261737551511</v>
      </c>
      <c r="CD44" s="39">
        <f t="shared" ref="CD44" si="644">+IF(CC41&lt;0,1-CD41/CC41,CD41/CC41-1)</f>
        <v>1.5199689199688886</v>
      </c>
      <c r="CE44" s="39">
        <f t="shared" ref="CE44" si="645">+IF(CD41&lt;0,1-CE41/CD41,CE41/CD41-1)</f>
        <v>-0.35925012333498363</v>
      </c>
      <c r="CF44" s="39">
        <f t="shared" ref="CF44" si="646">+IF(CE41&lt;0,1-CF41/CE41,CF41/CE41-1)</f>
        <v>1.9056051740073299E-2</v>
      </c>
      <c r="CG44" s="39">
        <f t="shared" ref="CG44" si="647">+IF(CF41&lt;0,1-CG41/CF41,CG41/CF41-1)</f>
        <v>4.0421593441883452E-2</v>
      </c>
      <c r="CH44" s="39">
        <f t="shared" ref="CH44:CL44" si="648">+IF(CG41&lt;0,1-CH41/CG41,CH41/CG41-1)</f>
        <v>0.47690715660287575</v>
      </c>
      <c r="CI44" s="39">
        <f t="shared" si="648"/>
        <v>-0.26937591424813101</v>
      </c>
      <c r="CJ44" s="39">
        <f t="shared" si="648"/>
        <v>-0.16787522923432163</v>
      </c>
      <c r="CK44" s="39">
        <f t="shared" si="648"/>
        <v>0.16609717139450786</v>
      </c>
      <c r="CL44" s="39">
        <f t="shared" si="648"/>
        <v>0.39515206158752592</v>
      </c>
      <c r="CM44" s="40">
        <f t="shared" ref="CM44" si="649">+CM41/CL41-1</f>
        <v>-7.5469566282555629</v>
      </c>
      <c r="CN44" s="40">
        <f t="shared" ref="CN44" si="650">+CN41/CM41-1</f>
        <v>-6.0679119594181747</v>
      </c>
      <c r="CO44" s="40">
        <f t="shared" ref="CO44" si="651">+CO41/CN41-1</f>
        <v>-1.613462431278363</v>
      </c>
      <c r="CP44" s="40">
        <f t="shared" ref="CP44" si="652">+CP41/CO41-1</f>
        <v>0.60235565612703956</v>
      </c>
      <c r="CQ44" s="40">
        <f t="shared" ref="CQ44" si="653">+CQ41/CP41-1</f>
        <v>-0.66331821809648295</v>
      </c>
      <c r="CR44" s="40">
        <f t="shared" ref="CR44" si="654">+CR41/CQ41-1</f>
        <v>-3.8848022307162791</v>
      </c>
      <c r="CS44" s="40">
        <f t="shared" ref="CS44" si="655">+CS41/CR41-1</f>
        <v>-1.8779267786768232</v>
      </c>
      <c r="CT44" s="40">
        <f t="shared" ref="CT44" si="656">+CT41/CS41-1</f>
        <v>0.66264890035409141</v>
      </c>
      <c r="CU44" s="40">
        <f t="shared" ref="CU44" si="657">+CU41/CT41-1</f>
        <v>-0.74717758713010407</v>
      </c>
      <c r="CV44" s="40">
        <f t="shared" ref="CV44" si="658">+CV41/CU41-1</f>
        <v>-4.1555628645896228</v>
      </c>
      <c r="CW44" s="40">
        <f t="shared" ref="CW44" si="659">+CW41/CV41-1</f>
        <v>-1.9140903456554812</v>
      </c>
      <c r="CX44" s="40">
        <f t="shared" ref="CX44" si="660">+CX41/CW41-1</f>
        <v>0.65286402810482991</v>
      </c>
      <c r="CY44" s="40">
        <f t="shared" ref="CY44" si="661">+CY41/CX41-1</f>
        <v>-0.75922946536464353</v>
      </c>
      <c r="CZ44" s="40">
        <f t="shared" ref="CZ44" si="662">+CZ41/CY41-1</f>
        <v>-4.2576951249446395</v>
      </c>
      <c r="DA44" s="40">
        <f t="shared" ref="DA44" si="663">+DA41/CZ41-1</f>
        <v>-1.9195608869685039</v>
      </c>
      <c r="DB44" s="40">
        <f t="shared" ref="DB44" si="664">+DB41/DA41-1</f>
        <v>0.64872907812968972</v>
      </c>
      <c r="DE44" s="122"/>
      <c r="DF44" s="39">
        <v>642.49159467625725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-0.15970000000000001</v>
      </c>
      <c r="K48" s="26">
        <f t="shared" si="685"/>
        <v>-1.4217</v>
      </c>
      <c r="L48" s="26">
        <f t="shared" si="685"/>
        <v>-3.0500000000000007</v>
      </c>
      <c r="M48" s="26">
        <f t="shared" si="685"/>
        <v>4.1551999999999998</v>
      </c>
      <c r="N48" s="26">
        <f t="shared" si="685"/>
        <v>-0.89710000000000001</v>
      </c>
      <c r="O48" s="26">
        <f t="shared" si="685"/>
        <v>4.3733000000000004</v>
      </c>
      <c r="P48" s="26">
        <f t="shared" si="685"/>
        <v>-8.5690000000000008</v>
      </c>
      <c r="Q48" s="26">
        <f t="shared" si="685"/>
        <v>-121.92150000000001</v>
      </c>
      <c r="R48" s="26">
        <f t="shared" si="685"/>
        <v>-101.8768</v>
      </c>
      <c r="S48" s="26">
        <f t="shared" si="685"/>
        <v>-130.33519999999999</v>
      </c>
      <c r="T48" s="26">
        <f t="shared" si="685"/>
        <v>-161.43380000000002</v>
      </c>
      <c r="U48" s="26">
        <f t="shared" si="685"/>
        <v>-509.15069999999992</v>
      </c>
      <c r="V48" s="26">
        <f>V41+V45+V46+V47</f>
        <v>-936.08019999999999</v>
      </c>
      <c r="W48" s="26">
        <f>W41+W45+W46+W47</f>
        <v>-1188.5271000000002</v>
      </c>
      <c r="X48" s="26">
        <f>X41+X45+X46+X47</f>
        <v>-1781.8413000000003</v>
      </c>
      <c r="Y48" s="26">
        <f>Y41+Y45+Y46+Y47</f>
        <v>-1739.3999999999999</v>
      </c>
      <c r="Z48" s="26">
        <f>Z41+Z45+Z46+Z47</f>
        <v>-1466.19</v>
      </c>
      <c r="AA48" s="26">
        <f>AA41+AA45+AA46+AA47</f>
        <v>-1970.77</v>
      </c>
      <c r="AB48" s="27">
        <f t="shared" ref="AA48:AD48" si="686">AB41+AB45+AB46+AB47</f>
        <v>-21191.581835408138</v>
      </c>
      <c r="AC48" s="27">
        <f t="shared" si="686"/>
        <v>-42929.965225865089</v>
      </c>
      <c r="AD48" s="27">
        <f t="shared" si="686"/>
        <v>-51703.115609623266</v>
      </c>
      <c r="AE48" s="27">
        <f t="shared" ref="AE48" si="687">AE41+AE45+AE46+AE47</f>
        <v>-61298.514113975827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212.76000000000002</v>
      </c>
      <c r="BA48" s="26">
        <f t="shared" si="692"/>
        <v>190.42999999999995</v>
      </c>
      <c r="BB48" s="26">
        <f t="shared" si="692"/>
        <v>336.04999999999939</v>
      </c>
      <c r="BC48" s="26">
        <f t="shared" si="692"/>
        <v>313.45</v>
      </c>
      <c r="BD48" s="26">
        <f t="shared" si="692"/>
        <v>225.47000000000008</v>
      </c>
      <c r="BE48" s="26">
        <f t="shared" si="692"/>
        <v>230.28000000000009</v>
      </c>
      <c r="BF48" s="26">
        <f t="shared" si="692"/>
        <v>381.18999999999932</v>
      </c>
      <c r="BG48" s="26">
        <f t="shared" si="692"/>
        <v>354.31999999999925</v>
      </c>
      <c r="BH48" s="26">
        <f t="shared" si="692"/>
        <v>250.52000000000049</v>
      </c>
      <c r="BI48" s="26">
        <f t="shared" si="692"/>
        <v>264.27999999999838</v>
      </c>
      <c r="BJ48" s="26">
        <f t="shared" si="692"/>
        <v>457.68000000000086</v>
      </c>
      <c r="BK48" s="26">
        <f t="shared" si="692"/>
        <v>371.89999999999878</v>
      </c>
      <c r="BL48" s="26">
        <f t="shared" si="692"/>
        <v>129.83999999999963</v>
      </c>
      <c r="BM48" s="26">
        <f t="shared" si="692"/>
        <v>389.77000000000265</v>
      </c>
      <c r="BN48" s="26">
        <f t="shared" si="692"/>
        <v>530.67000000000019</v>
      </c>
      <c r="BO48" s="26">
        <f t="shared" si="692"/>
        <v>390.89</v>
      </c>
      <c r="BP48" s="26">
        <f t="shared" si="692"/>
        <v>299.72999999999973</v>
      </c>
      <c r="BQ48" s="26">
        <f t="shared" si="692"/>
        <v>232.84999999999658</v>
      </c>
      <c r="BR48" s="26">
        <f t="shared" si="692"/>
        <v>532.3800000000017</v>
      </c>
      <c r="BS48" s="26">
        <f t="shared" si="692"/>
        <v>223.15999999999883</v>
      </c>
      <c r="BT48" s="26">
        <f t="shared" si="692"/>
        <v>246.62000000000182</v>
      </c>
      <c r="BU48" s="26">
        <f t="shared" si="692"/>
        <v>364.06000000000023</v>
      </c>
      <c r="BV48" s="26">
        <f t="shared" si="692"/>
        <v>672.15000000000009</v>
      </c>
      <c r="BW48" s="26">
        <f t="shared" si="692"/>
        <v>262.8500000000015</v>
      </c>
      <c r="BX48" s="26">
        <f t="shared" si="692"/>
        <v>376.73999999999711</v>
      </c>
      <c r="BY48" s="26">
        <f t="shared" si="692"/>
        <v>304.13000000000227</v>
      </c>
      <c r="BZ48" s="26">
        <f t="shared" si="692"/>
        <v>776.84999999999786</v>
      </c>
      <c r="CA48" s="26">
        <f t="shared" si="692"/>
        <v>381.0399999999994</v>
      </c>
      <c r="CB48" s="26">
        <f t="shared" si="692"/>
        <v>380.19000000000176</v>
      </c>
      <c r="CC48" s="26">
        <f t="shared" si="692"/>
        <v>321.75000000000438</v>
      </c>
      <c r="CD48" s="26">
        <f t="shared" si="692"/>
        <v>810.80000000000098</v>
      </c>
      <c r="CE48" s="26">
        <f t="shared" ref="CE48:CF48" si="693">CE41+CE45+CE46+CE47</f>
        <v>519.51999999999589</v>
      </c>
      <c r="CF48" s="26">
        <f t="shared" si="693"/>
        <v>529.41999999999871</v>
      </c>
      <c r="CG48" s="26">
        <f t="shared" ref="CG48:CH48" si="694">CG41+CG45+CG46+CG47</f>
        <v>550.82000000000062</v>
      </c>
      <c r="CH48" s="26">
        <f t="shared" si="694"/>
        <v>813.50999999999692</v>
      </c>
      <c r="CI48" s="26">
        <f t="shared" ref="CI48:CJ48" si="695">CI41+CI45+CI46+CI47</f>
        <v>594.37000000000069</v>
      </c>
      <c r="CJ48" s="26">
        <f t="shared" si="695"/>
        <v>494.58999999999679</v>
      </c>
      <c r="CK48" s="26">
        <f t="shared" ref="CK48:CL48" si="696">CK41+CK45+CK46+CK47</f>
        <v>576.74000000000592</v>
      </c>
      <c r="CL48" s="26">
        <f t="shared" si="696"/>
        <v>804.63999999999794</v>
      </c>
      <c r="CM48" s="27">
        <f t="shared" ref="CM48:DB48" si="697">CM41+CM45+CM46+CM47</f>
        <v>-5267.9431813595429</v>
      </c>
      <c r="CN48" s="27">
        <f t="shared" si="697"/>
        <v>26697.472250347455</v>
      </c>
      <c r="CO48" s="27">
        <f t="shared" si="697"/>
        <v>-16377.896235684782</v>
      </c>
      <c r="CP48" s="27">
        <f t="shared" si="697"/>
        <v>-26243.214668711262</v>
      </c>
      <c r="CQ48" s="27">
        <f t="shared" si="697"/>
        <v>-8835.6122775382264</v>
      </c>
      <c r="CR48" s="27">
        <f t="shared" si="697"/>
        <v>25488.994007986417</v>
      </c>
      <c r="CS48" s="27">
        <f t="shared" si="697"/>
        <v>-22377.470401144365</v>
      </c>
      <c r="CT48" s="27">
        <f t="shared" si="697"/>
        <v>-37205.876555168907</v>
      </c>
      <c r="CU48" s="27">
        <f t="shared" si="697"/>
        <v>-9406.479483617295</v>
      </c>
      <c r="CV48" s="27">
        <f t="shared" si="697"/>
        <v>29682.737345026904</v>
      </c>
      <c r="CW48" s="27">
        <f t="shared" si="697"/>
        <v>-27132.703639716503</v>
      </c>
      <c r="CX48" s="27">
        <f t="shared" si="697"/>
        <v>-44846.669831316402</v>
      </c>
      <c r="CY48" s="27">
        <f t="shared" si="697"/>
        <v>-10797.756671901361</v>
      </c>
      <c r="CZ48" s="27">
        <f t="shared" si="697"/>
        <v>35175.799270391515</v>
      </c>
      <c r="DA48" s="27">
        <f t="shared" si="697"/>
        <v>-32346.289176907274</v>
      </c>
      <c r="DB48" s="27">
        <f t="shared" si="697"/>
        <v>-53330.267535558691</v>
      </c>
      <c r="DE48" s="121"/>
      <c r="DF48" s="26">
        <v>371127.34231358842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-26.3095</v>
      </c>
      <c r="K51" s="22">
        <f>'Annual Raw'!L35</f>
        <v>276.45769999999999</v>
      </c>
      <c r="L51" s="22">
        <f>'Annual Raw'!M35</f>
        <v>366.34399999999999</v>
      </c>
      <c r="M51" s="22">
        <f>'Annual Raw'!N35</f>
        <v>555.82140000000004</v>
      </c>
      <c r="N51" s="22">
        <f>'Annual Raw'!O35</f>
        <v>622.17089999999996</v>
      </c>
      <c r="O51" s="22">
        <f>'Annual Raw'!P35</f>
        <v>740.13430000000005</v>
      </c>
      <c r="P51" s="22">
        <f>'Annual Raw'!Q35</f>
        <v>820.0421</v>
      </c>
      <c r="Q51" s="22">
        <f>'Annual Raw'!R35</f>
        <v>861.03409999999997</v>
      </c>
      <c r="R51" s="22">
        <f>'Annual Raw'!S35</f>
        <v>954.65290000000005</v>
      </c>
      <c r="S51" s="22">
        <f>'Annual Raw'!T35</f>
        <v>1150.3922</v>
      </c>
      <c r="T51" s="22">
        <f>'Annual Raw'!U35</f>
        <v>1326.7963999999999</v>
      </c>
      <c r="U51" s="22">
        <f>'Annual Raw'!V35</f>
        <v>1422.1831</v>
      </c>
      <c r="V51" s="22">
        <f>'Annual Raw'!W35</f>
        <v>1455.8494000000001</v>
      </c>
      <c r="W51" s="22">
        <f>'Annual Raw'!X35</f>
        <v>1505.9976999999999</v>
      </c>
      <c r="X51" s="22">
        <f>'Annual Raw'!Y35</f>
        <v>1720.5724</v>
      </c>
      <c r="Y51" s="22">
        <f>'Annual Raw'!Z35</f>
        <v>1893.78</v>
      </c>
      <c r="Z51" s="22">
        <f>'Annual Raw'!AA35</f>
        <v>2413.3000000000002</v>
      </c>
      <c r="AA51" s="22">
        <f>'Annual Raw'!AB35</f>
        <v>2470.3000000000002</v>
      </c>
      <c r="AB51" s="21">
        <f t="shared" ref="AA51:AD51" si="698">+AB48</f>
        <v>-21191.581835408138</v>
      </c>
      <c r="AC51" s="21">
        <f t="shared" si="698"/>
        <v>-42929.965225865089</v>
      </c>
      <c r="AD51" s="21">
        <f t="shared" si="698"/>
        <v>-51703.115609623266</v>
      </c>
      <c r="AE51" s="21">
        <f t="shared" ref="AE51" si="699">+AE48</f>
        <v>-61298.514113975827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212.76</v>
      </c>
      <c r="BA51" s="22">
        <f>'QTR Raw'!U42</f>
        <v>190.43</v>
      </c>
      <c r="BB51" s="22">
        <f>'QTR Raw'!V42</f>
        <v>336.05</v>
      </c>
      <c r="BC51" s="22">
        <f>'QTR Raw'!W42</f>
        <v>313.45</v>
      </c>
      <c r="BD51" s="22">
        <f>'QTR Raw'!X42</f>
        <v>225.47</v>
      </c>
      <c r="BE51" s="22">
        <f>'QTR Raw'!Y42</f>
        <v>230.28</v>
      </c>
      <c r="BF51" s="22">
        <f>'QTR Raw'!Z42</f>
        <v>381.21</v>
      </c>
      <c r="BG51" s="22">
        <f>'QTR Raw'!AA42</f>
        <v>354.31</v>
      </c>
      <c r="BH51" s="22">
        <f>'QTR Raw'!AB42</f>
        <v>250.53</v>
      </c>
      <c r="BI51" s="22">
        <f>'QTR Raw'!AC42</f>
        <v>264.27999999999901</v>
      </c>
      <c r="BJ51" s="22">
        <f>'QTR Raw'!AD42</f>
        <v>457.67999999999898</v>
      </c>
      <c r="BK51" s="22">
        <f>'QTR Raw'!AE42</f>
        <v>371.89999999999901</v>
      </c>
      <c r="BL51" s="22">
        <f>'QTR Raw'!AF42</f>
        <v>129.83999999999901</v>
      </c>
      <c r="BM51" s="22">
        <f>'QTR Raw'!AG42</f>
        <v>389.76999999999902</v>
      </c>
      <c r="BN51" s="22">
        <f>'QTR Raw'!AH42</f>
        <v>530.67000000000098</v>
      </c>
      <c r="BO51" s="22">
        <f>'QTR Raw'!AI42</f>
        <v>390.890000000003</v>
      </c>
      <c r="BP51" s="22">
        <f>'QTR Raw'!AJ42</f>
        <v>299.72999999999797</v>
      </c>
      <c r="BQ51" s="22">
        <f>'QTR Raw'!AK42</f>
        <v>232.849999999998</v>
      </c>
      <c r="BR51" s="22">
        <f>'QTR Raw'!AL42</f>
        <v>532.38000000000102</v>
      </c>
      <c r="BS51" s="22">
        <f>'QTR Raw'!AM42</f>
        <v>223.16000000000199</v>
      </c>
      <c r="BT51" s="22">
        <f>'QTR Raw'!AN42</f>
        <v>246.62000000000299</v>
      </c>
      <c r="BU51" s="22">
        <f>'QTR Raw'!AO42</f>
        <v>364.06000000000103</v>
      </c>
      <c r="BV51" s="22">
        <f>'QTR Raw'!AP42</f>
        <v>672.14999999999895</v>
      </c>
      <c r="BW51" s="22">
        <f>'QTR Raw'!AQ42</f>
        <v>262.85000000000099</v>
      </c>
      <c r="BX51" s="22">
        <f>'QTR Raw'!AR42</f>
        <v>376.74</v>
      </c>
      <c r="BY51" s="22">
        <f>'QTR Raw'!AS42</f>
        <v>304.130000000005</v>
      </c>
      <c r="BZ51" s="22">
        <f>'QTR Raw'!AT42</f>
        <v>776.84999999999695</v>
      </c>
      <c r="CA51" s="22">
        <f>'QTR Raw'!AU42</f>
        <v>381.03999999999701</v>
      </c>
      <c r="CB51" s="22">
        <f>'QTR Raw'!AV42</f>
        <v>380.190000000005</v>
      </c>
      <c r="CC51" s="22">
        <f>'QTR Raw'!AW42</f>
        <v>321.74999999999397</v>
      </c>
      <c r="CD51" s="22">
        <f>'QTR Raw'!AX42</f>
        <v>810.80000000000496</v>
      </c>
      <c r="CE51" s="22">
        <f>'QTR Raw'!AY42</f>
        <v>519.52000000000498</v>
      </c>
      <c r="CF51" s="22">
        <f>'QTR Raw'!AZ42</f>
        <v>529.419999999997</v>
      </c>
      <c r="CG51" s="22">
        <f>'QTR Raw'!BA42</f>
        <v>550.82000000000198</v>
      </c>
      <c r="CH51" s="22">
        <f>'QTR Raw'!BB42</f>
        <v>813.50999999999601</v>
      </c>
      <c r="CI51" s="22">
        <f>'QTR Raw'!BC42</f>
        <v>594.37</v>
      </c>
      <c r="CJ51" s="22">
        <f>'QTR Raw'!BD42</f>
        <v>494.590000000001</v>
      </c>
      <c r="CK51" s="22">
        <f>'QTR Raw'!BE42</f>
        <v>576.73999999999705</v>
      </c>
      <c r="CL51" s="22">
        <f>'QTR Raw'!BF42</f>
        <v>804.64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2470.3400000000138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-26.149799999999999</v>
      </c>
      <c r="K52" s="25">
        <f t="shared" si="700"/>
        <v>277.87939999999998</v>
      </c>
      <c r="L52" s="25">
        <f t="shared" si="700"/>
        <v>369.39400000000001</v>
      </c>
      <c r="M52" s="25">
        <f t="shared" si="700"/>
        <v>551.6662</v>
      </c>
      <c r="N52" s="25">
        <f t="shared" si="700"/>
        <v>623.06799999999998</v>
      </c>
      <c r="O52" s="25">
        <f t="shared" si="700"/>
        <v>735.76100000000008</v>
      </c>
      <c r="P52" s="25">
        <f t="shared" si="700"/>
        <v>828.61109999999996</v>
      </c>
      <c r="Q52" s="25">
        <f t="shared" si="700"/>
        <v>982.9556</v>
      </c>
      <c r="R52" s="25">
        <f t="shared" si="700"/>
        <v>1056.5297</v>
      </c>
      <c r="S52" s="25">
        <f t="shared" si="700"/>
        <v>1280.7274</v>
      </c>
      <c r="T52" s="25">
        <f t="shared" si="700"/>
        <v>1488.2302</v>
      </c>
      <c r="U52" s="25">
        <f t="shared" si="700"/>
        <v>1931.3337999999999</v>
      </c>
      <c r="V52" s="25">
        <f t="shared" si="700"/>
        <v>2391.9295999999999</v>
      </c>
      <c r="W52" s="25">
        <f t="shared" ref="W52" si="701">W51-W48</f>
        <v>2694.5248000000001</v>
      </c>
      <c r="X52" s="25">
        <f t="shared" ref="X52:Y52" si="702">X51-X48</f>
        <v>3502.4137000000001</v>
      </c>
      <c r="Y52" s="25">
        <f t="shared" si="702"/>
        <v>3633.18</v>
      </c>
      <c r="Z52" s="25">
        <f t="shared" ref="Z52:AA52" si="703">Z51-Z48</f>
        <v>3879.4900000000002</v>
      </c>
      <c r="AA52" s="25">
        <f t="shared" si="703"/>
        <v>4441.07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6.2527760746888816E-13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2.0000000000663931E-2</v>
      </c>
      <c r="BG52" s="25">
        <f t="shared" si="710"/>
        <v>-9.9999999992519406E-3</v>
      </c>
      <c r="BH52" s="25">
        <f t="shared" si="710"/>
        <v>9.999999999507736E-3</v>
      </c>
      <c r="BI52" s="25">
        <f t="shared" si="710"/>
        <v>6.2527760746888816E-13</v>
      </c>
      <c r="BJ52" s="25">
        <f t="shared" si="710"/>
        <v>-1.8758328224066645E-12</v>
      </c>
      <c r="BK52" s="25">
        <f t="shared" si="710"/>
        <v>0</v>
      </c>
      <c r="BL52" s="25">
        <f t="shared" si="710"/>
        <v>-6.2527760746888816E-13</v>
      </c>
      <c r="BM52" s="25">
        <f t="shared" si="710"/>
        <v>-3.637978807091713E-12</v>
      </c>
      <c r="BN52" s="25">
        <f t="shared" si="710"/>
        <v>0</v>
      </c>
      <c r="BO52" s="25">
        <f t="shared" si="710"/>
        <v>3.0127011996228248E-12</v>
      </c>
      <c r="BP52" s="25">
        <f t="shared" si="710"/>
        <v>-1.7621459846850485E-12</v>
      </c>
      <c r="BQ52" s="25">
        <f t="shared" si="710"/>
        <v>1.4210854715202004E-12</v>
      </c>
      <c r="BR52" s="25">
        <f t="shared" si="710"/>
        <v>0</v>
      </c>
      <c r="BS52" s="25">
        <f t="shared" si="710"/>
        <v>3.1548097467748448E-12</v>
      </c>
      <c r="BT52" s="25">
        <f t="shared" si="710"/>
        <v>1.1652900866465643E-12</v>
      </c>
      <c r="BU52" s="25">
        <f t="shared" si="710"/>
        <v>7.9580786405131221E-13</v>
      </c>
      <c r="BV52" s="25">
        <f t="shared" si="710"/>
        <v>-1.1368683772161603E-12</v>
      </c>
      <c r="BW52" s="25">
        <f t="shared" si="710"/>
        <v>-5.1159076974727213E-13</v>
      </c>
      <c r="BX52" s="25">
        <f t="shared" si="710"/>
        <v>2.8990143619012088E-12</v>
      </c>
      <c r="BY52" s="25">
        <f t="shared" si="710"/>
        <v>2.7284841053187847E-12</v>
      </c>
      <c r="BZ52" s="25">
        <f t="shared" si="710"/>
        <v>-9.0949470177292824E-13</v>
      </c>
      <c r="CA52" s="25">
        <f t="shared" si="710"/>
        <v>-2.3874235921539366E-12</v>
      </c>
      <c r="CB52" s="25">
        <f t="shared" si="710"/>
        <v>3.2400748750660568E-12</v>
      </c>
      <c r="CC52" s="25">
        <f t="shared" si="710"/>
        <v>-1.0402345651527867E-11</v>
      </c>
      <c r="CD52" s="25">
        <f t="shared" si="710"/>
        <v>3.979039320256561E-12</v>
      </c>
      <c r="CE52" s="25">
        <f t="shared" ref="CE52:CF52" si="711">CE51-CE48</f>
        <v>9.0949470177292824E-12</v>
      </c>
      <c r="CF52" s="25">
        <f t="shared" si="711"/>
        <v>-1.7053025658242404E-12</v>
      </c>
      <c r="CG52" s="25">
        <f t="shared" ref="CG52:CH52" si="712">CG51-CG48</f>
        <v>1.3642420526593924E-12</v>
      </c>
      <c r="CH52" s="25">
        <f t="shared" si="712"/>
        <v>-9.0949470177292824E-13</v>
      </c>
      <c r="CI52" s="25">
        <f t="shared" ref="CI52:CJ52" si="713">CI51-CI48</f>
        <v>0</v>
      </c>
      <c r="CJ52" s="25">
        <f t="shared" si="713"/>
        <v>4.2064129956997931E-12</v>
      </c>
      <c r="CK52" s="25">
        <f t="shared" ref="CK52:CL52" si="714">CK51-CK48</f>
        <v>-8.8675733422860503E-12</v>
      </c>
      <c r="CL52" s="25">
        <f t="shared" si="714"/>
        <v>2.0463630789890885E-12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>
        <f t="shared" si="715"/>
        <v>-1.6322288857089214E-4</v>
      </c>
      <c r="K54" s="39">
        <f t="shared" si="715"/>
        <v>-1.1329421600235179E-3</v>
      </c>
      <c r="L54" s="39">
        <f t="shared" si="715"/>
        <v>-1.8813012411715317E-3</v>
      </c>
      <c r="M54" s="39">
        <f t="shared" si="715"/>
        <v>1.9609900224627557E-3</v>
      </c>
      <c r="N54" s="39">
        <f t="shared" si="715"/>
        <v>-3.3436600035609553E-4</v>
      </c>
      <c r="O54" s="39">
        <f t="shared" si="715"/>
        <v>1.3227862906916414E-3</v>
      </c>
      <c r="P54" s="39">
        <f t="shared" si="715"/>
        <v>-2.1562332806365925E-3</v>
      </c>
      <c r="Q54" s="39">
        <f t="shared" si="715"/>
        <v>-2.5992371614197884E-2</v>
      </c>
      <c r="R54" s="39">
        <f t="shared" si="715"/>
        <v>-1.8642430501789552E-2</v>
      </c>
      <c r="S54" s="39">
        <f t="shared" si="715"/>
        <v>-2.0446475606239776E-2</v>
      </c>
      <c r="T54" s="39">
        <f t="shared" si="715"/>
        <v>-2.1639502444979683E-2</v>
      </c>
      <c r="U54" s="39">
        <f t="shared" si="715"/>
        <v>-5.731150119523834E-2</v>
      </c>
      <c r="V54" s="39">
        <f t="shared" si="715"/>
        <v>-9.2748127071921899E-2</v>
      </c>
      <c r="W54" s="39">
        <f t="shared" si="715"/>
        <v>-0.10408834821049018</v>
      </c>
      <c r="X54" s="39">
        <f t="shared" si="715"/>
        <v>-0.13786483516547288</v>
      </c>
      <c r="Y54" s="39">
        <f t="shared" si="715"/>
        <v>-0.11920524355041652</v>
      </c>
      <c r="Z54" s="39">
        <f t="shared" si="715"/>
        <v>-8.7309905233985241E-2</v>
      </c>
      <c r="AA54" s="39">
        <f t="shared" ref="AA54" si="716">(AA48-AA47)/AA120</f>
        <v>-0.10325330399360813</v>
      </c>
      <c r="AB54" s="40">
        <f t="shared" si="715"/>
        <v>10.064477893494189</v>
      </c>
      <c r="AC54" s="40">
        <f t="shared" si="715"/>
        <v>0.95324622497549816</v>
      </c>
      <c r="AD54" s="40">
        <f t="shared" si="715"/>
        <v>0.53446175688324837</v>
      </c>
      <c r="AE54" s="40">
        <f t="shared" si="715"/>
        <v>0.3878740139569708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>
        <f t="shared" si="717"/>
        <v>4.1142220666637024E-2</v>
      </c>
      <c r="BA54" s="39">
        <f t="shared" si="717"/>
        <v>7.5197323266986943E-2</v>
      </c>
      <c r="BB54" s="39">
        <f t="shared" si="717"/>
        <v>0.13314649644817786</v>
      </c>
      <c r="BC54" s="39">
        <f t="shared" si="717"/>
        <v>0.17947056787707155</v>
      </c>
      <c r="BD54" s="39">
        <f t="shared" si="717"/>
        <v>0.17233012849545146</v>
      </c>
      <c r="BE54" s="39">
        <f t="shared" si="717"/>
        <v>0.17235598665128024</v>
      </c>
      <c r="BF54" s="39">
        <f t="shared" si="717"/>
        <v>0.17622881758381809</v>
      </c>
      <c r="BG54" s="39">
        <f t="shared" si="717"/>
        <v>0.17309441539986095</v>
      </c>
      <c r="BH54" s="39">
        <f t="shared" si="717"/>
        <v>0.1715407940201677</v>
      </c>
      <c r="BI54" s="39">
        <f t="shared" si="717"/>
        <v>0.16999964648840585</v>
      </c>
      <c r="BJ54" s="39">
        <f t="shared" si="717"/>
        <v>0.17512390531060454</v>
      </c>
      <c r="BK54" s="39">
        <f t="shared" si="717"/>
        <v>0.16914163495108969</v>
      </c>
      <c r="BL54" s="39">
        <f t="shared" si="717"/>
        <v>0.15160825922447707</v>
      </c>
      <c r="BM54" s="39">
        <f t="shared" si="717"/>
        <v>0.15945554015196392</v>
      </c>
      <c r="BN54" s="39">
        <f t="shared" si="717"/>
        <v>0.16266350073429514</v>
      </c>
      <c r="BO54" s="39">
        <f t="shared" si="717"/>
        <v>0.15778133714036746</v>
      </c>
      <c r="BP54" s="39">
        <f t="shared" si="717"/>
        <v>0.16671530308768864</v>
      </c>
      <c r="BQ54" s="39">
        <f t="shared" si="717"/>
        <v>0.14693640812457848</v>
      </c>
      <c r="BR54" s="39">
        <f t="shared" ref="BR54:CW54" si="718">(SUM(BO48:BR48)-SUM(BO47:BR47))/BR120</f>
        <v>0.13997978929717311</v>
      </c>
      <c r="BS54" s="39">
        <f t="shared" si="718"/>
        <v>0.12125091423897166</v>
      </c>
      <c r="BT54" s="39">
        <f t="shared" si="718"/>
        <v>0.11323261366261894</v>
      </c>
      <c r="BU54" s="39">
        <f t="shared" si="718"/>
        <v>0.12121658430116519</v>
      </c>
      <c r="BV54" s="39">
        <f t="shared" si="718"/>
        <v>0.12957751083906735</v>
      </c>
      <c r="BW54" s="39">
        <f t="shared" si="718"/>
        <v>0.1300512571980523</v>
      </c>
      <c r="BX54" s="39">
        <f t="shared" si="718"/>
        <v>0.1371801850843766</v>
      </c>
      <c r="BY54" s="39">
        <f t="shared" si="718"/>
        <v>0.12906124352844769</v>
      </c>
      <c r="BZ54" s="39">
        <f t="shared" si="718"/>
        <v>0.13217381551575258</v>
      </c>
      <c r="CA54" s="39">
        <f t="shared" si="718"/>
        <v>0.13723605293718982</v>
      </c>
      <c r="CB54" s="39">
        <f t="shared" si="718"/>
        <v>0.13187920039630849</v>
      </c>
      <c r="CC54" s="39">
        <f t="shared" si="718"/>
        <v>0.13014295340946247</v>
      </c>
      <c r="CD54" s="39">
        <f t="shared" si="718"/>
        <v>0.12702635264572879</v>
      </c>
      <c r="CE54" s="39">
        <f t="shared" si="718"/>
        <v>0.13172475123281727</v>
      </c>
      <c r="CF54" s="39">
        <f t="shared" si="718"/>
        <v>0.13417007295588818</v>
      </c>
      <c r="CG54" s="39">
        <f t="shared" si="718"/>
        <v>0.14340069815752068</v>
      </c>
      <c r="CH54" s="39">
        <f t="shared" si="718"/>
        <v>0.14370741513993335</v>
      </c>
      <c r="CI54" s="39">
        <f t="shared" si="718"/>
        <v>0.14309976643885666</v>
      </c>
      <c r="CJ54" s="39">
        <f t="shared" si="718"/>
        <v>0.13408557397746532</v>
      </c>
      <c r="CK54" s="39">
        <f t="shared" si="718"/>
        <v>0.13136147095430076</v>
      </c>
      <c r="CL54" s="39">
        <f t="shared" si="718"/>
        <v>0.12943204443047268</v>
      </c>
      <c r="CM54" s="40">
        <f t="shared" si="718"/>
        <v>-0.24547396395011167</v>
      </c>
      <c r="CN54" s="40">
        <f t="shared" si="718"/>
        <v>0.56301644315557597</v>
      </c>
      <c r="CO54" s="40">
        <f t="shared" si="718"/>
        <v>0.24262001471921985</v>
      </c>
      <c r="CP54" s="40">
        <f t="shared" si="718"/>
        <v>10.064477893494187</v>
      </c>
      <c r="CQ54" s="40">
        <f t="shared" si="718"/>
        <v>2.2629386405173078</v>
      </c>
      <c r="CR54" s="40">
        <f t="shared" si="718"/>
        <v>-1.7849935633773275</v>
      </c>
      <c r="CS54" s="40">
        <f t="shared" si="718"/>
        <v>4.0828414573109422</v>
      </c>
      <c r="CT54" s="40">
        <f t="shared" si="718"/>
        <v>0.95324622497549782</v>
      </c>
      <c r="CU54" s="40">
        <f t="shared" si="718"/>
        <v>0.7990303666612274</v>
      </c>
      <c r="CV54" s="40">
        <f t="shared" si="718"/>
        <v>1.5875693675051132</v>
      </c>
      <c r="CW54" s="40">
        <f t="shared" si="718"/>
        <v>0.84911601814351001</v>
      </c>
      <c r="CX54" s="40">
        <f t="shared" ref="CX54:DB54" si="719">(SUM(CU48:CX48)-SUM(CU47:CX47))/CX120</f>
        <v>0.5344617568832486</v>
      </c>
      <c r="CY54" s="40">
        <f t="shared" si="719"/>
        <v>0.49373405886480537</v>
      </c>
      <c r="CZ54" s="40">
        <f t="shared" si="719"/>
        <v>0.65783475632065236</v>
      </c>
      <c r="DA54" s="40">
        <f t="shared" si="719"/>
        <v>0.50440717607257357</v>
      </c>
      <c r="DB54" s="40">
        <f t="shared" si="719"/>
        <v>0.38787401395697074</v>
      </c>
      <c r="DE54" s="122"/>
      <c r="DF54" s="38">
        <v>0.95587829099124422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>
        <f t="shared" si="720"/>
        <v>-5.0029808362837629E-4</v>
      </c>
      <c r="K55" s="39">
        <f t="shared" si="720"/>
        <v>-3.0919431531907223E-4</v>
      </c>
      <c r="L55" s="39">
        <f t="shared" si="720"/>
        <v>-1.8616863626570218E-3</v>
      </c>
      <c r="M55" s="39">
        <f t="shared" si="720"/>
        <v>-1.0999421075649656E-3</v>
      </c>
      <c r="N55" s="39">
        <f t="shared" si="720"/>
        <v>-2.7760466026666313E-3</v>
      </c>
      <c r="O55" s="39">
        <f t="shared" si="720"/>
        <v>-9.0193136537932567E-4</v>
      </c>
      <c r="P55" s="39">
        <f t="shared" si="720"/>
        <v>-4.0218317801860959E-4</v>
      </c>
      <c r="Q55" s="39">
        <f t="shared" si="720"/>
        <v>-2.4965630137664716E-2</v>
      </c>
      <c r="R55" s="39">
        <f t="shared" si="720"/>
        <v>-1.650106381207225E-2</v>
      </c>
      <c r="S55" s="39">
        <f t="shared" si="720"/>
        <v>-1.690095063768559E-2</v>
      </c>
      <c r="T55" s="39">
        <f t="shared" si="720"/>
        <v>-1.727941222795196E-2</v>
      </c>
      <c r="U55" s="39">
        <f t="shared" si="720"/>
        <v>-5.9047953434601549E-2</v>
      </c>
      <c r="V55" s="39">
        <f t="shared" si="720"/>
        <v>-8.479173295005217E-2</v>
      </c>
      <c r="W55" s="39">
        <f t="shared" si="720"/>
        <v>-9.9761874760322014E-2</v>
      </c>
      <c r="X55" s="39">
        <f t="shared" si="720"/>
        <v>-0.13499237981353707</v>
      </c>
      <c r="Y55" s="39">
        <f t="shared" si="720"/>
        <v>-0.11506794301394496</v>
      </c>
      <c r="Z55" s="39">
        <f t="shared" si="720"/>
        <v>-8.2183346096633469E-2</v>
      </c>
      <c r="AA55" s="39">
        <f t="shared" ref="AA55" si="721">+AA34/AA129</f>
        <v>-9.9737776206006795E-2</v>
      </c>
      <c r="AB55" s="40">
        <f t="shared" si="720"/>
        <v>-2.0155620543742025</v>
      </c>
      <c r="AC55" s="40">
        <f t="shared" si="720"/>
        <v>-0.20052454737797604</v>
      </c>
      <c r="AD55" s="40">
        <f t="shared" si="720"/>
        <v>-0.11929490740937544</v>
      </c>
      <c r="AE55" s="40">
        <f t="shared" si="720"/>
        <v>-8.7711613483174411E-2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>
        <f t="shared" si="722"/>
        <v>-0.49609107271217701</v>
      </c>
      <c r="BA55" s="39">
        <f t="shared" si="722"/>
        <v>-0.58672900080010615</v>
      </c>
      <c r="BB55" s="39">
        <f t="shared" si="722"/>
        <v>-1.1468206509992653</v>
      </c>
      <c r="BC55" s="39">
        <f t="shared" si="722"/>
        <v>-1.4763269474369751</v>
      </c>
      <c r="BD55" s="39">
        <f t="shared" si="722"/>
        <v>-1.2829454569396068</v>
      </c>
      <c r="BE55" s="39">
        <f t="shared" si="722"/>
        <v>-1.5504383111479612</v>
      </c>
      <c r="BF55" s="39">
        <f t="shared" si="722"/>
        <v>-1.1256527755047387</v>
      </c>
      <c r="BG55" s="39">
        <f t="shared" si="722"/>
        <v>-0.98853104038939377</v>
      </c>
      <c r="BH55" s="39">
        <f t="shared" si="722"/>
        <v>-0.87961213936127436</v>
      </c>
      <c r="BI55" s="39">
        <f t="shared" si="722"/>
        <v>-0.87083681846842842</v>
      </c>
      <c r="BJ55" s="39">
        <f t="shared" si="722"/>
        <v>-1.2915587613594861</v>
      </c>
      <c r="BK55" s="39">
        <f t="shared" si="722"/>
        <v>-1.3623265009046317</v>
      </c>
      <c r="BL55" s="39">
        <f t="shared" si="722"/>
        <v>-1.0842963173897469</v>
      </c>
      <c r="BM55" s="39">
        <f t="shared" si="722"/>
        <v>-1.1437583596096628</v>
      </c>
      <c r="BN55" s="39">
        <f t="shared" si="722"/>
        <v>6.8825970867369954E-2</v>
      </c>
      <c r="BO55" s="39">
        <f t="shared" si="722"/>
        <v>-0.46965262743154673</v>
      </c>
      <c r="BP55" s="39">
        <f t="shared" si="722"/>
        <v>-0.91796932964937106</v>
      </c>
      <c r="BQ55" s="39">
        <f t="shared" si="722"/>
        <v>-1.6900413643090209</v>
      </c>
      <c r="BR55" s="39">
        <f t="shared" ref="BR55:CW55" si="723">+SUM(BO34:BR34)/BR129</f>
        <v>-2.709491894776634</v>
      </c>
      <c r="BS55" s="39">
        <f t="shared" si="723"/>
        <v>-2.6026961662877182</v>
      </c>
      <c r="BT55" s="39">
        <f t="shared" si="723"/>
        <v>-2.9148536472998887</v>
      </c>
      <c r="BU55" s="39">
        <f t="shared" si="723"/>
        <v>-1.9882219237524539</v>
      </c>
      <c r="BV55" s="39">
        <f t="shared" si="723"/>
        <v>-1.8941411467229974</v>
      </c>
      <c r="BW55" s="39">
        <f t="shared" si="723"/>
        <v>-0.77159828555455445</v>
      </c>
      <c r="BX55" s="39">
        <f t="shared" si="723"/>
        <v>-0.74233078979659861</v>
      </c>
      <c r="BY55" s="39">
        <f t="shared" si="723"/>
        <v>-1.0920493627351808</v>
      </c>
      <c r="BZ55" s="39">
        <f t="shared" si="723"/>
        <v>-0.98211115364026857</v>
      </c>
      <c r="CA55" s="39">
        <f t="shared" si="723"/>
        <v>-2.3927341922226826</v>
      </c>
      <c r="CB55" s="39">
        <f t="shared" si="723"/>
        <v>-2.0852485372665579</v>
      </c>
      <c r="CC55" s="39">
        <f t="shared" si="723"/>
        <v>-2.6149569203076246</v>
      </c>
      <c r="CD55" s="39">
        <f t="shared" si="723"/>
        <v>-3.1394406443288814</v>
      </c>
      <c r="CE55" s="39">
        <f t="shared" si="723"/>
        <v>-3.3158021884156184</v>
      </c>
      <c r="CF55" s="39">
        <f t="shared" si="723"/>
        <v>-4.1008245208541165</v>
      </c>
      <c r="CG55" s="39">
        <f t="shared" si="723"/>
        <v>-2.6026022667513784</v>
      </c>
      <c r="CH55" s="39">
        <f t="shared" si="723"/>
        <v>-1.8747229490488269</v>
      </c>
      <c r="CI55" s="39">
        <f t="shared" si="723"/>
        <v>-1.9371409378448994</v>
      </c>
      <c r="CJ55" s="39">
        <f t="shared" si="723"/>
        <v>-0.65603327421439706</v>
      </c>
      <c r="CK55" s="39">
        <f t="shared" si="723"/>
        <v>-1.7928596066695659</v>
      </c>
      <c r="CL55" s="39">
        <f t="shared" si="723"/>
        <v>-0.60832652205805282</v>
      </c>
      <c r="CM55" s="40">
        <f t="shared" si="723"/>
        <v>0.38459851056774419</v>
      </c>
      <c r="CN55" s="40">
        <f t="shared" si="723"/>
        <v>0.11111679433287799</v>
      </c>
      <c r="CO55" s="40">
        <f t="shared" si="723"/>
        <v>0.87545719869693217</v>
      </c>
      <c r="CP55" s="40">
        <f t="shared" si="723"/>
        <v>-2.0155620543742043</v>
      </c>
      <c r="CQ55" s="40">
        <f t="shared" si="723"/>
        <v>-0.8030031226882961</v>
      </c>
      <c r="CR55" s="40">
        <f t="shared" si="723"/>
        <v>0.67088926108679048</v>
      </c>
      <c r="CS55" s="40">
        <f t="shared" si="723"/>
        <v>-1.4720818791082113</v>
      </c>
      <c r="CT55" s="40">
        <f t="shared" si="723"/>
        <v>-0.20052454737797629</v>
      </c>
      <c r="CU55" s="40">
        <f t="shared" si="723"/>
        <v>-0.19130946257556652</v>
      </c>
      <c r="CV55" s="40">
        <f t="shared" si="723"/>
        <v>-0.4431218409169691</v>
      </c>
      <c r="CW55" s="40">
        <f t="shared" si="723"/>
        <v>-0.22086182456320239</v>
      </c>
      <c r="CX55" s="40">
        <f t="shared" ref="CX55:DB55" si="724">+SUM(CU34:CX34)/CX129</f>
        <v>-0.11929490740937507</v>
      </c>
      <c r="CY55" s="40">
        <f t="shared" si="724"/>
        <v>-0.11309681315702905</v>
      </c>
      <c r="CZ55" s="40">
        <f t="shared" si="724"/>
        <v>-0.17546076336499022</v>
      </c>
      <c r="DA55" s="40">
        <f t="shared" si="724"/>
        <v>-0.12705599173409499</v>
      </c>
      <c r="DB55" s="40">
        <f t="shared" si="724"/>
        <v>-8.771161348317455E-2</v>
      </c>
      <c r="DE55" s="122"/>
      <c r="DF55" s="38">
        <v>-0.11590693319158897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-17510.400000000001</v>
      </c>
      <c r="S58" s="9">
        <f>S10-SUM(BC10:BF10)</f>
        <v>-25160.06</v>
      </c>
      <c r="T58" s="9">
        <f>T10-SUM(BG10:BJ10)</f>
        <v>-32890.350000000006</v>
      </c>
      <c r="U58" s="9">
        <f>U10-SUM(BK10:BN10)</f>
        <v>-40324.020000000004</v>
      </c>
      <c r="V58" s="9">
        <f>V10-SUM(BO10:BR10)</f>
        <v>-49768.27</v>
      </c>
      <c r="W58" s="9">
        <f>W10-SUM(BS10:BV10)</f>
        <v>-58432.3</v>
      </c>
      <c r="X58" s="9">
        <f>X10-SUM(BW10:BZ10)</f>
        <v>-66581</v>
      </c>
      <c r="Y58" s="9">
        <f>Y10-SUM(CA10:CD10)</f>
        <v>-80587.09</v>
      </c>
      <c r="Z58" s="9">
        <f>Z10-SUM(CE10:CH10)</f>
        <v>-84059.83</v>
      </c>
      <c r="AA58" s="9">
        <f>AA10-SUM(CF10:CI10)</f>
        <v>-86132.85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-17510.400000000001</v>
      </c>
      <c r="S59" s="9">
        <f>S16-SUM(BC16:BF16)</f>
        <v>-25160.06</v>
      </c>
      <c r="T59" s="9">
        <f>T16-SUM(BG16:BJ16)</f>
        <v>-32890.350000000006</v>
      </c>
      <c r="U59" s="9">
        <f>U16-SUM(BK16:BN16)</f>
        <v>-40324.020000000004</v>
      </c>
      <c r="V59" s="9">
        <f>V16-SUM(BO16:BR16)</f>
        <v>-49768.27</v>
      </c>
      <c r="W59" s="9">
        <f>W16-SUM(BS16:BV16)</f>
        <v>-58432.3</v>
      </c>
      <c r="X59" s="9">
        <f>X16-SUM(BW16:BZ16)</f>
        <v>-66581</v>
      </c>
      <c r="Y59" s="9">
        <f>Y16-SUM(CA16:CD16)</f>
        <v>-80587.09</v>
      </c>
      <c r="Z59" s="9">
        <f>Z16-SUM(CE16:CH16)</f>
        <v>-84059.83</v>
      </c>
      <c r="AA59" s="9">
        <f>AA16-SUM(CF16:CI16)</f>
        <v>-86132.85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-7.4481000000000002</v>
      </c>
      <c r="O60" s="9">
        <f>O28-SUM(AM28:AP28)</f>
        <v>-2.9819</v>
      </c>
      <c r="P60" s="9">
        <f>P28-SUM(AQ28:AT28)</f>
        <v>-1.5983000000000001</v>
      </c>
      <c r="Q60" s="9">
        <f>Q28-SUM(AU28:AX28)</f>
        <v>-117.1054</v>
      </c>
      <c r="R60" s="9">
        <f>R28-SUM(AY28:BB28)</f>
        <v>6277.0653000000011</v>
      </c>
      <c r="S60" s="9">
        <f>S28-SUM(BC28:BF28)</f>
        <v>7458.1156000000001</v>
      </c>
      <c r="T60" s="9">
        <f>T28-SUM(BG28:BJ28)</f>
        <v>10020.123100000001</v>
      </c>
      <c r="U60" s="9">
        <f>U28-SUM(BK28:BN28)</f>
        <v>-1175.4472000000007</v>
      </c>
      <c r="V60" s="9">
        <f>V28-SUM(BO28:BR28)</f>
        <v>29606.361399999998</v>
      </c>
      <c r="W60" s="9">
        <f>W28-SUM(BS28:BV28)</f>
        <v>22757.264499999997</v>
      </c>
      <c r="X60" s="9">
        <f>X28-SUM(BW28:BZ28)</f>
        <v>12162.193900000004</v>
      </c>
      <c r="Y60" s="9">
        <f>Y28-SUM(CA28:CD28)</f>
        <v>49321.56</v>
      </c>
      <c r="Z60" s="9">
        <f>Z28-SUM(CE28:CH28)</f>
        <v>30102.010000000006</v>
      </c>
      <c r="AA60" s="9">
        <f>AA28-SUM(CF28:CI28)</f>
        <v>31778</v>
      </c>
      <c r="AB60" s="15">
        <f>AB28-SUM(CM28:CP28)</f>
        <v>0</v>
      </c>
      <c r="AC60" s="15">
        <f>AC28-SUM(CQ28:CT28)</f>
        <v>0</v>
      </c>
      <c r="AD60" s="15">
        <f>AD28-SUM(CU28:CX28)</f>
        <v>3.637978807091713E-11</v>
      </c>
      <c r="AE60" s="15">
        <f>AE28-SUM(CY28:DB28)</f>
        <v>-2.1827872842550278E-11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-0.89710000000000001</v>
      </c>
      <c r="O61" s="9">
        <f>O48-SUM(AM48:AP48)</f>
        <v>4.3733000000000004</v>
      </c>
      <c r="P61" s="9">
        <f>P48-SUM(AQ48:AT48)</f>
        <v>-8.5690000000000008</v>
      </c>
      <c r="Q61" s="9">
        <f>Q48-SUM(AU48:AX48)</f>
        <v>-121.92150000000001</v>
      </c>
      <c r="R61" s="9">
        <f>R48-SUM(AY48:BB48)</f>
        <v>-841.11679999999933</v>
      </c>
      <c r="S61" s="9">
        <f>S48-SUM(BC48:BF48)</f>
        <v>-1280.7251999999994</v>
      </c>
      <c r="T61" s="9">
        <f>T48-SUM(BG48:BJ48)</f>
        <v>-1488.2337999999988</v>
      </c>
      <c r="U61" s="9">
        <f>U48-SUM(BK48:BN48)</f>
        <v>-1931.3307000000011</v>
      </c>
      <c r="V61" s="9">
        <f>V48-SUM(BO48:BR48)</f>
        <v>-2391.930199999998</v>
      </c>
      <c r="W61" s="9">
        <f>W41-SUM(BS41:BV41)</f>
        <v>-2694.5171000000009</v>
      </c>
      <c r="X61" s="9">
        <f>X41-SUM(BW41:BZ41)</f>
        <v>-3502.4112999999988</v>
      </c>
      <c r="Y61" s="9">
        <f>Y41-SUM(CA41:CD41)</f>
        <v>-3633.1800000000067</v>
      </c>
      <c r="Z61" s="9">
        <f>Z41-SUM(CE41:CH41)</f>
        <v>-3879.4599999999923</v>
      </c>
      <c r="AA61" s="9">
        <f>AA41-SUM(CF41:CI41)</f>
        <v>-4458.8899999999976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1.2278178473934531E-11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1002.57</v>
      </c>
      <c r="AJ63" s="3">
        <f t="shared" si="730"/>
        <v>1002.57</v>
      </c>
      <c r="AK63" s="3">
        <f t="shared" si="730"/>
        <v>1002.57</v>
      </c>
      <c r="AL63" s="3">
        <f t="shared" si="730"/>
        <v>1002.57</v>
      </c>
      <c r="AM63" s="3">
        <f t="shared" si="730"/>
        <v>1002.57</v>
      </c>
      <c r="AN63" s="3">
        <f t="shared" si="730"/>
        <v>1002.57</v>
      </c>
      <c r="AO63" s="3">
        <f t="shared" si="730"/>
        <v>1002.57</v>
      </c>
      <c r="AP63" s="3">
        <f t="shared" si="730"/>
        <v>1002.57</v>
      </c>
      <c r="AQ63" s="3">
        <f t="shared" si="730"/>
        <v>1002.57</v>
      </c>
      <c r="AR63" s="3">
        <f t="shared" si="730"/>
        <v>1002.57</v>
      </c>
      <c r="AS63" s="3">
        <f t="shared" si="730"/>
        <v>1002.57</v>
      </c>
      <c r="AT63" s="3">
        <f t="shared" si="730"/>
        <v>1002.57</v>
      </c>
      <c r="AU63" s="3">
        <f t="shared" si="730"/>
        <v>1002.57</v>
      </c>
      <c r="AV63" s="3">
        <f t="shared" si="730"/>
        <v>1002.57</v>
      </c>
      <c r="AW63" s="3">
        <f t="shared" si="730"/>
        <v>1002.57</v>
      </c>
      <c r="AX63" s="3">
        <f t="shared" si="730"/>
        <v>1002.57</v>
      </c>
      <c r="AY63" s="3">
        <f t="shared" si="730"/>
        <v>1002.57</v>
      </c>
      <c r="AZ63" s="3">
        <f t="shared" si="730"/>
        <v>1002.57</v>
      </c>
      <c r="BA63" s="3">
        <f t="shared" si="730"/>
        <v>1002.57</v>
      </c>
      <c r="BB63" s="3">
        <f t="shared" si="730"/>
        <v>1002.57</v>
      </c>
      <c r="BC63" s="3">
        <f t="shared" si="730"/>
        <v>1002.57</v>
      </c>
      <c r="BD63" s="3">
        <f t="shared" si="730"/>
        <v>1002.57</v>
      </c>
      <c r="BE63" s="3">
        <f t="shared" si="730"/>
        <v>1002.57</v>
      </c>
      <c r="BF63" s="3">
        <f t="shared" si="730"/>
        <v>1002.57</v>
      </c>
      <c r="BG63" s="3">
        <f t="shared" si="730"/>
        <v>1002.57</v>
      </c>
      <c r="BH63" s="3">
        <f t="shared" si="730"/>
        <v>1002.57</v>
      </c>
      <c r="BI63" s="3">
        <f t="shared" si="730"/>
        <v>1002.57</v>
      </c>
      <c r="BJ63" s="3">
        <f t="shared" si="730"/>
        <v>1002.57</v>
      </c>
      <c r="BK63" s="3">
        <f t="shared" si="730"/>
        <v>1002.57</v>
      </c>
      <c r="BL63" s="3">
        <f t="shared" si="730"/>
        <v>1002.57</v>
      </c>
      <c r="BM63" s="3">
        <f t="shared" si="730"/>
        <v>1002.57</v>
      </c>
      <c r="BN63" s="3">
        <f t="shared" si="730"/>
        <v>1002.57</v>
      </c>
      <c r="BO63" s="3">
        <f t="shared" si="730"/>
        <v>1002.57</v>
      </c>
      <c r="BP63" s="3">
        <f t="shared" si="730"/>
        <v>1002.57</v>
      </c>
      <c r="BQ63" s="3">
        <f t="shared" si="730"/>
        <v>1002.57</v>
      </c>
      <c r="BR63" s="3">
        <f t="shared" si="730"/>
        <v>1002.57</v>
      </c>
      <c r="BS63" s="3">
        <f t="shared" si="730"/>
        <v>1002.57</v>
      </c>
      <c r="BT63" s="3">
        <f t="shared" si="730"/>
        <v>1002.57</v>
      </c>
      <c r="BU63" s="3">
        <f t="shared" si="730"/>
        <v>1002.57</v>
      </c>
      <c r="BV63" s="3">
        <f t="shared" si="730"/>
        <v>1002.57</v>
      </c>
      <c r="BW63" s="3">
        <f t="shared" si="730"/>
        <v>1002.57</v>
      </c>
      <c r="BX63" s="3">
        <f t="shared" si="730"/>
        <v>1002.57</v>
      </c>
      <c r="BY63" s="3">
        <f t="shared" si="730"/>
        <v>1002.57</v>
      </c>
      <c r="BZ63" s="3">
        <f t="shared" si="730"/>
        <v>1002.57</v>
      </c>
      <c r="CA63" s="3">
        <f t="shared" si="730"/>
        <v>1002.57</v>
      </c>
      <c r="CB63" s="3">
        <f t="shared" si="730"/>
        <v>1002.57</v>
      </c>
      <c r="CC63" s="3">
        <f t="shared" si="730"/>
        <v>1002.57</v>
      </c>
      <c r="CD63" s="3">
        <f t="shared" si="730"/>
        <v>1002.57</v>
      </c>
      <c r="CE63" s="3">
        <f t="shared" si="730"/>
        <v>1002.57</v>
      </c>
      <c r="CF63" s="3">
        <f t="shared" si="730"/>
        <v>1002.57</v>
      </c>
      <c r="CG63" s="3">
        <f t="shared" si="730"/>
        <v>1002.57</v>
      </c>
      <c r="CH63" s="3">
        <f t="shared" si="730"/>
        <v>1002.57</v>
      </c>
      <c r="CI63" s="3">
        <f>+CJ63</f>
        <v>1002.57</v>
      </c>
      <c r="CJ63" s="3">
        <f>'QTR Raw'!BD45</f>
        <v>1002.57</v>
      </c>
      <c r="CK63" s="3">
        <f>'QTR Raw'!BE45</f>
        <v>1002.83</v>
      </c>
      <c r="CL63" s="3">
        <f>'QTR Raw'!BF45</f>
        <v>1003.09</v>
      </c>
      <c r="CM63" s="37">
        <f t="shared" ref="CM63:CM64" si="731">+CL63</f>
        <v>1003.09</v>
      </c>
      <c r="CN63" s="37">
        <f t="shared" ref="CN63:CN64" si="732">+CM63</f>
        <v>1003.09</v>
      </c>
      <c r="CO63" s="37">
        <f t="shared" ref="CO63:CO64" si="733">+CN63</f>
        <v>1003.09</v>
      </c>
      <c r="CP63" s="37">
        <f t="shared" ref="CP63:CP64" si="734">+CO63</f>
        <v>1003.09</v>
      </c>
      <c r="CQ63" s="37">
        <f t="shared" ref="CQ63:CQ64" si="735">+CP63</f>
        <v>1003.09</v>
      </c>
      <c r="CR63" s="37">
        <f t="shared" ref="CR63:CR64" si="736">+CQ63</f>
        <v>1003.09</v>
      </c>
      <c r="CS63" s="37">
        <f t="shared" ref="CS63:CS64" si="737">+CR63</f>
        <v>1003.09</v>
      </c>
      <c r="CT63" s="37">
        <f t="shared" ref="CT63:CT64" si="738">+CS63</f>
        <v>1003.09</v>
      </c>
      <c r="CU63" s="37">
        <f t="shared" ref="CU63:CU64" si="739">+CT63</f>
        <v>1003.09</v>
      </c>
      <c r="CV63" s="37">
        <f t="shared" ref="CV63:CV64" si="740">+CU63</f>
        <v>1003.09</v>
      </c>
      <c r="CW63" s="37">
        <f t="shared" ref="CW63:CW64" si="741">+CV63</f>
        <v>1003.09</v>
      </c>
      <c r="CX63" s="37">
        <f t="shared" ref="CX63:CX64" si="742">+CW63</f>
        <v>1003.09</v>
      </c>
      <c r="CY63" s="37">
        <f t="shared" ref="CY63:CY64" si="743">+CX63</f>
        <v>1003.09</v>
      </c>
      <c r="CZ63" s="37">
        <f t="shared" ref="CZ63:CZ64" si="744">+CY63</f>
        <v>1003.09</v>
      </c>
      <c r="DA63" s="37">
        <f t="shared" ref="DA63:DA64" si="745">+CZ63</f>
        <v>1003.09</v>
      </c>
      <c r="DB63" s="37">
        <f t="shared" ref="DB63:DB64" si="746">+DA63</f>
        <v>1003.09</v>
      </c>
      <c r="DE63" s="134"/>
      <c r="DF63" s="3">
        <v>1002.83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100.25700000000001</v>
      </c>
      <c r="AJ65" s="3">
        <f t="shared" ref="AJ65" si="755">AJ63/AJ64</f>
        <v>100.25700000000001</v>
      </c>
      <c r="AK65" s="3">
        <f t="shared" ref="AK65:AM65" si="756">AK63/AK64</f>
        <v>100.25700000000001</v>
      </c>
      <c r="AL65" s="3">
        <f t="shared" si="756"/>
        <v>100.25700000000001</v>
      </c>
      <c r="AM65" s="3">
        <f t="shared" si="756"/>
        <v>100.25700000000001</v>
      </c>
      <c r="AN65" s="3">
        <f t="shared" ref="AN65:AO65" si="757">AN63/AN64</f>
        <v>100.25700000000001</v>
      </c>
      <c r="AO65" s="3">
        <f t="shared" si="757"/>
        <v>100.25700000000001</v>
      </c>
      <c r="AP65" s="3">
        <f t="shared" ref="AP65:CD65" si="758">AP63/AP64</f>
        <v>100.25700000000001</v>
      </c>
      <c r="AQ65" s="3">
        <f t="shared" si="758"/>
        <v>100.25700000000001</v>
      </c>
      <c r="AR65" s="3">
        <f t="shared" si="758"/>
        <v>100.25700000000001</v>
      </c>
      <c r="AS65" s="3">
        <f t="shared" si="758"/>
        <v>100.25700000000001</v>
      </c>
      <c r="AT65" s="3">
        <f t="shared" si="758"/>
        <v>100.25700000000001</v>
      </c>
      <c r="AU65" s="3">
        <f t="shared" si="758"/>
        <v>100.25700000000001</v>
      </c>
      <c r="AV65" s="3">
        <f t="shared" si="758"/>
        <v>100.25700000000001</v>
      </c>
      <c r="AW65" s="3">
        <f t="shared" si="758"/>
        <v>100.25700000000001</v>
      </c>
      <c r="AX65" s="3">
        <f t="shared" si="758"/>
        <v>100.25700000000001</v>
      </c>
      <c r="AY65" s="3">
        <f t="shared" si="758"/>
        <v>100.25700000000001</v>
      </c>
      <c r="AZ65" s="3">
        <f t="shared" si="758"/>
        <v>100.25700000000001</v>
      </c>
      <c r="BA65" s="3">
        <f t="shared" si="758"/>
        <v>100.25700000000001</v>
      </c>
      <c r="BB65" s="3">
        <f t="shared" si="758"/>
        <v>100.25700000000001</v>
      </c>
      <c r="BC65" s="3">
        <f t="shared" si="758"/>
        <v>100.25700000000001</v>
      </c>
      <c r="BD65" s="3">
        <f t="shared" si="758"/>
        <v>100.25700000000001</v>
      </c>
      <c r="BE65" s="3">
        <f t="shared" si="758"/>
        <v>100.25700000000001</v>
      </c>
      <c r="BF65" s="3">
        <f t="shared" si="758"/>
        <v>100.25700000000001</v>
      </c>
      <c r="BG65" s="3">
        <f t="shared" si="758"/>
        <v>100.25700000000001</v>
      </c>
      <c r="BH65" s="3">
        <f t="shared" si="758"/>
        <v>100.25700000000001</v>
      </c>
      <c r="BI65" s="3">
        <f t="shared" si="758"/>
        <v>100.25700000000001</v>
      </c>
      <c r="BJ65" s="3">
        <f t="shared" si="758"/>
        <v>100.25700000000001</v>
      </c>
      <c r="BK65" s="3">
        <f t="shared" si="758"/>
        <v>100.25700000000001</v>
      </c>
      <c r="BL65" s="3">
        <f t="shared" si="758"/>
        <v>100.25700000000001</v>
      </c>
      <c r="BM65" s="3">
        <f t="shared" si="758"/>
        <v>100.25700000000001</v>
      </c>
      <c r="BN65" s="3">
        <f t="shared" si="758"/>
        <v>100.25700000000001</v>
      </c>
      <c r="BO65" s="3">
        <f t="shared" si="758"/>
        <v>100.25700000000001</v>
      </c>
      <c r="BP65" s="3">
        <f t="shared" si="758"/>
        <v>100.25700000000001</v>
      </c>
      <c r="BQ65" s="3">
        <f t="shared" si="758"/>
        <v>100.25700000000001</v>
      </c>
      <c r="BR65" s="3">
        <f t="shared" si="758"/>
        <v>100.25700000000001</v>
      </c>
      <c r="BS65" s="3">
        <f t="shared" si="758"/>
        <v>100.25700000000001</v>
      </c>
      <c r="BT65" s="3">
        <f t="shared" si="758"/>
        <v>100.25700000000001</v>
      </c>
      <c r="BU65" s="3">
        <f t="shared" si="758"/>
        <v>100.25700000000001</v>
      </c>
      <c r="BV65" s="3">
        <f t="shared" si="758"/>
        <v>100.25700000000001</v>
      </c>
      <c r="BW65" s="3">
        <f t="shared" si="758"/>
        <v>100.25700000000001</v>
      </c>
      <c r="BX65" s="3">
        <f t="shared" si="758"/>
        <v>100.25700000000001</v>
      </c>
      <c r="BY65" s="3">
        <f t="shared" si="758"/>
        <v>100.25700000000001</v>
      </c>
      <c r="BZ65" s="3">
        <f t="shared" si="758"/>
        <v>100.25700000000001</v>
      </c>
      <c r="CA65" s="3">
        <f t="shared" si="758"/>
        <v>100.25700000000001</v>
      </c>
      <c r="CB65" s="3">
        <f t="shared" si="758"/>
        <v>100.25700000000001</v>
      </c>
      <c r="CC65" s="3">
        <f t="shared" si="758"/>
        <v>100.25700000000001</v>
      </c>
      <c r="CD65" s="3">
        <f t="shared" si="758"/>
        <v>100.25700000000001</v>
      </c>
      <c r="CE65" s="3">
        <f t="shared" ref="CE65:CF65" si="759">CE63/CE64</f>
        <v>100.25700000000001</v>
      </c>
      <c r="CF65" s="3">
        <f t="shared" si="759"/>
        <v>100.25700000000001</v>
      </c>
      <c r="CG65" s="3">
        <f t="shared" ref="CG65:CH65" si="760">CG63/CG64</f>
        <v>100.25700000000001</v>
      </c>
      <c r="CH65" s="3">
        <f t="shared" si="760"/>
        <v>100.25700000000001</v>
      </c>
      <c r="CI65" s="3">
        <f t="shared" ref="CI65:CJ65" si="761">CI63/CI64</f>
        <v>100.25700000000001</v>
      </c>
      <c r="CJ65" s="3">
        <f t="shared" si="761"/>
        <v>100.25700000000001</v>
      </c>
      <c r="CK65" s="3">
        <f t="shared" ref="CK65:CL65" si="762">CK63/CK64</f>
        <v>100.283</v>
      </c>
      <c r="CL65" s="3">
        <f t="shared" si="762"/>
        <v>100.309</v>
      </c>
      <c r="CM65" s="37">
        <f t="shared" ref="CM65:DB65" si="763">CM63/CM64</f>
        <v>100.309</v>
      </c>
      <c r="CN65" s="37">
        <f t="shared" si="763"/>
        <v>100.309</v>
      </c>
      <c r="CO65" s="37">
        <f t="shared" si="763"/>
        <v>100.309</v>
      </c>
      <c r="CP65" s="37">
        <f t="shared" si="763"/>
        <v>100.309</v>
      </c>
      <c r="CQ65" s="37">
        <f t="shared" si="763"/>
        <v>100.309</v>
      </c>
      <c r="CR65" s="37">
        <f t="shared" si="763"/>
        <v>100.309</v>
      </c>
      <c r="CS65" s="37">
        <f t="shared" si="763"/>
        <v>100.309</v>
      </c>
      <c r="CT65" s="37">
        <f t="shared" si="763"/>
        <v>100.309</v>
      </c>
      <c r="CU65" s="37">
        <f t="shared" si="763"/>
        <v>100.309</v>
      </c>
      <c r="CV65" s="37">
        <f t="shared" si="763"/>
        <v>100.309</v>
      </c>
      <c r="CW65" s="37">
        <f t="shared" si="763"/>
        <v>100.309</v>
      </c>
      <c r="CX65" s="37">
        <f t="shared" si="763"/>
        <v>100.309</v>
      </c>
      <c r="CY65" s="37">
        <f t="shared" si="763"/>
        <v>100.309</v>
      </c>
      <c r="CZ65" s="37">
        <f t="shared" si="763"/>
        <v>100.309</v>
      </c>
      <c r="DA65" s="37">
        <f t="shared" si="763"/>
        <v>100.309</v>
      </c>
      <c r="DB65" s="37">
        <f t="shared" si="763"/>
        <v>100.309</v>
      </c>
      <c r="DE65" s="134"/>
      <c r="DF65" s="3">
        <v>100.283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2.1221460845626741</v>
      </c>
      <c r="BA66" s="53">
        <f t="shared" si="766"/>
        <v>1.8994184944692136</v>
      </c>
      <c r="BB66" s="53">
        <f t="shared" si="766"/>
        <v>3.351885653869549</v>
      </c>
      <c r="BC66" s="53">
        <f t="shared" si="766"/>
        <v>3.1264649849885791</v>
      </c>
      <c r="BD66" s="53">
        <f t="shared" si="766"/>
        <v>2.2489202748935244</v>
      </c>
      <c r="BE66" s="53">
        <f t="shared" si="766"/>
        <v>2.2968969747748296</v>
      </c>
      <c r="BF66" s="53">
        <f t="shared" si="766"/>
        <v>3.8021285296787188</v>
      </c>
      <c r="BG66" s="53">
        <f t="shared" si="766"/>
        <v>3.5341173184914694</v>
      </c>
      <c r="BH66" s="53">
        <f t="shared" si="766"/>
        <v>2.4987781401797431</v>
      </c>
      <c r="BI66" s="53">
        <f t="shared" si="766"/>
        <v>2.6360254146842452</v>
      </c>
      <c r="BJ66" s="53">
        <f t="shared" si="766"/>
        <v>4.5650677758161606</v>
      </c>
      <c r="BK66" s="53">
        <f t="shared" si="766"/>
        <v>3.7094666706564006</v>
      </c>
      <c r="BL66" s="53">
        <f t="shared" si="766"/>
        <v>1.2950716658188419</v>
      </c>
      <c r="BM66" s="53">
        <f t="shared" si="766"/>
        <v>3.8877085889264853</v>
      </c>
      <c r="BN66" s="53">
        <f t="shared" si="766"/>
        <v>5.2930967413746686</v>
      </c>
      <c r="BO66" s="53">
        <f t="shared" ref="BO66:CT66" si="767">(BO48-BO47)/BO65</f>
        <v>3.8988798787117105</v>
      </c>
      <c r="BP66" s="53">
        <f t="shared" si="767"/>
        <v>2.9896166851192407</v>
      </c>
      <c r="BQ66" s="53">
        <f t="shared" si="767"/>
        <v>2.3225310950855955</v>
      </c>
      <c r="BR66" s="53">
        <f t="shared" si="767"/>
        <v>5.3101529070289519</v>
      </c>
      <c r="BS66" s="53">
        <f t="shared" si="767"/>
        <v>2.22587948971143</v>
      </c>
      <c r="BT66" s="53">
        <f t="shared" si="767"/>
        <v>2.4598781132489682</v>
      </c>
      <c r="BU66" s="53">
        <f t="shared" si="767"/>
        <v>3.6312676421596519</v>
      </c>
      <c r="BV66" s="53">
        <f t="shared" si="767"/>
        <v>6.7042700260330959</v>
      </c>
      <c r="BW66" s="53">
        <f t="shared" si="767"/>
        <v>2.6217620714763208</v>
      </c>
      <c r="BX66" s="53">
        <f t="shared" si="767"/>
        <v>3.7577426015140798</v>
      </c>
      <c r="BY66" s="53">
        <f t="shared" si="767"/>
        <v>3.0335038949898987</v>
      </c>
      <c r="BZ66" s="53">
        <f t="shared" si="767"/>
        <v>7.7485861336365325</v>
      </c>
      <c r="CA66" s="53">
        <f t="shared" si="767"/>
        <v>3.8006323747967659</v>
      </c>
      <c r="CB66" s="53">
        <f t="shared" si="767"/>
        <v>3.7921541637990539</v>
      </c>
      <c r="CC66" s="53">
        <f t="shared" si="767"/>
        <v>3.209252221790043</v>
      </c>
      <c r="CD66" s="53">
        <f t="shared" si="767"/>
        <v>8.0872158552520119</v>
      </c>
      <c r="CE66" s="53">
        <f t="shared" si="767"/>
        <v>5.1818825618160913</v>
      </c>
      <c r="CF66" s="53">
        <f t="shared" si="767"/>
        <v>5.2806287840250423</v>
      </c>
      <c r="CG66" s="53">
        <f t="shared" si="767"/>
        <v>5.4940802138504106</v>
      </c>
      <c r="CH66" s="53">
        <f t="shared" si="767"/>
        <v>8.1142463867859291</v>
      </c>
      <c r="CI66" s="53">
        <f t="shared" si="767"/>
        <v>5.9284638479108756</v>
      </c>
      <c r="CJ66" s="53">
        <f t="shared" si="767"/>
        <v>4.9332216204354484</v>
      </c>
      <c r="CK66" s="53">
        <f t="shared" ref="CK66:CL66" si="768">(CK48-CK47)/CK65</f>
        <v>5.7511243181796106</v>
      </c>
      <c r="CL66" s="53">
        <f t="shared" si="768"/>
        <v>8.0216132151651198</v>
      </c>
      <c r="CM66" s="54">
        <f t="shared" si="767"/>
        <v>-52.517153808327699</v>
      </c>
      <c r="CN66" s="54">
        <f t="shared" si="767"/>
        <v>266.15231185982771</v>
      </c>
      <c r="CO66" s="54">
        <f t="shared" si="767"/>
        <v>-163.27444432388702</v>
      </c>
      <c r="CP66" s="54">
        <f t="shared" si="767"/>
        <v>-261.62372936337977</v>
      </c>
      <c r="CQ66" s="54">
        <f t="shared" si="767"/>
        <v>-88.083943390306217</v>
      </c>
      <c r="CR66" s="54">
        <f t="shared" si="767"/>
        <v>254.10475638264182</v>
      </c>
      <c r="CS66" s="54">
        <f t="shared" si="767"/>
        <v>-223.08537021747168</v>
      </c>
      <c r="CT66" s="54">
        <f t="shared" si="767"/>
        <v>-370.91264547716463</v>
      </c>
      <c r="CU66" s="54">
        <f t="shared" ref="CU66:DB66" si="769">(CU48-CU47)/CU65</f>
        <v>-93.775029993493064</v>
      </c>
      <c r="CV66" s="54">
        <f t="shared" si="769"/>
        <v>295.91300227324473</v>
      </c>
      <c r="CW66" s="54">
        <f t="shared" si="769"/>
        <v>-270.49121853190144</v>
      </c>
      <c r="CX66" s="54">
        <f t="shared" si="769"/>
        <v>-447.0852050296225</v>
      </c>
      <c r="CY66" s="54">
        <f t="shared" si="769"/>
        <v>-107.64494384254017</v>
      </c>
      <c r="CZ66" s="54">
        <f t="shared" si="769"/>
        <v>350.67440878078253</v>
      </c>
      <c r="DA66" s="54">
        <f t="shared" si="769"/>
        <v>-322.46647037561212</v>
      </c>
      <c r="DB66" s="54">
        <f t="shared" si="769"/>
        <v>-531.65984643011791</v>
      </c>
      <c r="DE66" s="132"/>
      <c r="DF66" s="53">
        <v>3700.8001586868004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0.5</v>
      </c>
      <c r="N67" s="3">
        <f>'Annual Raw'!O110</f>
        <v>0.5</v>
      </c>
      <c r="O67" s="3">
        <f>'Annual Raw'!P110</f>
        <v>1</v>
      </c>
      <c r="P67" s="3">
        <f>'Annual Raw'!Q110</f>
        <v>1.2</v>
      </c>
      <c r="Q67" s="3">
        <f>'Annual Raw'!R110</f>
        <v>1.5</v>
      </c>
      <c r="R67" s="3">
        <f>'Annual Raw'!S110</f>
        <v>1.5</v>
      </c>
      <c r="S67" s="3">
        <f>'Annual Raw'!T110</f>
        <v>2</v>
      </c>
      <c r="T67" s="3">
        <f>'Annual Raw'!U110</f>
        <v>2</v>
      </c>
      <c r="U67" s="3">
        <f>'Annual Raw'!V110</f>
        <v>0</v>
      </c>
      <c r="V67" s="3">
        <f>'Annual Raw'!W110</f>
        <v>2.5</v>
      </c>
      <c r="W67" s="3">
        <f>'Annual Raw'!X110</f>
        <v>2</v>
      </c>
      <c r="X67" s="3">
        <f>'Annual Raw'!Y110</f>
        <v>2.5</v>
      </c>
      <c r="Y67" s="3">
        <f>'Annual Raw'!Z110</f>
        <v>2.7</v>
      </c>
      <c r="Z67" s="3">
        <f>'Annual Raw'!AA110</f>
        <v>2.7</v>
      </c>
      <c r="AA67" s="3">
        <f>'Annual Raw'!AB110</f>
        <v>2.7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2.1221460845626741</v>
      </c>
      <c r="BA69" s="3">
        <f t="shared" ref="BA69" si="796">SUM(AX66:BA66)</f>
        <v>4.0215645790318879</v>
      </c>
      <c r="BB69" s="3">
        <f t="shared" ref="BB69" si="797">SUM(AY66:BB66)</f>
        <v>7.3734502329014369</v>
      </c>
      <c r="BC69" s="3">
        <f t="shared" ref="BC69" si="798">SUM(AZ66:BC66)</f>
        <v>10.499915217890017</v>
      </c>
      <c r="BD69" s="3">
        <f t="shared" ref="BD69" si="799">SUM(BA66:BD66)</f>
        <v>10.626689408220866</v>
      </c>
      <c r="BE69" s="3">
        <f t="shared" ref="BE69" si="800">SUM(BB66:BE66)</f>
        <v>11.024167888526483</v>
      </c>
      <c r="BF69" s="3">
        <f t="shared" ref="BF69" si="801">SUM(BC66:BF66)</f>
        <v>11.474410764335651</v>
      </c>
      <c r="BG69" s="3">
        <f t="shared" ref="BG69" si="802">SUM(BD66:BG66)</f>
        <v>11.882063097838543</v>
      </c>
      <c r="BH69" s="3">
        <f t="shared" ref="BH69" si="803">SUM(BE66:BH66)</f>
        <v>12.131920963124761</v>
      </c>
      <c r="BI69" s="3">
        <f t="shared" ref="BI69" si="804">SUM(BF66:BI66)</f>
        <v>12.471049403034176</v>
      </c>
      <c r="BJ69" s="3">
        <f t="shared" ref="BJ69" si="805">SUM(BG66:BJ66)</f>
        <v>13.233988649171618</v>
      </c>
      <c r="BK69" s="3">
        <f t="shared" ref="BK69" si="806">SUM(BH66:BK66)</f>
        <v>13.40933800133655</v>
      </c>
      <c r="BL69" s="3">
        <f t="shared" ref="BL69" si="807">SUM(BI66:BL66)</f>
        <v>12.205631526975647</v>
      </c>
      <c r="BM69" s="3">
        <f t="shared" ref="BM69" si="808">SUM(BJ66:BM66)</f>
        <v>13.457314701217889</v>
      </c>
      <c r="BN69" s="3">
        <f t="shared" ref="BN69" si="809">SUM(BK66:BN66)</f>
        <v>14.185343666776397</v>
      </c>
      <c r="BO69" s="3">
        <f t="shared" ref="BO69" si="810">SUM(BL66:BO66)</f>
        <v>14.374756874831707</v>
      </c>
      <c r="BP69" s="3">
        <f t="shared" ref="BP69" si="811">SUM(BM66:BP66)</f>
        <v>16.069301894132106</v>
      </c>
      <c r="BQ69" s="3">
        <f t="shared" ref="BQ69" si="812">SUM(BN66:BQ66)</f>
        <v>14.504124400291216</v>
      </c>
      <c r="BR69" s="3">
        <f t="shared" ref="BR69" si="813">SUM(BO66:BR66)</f>
        <v>14.5211805659455</v>
      </c>
      <c r="BS69" s="3">
        <f t="shared" ref="BS69" si="814">SUM(BP66:BS66)</f>
        <v>12.848180176945219</v>
      </c>
      <c r="BT69" s="3">
        <f t="shared" ref="BT69" si="815">SUM(BQ66:BT66)</f>
        <v>12.318441605074945</v>
      </c>
      <c r="BU69" s="3">
        <f t="shared" ref="BU69" si="816">SUM(BR66:BU66)</f>
        <v>13.627178152149003</v>
      </c>
      <c r="BV69" s="3">
        <f t="shared" ref="BV69" si="817">SUM(BS66:BV66)</f>
        <v>15.021295271153146</v>
      </c>
      <c r="BW69" s="3">
        <f t="shared" ref="BW69" si="818">SUM(BT66:BW66)</f>
        <v>15.417177852918035</v>
      </c>
      <c r="BX69" s="3">
        <f t="shared" ref="BX69" si="819">SUM(BU66:BX66)</f>
        <v>16.71504234118315</v>
      </c>
      <c r="BY69" s="3">
        <f t="shared" ref="BY69" si="820">SUM(BV66:BY66)</f>
        <v>16.117278594013396</v>
      </c>
      <c r="BZ69" s="3">
        <f t="shared" ref="BZ69" si="821">SUM(BW66:BZ66)</f>
        <v>17.161594701616831</v>
      </c>
      <c r="CA69" s="3">
        <f t="shared" ref="CA69" si="822">SUM(BX66:CA66)</f>
        <v>18.340465004937275</v>
      </c>
      <c r="CB69" s="3">
        <f t="shared" ref="CB69" si="823">SUM(BY66:CB66)</f>
        <v>18.374876567222252</v>
      </c>
      <c r="CC69" s="3">
        <f t="shared" ref="CC69" si="824">SUM(BZ66:CC66)</f>
        <v>18.550624894022395</v>
      </c>
      <c r="CD69" s="3">
        <f t="shared" ref="CD69" si="825">SUM(CA66:CD66)</f>
        <v>18.889254615637874</v>
      </c>
      <c r="CE69" s="3">
        <f t="shared" ref="CE69" si="826">SUM(CB66:CE66)</f>
        <v>20.2705048026572</v>
      </c>
      <c r="CF69" s="3">
        <f t="shared" ref="CF69" si="827">SUM(CC66:CF66)</f>
        <v>21.758979422883186</v>
      </c>
      <c r="CG69" s="3">
        <f t="shared" ref="CG69" si="828">SUM(CD66:CG66)</f>
        <v>24.043807414943558</v>
      </c>
      <c r="CH69" s="3">
        <f t="shared" ref="CH69:CL69" si="829">SUM(CE66:CH66)</f>
        <v>24.070837946477472</v>
      </c>
      <c r="CI69" s="3">
        <f t="shared" si="829"/>
        <v>24.817419232572259</v>
      </c>
      <c r="CJ69" s="3">
        <f t="shared" si="829"/>
        <v>24.470012068982662</v>
      </c>
      <c r="CK69" s="3">
        <f t="shared" si="829"/>
        <v>24.727056173311862</v>
      </c>
      <c r="CL69" s="3">
        <f t="shared" si="829"/>
        <v>24.634423001691054</v>
      </c>
      <c r="CM69" s="37">
        <f t="shared" ref="CM69" si="830">SUM(CJ66:CM66)</f>
        <v>-33.811194654547521</v>
      </c>
      <c r="CN69" s="37">
        <f t="shared" ref="CN69" si="831">SUM(CK66:CN66)</f>
        <v>227.40789558484474</v>
      </c>
      <c r="CO69" s="37">
        <f t="shared" ref="CO69" si="832">SUM(CL66:CO66)</f>
        <v>58.382326942778093</v>
      </c>
      <c r="CP69" s="37">
        <f t="shared" ref="CP69" si="833">SUM(CM66:CP66)</f>
        <v>-211.26301563576678</v>
      </c>
      <c r="CQ69" s="37">
        <f t="shared" ref="CQ69" si="834">SUM(CN66:CQ66)</f>
        <v>-246.8298052177453</v>
      </c>
      <c r="CR69" s="37">
        <f t="shared" ref="CR69" si="835">SUM(CO66:CR66)</f>
        <v>-258.87736069493116</v>
      </c>
      <c r="CS69" s="37">
        <f t="shared" ref="CS69" si="836">SUM(CP66:CS66)</f>
        <v>-318.68828658851584</v>
      </c>
      <c r="CT69" s="37">
        <f t="shared" ref="CT69" si="837">SUM(CQ66:CT66)</f>
        <v>-427.9772027023007</v>
      </c>
      <c r="CU69" s="37">
        <f t="shared" ref="CU69" si="838">SUM(CR66:CU66)</f>
        <v>-433.66828930548752</v>
      </c>
      <c r="CV69" s="37">
        <f t="shared" ref="CV69" si="839">SUM(CS66:CV66)</f>
        <v>-391.86004341488456</v>
      </c>
      <c r="CW69" s="37">
        <f t="shared" ref="CW69" si="840">SUM(CT66:CW66)</f>
        <v>-439.26589172931443</v>
      </c>
      <c r="CX69" s="37">
        <f t="shared" ref="CX69" si="841">SUM(CU66:CX66)</f>
        <v>-515.43845128177225</v>
      </c>
      <c r="CY69" s="37">
        <f t="shared" ref="CY69" si="842">SUM(CV66:CY66)</f>
        <v>-529.30836513081942</v>
      </c>
      <c r="CZ69" s="37">
        <f t="shared" ref="CZ69" si="843">SUM(CW66:CZ66)</f>
        <v>-474.54695862328163</v>
      </c>
      <c r="DA69" s="37">
        <f t="shared" ref="DA69" si="844">SUM(CX66:DA66)</f>
        <v>-526.52221046699219</v>
      </c>
      <c r="DB69" s="37">
        <f t="shared" ref="DB69" si="845">SUM(CY66:DB66)</f>
        <v>-611.09685186748766</v>
      </c>
      <c r="DE69" s="134"/>
      <c r="DF69" s="3">
        <v>3717.4129684733261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>
        <f t="shared" si="851"/>
        <v>4.0075202105658922</v>
      </c>
      <c r="BE70" s="176">
        <f t="shared" si="851"/>
        <v>1.7412634241920673</v>
      </c>
      <c r="BF70" s="176">
        <f t="shared" si="851"/>
        <v>0.55617931930090414</v>
      </c>
      <c r="BG70" s="176">
        <f t="shared" si="851"/>
        <v>0.13163419430221568</v>
      </c>
      <c r="BH70" s="176">
        <f t="shared" si="851"/>
        <v>0.14164633001689508</v>
      </c>
      <c r="BI70" s="176">
        <f t="shared" si="851"/>
        <v>0.13124632436100225</v>
      </c>
      <c r="BJ70" s="176">
        <f t="shared" si="851"/>
        <v>0.15334799502777274</v>
      </c>
      <c r="BK70" s="176">
        <f t="shared" si="851"/>
        <v>0.12853617178449706</v>
      </c>
      <c r="BL70" s="176">
        <f t="shared" si="851"/>
        <v>6.0757537141011841E-3</v>
      </c>
      <c r="BM70" s="176">
        <f t="shared" si="851"/>
        <v>7.9084387072009932E-2</v>
      </c>
      <c r="BN70" s="176">
        <f t="shared" si="851"/>
        <v>7.1887247512814723E-2</v>
      </c>
      <c r="BO70" s="176">
        <f t="shared" si="851"/>
        <v>7.1996013032032735E-2</v>
      </c>
      <c r="BP70" s="176">
        <f t="shared" si="851"/>
        <v>0.31654817357195864</v>
      </c>
      <c r="BQ70" s="176">
        <f t="shared" si="851"/>
        <v>7.778741318864979E-2</v>
      </c>
      <c r="BR70" s="176">
        <f t="shared" si="851"/>
        <v>2.3674921599232679E-2</v>
      </c>
      <c r="BS70" s="176">
        <f t="shared" si="851"/>
        <v>-0.10619843599298173</v>
      </c>
      <c r="BT70" s="176">
        <f t="shared" si="851"/>
        <v>-0.2334177498044786</v>
      </c>
      <c r="BU70" s="176">
        <f t="shared" si="851"/>
        <v>-6.0461853741726412E-2</v>
      </c>
      <c r="BV70" s="176">
        <f t="shared" si="851"/>
        <v>3.4440361300960287E-2</v>
      </c>
      <c r="BW70" s="176">
        <f t="shared" si="851"/>
        <v>0.19995031518803175</v>
      </c>
      <c r="BX70" s="176">
        <f t="shared" si="851"/>
        <v>0.35691208978065014</v>
      </c>
      <c r="BY70" s="176">
        <f t="shared" si="851"/>
        <v>0.18273045336768456</v>
      </c>
      <c r="BZ70" s="176">
        <f t="shared" si="851"/>
        <v>0.14248434584558822</v>
      </c>
      <c r="CA70" s="176">
        <f t="shared" si="851"/>
        <v>0.18961233890584883</v>
      </c>
      <c r="CB70" s="176">
        <f t="shared" si="851"/>
        <v>9.9301825993556747E-2</v>
      </c>
      <c r="CC70" s="176">
        <f t="shared" si="851"/>
        <v>0.15097749200121435</v>
      </c>
      <c r="CD70" s="176">
        <f t="shared" si="851"/>
        <v>0.10067012676032228</v>
      </c>
      <c r="CE70" s="176">
        <f t="shared" si="851"/>
        <v>0.10523396201788526</v>
      </c>
      <c r="CF70" s="176">
        <f t="shared" si="851"/>
        <v>0.18417010004288215</v>
      </c>
      <c r="CG70" s="176">
        <f t="shared" si="851"/>
        <v>0.2961184624401112</v>
      </c>
      <c r="CH70" s="176">
        <f t="shared" si="851"/>
        <v>0.27431380624992552</v>
      </c>
      <c r="CI70" s="176">
        <f t="shared" si="851"/>
        <v>0.22431184986172714</v>
      </c>
      <c r="CJ70" s="176">
        <f t="shared" si="851"/>
        <v>0.1245937409752027</v>
      </c>
      <c r="CK70" s="176">
        <f t="shared" si="851"/>
        <v>2.8416828773285552E-2</v>
      </c>
      <c r="CL70" s="176">
        <f t="shared" si="851"/>
        <v>2.3413603484296663E-2</v>
      </c>
      <c r="CM70" s="102">
        <f t="shared" ref="CM70:DB70" si="852">+IF(CI69&lt;0,1-CM69/CI69,CM69/CI69-1)</f>
        <v>-2.3623976908191624</v>
      </c>
      <c r="CN70" s="102">
        <f t="shared" si="852"/>
        <v>8.2933299315000788</v>
      </c>
      <c r="CO70" s="102">
        <f t="shared" si="852"/>
        <v>1.3610706641978139</v>
      </c>
      <c r="CP70" s="102">
        <f t="shared" si="852"/>
        <v>-9.5759270928028002</v>
      </c>
      <c r="CQ70" s="102">
        <f t="shared" si="852"/>
        <v>-6.3002390994944424</v>
      </c>
      <c r="CR70" s="102">
        <f t="shared" si="852"/>
        <v>-2.1383833442948568</v>
      </c>
      <c r="CS70" s="102">
        <f t="shared" si="852"/>
        <v>-6.4586431078855391</v>
      </c>
      <c r="CT70" s="102">
        <f t="shared" si="852"/>
        <v>-1.0258027720297496</v>
      </c>
      <c r="CU70" s="102">
        <f t="shared" si="852"/>
        <v>-0.75695268617547762</v>
      </c>
      <c r="CV70" s="102">
        <f t="shared" si="852"/>
        <v>-0.51368988915436375</v>
      </c>
      <c r="CW70" s="102">
        <f t="shared" si="852"/>
        <v>-0.37835593655340727</v>
      </c>
      <c r="CX70" s="102">
        <f t="shared" si="852"/>
        <v>-0.20435959678980664</v>
      </c>
      <c r="CY70" s="102">
        <f t="shared" si="852"/>
        <v>-0.22053739732388067</v>
      </c>
      <c r="CZ70" s="102">
        <f t="shared" si="852"/>
        <v>-0.21101134600970717</v>
      </c>
      <c r="DA70" s="102">
        <f t="shared" si="852"/>
        <v>-0.19864123388721255</v>
      </c>
      <c r="DB70" s="102">
        <f t="shared" si="852"/>
        <v>-0.18558646594532457</v>
      </c>
      <c r="DE70" s="135"/>
      <c r="DF70" s="97">
        <v>153.4363755320505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96.1</v>
      </c>
      <c r="S73" s="3">
        <f>'Annual Raw'!T112</f>
        <v>84.1</v>
      </c>
      <c r="T73" s="3">
        <f>'Annual Raw'!U112</f>
        <v>69.8</v>
      </c>
      <c r="U73" s="3">
        <f>'Annual Raw'!V112</f>
        <v>62.8</v>
      </c>
      <c r="V73" s="3">
        <f>'Annual Raw'!W112</f>
        <v>55.7</v>
      </c>
      <c r="W73" s="3">
        <f>'Annual Raw'!X112</f>
        <v>55.48</v>
      </c>
      <c r="X73" s="3">
        <f>'Annual Raw'!Y112</f>
        <v>55.45</v>
      </c>
      <c r="Y73" s="3">
        <f>'Annual Raw'!Z112</f>
        <v>55.42</v>
      </c>
      <c r="Z73" s="3">
        <f>'Annual Raw'!AA112</f>
        <v>55.38</v>
      </c>
      <c r="AA73" s="3">
        <f>'Annual Raw'!AB112</f>
        <v>55.33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100</v>
      </c>
      <c r="BA73" s="3">
        <f>'QTR Raw'!U49</f>
        <v>0</v>
      </c>
      <c r="BB73" s="3">
        <f>'QTR Raw'!V49</f>
        <v>96.1</v>
      </c>
      <c r="BC73" s="3">
        <f>'QTR Raw'!W49</f>
        <v>0</v>
      </c>
      <c r="BD73" s="3">
        <f>'QTR Raw'!X49</f>
        <v>84.1</v>
      </c>
      <c r="BE73" s="3">
        <f>'QTR Raw'!Y49</f>
        <v>84.1</v>
      </c>
      <c r="BF73" s="3">
        <f>'QTR Raw'!Z49</f>
        <v>84.1</v>
      </c>
      <c r="BG73" s="3">
        <f>'QTR Raw'!AA49</f>
        <v>84.1</v>
      </c>
      <c r="BH73" s="3">
        <f>'QTR Raw'!AB49</f>
        <v>84.1</v>
      </c>
      <c r="BI73" s="3">
        <f>'QTR Raw'!AC49</f>
        <v>84.1</v>
      </c>
      <c r="BJ73" s="3">
        <f>'QTR Raw'!AD49</f>
        <v>69.8</v>
      </c>
      <c r="BK73" s="3">
        <f>'QTR Raw'!AE49</f>
        <v>67.3</v>
      </c>
      <c r="BL73" s="3">
        <f>'QTR Raw'!AF49</f>
        <v>62.8</v>
      </c>
      <c r="BM73" s="3">
        <f>'QTR Raw'!AG49</f>
        <v>62.8</v>
      </c>
      <c r="BN73" s="3">
        <f>'QTR Raw'!AH49</f>
        <v>62.8</v>
      </c>
      <c r="BO73" s="3">
        <f>'QTR Raw'!AI49</f>
        <v>60.7</v>
      </c>
      <c r="BP73" s="3">
        <f>'QTR Raw'!AJ49</f>
        <v>60.7</v>
      </c>
      <c r="BQ73" s="3">
        <f>'QTR Raw'!AK49</f>
        <v>60.7</v>
      </c>
      <c r="BR73" s="3">
        <f>'QTR Raw'!AL49</f>
        <v>55.7</v>
      </c>
      <c r="BS73" s="3">
        <f>'QTR Raw'!AM49</f>
        <v>55.7</v>
      </c>
      <c r="BT73" s="3">
        <f>'QTR Raw'!AN49</f>
        <v>55.69</v>
      </c>
      <c r="BU73" s="3">
        <f>'QTR Raw'!AO49</f>
        <v>55.69</v>
      </c>
      <c r="BV73" s="3">
        <f>'QTR Raw'!AP49</f>
        <v>55.48</v>
      </c>
      <c r="BW73" s="3">
        <f>'QTR Raw'!AQ49</f>
        <v>55.48</v>
      </c>
      <c r="BX73" s="3">
        <f>'QTR Raw'!AR49</f>
        <v>55.46</v>
      </c>
      <c r="BY73" s="3">
        <f>'QTR Raw'!AS49</f>
        <v>55.45</v>
      </c>
      <c r="BZ73" s="3">
        <f>'QTR Raw'!AT49</f>
        <v>55.45</v>
      </c>
      <c r="CA73" s="3">
        <f>'QTR Raw'!AU49</f>
        <v>55.45</v>
      </c>
      <c r="CB73" s="3">
        <f>'QTR Raw'!AV49</f>
        <v>55.44</v>
      </c>
      <c r="CC73" s="3">
        <f>'QTR Raw'!AW49</f>
        <v>55.43</v>
      </c>
      <c r="CD73" s="3">
        <f>'QTR Raw'!AX49</f>
        <v>55.42</v>
      </c>
      <c r="CE73" s="3">
        <f>'QTR Raw'!AY49</f>
        <v>55.41</v>
      </c>
      <c r="CF73" s="3">
        <f>'QTR Raw'!AZ49</f>
        <v>55.39</v>
      </c>
      <c r="CG73" s="3">
        <f>'QTR Raw'!BA49</f>
        <v>55.38</v>
      </c>
      <c r="CH73" s="3">
        <f>'QTR Raw'!BB49</f>
        <v>55.38</v>
      </c>
      <c r="CI73" s="3">
        <f>'QTR Raw'!BC49</f>
        <v>55.37</v>
      </c>
      <c r="CJ73" s="3">
        <f>'QTR Raw'!BD49</f>
        <v>55.36</v>
      </c>
      <c r="CK73" s="3">
        <f>'QTR Raw'!BE49</f>
        <v>55.34</v>
      </c>
      <c r="CL73" s="3">
        <f>'QTR Raw'!BF49</f>
        <v>55.33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673.45</v>
      </c>
      <c r="T77" s="13">
        <f>'Annual Raw'!U106</f>
        <v>579.54999999999995</v>
      </c>
      <c r="U77" s="13">
        <f>'Annual Raw'!V106</f>
        <v>640.95000000000005</v>
      </c>
      <c r="V77" s="13">
        <f>'Annual Raw'!W106</f>
        <v>880.5</v>
      </c>
      <c r="W77" s="13">
        <f>'Annual Raw'!X106</f>
        <v>1120.2</v>
      </c>
      <c r="X77" s="13">
        <f>'Annual Raw'!Y106</f>
        <v>1099.6500000000001</v>
      </c>
      <c r="Y77" s="13">
        <f>'Annual Raw'!Z106</f>
        <v>1497.95</v>
      </c>
      <c r="Z77" s="13">
        <f>'Annual Raw'!AA106</f>
        <v>1548.05</v>
      </c>
      <c r="AA77" s="13">
        <f>'Annual Raw'!AB106</f>
        <v>1777.65</v>
      </c>
      <c r="AB77" s="37">
        <f>+CP77</f>
        <v>1777.65</v>
      </c>
      <c r="AC77" s="37">
        <f>+CT77</f>
        <v>1777.65</v>
      </c>
      <c r="AD77" s="37">
        <f>+CX77</f>
        <v>1777.65</v>
      </c>
      <c r="AE77" s="37">
        <f>+DB77</f>
        <v>1777.65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693.6</v>
      </c>
      <c r="BF77" s="13">
        <f>'QTR Share Price'!IL21</f>
        <v>673.45</v>
      </c>
      <c r="BG77" s="13">
        <f>'QTR Share Price'!IM21</f>
        <v>671.75</v>
      </c>
      <c r="BH77" s="13">
        <f>'QTR Share Price'!IN21</f>
        <v>509.3</v>
      </c>
      <c r="BI77" s="13">
        <f>'QTR Share Price'!IO21</f>
        <v>596.45000000000005</v>
      </c>
      <c r="BJ77" s="13">
        <f>'QTR Share Price'!IP21</f>
        <v>579.54999999999995</v>
      </c>
      <c r="BK77" s="13">
        <f>'QTR Share Price'!IQ21</f>
        <v>723.35</v>
      </c>
      <c r="BL77" s="13">
        <f>'QTR Share Price'!IR21</f>
        <v>846.15</v>
      </c>
      <c r="BM77" s="13">
        <f>'QTR Share Price'!IS21</f>
        <v>961.8</v>
      </c>
      <c r="BN77" s="13">
        <f>'QTR Share Price'!IT21</f>
        <v>640.95000000000005</v>
      </c>
      <c r="BO77" s="13">
        <f>'QTR Share Price'!IU21</f>
        <v>806.65</v>
      </c>
      <c r="BP77" s="13">
        <f>'QTR Share Price'!IV21</f>
        <v>811.25</v>
      </c>
      <c r="BQ77" s="13">
        <f>'QTR Share Price'!IW21</f>
        <v>904.25</v>
      </c>
      <c r="BR77" s="13">
        <f>'QTR Share Price'!IX21</f>
        <v>880.5</v>
      </c>
      <c r="BS77" s="13">
        <f>'QTR Share Price'!IY21</f>
        <v>1007.65</v>
      </c>
      <c r="BT77" s="13">
        <f>'QTR Share Price'!IZ21</f>
        <v>1214.75</v>
      </c>
      <c r="BU77" s="13">
        <f>'QTR Share Price'!JA21</f>
        <v>1196.25</v>
      </c>
      <c r="BV77" s="13">
        <f>'QTR Share Price'!JB21</f>
        <v>1120.2</v>
      </c>
      <c r="BW77" s="13">
        <f>'QTR Share Price'!JC21</f>
        <v>1082.9000000000001</v>
      </c>
      <c r="BX77" s="13">
        <f>'QTR Share Price'!JD21</f>
        <v>1250.5</v>
      </c>
      <c r="BY77" s="13">
        <f>'QTR Share Price'!JE21</f>
        <v>1231.5999999999999</v>
      </c>
      <c r="BZ77" s="13">
        <f>'QTR Share Price'!JF21</f>
        <v>1099.6500000000001</v>
      </c>
      <c r="CA77" s="13">
        <f>'QTR Share Price'!JG21</f>
        <v>1306.9000000000001</v>
      </c>
      <c r="CB77" s="13">
        <f>'QTR Share Price'!JH21</f>
        <v>1306.5999999999999</v>
      </c>
      <c r="CC77" s="13">
        <f>'QTR Share Price'!JI21</f>
        <v>1432.15</v>
      </c>
      <c r="CD77" s="13">
        <f>'QTR Share Price'!JJ21</f>
        <v>1497.95</v>
      </c>
      <c r="CE77" s="13">
        <f>'QTR Share Price'!JK21</f>
        <v>1491.1</v>
      </c>
      <c r="CF77" s="13">
        <f>'QTR Share Price'!JL21</f>
        <v>1843.3</v>
      </c>
      <c r="CG77" s="13">
        <f>'QTR Share Price'!JM21</f>
        <v>1390.5</v>
      </c>
      <c r="CH77" s="13">
        <f>'QTR Share Price'!JN21</f>
        <v>1548.05</v>
      </c>
      <c r="CI77" s="13">
        <f>'QTR Share Price'!JO21</f>
        <v>1838.1</v>
      </c>
      <c r="CJ77" s="13">
        <f>'QTR Share Price'!JP21</f>
        <v>1790.9</v>
      </c>
      <c r="CK77" s="13">
        <f>'QTR Share Price'!JQ21</f>
        <v>2034.7</v>
      </c>
      <c r="CL77" s="13">
        <f>'QTR Share Price'!JR21</f>
        <v>1777.65</v>
      </c>
      <c r="CM77" s="37">
        <f t="shared" ref="CM77" si="853">+CL77</f>
        <v>1777.65</v>
      </c>
      <c r="CN77" s="37">
        <f t="shared" ref="CN77" si="854">+CM77</f>
        <v>1777.65</v>
      </c>
      <c r="CO77" s="37">
        <f t="shared" ref="CO77" si="855">+CN77</f>
        <v>1777.65</v>
      </c>
      <c r="CP77" s="37">
        <f t="shared" ref="CP77" si="856">+CO77</f>
        <v>1777.65</v>
      </c>
      <c r="CQ77" s="37">
        <f t="shared" ref="CQ77" si="857">+CP77</f>
        <v>1777.65</v>
      </c>
      <c r="CR77" s="37">
        <f t="shared" ref="CR77" si="858">+CQ77</f>
        <v>1777.65</v>
      </c>
      <c r="CS77" s="37">
        <f t="shared" ref="CS77" si="859">+CR77</f>
        <v>1777.65</v>
      </c>
      <c r="CT77" s="37">
        <f t="shared" ref="CT77" si="860">+CS77</f>
        <v>1777.65</v>
      </c>
      <c r="CU77" s="37">
        <f t="shared" ref="CU77" si="861">+CT77</f>
        <v>1777.65</v>
      </c>
      <c r="CV77" s="37">
        <f t="shared" ref="CV77" si="862">+CU77</f>
        <v>1777.65</v>
      </c>
      <c r="CW77" s="37">
        <f t="shared" ref="CW77" si="863">+CV77</f>
        <v>1777.65</v>
      </c>
      <c r="CX77" s="37">
        <f t="shared" ref="CX77" si="864">+CW77</f>
        <v>1777.65</v>
      </c>
      <c r="CY77" s="37">
        <f t="shared" ref="CY77" si="865">+CX77</f>
        <v>1777.65</v>
      </c>
      <c r="CZ77" s="37">
        <f t="shared" ref="CZ77" si="866">+CY77</f>
        <v>1777.65</v>
      </c>
      <c r="DA77" s="37">
        <f t="shared" ref="DA77" si="867">+CZ77</f>
        <v>1777.65</v>
      </c>
      <c r="DB77" s="37">
        <f t="shared" ref="DB77" si="868">+DA77</f>
        <v>1777.65</v>
      </c>
      <c r="DE77" s="134"/>
      <c r="DF77" s="13">
        <v>1777.65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738</v>
      </c>
      <c r="T78" s="13">
        <f>'Annual Raw'!U107</f>
        <v>774.75</v>
      </c>
      <c r="U78" s="13">
        <f>'Annual Raw'!V107</f>
        <v>1030</v>
      </c>
      <c r="V78" s="13">
        <f>'Annual Raw'!W107</f>
        <v>983.95</v>
      </c>
      <c r="W78" s="13">
        <f>'Annual Raw'!X107</f>
        <v>1293</v>
      </c>
      <c r="X78" s="13">
        <f>'Annual Raw'!Y107</f>
        <v>1339.55</v>
      </c>
      <c r="Y78" s="13">
        <f>'Annual Raw'!Z107</f>
        <v>1571.55</v>
      </c>
      <c r="Z78" s="13">
        <f>'Annual Raw'!AA107</f>
        <v>1935</v>
      </c>
      <c r="AA78" s="13">
        <f>'Annual Raw'!AB107</f>
        <v>2132.9</v>
      </c>
      <c r="AB78" s="37">
        <f>+MAX(CM78:CP78)</f>
        <v>19689.452456817009</v>
      </c>
      <c r="AC78" s="37">
        <f>+MAX(CQ78:CT78)</f>
        <v>-21371.042119102582</v>
      </c>
      <c r="AD78" s="37">
        <f>+MAX(CU78:CX78)</f>
        <v>-33928.06425960263</v>
      </c>
      <c r="AE78" s="37">
        <f>+MAX(CY78:DB78)</f>
        <v>-41087.270766525224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738</v>
      </c>
      <c r="BF78" s="13">
        <f>'QTR Share Price'!IL19</f>
        <v>732</v>
      </c>
      <c r="BG78" s="13">
        <f>'QTR Share Price'!IM19</f>
        <v>774.75</v>
      </c>
      <c r="BH78" s="13">
        <f>'QTR Share Price'!IN19</f>
        <v>710</v>
      </c>
      <c r="BI78" s="13">
        <f>'QTR Share Price'!IO19</f>
        <v>604.35</v>
      </c>
      <c r="BJ78" s="13">
        <f>'QTR Share Price'!IP19</f>
        <v>648.15</v>
      </c>
      <c r="BK78" s="13">
        <f>'QTR Share Price'!IQ19</f>
        <v>744.35</v>
      </c>
      <c r="BL78" s="13">
        <f>'QTR Share Price'!IR19</f>
        <v>862.4</v>
      </c>
      <c r="BM78" s="13">
        <f>'QTR Share Price'!IS19</f>
        <v>1030</v>
      </c>
      <c r="BN78" s="13">
        <f>'QTR Share Price'!IT19</f>
        <v>1019.65</v>
      </c>
      <c r="BO78" s="13">
        <f>'QTR Share Price'!IU19</f>
        <v>820.8</v>
      </c>
      <c r="BP78" s="13">
        <f>'QTR Share Price'!IV19</f>
        <v>921.85</v>
      </c>
      <c r="BQ78" s="13">
        <f>'QTR Share Price'!IW19</f>
        <v>911</v>
      </c>
      <c r="BR78" s="13">
        <f>'QTR Share Price'!IX19</f>
        <v>983.95</v>
      </c>
      <c r="BS78" s="13">
        <f>'QTR Share Price'!IY19</f>
        <v>1040</v>
      </c>
      <c r="BT78" s="13">
        <f>'QTR Share Price'!IZ19</f>
        <v>1253.5</v>
      </c>
      <c r="BU78" s="13">
        <f>'QTR Share Price'!JA19</f>
        <v>1273.4000000000001</v>
      </c>
      <c r="BV78" s="13">
        <f>'QTR Share Price'!JB19</f>
        <v>1293</v>
      </c>
      <c r="BW78" s="13">
        <f>'QTR Share Price'!JC19</f>
        <v>1184.3</v>
      </c>
      <c r="BX78" s="13">
        <f>'QTR Share Price'!JD19</f>
        <v>1339.55</v>
      </c>
      <c r="BY78" s="13">
        <f>'QTR Share Price'!JE19</f>
        <v>1313.65</v>
      </c>
      <c r="BZ78" s="13">
        <f>'QTR Share Price'!JF19</f>
        <v>1329.75</v>
      </c>
      <c r="CA78" s="13">
        <f>'QTR Share Price'!JG19</f>
        <v>1315</v>
      </c>
      <c r="CB78" s="13">
        <f>'QTR Share Price'!JH19</f>
        <v>1392.1</v>
      </c>
      <c r="CC78" s="13">
        <f>'QTR Share Price'!JI19</f>
        <v>1491.5</v>
      </c>
      <c r="CD78" s="13">
        <f>'QTR Share Price'!JJ19</f>
        <v>1571.55</v>
      </c>
      <c r="CE78" s="13">
        <f>'QTR Share Price'!JK19</f>
        <v>1528.35</v>
      </c>
      <c r="CF78" s="13">
        <f>'QTR Share Price'!JL19</f>
        <v>1935</v>
      </c>
      <c r="CG78" s="13">
        <f>'QTR Share Price'!JM19</f>
        <v>1887.95</v>
      </c>
      <c r="CH78" s="13">
        <f>'QTR Share Price'!JN19</f>
        <v>1583.75</v>
      </c>
      <c r="CI78" s="13">
        <f>'QTR Share Price'!JO19</f>
        <v>1867.75</v>
      </c>
      <c r="CJ78" s="13">
        <f>'QTR Share Price'!JP19</f>
        <v>1912.1</v>
      </c>
      <c r="CK78" s="13">
        <f>'QTR Share Price'!JQ19</f>
        <v>2085</v>
      </c>
      <c r="CL78" s="13">
        <f>'QTR Share Price'!JR19</f>
        <v>2132.9</v>
      </c>
      <c r="CM78" s="37">
        <f t="shared" ref="CM78:DB78" si="869">+CM69*CM86</f>
        <v>-2927.444132697321</v>
      </c>
      <c r="CN78" s="37">
        <f t="shared" si="869"/>
        <v>19689.452456817009</v>
      </c>
      <c r="CO78" s="37">
        <f t="shared" si="869"/>
        <v>5054.8642900100949</v>
      </c>
      <c r="CP78" s="37">
        <f t="shared" si="869"/>
        <v>-18291.59489623909</v>
      </c>
      <c r="CQ78" s="37">
        <f t="shared" si="869"/>
        <v>-21371.042119102582</v>
      </c>
      <c r="CR78" s="37">
        <f t="shared" si="869"/>
        <v>-22414.14473512593</v>
      </c>
      <c r="CS78" s="37">
        <f t="shared" si="869"/>
        <v>-27592.700117960332</v>
      </c>
      <c r="CT78" s="37">
        <f t="shared" si="869"/>
        <v>-37055.163645646375</v>
      </c>
      <c r="CU78" s="37">
        <f t="shared" si="869"/>
        <v>-37547.909857526553</v>
      </c>
      <c r="CV78" s="37">
        <f t="shared" si="869"/>
        <v>-33928.06425960263</v>
      </c>
      <c r="CW78" s="37">
        <f t="shared" si="869"/>
        <v>-38032.562013128525</v>
      </c>
      <c r="CX78" s="37">
        <f t="shared" si="869"/>
        <v>-44627.741947250972</v>
      </c>
      <c r="CY78" s="37">
        <f t="shared" si="869"/>
        <v>-45828.628172457138</v>
      </c>
      <c r="CZ78" s="37">
        <f t="shared" si="869"/>
        <v>-41087.270766525224</v>
      </c>
      <c r="DA78" s="37">
        <f t="shared" si="869"/>
        <v>-45587.397059308307</v>
      </c>
      <c r="DB78" s="37">
        <f t="shared" si="869"/>
        <v>-52910.046858361187</v>
      </c>
      <c r="DE78" s="134"/>
      <c r="DF78" s="13">
        <v>2132.9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628.5</v>
      </c>
      <c r="T79" s="13">
        <f>'Annual Raw'!U108</f>
        <v>487</v>
      </c>
      <c r="U79" s="13">
        <f>'Annual Raw'!V108</f>
        <v>520</v>
      </c>
      <c r="V79" s="13">
        <f>'Annual Raw'!W108</f>
        <v>627.35</v>
      </c>
      <c r="W79" s="13">
        <f>'Annual Raw'!X108</f>
        <v>865.2</v>
      </c>
      <c r="X79" s="13">
        <f>'Annual Raw'!Y108</f>
        <v>1034.95</v>
      </c>
      <c r="Y79" s="13">
        <f>'Annual Raw'!Z108</f>
        <v>1091</v>
      </c>
      <c r="Z79" s="13">
        <f>'Annual Raw'!AA108</f>
        <v>1307</v>
      </c>
      <c r="AA79" s="13">
        <f>'Annual Raw'!AB108</f>
        <v>1434</v>
      </c>
      <c r="AB79" s="37">
        <f>+MIN(CM79:CP79)</f>
        <v>-15205.118735539365</v>
      </c>
      <c r="AC79" s="37">
        <f>+MIN(CQ79:CT79)</f>
        <v>-30802.571683497128</v>
      </c>
      <c r="AD79" s="37">
        <f>+MIN(CU79:CX79)</f>
        <v>-37097.372812825721</v>
      </c>
      <c r="AE79" s="37">
        <f>+MIN(CY79:DB79)</f>
        <v>-43982.143129014206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628.5</v>
      </c>
      <c r="BF79" s="13">
        <f>+'QTR Share Price'!IL20</f>
        <v>646.1</v>
      </c>
      <c r="BG79" s="13">
        <f>+'QTR Share Price'!IM20</f>
        <v>647.6</v>
      </c>
      <c r="BH79" s="13">
        <f>+'QTR Share Price'!IN20</f>
        <v>502.8</v>
      </c>
      <c r="BI79" s="13">
        <f>+'QTR Share Price'!IO20</f>
        <v>487</v>
      </c>
      <c r="BJ79" s="13">
        <f>+'QTR Share Price'!IP20</f>
        <v>510</v>
      </c>
      <c r="BK79" s="13">
        <f>+'QTR Share Price'!IQ20</f>
        <v>583.75</v>
      </c>
      <c r="BL79" s="13">
        <f>+'QTR Share Price'!IR20</f>
        <v>716.35</v>
      </c>
      <c r="BM79" s="13">
        <f>+'QTR Share Price'!IS20</f>
        <v>804</v>
      </c>
      <c r="BN79" s="13">
        <f>+'QTR Share Price'!IT20</f>
        <v>520</v>
      </c>
      <c r="BO79" s="13">
        <f>+'QTR Share Price'!IU20</f>
        <v>627.35</v>
      </c>
      <c r="BP79" s="13">
        <f>+'QTR Share Price'!IV20</f>
        <v>780</v>
      </c>
      <c r="BQ79" s="13">
        <f>+'QTR Share Price'!IW20</f>
        <v>755.55</v>
      </c>
      <c r="BR79" s="13">
        <f>+'QTR Share Price'!IX20</f>
        <v>838.2</v>
      </c>
      <c r="BS79" s="13">
        <f>+'QTR Share Price'!IY20</f>
        <v>865.2</v>
      </c>
      <c r="BT79" s="13">
        <f>+'QTR Share Price'!IZ20</f>
        <v>996.05</v>
      </c>
      <c r="BU79" s="13">
        <f>+'QTR Share Price'!JA20</f>
        <v>1100.1500000000001</v>
      </c>
      <c r="BV79" s="13">
        <f>+'QTR Share Price'!JB20</f>
        <v>1003.6</v>
      </c>
      <c r="BW79" s="13">
        <f>+'QTR Share Price'!JC20</f>
        <v>1034.95</v>
      </c>
      <c r="BX79" s="13">
        <f>+'QTR Share Price'!JD20</f>
        <v>1078</v>
      </c>
      <c r="BY79" s="13">
        <f>+'QTR Share Price'!JE20</f>
        <v>1168.0999999999999</v>
      </c>
      <c r="BZ79" s="13">
        <f>+'QTR Share Price'!JF20</f>
        <v>1039.25</v>
      </c>
      <c r="CA79" s="13">
        <f>+'QTR Share Price'!JG20</f>
        <v>1091</v>
      </c>
      <c r="CB79" s="13">
        <f>+'QTR Share Price'!JH20</f>
        <v>1251.3</v>
      </c>
      <c r="CC79" s="13">
        <f>+'QTR Share Price'!JI20</f>
        <v>1263.95</v>
      </c>
      <c r="CD79" s="13">
        <f>+'QTR Share Price'!JJ20</f>
        <v>1357.2</v>
      </c>
      <c r="CE79" s="13">
        <f>+'QTR Share Price'!JK20</f>
        <v>1307</v>
      </c>
      <c r="CF79" s="13">
        <f>+'QTR Share Price'!JL20</f>
        <v>1468.05</v>
      </c>
      <c r="CG79" s="13">
        <f>+'QTR Share Price'!JM20</f>
        <v>1378</v>
      </c>
      <c r="CH79" s="13">
        <f>+'QTR Share Price'!JN20</f>
        <v>1373.15</v>
      </c>
      <c r="CI79" s="13">
        <f>+'QTR Share Price'!JO20</f>
        <v>1434</v>
      </c>
      <c r="CJ79" s="13">
        <f>+'QTR Share Price'!JP20</f>
        <v>1754.6</v>
      </c>
      <c r="CK79" s="13">
        <f>+'QTR Share Price'!JQ20</f>
        <v>1759.35</v>
      </c>
      <c r="CL79" s="13">
        <f>+'QTR Share Price'!JR20</f>
        <v>1773</v>
      </c>
      <c r="CM79" s="37">
        <f t="shared" ref="CM79:DB79" si="870">+CM87*CM69</f>
        <v>-2433.4748217320789</v>
      </c>
      <c r="CN79" s="37">
        <f t="shared" si="870"/>
        <v>16367.105446076495</v>
      </c>
      <c r="CO79" s="37">
        <f t="shared" si="870"/>
        <v>4201.9196334511216</v>
      </c>
      <c r="CP79" s="37">
        <f t="shared" si="870"/>
        <v>-15205.118735539365</v>
      </c>
      <c r="CQ79" s="37">
        <f t="shared" si="870"/>
        <v>-17764.948041243788</v>
      </c>
      <c r="CR79" s="37">
        <f t="shared" si="870"/>
        <v>-18632.040234131124</v>
      </c>
      <c r="CS79" s="37">
        <f t="shared" si="870"/>
        <v>-22936.779647026899</v>
      </c>
      <c r="CT79" s="37">
        <f t="shared" si="870"/>
        <v>-30802.571683497128</v>
      </c>
      <c r="CU79" s="37">
        <f t="shared" si="870"/>
        <v>-31212.173180831065</v>
      </c>
      <c r="CV79" s="37">
        <f t="shared" si="870"/>
        <v>-28203.130916721588</v>
      </c>
      <c r="CW79" s="37">
        <f t="shared" si="870"/>
        <v>-31615.046391896889</v>
      </c>
      <c r="CX79" s="37">
        <f t="shared" si="870"/>
        <v>-37097.372812825721</v>
      </c>
      <c r="CY79" s="37">
        <f t="shared" si="870"/>
        <v>-38095.624618953778</v>
      </c>
      <c r="CZ79" s="37">
        <f t="shared" si="870"/>
        <v>-34154.311533146996</v>
      </c>
      <c r="DA79" s="37">
        <f t="shared" si="870"/>
        <v>-37895.09821658476</v>
      </c>
      <c r="DB79" s="37">
        <f t="shared" si="870"/>
        <v>-43982.143129014206</v>
      </c>
      <c r="DE79" s="134"/>
      <c r="DF79" s="13">
        <v>1773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10.076113102588815</v>
      </c>
      <c r="AC81" s="48">
        <f t="shared" si="871"/>
        <v>-13.022075278655855</v>
      </c>
      <c r="AD81" s="48">
        <f t="shared" si="871"/>
        <v>-20.085907945660072</v>
      </c>
      <c r="AE81" s="48">
        <f t="shared" ref="AE81" si="872">+AE78/AE77-1</f>
        <v>-24.11325107109117</v>
      </c>
      <c r="CM81" s="48">
        <f t="shared" ref="CM81:DB81" si="873">+CM78/CM77-1</f>
        <v>-2.6468056888011255</v>
      </c>
      <c r="CN81" s="48">
        <f t="shared" si="873"/>
        <v>10.076113102588815</v>
      </c>
      <c r="CO81" s="48">
        <f t="shared" si="873"/>
        <v>1.8435655444041821</v>
      </c>
      <c r="CP81" s="48">
        <f t="shared" si="873"/>
        <v>-11.289761705757089</v>
      </c>
      <c r="CQ81" s="48">
        <f t="shared" si="873"/>
        <v>-13.022075278655855</v>
      </c>
      <c r="CR81" s="48">
        <f t="shared" si="873"/>
        <v>-13.608862675513137</v>
      </c>
      <c r="CS81" s="48">
        <f t="shared" si="873"/>
        <v>-16.52200946078268</v>
      </c>
      <c r="CT81" s="48">
        <f t="shared" si="873"/>
        <v>-21.845027787048277</v>
      </c>
      <c r="CU81" s="48">
        <f t="shared" si="873"/>
        <v>-22.122217454238207</v>
      </c>
      <c r="CV81" s="48">
        <f t="shared" si="873"/>
        <v>-20.085907945660072</v>
      </c>
      <c r="CW81" s="48">
        <f t="shared" si="873"/>
        <v>-22.39485388750796</v>
      </c>
      <c r="CX81" s="48">
        <f t="shared" si="873"/>
        <v>-26.104909260681783</v>
      </c>
      <c r="CY81" s="48">
        <f t="shared" si="873"/>
        <v>-26.780456317304946</v>
      </c>
      <c r="CZ81" s="48">
        <f t="shared" si="873"/>
        <v>-24.11325107109117</v>
      </c>
      <c r="DA81" s="48">
        <f t="shared" si="873"/>
        <v>-26.644754062559169</v>
      </c>
      <c r="DB81" s="48">
        <f t="shared" si="873"/>
        <v>-30.764040648249761</v>
      </c>
      <c r="DE81" s="129"/>
      <c r="DF81" s="51">
        <v>0.19984248867887389</v>
      </c>
    </row>
    <row r="82" spans="1:110" s="51" customFormat="1" x14ac:dyDescent="0.2">
      <c r="A82" s="51" t="s">
        <v>347</v>
      </c>
      <c r="AB82" s="48">
        <f t="shared" ref="AB82:AD82" si="874">+AB79/AB77-1</f>
        <v>-9.553494071127254</v>
      </c>
      <c r="AC82" s="48">
        <f t="shared" si="874"/>
        <v>-18.327691999829621</v>
      </c>
      <c r="AD82" s="48">
        <f t="shared" si="874"/>
        <v>-21.868772150212763</v>
      </c>
      <c r="AE82" s="48">
        <f t="shared" ref="AE82" si="875">+AE79/AE77-1</f>
        <v>-25.741733822188959</v>
      </c>
      <c r="CM82" s="48">
        <f t="shared" ref="CM82:DB82" si="876">+CM79/CM77-1</f>
        <v>-2.3689279789227795</v>
      </c>
      <c r="CN82" s="48">
        <f t="shared" si="876"/>
        <v>8.2071585779408185</v>
      </c>
      <c r="CO82" s="48">
        <f t="shared" si="876"/>
        <v>1.3637496883251043</v>
      </c>
      <c r="CP82" s="48">
        <f t="shared" si="876"/>
        <v>-9.553494071127254</v>
      </c>
      <c r="CQ82" s="48">
        <f t="shared" si="876"/>
        <v>-10.993501556123977</v>
      </c>
      <c r="CR82" s="48">
        <f t="shared" si="876"/>
        <v>-11.481275973409346</v>
      </c>
      <c r="CS82" s="48">
        <f t="shared" si="876"/>
        <v>-13.902865944942423</v>
      </c>
      <c r="CT82" s="48">
        <f t="shared" si="876"/>
        <v>-18.327691999829621</v>
      </c>
      <c r="CU82" s="48">
        <f t="shared" si="876"/>
        <v>-18.558109403330839</v>
      </c>
      <c r="CV82" s="48">
        <f t="shared" si="876"/>
        <v>-16.865401466386288</v>
      </c>
      <c r="CW82" s="48">
        <f t="shared" si="876"/>
        <v>-18.784741873764176</v>
      </c>
      <c r="CX82" s="48">
        <f t="shared" si="876"/>
        <v>-21.868772150212763</v>
      </c>
      <c r="CY82" s="48">
        <f t="shared" si="876"/>
        <v>-22.430329153069376</v>
      </c>
      <c r="CZ82" s="48">
        <f t="shared" si="876"/>
        <v>-20.213181184792841</v>
      </c>
      <c r="DA82" s="48">
        <f t="shared" si="876"/>
        <v>-22.31752494393427</v>
      </c>
      <c r="DB82" s="48">
        <f t="shared" si="876"/>
        <v>-25.741733822188959</v>
      </c>
      <c r="DE82" s="129"/>
      <c r="DF82" s="51">
        <v>-0.19331701966078818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0</v>
      </c>
      <c r="BD85" s="13">
        <f t="shared" si="880"/>
        <v>0</v>
      </c>
      <c r="BE85" s="13">
        <f t="shared" si="880"/>
        <v>62.916313232300411</v>
      </c>
      <c r="BF85" s="13">
        <f t="shared" si="880"/>
        <v>58.691466937299559</v>
      </c>
      <c r="BG85" s="13">
        <f t="shared" si="880"/>
        <v>56.534794881050374</v>
      </c>
      <c r="BH85" s="13">
        <f t="shared" si="880"/>
        <v>41.980161389777308</v>
      </c>
      <c r="BI85" s="13">
        <f t="shared" si="880"/>
        <v>47.826769081267948</v>
      </c>
      <c r="BJ85" s="13">
        <f t="shared" si="880"/>
        <v>43.792541716912908</v>
      </c>
      <c r="BK85" s="13">
        <f t="shared" si="880"/>
        <v>53.943751729421798</v>
      </c>
      <c r="BL85" s="13">
        <f t="shared" si="880"/>
        <v>69.324557121843725</v>
      </c>
      <c r="BM85" s="13">
        <f t="shared" si="880"/>
        <v>71.470424921619539</v>
      </c>
      <c r="BN85" s="13">
        <f t="shared" si="880"/>
        <v>45.183959941779484</v>
      </c>
      <c r="BO85" s="13">
        <f t="shared" si="880"/>
        <v>56.115731697162623</v>
      </c>
      <c r="BP85" s="13">
        <f t="shared" si="880"/>
        <v>50.4844582138467</v>
      </c>
      <c r="BQ85" s="13">
        <f t="shared" si="880"/>
        <v>62.344335655439103</v>
      </c>
      <c r="BR85" s="13">
        <f t="shared" ref="BR85:DB85" si="881">+BR77/BR69</f>
        <v>60.635565820654683</v>
      </c>
      <c r="BS85" s="13">
        <f t="shared" si="881"/>
        <v>78.427449344781735</v>
      </c>
      <c r="BT85" s="13">
        <f t="shared" si="881"/>
        <v>98.612311438773872</v>
      </c>
      <c r="BU85" s="13">
        <f t="shared" si="881"/>
        <v>87.784131582029076</v>
      </c>
      <c r="BV85" s="13">
        <f t="shared" si="881"/>
        <v>74.574128247863484</v>
      </c>
      <c r="BW85" s="13">
        <f t="shared" si="881"/>
        <v>70.239833147870044</v>
      </c>
      <c r="BX85" s="13">
        <f t="shared" si="881"/>
        <v>74.812852667382785</v>
      </c>
      <c r="BY85" s="13">
        <f t="shared" si="881"/>
        <v>76.414885603421013</v>
      </c>
      <c r="BZ85" s="13">
        <f t="shared" si="881"/>
        <v>64.076213144481244</v>
      </c>
      <c r="CA85" s="13">
        <f t="shared" si="881"/>
        <v>71.257735267245465</v>
      </c>
      <c r="CB85" s="13">
        <f t="shared" si="881"/>
        <v>71.107960655951217</v>
      </c>
      <c r="CC85" s="13">
        <f t="shared" si="881"/>
        <v>77.202251039073332</v>
      </c>
      <c r="CD85" s="13">
        <f t="shared" si="881"/>
        <v>79.301699854259468</v>
      </c>
      <c r="CE85" s="13">
        <f t="shared" si="881"/>
        <v>73.560082223731101</v>
      </c>
      <c r="CF85" s="13">
        <f t="shared" si="881"/>
        <v>84.714451177864689</v>
      </c>
      <c r="CG85" s="13">
        <f t="shared" si="881"/>
        <v>57.83193884408611</v>
      </c>
      <c r="CH85" s="13">
        <f t="shared" si="881"/>
        <v>64.31226048059294</v>
      </c>
      <c r="CI85" s="13">
        <f t="shared" ref="CI85:CJ85" si="882">+CI77/CI69</f>
        <v>74.064913147275945</v>
      </c>
      <c r="CJ85" s="13">
        <f t="shared" si="882"/>
        <v>73.187540527210558</v>
      </c>
      <c r="CK85" s="13">
        <f t="shared" ref="CK85:CL85" si="883">+CK77/CK69</f>
        <v>82.286382403905819</v>
      </c>
      <c r="CL85" s="13">
        <f t="shared" si="883"/>
        <v>72.161219277511449</v>
      </c>
      <c r="CM85" s="37">
        <f t="shared" si="881"/>
        <v>-52.575782020198766</v>
      </c>
      <c r="CN85" s="37">
        <f t="shared" si="881"/>
        <v>7.8170109064518734</v>
      </c>
      <c r="CO85" s="37">
        <f t="shared" si="881"/>
        <v>30.448426657305337</v>
      </c>
      <c r="CP85" s="37">
        <f t="shared" si="881"/>
        <v>-8.4143928110199919</v>
      </c>
      <c r="CQ85" s="37">
        <f t="shared" si="881"/>
        <v>-7.2019260333322164</v>
      </c>
      <c r="CR85" s="37">
        <f t="shared" si="881"/>
        <v>-6.8667650011112258</v>
      </c>
      <c r="CS85" s="37">
        <f t="shared" si="881"/>
        <v>-5.5780211410633598</v>
      </c>
      <c r="CT85" s="37">
        <f t="shared" si="881"/>
        <v>-4.1536090912686454</v>
      </c>
      <c r="CU85" s="37">
        <f t="shared" si="881"/>
        <v>-4.0991007270715523</v>
      </c>
      <c r="CV85" s="37">
        <f t="shared" si="881"/>
        <v>-4.536441083680228</v>
      </c>
      <c r="CW85" s="37">
        <f t="shared" si="881"/>
        <v>-4.0468655396887225</v>
      </c>
      <c r="CX85" s="37">
        <f t="shared" si="881"/>
        <v>-3.4488113868482442</v>
      </c>
      <c r="CY85" s="37">
        <f t="shared" si="881"/>
        <v>-3.3584392711432987</v>
      </c>
      <c r="CZ85" s="37">
        <f t="shared" si="881"/>
        <v>-3.7459938741514196</v>
      </c>
      <c r="DA85" s="37">
        <f t="shared" si="881"/>
        <v>-3.376210850484989</v>
      </c>
      <c r="DB85" s="37">
        <f t="shared" si="881"/>
        <v>-2.908949693600241</v>
      </c>
      <c r="DE85" s="134"/>
      <c r="DF85" s="13">
        <v>0.47819545879780168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0</v>
      </c>
      <c r="BD86" s="13">
        <f t="shared" si="887"/>
        <v>0</v>
      </c>
      <c r="BE86" s="13">
        <f t="shared" si="887"/>
        <v>66.943828093191613</v>
      </c>
      <c r="BF86" s="13">
        <f t="shared" si="887"/>
        <v>63.794125470492645</v>
      </c>
      <c r="BG86" s="13">
        <f t="shared" si="887"/>
        <v>65.203323162030188</v>
      </c>
      <c r="BH86" s="13">
        <f t="shared" si="887"/>
        <v>58.523295870296259</v>
      </c>
      <c r="BI86" s="13">
        <f t="shared" si="887"/>
        <v>48.46023622141719</v>
      </c>
      <c r="BJ86" s="13">
        <f t="shared" si="887"/>
        <v>48.976164116671733</v>
      </c>
      <c r="BK86" s="13">
        <f t="shared" si="887"/>
        <v>55.509824565970995</v>
      </c>
      <c r="BL86" s="13">
        <f t="shared" si="887"/>
        <v>70.655909781809413</v>
      </c>
      <c r="BM86" s="13">
        <f t="shared" si="887"/>
        <v>76.538300758232609</v>
      </c>
      <c r="BN86" s="13">
        <f t="shared" si="887"/>
        <v>71.880528519596609</v>
      </c>
      <c r="BO86" s="13">
        <f t="shared" si="887"/>
        <v>57.100096171860265</v>
      </c>
      <c r="BP86" s="13">
        <f t="shared" si="887"/>
        <v>57.367146754310738</v>
      </c>
      <c r="BQ86" s="13">
        <f t="shared" si="887"/>
        <v>62.809720522095688</v>
      </c>
      <c r="BR86" s="13">
        <f t="shared" ref="BR86:CH86" si="888">+BR78/BR69</f>
        <v>67.759642236494244</v>
      </c>
      <c r="BS86" s="13">
        <f t="shared" si="888"/>
        <v>80.945315653821268</v>
      </c>
      <c r="BT86" s="13">
        <f t="shared" si="888"/>
        <v>101.75800155464339</v>
      </c>
      <c r="BU86" s="13">
        <f t="shared" si="888"/>
        <v>93.44561183411146</v>
      </c>
      <c r="BV86" s="13">
        <f t="shared" si="888"/>
        <v>86.077796665316441</v>
      </c>
      <c r="BW86" s="13">
        <f t="shared" si="888"/>
        <v>76.816912362196405</v>
      </c>
      <c r="BX86" s="13">
        <f t="shared" si="888"/>
        <v>80.140389276763386</v>
      </c>
      <c r="BY86" s="13">
        <f t="shared" si="888"/>
        <v>81.505695414853875</v>
      </c>
      <c r="BZ86" s="13">
        <f t="shared" si="888"/>
        <v>77.484058044717798</v>
      </c>
      <c r="CA86" s="13">
        <f t="shared" si="888"/>
        <v>71.699381648502396</v>
      </c>
      <c r="CB86" s="13">
        <f t="shared" si="888"/>
        <v>75.761053137264426</v>
      </c>
      <c r="CC86" s="13">
        <f t="shared" si="888"/>
        <v>80.401604178876426</v>
      </c>
      <c r="CD86" s="13">
        <f t="shared" si="888"/>
        <v>83.198095000474964</v>
      </c>
      <c r="CE86" s="13">
        <f t="shared" si="888"/>
        <v>75.397727628354531</v>
      </c>
      <c r="CF86" s="13">
        <f t="shared" si="888"/>
        <v>88.928803249155408</v>
      </c>
      <c r="CG86" s="13">
        <f t="shared" si="888"/>
        <v>78.521257778275711</v>
      </c>
      <c r="CH86" s="13">
        <f t="shared" si="888"/>
        <v>65.795382924413985</v>
      </c>
      <c r="CI86" s="13">
        <f t="shared" ref="CI86:CJ86" si="889">+CI78/CI69</f>
        <v>75.25963850216236</v>
      </c>
      <c r="CJ86" s="13">
        <f t="shared" si="889"/>
        <v>78.14054176228673</v>
      </c>
      <c r="CK86" s="13">
        <f t="shared" ref="CK86:CL86" si="890">+CK78/CK69</f>
        <v>84.320591395362285</v>
      </c>
      <c r="CL86" s="13">
        <f t="shared" si="890"/>
        <v>86.582096924031262</v>
      </c>
      <c r="CM86" s="60">
        <f t="shared" ref="CM86:CM87" si="891">+CL86</f>
        <v>86.582096924031262</v>
      </c>
      <c r="CN86" s="60">
        <f t="shared" ref="CN86:CN87" si="892">+CM86</f>
        <v>86.582096924031262</v>
      </c>
      <c r="CO86" s="60">
        <f t="shared" ref="CO86:CO87" si="893">+CN86</f>
        <v>86.582096924031262</v>
      </c>
      <c r="CP86" s="60">
        <f t="shared" ref="CP86:CP87" si="894">+CO86</f>
        <v>86.582096924031262</v>
      </c>
      <c r="CQ86" s="60">
        <f t="shared" ref="CQ86:CQ87" si="895">+CP86</f>
        <v>86.582096924031262</v>
      </c>
      <c r="CR86" s="60">
        <f t="shared" ref="CR86:CR87" si="896">+CQ86</f>
        <v>86.582096924031262</v>
      </c>
      <c r="CS86" s="60">
        <f t="shared" ref="CS86:CS87" si="897">+CR86</f>
        <v>86.582096924031262</v>
      </c>
      <c r="CT86" s="60">
        <f t="shared" ref="CT86:CT87" si="898">+CS86</f>
        <v>86.582096924031262</v>
      </c>
      <c r="CU86" s="60">
        <f t="shared" ref="CU86:CU87" si="899">+CT86</f>
        <v>86.582096924031262</v>
      </c>
      <c r="CV86" s="60">
        <f t="shared" ref="CV86:CV87" si="900">+CU86</f>
        <v>86.582096924031262</v>
      </c>
      <c r="CW86" s="60">
        <f t="shared" ref="CW86:CW87" si="901">+CV86</f>
        <v>86.582096924031262</v>
      </c>
      <c r="CX86" s="60">
        <f t="shared" ref="CX86:CX87" si="902">+CW86</f>
        <v>86.582096924031262</v>
      </c>
      <c r="CY86" s="60">
        <f t="shared" ref="CY86:CY87" si="903">+CX86</f>
        <v>86.582096924031262</v>
      </c>
      <c r="CZ86" s="60">
        <f t="shared" ref="CZ86:CZ87" si="904">+CY86</f>
        <v>86.582096924031262</v>
      </c>
      <c r="DA86" s="60">
        <f t="shared" ref="DA86:DA87" si="905">+CZ86</f>
        <v>86.582096924031262</v>
      </c>
      <c r="DB86" s="60">
        <f t="shared" ref="DB86:DB87" si="906">+DA86</f>
        <v>86.582096924031262</v>
      </c>
      <c r="DE86" s="136"/>
      <c r="DF86" s="13">
        <v>0.57375922935889023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0</v>
      </c>
      <c r="BE87" s="13">
        <f t="shared" si="910"/>
        <v>57.011105632209926</v>
      </c>
      <c r="BF87" s="13">
        <f t="shared" si="910"/>
        <v>56.307902276619267</v>
      </c>
      <c r="BG87" s="13">
        <f t="shared" si="910"/>
        <v>54.502319560801226</v>
      </c>
      <c r="BH87" s="13">
        <f t="shared" si="910"/>
        <v>41.444384737443606</v>
      </c>
      <c r="BI87" s="13">
        <f t="shared" si="910"/>
        <v>39.050442690212911</v>
      </c>
      <c r="BJ87" s="13">
        <f t="shared" si="910"/>
        <v>38.537134458848392</v>
      </c>
      <c r="BK87" s="13">
        <f t="shared" si="910"/>
        <v>43.533096111218605</v>
      </c>
      <c r="BL87" s="13">
        <f t="shared" si="910"/>
        <v>58.690121721010172</v>
      </c>
      <c r="BM87" s="13">
        <f t="shared" si="910"/>
        <v>59.744460009338852</v>
      </c>
      <c r="BN87" s="13">
        <f t="shared" si="910"/>
        <v>36.657553896131262</v>
      </c>
      <c r="BO87" s="13">
        <f t="shared" si="910"/>
        <v>43.642477258061085</v>
      </c>
      <c r="BP87" s="13">
        <f t="shared" si="910"/>
        <v>48.5397564336523</v>
      </c>
      <c r="BQ87" s="13">
        <f t="shared" si="910"/>
        <v>52.092079407760039</v>
      </c>
      <c r="BR87" s="13">
        <f t="shared" ref="BR87:CH87" si="911">+BR79/BR69</f>
        <v>57.722579523989509</v>
      </c>
      <c r="BS87" s="13">
        <f t="shared" si="911"/>
        <v>67.340276061236708</v>
      </c>
      <c r="BT87" s="13">
        <f t="shared" si="911"/>
        <v>80.858442320305173</v>
      </c>
      <c r="BU87" s="13">
        <f t="shared" si="911"/>
        <v>80.732047949817598</v>
      </c>
      <c r="BV87" s="13">
        <f t="shared" si="911"/>
        <v>66.811814952290476</v>
      </c>
      <c r="BW87" s="13">
        <f t="shared" si="911"/>
        <v>67.129666004606236</v>
      </c>
      <c r="BX87" s="13">
        <f t="shared" si="911"/>
        <v>64.492807017543896</v>
      </c>
      <c r="BY87" s="13">
        <f t="shared" si="911"/>
        <v>72.475014512306018</v>
      </c>
      <c r="BZ87" s="13">
        <f t="shared" si="911"/>
        <v>60.556726695223141</v>
      </c>
      <c r="CA87" s="13">
        <f t="shared" si="911"/>
        <v>59.485950858187152</v>
      </c>
      <c r="CB87" s="13">
        <f t="shared" si="911"/>
        <v>68.098416630025838</v>
      </c>
      <c r="CC87" s="13">
        <f t="shared" si="911"/>
        <v>68.135171037137681</v>
      </c>
      <c r="CD87" s="13">
        <f t="shared" si="911"/>
        <v>71.850373538636774</v>
      </c>
      <c r="CE87" s="13">
        <f t="shared" si="911"/>
        <v>64.477920640075482</v>
      </c>
      <c r="CF87" s="13">
        <f t="shared" si="911"/>
        <v>67.468697472828211</v>
      </c>
      <c r="CG87" s="13">
        <f t="shared" si="911"/>
        <v>57.312054460374441</v>
      </c>
      <c r="CH87" s="13">
        <f t="shared" si="911"/>
        <v>57.04620682725119</v>
      </c>
      <c r="CI87" s="13">
        <f t="shared" ref="CI87:CJ87" si="912">+CI79/CI69</f>
        <v>57.781995241387143</v>
      </c>
      <c r="CJ87" s="13">
        <f t="shared" si="912"/>
        <v>71.704092137497142</v>
      </c>
      <c r="CK87" s="13">
        <f t="shared" ref="CK87:CL87" si="913">+CK79/CK69</f>
        <v>71.150806940734114</v>
      </c>
      <c r="CL87" s="13">
        <f t="shared" si="913"/>
        <v>71.972459021195291</v>
      </c>
      <c r="CM87" s="60">
        <f t="shared" si="891"/>
        <v>71.972459021195291</v>
      </c>
      <c r="CN87" s="60">
        <f t="shared" si="892"/>
        <v>71.972459021195291</v>
      </c>
      <c r="CO87" s="60">
        <f t="shared" si="893"/>
        <v>71.972459021195291</v>
      </c>
      <c r="CP87" s="60">
        <f t="shared" si="894"/>
        <v>71.972459021195291</v>
      </c>
      <c r="CQ87" s="60">
        <f t="shared" si="895"/>
        <v>71.972459021195291</v>
      </c>
      <c r="CR87" s="60">
        <f t="shared" si="896"/>
        <v>71.972459021195291</v>
      </c>
      <c r="CS87" s="60">
        <f t="shared" si="897"/>
        <v>71.972459021195291</v>
      </c>
      <c r="CT87" s="60">
        <f t="shared" si="898"/>
        <v>71.972459021195291</v>
      </c>
      <c r="CU87" s="60">
        <f t="shared" si="899"/>
        <v>71.972459021195291</v>
      </c>
      <c r="CV87" s="60">
        <f t="shared" si="900"/>
        <v>71.972459021195291</v>
      </c>
      <c r="CW87" s="60">
        <f t="shared" si="901"/>
        <v>71.972459021195291</v>
      </c>
      <c r="CX87" s="60">
        <f t="shared" si="902"/>
        <v>71.972459021195291</v>
      </c>
      <c r="CY87" s="60">
        <f t="shared" si="903"/>
        <v>71.972459021195291</v>
      </c>
      <c r="CZ87" s="60">
        <f t="shared" si="904"/>
        <v>71.972459021195291</v>
      </c>
      <c r="DA87" s="60">
        <f t="shared" si="905"/>
        <v>71.972459021195291</v>
      </c>
      <c r="DB87" s="60">
        <f t="shared" si="906"/>
        <v>71.972459021195291</v>
      </c>
      <c r="DE87" s="136"/>
      <c r="DF87" s="13">
        <v>0.47694458889460939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>
        <f t="shared" si="916"/>
        <v>0</v>
      </c>
      <c r="BB89" s="13">
        <f t="shared" si="916"/>
        <v>0</v>
      </c>
      <c r="BC89" s="13">
        <f t="shared" si="916"/>
        <v>0</v>
      </c>
      <c r="BD89" s="13">
        <f t="shared" si="916"/>
        <v>0</v>
      </c>
      <c r="BE89" s="13">
        <f t="shared" si="916"/>
        <v>59.177056889891432</v>
      </c>
      <c r="BF89" s="13">
        <f t="shared" si="916"/>
        <v>55.312122399758863</v>
      </c>
      <c r="BG89" s="13">
        <f t="shared" si="916"/>
        <v>57.776901434118393</v>
      </c>
      <c r="BH89" s="13">
        <f t="shared" si="916"/>
        <v>58.169870066192814</v>
      </c>
      <c r="BI89" s="13">
        <f t="shared" si="916"/>
        <v>44.908662197318328</v>
      </c>
      <c r="BJ89" s="13">
        <f t="shared" si="916"/>
        <v>45.69152607264899</v>
      </c>
      <c r="BK89" s="13">
        <f t="shared" si="916"/>
        <v>51.781745352734148</v>
      </c>
      <c r="BL89" s="13">
        <f t="shared" si="916"/>
        <v>53.667546087668903</v>
      </c>
      <c r="BM89" s="13">
        <f t="shared" si="916"/>
        <v>71.014283356485791</v>
      </c>
      <c r="BN89" s="13">
        <f t="shared" si="916"/>
        <v>70.218120032970532</v>
      </c>
      <c r="BO89" s="13">
        <f t="shared" si="916"/>
        <v>63.884533739092788</v>
      </c>
      <c r="BP89" s="13">
        <f t="shared" si="916"/>
        <v>74.834953117788601</v>
      </c>
      <c r="BQ89" s="13">
        <f t="shared" si="916"/>
        <v>66.851698115969484</v>
      </c>
      <c r="BR89" s="13">
        <f t="shared" ref="BR89:CL89" si="917">+BR78/BV69</f>
        <v>65.50367210273636</v>
      </c>
      <c r="BS89" s="13">
        <f t="shared" si="917"/>
        <v>67.457222711039648</v>
      </c>
      <c r="BT89" s="13">
        <f t="shared" si="917"/>
        <v>74.992331722162589</v>
      </c>
      <c r="BU89" s="13">
        <f t="shared" si="917"/>
        <v>79.008375550013255</v>
      </c>
      <c r="BV89" s="13">
        <f t="shared" si="917"/>
        <v>75.342648657131122</v>
      </c>
      <c r="BW89" s="13">
        <f t="shared" si="917"/>
        <v>64.573062879331843</v>
      </c>
      <c r="BX89" s="13">
        <f t="shared" si="917"/>
        <v>72.901169980621049</v>
      </c>
      <c r="BY89" s="13">
        <f t="shared" si="917"/>
        <v>70.814326067436156</v>
      </c>
      <c r="BZ89" s="13">
        <f t="shared" si="917"/>
        <v>70.397166381522439</v>
      </c>
      <c r="CA89" s="13">
        <f t="shared" si="917"/>
        <v>64.872582740397291</v>
      </c>
      <c r="CB89" s="13">
        <f t="shared" si="917"/>
        <v>63.978184497751542</v>
      </c>
      <c r="CC89" s="13">
        <f t="shared" si="917"/>
        <v>62.032604664476402</v>
      </c>
      <c r="CD89" s="13">
        <f t="shared" si="917"/>
        <v>65.288545562660005</v>
      </c>
      <c r="CE89" s="13">
        <f t="shared" si="917"/>
        <v>61.583760409465853</v>
      </c>
      <c r="CF89" s="13">
        <f t="shared" si="917"/>
        <v>79.076381104557726</v>
      </c>
      <c r="CG89" s="13">
        <f t="shared" si="917"/>
        <v>76.351587781714258</v>
      </c>
      <c r="CH89" s="13">
        <f t="shared" si="917"/>
        <v>64.290119557144976</v>
      </c>
      <c r="CI89" s="13">
        <f t="shared" si="917"/>
        <v>-55.240579905057935</v>
      </c>
      <c r="CJ89" s="13">
        <f t="shared" si="917"/>
        <v>8.408239278950651</v>
      </c>
      <c r="CK89" s="13">
        <f t="shared" si="917"/>
        <v>35.712862250995201</v>
      </c>
      <c r="CL89" s="13">
        <f t="shared" si="917"/>
        <v>-10.095946011095851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7.257960275633803E-5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>
        <f t="shared" si="918"/>
        <v>0.45184381034152449</v>
      </c>
      <c r="BF90" s="175">
        <f t="shared" si="918"/>
        <v>0.88600836625510326</v>
      </c>
      <c r="BG90" s="175">
        <f t="shared" si="918"/>
        <v>0.75024927153101695</v>
      </c>
      <c r="BH90" s="175">
        <f t="shared" si="918"/>
        <v>-0.7942992053789163</v>
      </c>
      <c r="BI90" s="175">
        <f t="shared" si="918"/>
        <v>-0.86596551609712324</v>
      </c>
      <c r="BJ90" s="175">
        <f t="shared" si="918"/>
        <v>-0.82587484051752813</v>
      </c>
      <c r="BK90" s="175">
        <f t="shared" si="918"/>
        <v>-0.26603376015439717</v>
      </c>
      <c r="BL90" s="175">
        <f t="shared" si="918"/>
        <v>-0.52914756500033744</v>
      </c>
      <c r="BM90" s="175">
        <f t="shared" si="918"/>
        <v>-0.27407202138774789</v>
      </c>
      <c r="BN90" s="175">
        <f t="shared" si="918"/>
        <v>2.0927710139447796E-2</v>
      </c>
      <c r="BO90" s="175">
        <f t="shared" si="918"/>
        <v>-0.44269459337869072</v>
      </c>
      <c r="BP90" s="175">
        <f t="shared" si="918"/>
        <v>-0.76283831150756864</v>
      </c>
      <c r="BQ90" s="175">
        <f t="shared" si="918"/>
        <v>-0.56093694483421619</v>
      </c>
      <c r="BR90" s="175">
        <f t="shared" si="918"/>
        <v>-0.44511713687571447</v>
      </c>
      <c r="BS90" s="175">
        <f t="shared" si="918"/>
        <v>-0.95823453513270462</v>
      </c>
      <c r="BT90" s="175">
        <f t="shared" si="918"/>
        <v>-0.94139205902775602</v>
      </c>
      <c r="BU90" s="175">
        <f t="shared" si="918"/>
        <v>-0.7721116377539512</v>
      </c>
      <c r="BV90" s="175">
        <f t="shared" si="918"/>
        <v>-0.4200414452937995</v>
      </c>
      <c r="BW90" s="175">
        <f t="shared" si="918"/>
        <v>-0.96828661027888396</v>
      </c>
      <c r="BX90" s="175">
        <f t="shared" si="918"/>
        <v>-0.81269470175606728</v>
      </c>
      <c r="BY90" s="175">
        <f t="shared" si="918"/>
        <v>-0.34579221814672406</v>
      </c>
      <c r="BZ90" s="175">
        <f t="shared" si="918"/>
        <v>0.12755230408244</v>
      </c>
      <c r="CA90" s="175">
        <f t="shared" si="918"/>
        <v>-0.99084470870826002</v>
      </c>
      <c r="CB90" s="175">
        <f t="shared" si="918"/>
        <v>-0.90637310944395422</v>
      </c>
      <c r="CC90" s="175">
        <f t="shared" si="918"/>
        <v>-7.4589970166439243E-2</v>
      </c>
      <c r="CD90" s="175">
        <f t="shared" si="918"/>
        <v>0.90672118007693014</v>
      </c>
      <c r="CE90" s="175">
        <f t="shared" si="918"/>
        <v>-0.37218659704236662</v>
      </c>
      <c r="CF90" s="175">
        <f t="shared" si="918"/>
        <v>0.4588922410529605</v>
      </c>
      <c r="CG90" s="175">
        <f t="shared" si="918"/>
        <v>-6.5958580388316951E-2</v>
      </c>
      <c r="CH90" s="175">
        <f t="shared" si="918"/>
        <v>-0.38644042168759651</v>
      </c>
      <c r="CI90" s="175">
        <f t="shared" si="918"/>
        <v>-0.75701166824381905</v>
      </c>
      <c r="CJ90" s="175">
        <f>+CORREL(CG69:CJ69,CG86:CJ86)</f>
        <v>0.3043677586208452</v>
      </c>
      <c r="CK90" s="175">
        <f>+CORREL(CH69:CK69,CH86:CK86)</f>
        <v>0.77277383226590723</v>
      </c>
      <c r="CL90" s="175">
        <f>+CORREL(CI69:CL69,CI86:CL86)</f>
        <v>-0.11991181048769614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-0.99541437774129593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51.58073750461314</v>
      </c>
      <c r="BA92" s="162">
        <f t="shared" si="920"/>
        <v>53.480155999082356</v>
      </c>
      <c r="BB92" s="162">
        <f t="shared" si="920"/>
        <v>55.378477313304806</v>
      </c>
      <c r="BC92" s="162">
        <f t="shared" si="920"/>
        <v>58.504942298293379</v>
      </c>
      <c r="BD92" s="162">
        <f t="shared" si="920"/>
        <v>61.664721665320123</v>
      </c>
      <c r="BE92" s="162">
        <f t="shared" si="920"/>
        <v>63.961618640094947</v>
      </c>
      <c r="BF92" s="162">
        <f t="shared" si="920"/>
        <v>65.110865076752745</v>
      </c>
      <c r="BG92" s="162">
        <f t="shared" si="920"/>
        <v>68.644982395244213</v>
      </c>
      <c r="BH92" s="162">
        <f t="shared" si="920"/>
        <v>70.723241269936267</v>
      </c>
      <c r="BI92" s="162">
        <f t="shared" si="920"/>
        <v>73.359266684620508</v>
      </c>
      <c r="BJ92" s="162">
        <f t="shared" si="920"/>
        <v>75.569286932583267</v>
      </c>
      <c r="BK92" s="162">
        <f t="shared" si="920"/>
        <v>79.278753603239664</v>
      </c>
      <c r="BL92" s="162">
        <f t="shared" si="920"/>
        <v>80.507695223276173</v>
      </c>
      <c r="BM92" s="162">
        <f t="shared" si="920"/>
        <v>84.395403812202673</v>
      </c>
      <c r="BN92" s="162">
        <f t="shared" si="920"/>
        <v>87.206678835393035</v>
      </c>
      <c r="BO92" s="162">
        <f t="shared" si="920"/>
        <v>91.10555871410476</v>
      </c>
      <c r="BP92" s="162">
        <f t="shared" si="920"/>
        <v>96.387683653011749</v>
      </c>
      <c r="BQ92" s="162">
        <f t="shared" si="920"/>
        <v>98.710214748097343</v>
      </c>
      <c r="BR92" s="162">
        <f t="shared" ref="BR92:DB92" si="921">+BR$120/BR$65</f>
        <v>103.73769412609593</v>
      </c>
      <c r="BS92" s="162">
        <f t="shared" si="921"/>
        <v>105.96357361580735</v>
      </c>
      <c r="BT92" s="162">
        <f t="shared" si="921"/>
        <v>108.78881275122934</v>
      </c>
      <c r="BU92" s="162">
        <f t="shared" si="921"/>
        <v>112.42008039338896</v>
      </c>
      <c r="BV92" s="162">
        <f t="shared" si="921"/>
        <v>115.92517230717058</v>
      </c>
      <c r="BW92" s="162">
        <f t="shared" si="921"/>
        <v>118.54693437864691</v>
      </c>
      <c r="BX92" s="162">
        <f t="shared" si="921"/>
        <v>121.84735230457723</v>
      </c>
      <c r="BY92" s="162">
        <f t="shared" si="921"/>
        <v>124.88085619956715</v>
      </c>
      <c r="BZ92" s="162">
        <f t="shared" si="921"/>
        <v>129.84110835153655</v>
      </c>
      <c r="CA92" s="162">
        <f t="shared" si="921"/>
        <v>133.6417407263333</v>
      </c>
      <c r="CB92" s="162">
        <f t="shared" si="921"/>
        <v>139.33111902410803</v>
      </c>
      <c r="CC92" s="162">
        <f t="shared" si="921"/>
        <v>142.54037124589806</v>
      </c>
      <c r="CD92" s="162">
        <f t="shared" si="921"/>
        <v>148.7034321792992</v>
      </c>
      <c r="CE92" s="162">
        <f t="shared" si="921"/>
        <v>153.88531474111528</v>
      </c>
      <c r="CF92" s="162">
        <f t="shared" si="921"/>
        <v>162.17461124908985</v>
      </c>
      <c r="CG92" s="162">
        <f t="shared" si="921"/>
        <v>167.66869146294022</v>
      </c>
      <c r="CH92" s="162">
        <f t="shared" si="921"/>
        <v>167.49892775566792</v>
      </c>
      <c r="CI92" s="162">
        <f t="shared" si="921"/>
        <v>173.4273916035788</v>
      </c>
      <c r="CJ92" s="162">
        <f t="shared" si="921"/>
        <v>182.49548659943943</v>
      </c>
      <c r="CK92" s="162">
        <f t="shared" si="921"/>
        <v>188.19929599234172</v>
      </c>
      <c r="CL92" s="162">
        <f t="shared" si="921"/>
        <v>190.27205933664976</v>
      </c>
      <c r="CM92" s="21">
        <f t="shared" si="921"/>
        <v>137.75490552832204</v>
      </c>
      <c r="CN92" s="21">
        <f t="shared" si="921"/>
        <v>403.90721738814966</v>
      </c>
      <c r="CO92" s="21">
        <f t="shared" si="921"/>
        <v>240.63277306426266</v>
      </c>
      <c r="CP92" s="21">
        <f t="shared" si="921"/>
        <v>-20.990956299117123</v>
      </c>
      <c r="CQ92" s="21">
        <f t="shared" si="921"/>
        <v>-109.07489968942333</v>
      </c>
      <c r="CR92" s="21">
        <f t="shared" si="921"/>
        <v>145.02985669321848</v>
      </c>
      <c r="CS92" s="21">
        <f t="shared" si="921"/>
        <v>-78.055513524253186</v>
      </c>
      <c r="CT92" s="21">
        <f t="shared" si="921"/>
        <v>-448.96815900141786</v>
      </c>
      <c r="CU92" s="21">
        <f t="shared" si="921"/>
        <v>-542.74318899491095</v>
      </c>
      <c r="CV92" s="21">
        <f t="shared" si="921"/>
        <v>-246.83018672166617</v>
      </c>
      <c r="CW92" s="21">
        <f t="shared" si="921"/>
        <v>-517.32140525356772</v>
      </c>
      <c r="CX92" s="21">
        <f t="shared" si="921"/>
        <v>-964.40661028319016</v>
      </c>
      <c r="CY92" s="21">
        <f t="shared" si="921"/>
        <v>-1072.0515541257303</v>
      </c>
      <c r="CZ92" s="21">
        <f t="shared" si="921"/>
        <v>-721.37714534494762</v>
      </c>
      <c r="DA92" s="21">
        <f t="shared" si="921"/>
        <v>-1043.8436157205597</v>
      </c>
      <c r="DB92" s="21">
        <f t="shared" si="921"/>
        <v>-1575.5034621506775</v>
      </c>
      <c r="DE92" s="22"/>
      <c r="DF92" s="162">
        <v>3888.9994546791422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>
        <f t="shared" si="924"/>
        <v>0</v>
      </c>
      <c r="BA94" s="162">
        <f t="shared" si="924"/>
        <v>0</v>
      </c>
      <c r="BB94" s="162">
        <f t="shared" si="924"/>
        <v>0</v>
      </c>
      <c r="BC94" s="162">
        <f t="shared" si="924"/>
        <v>0</v>
      </c>
      <c r="BD94" s="162">
        <f t="shared" si="924"/>
        <v>0</v>
      </c>
      <c r="BE94" s="162">
        <f t="shared" si="924"/>
        <v>10.844003243614136</v>
      </c>
      <c r="BF94" s="162">
        <f t="shared" si="924"/>
        <v>10.343127820620055</v>
      </c>
      <c r="BG94" s="162">
        <f t="shared" si="924"/>
        <v>9.7858572696864652</v>
      </c>
      <c r="BH94" s="162">
        <f t="shared" si="924"/>
        <v>7.201310217897186</v>
      </c>
      <c r="BI94" s="162">
        <f t="shared" si="924"/>
        <v>8.1305338364981719</v>
      </c>
      <c r="BJ94" s="162">
        <f t="shared" si="924"/>
        <v>7.6691209289433555</v>
      </c>
      <c r="BK94" s="162">
        <f t="shared" si="924"/>
        <v>9.1241343629100751</v>
      </c>
      <c r="BL94" s="162">
        <f t="shared" si="924"/>
        <v>10.510175426750552</v>
      </c>
      <c r="BM94" s="162">
        <f t="shared" si="924"/>
        <v>11.396355210767224</v>
      </c>
      <c r="BN94" s="162">
        <f t="shared" si="924"/>
        <v>7.3497811011680101</v>
      </c>
      <c r="BO94" s="162">
        <f t="shared" si="924"/>
        <v>8.8540151817884212</v>
      </c>
      <c r="BP94" s="162">
        <f t="shared" si="924"/>
        <v>8.4165317523392051</v>
      </c>
      <c r="BQ94" s="162">
        <f t="shared" si="924"/>
        <v>9.1606527481233098</v>
      </c>
      <c r="BR94" s="162">
        <f t="shared" si="924"/>
        <v>8.487753727490114</v>
      </c>
      <c r="BS94" s="162">
        <f t="shared" si="924"/>
        <v>9.5093999344854261</v>
      </c>
      <c r="BT94" s="162">
        <f t="shared" si="924"/>
        <v>11.166129763524541</v>
      </c>
      <c r="BU94" s="162">
        <f t="shared" si="924"/>
        <v>10.640892586217607</v>
      </c>
      <c r="BV94" s="162">
        <f t="shared" si="924"/>
        <v>9.663129911351529</v>
      </c>
      <c r="BW94" s="162">
        <f t="shared" si="924"/>
        <v>9.1347786062619249</v>
      </c>
      <c r="BX94" s="162">
        <f t="shared" si="924"/>
        <v>10.262840975601771</v>
      </c>
      <c r="BY94" s="162">
        <f t="shared" si="924"/>
        <v>9.8622001600615938</v>
      </c>
      <c r="BZ94" s="162">
        <f t="shared" si="924"/>
        <v>8.469197575106703</v>
      </c>
      <c r="CA94" s="162">
        <f t="shared" si="924"/>
        <v>9.7791303293199583</v>
      </c>
      <c r="CB94" s="162">
        <f t="shared" si="924"/>
        <v>9.3776609931190098</v>
      </c>
      <c r="CC94" s="162">
        <f t="shared" si="924"/>
        <v>10.047328960083746</v>
      </c>
      <c r="CD94" s="162">
        <f t="shared" si="924"/>
        <v>10.073405691092903</v>
      </c>
      <c r="CE94" s="162">
        <f t="shared" si="924"/>
        <v>9.6896835315865637</v>
      </c>
      <c r="CF94" s="162">
        <f t="shared" si="924"/>
        <v>11.36614409495213</v>
      </c>
      <c r="CG94" s="162">
        <f t="shared" si="924"/>
        <v>8.2931404060449889</v>
      </c>
      <c r="CH94" s="162">
        <f t="shared" si="924"/>
        <v>9.2421487154720978</v>
      </c>
      <c r="CI94" s="162">
        <f t="shared" si="924"/>
        <v>10.598671772689393</v>
      </c>
      <c r="CJ94" s="162">
        <f>+CJ77/CJ$92</f>
        <v>9.8133933795900301</v>
      </c>
      <c r="CK94" s="162">
        <f>+CK77/CK$92</f>
        <v>10.811411324741602</v>
      </c>
      <c r="CL94" s="162">
        <f>+CL77/CL$92</f>
        <v>9.3426749371266897</v>
      </c>
      <c r="CM94" s="21">
        <f t="shared" ref="CM94:DB94" si="925">+CM77/CM$92</f>
        <v>12.904440630860293</v>
      </c>
      <c r="CN94" s="21">
        <f t="shared" si="925"/>
        <v>4.4011345266249631</v>
      </c>
      <c r="CO94" s="21">
        <f t="shared" si="925"/>
        <v>7.3873977237725068</v>
      </c>
      <c r="CP94" s="21">
        <f t="shared" si="925"/>
        <v>-84.686470433687091</v>
      </c>
      <c r="CQ94" s="21">
        <f t="shared" si="925"/>
        <v>-16.29751670697501</v>
      </c>
      <c r="CR94" s="21">
        <f t="shared" si="925"/>
        <v>12.257131328208242</v>
      </c>
      <c r="CS94" s="21">
        <f t="shared" si="925"/>
        <v>-22.774175964490372</v>
      </c>
      <c r="CT94" s="21">
        <f t="shared" si="925"/>
        <v>-3.959412186275745</v>
      </c>
      <c r="CU94" s="21">
        <f t="shared" si="925"/>
        <v>-3.2753059569332859</v>
      </c>
      <c r="CV94" s="21">
        <f t="shared" si="925"/>
        <v>-7.2019149019424304</v>
      </c>
      <c r="CW94" s="21">
        <f t="shared" si="925"/>
        <v>-3.4362583530226742</v>
      </c>
      <c r="CX94" s="21">
        <f t="shared" si="925"/>
        <v>-1.8432577929738656</v>
      </c>
      <c r="CY94" s="21">
        <f t="shared" si="925"/>
        <v>-1.6581758527925394</v>
      </c>
      <c r="CZ94" s="21">
        <f t="shared" si="925"/>
        <v>-2.4642449673810565</v>
      </c>
      <c r="DA94" s="21">
        <f t="shared" si="925"/>
        <v>-1.7029849809187152</v>
      </c>
      <c r="DB94" s="21">
        <f t="shared" si="925"/>
        <v>-1.1283059940556257</v>
      </c>
      <c r="DE94" s="22"/>
      <c r="DF94" s="162">
        <v>0.45709700418218835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>
        <f t="shared" si="924"/>
        <v>0</v>
      </c>
      <c r="BA95" s="162">
        <f t="shared" si="924"/>
        <v>0</v>
      </c>
      <c r="BB95" s="162">
        <f t="shared" si="924"/>
        <v>0</v>
      </c>
      <c r="BC95" s="162">
        <f t="shared" si="924"/>
        <v>0</v>
      </c>
      <c r="BD95" s="162">
        <f t="shared" si="924"/>
        <v>0</v>
      </c>
      <c r="BE95" s="162">
        <f t="shared" si="924"/>
        <v>11.538169541215733</v>
      </c>
      <c r="BF95" s="162">
        <f t="shared" si="924"/>
        <v>11.242363300458653</v>
      </c>
      <c r="BG95" s="162">
        <f t="shared" si="924"/>
        <v>11.286331104859826</v>
      </c>
      <c r="BH95" s="162">
        <f t="shared" si="924"/>
        <v>10.039132642267823</v>
      </c>
      <c r="BI95" s="162">
        <f t="shared" si="924"/>
        <v>8.2382230263855636</v>
      </c>
      <c r="BJ95" s="162">
        <f t="shared" si="924"/>
        <v>8.5768971272446493</v>
      </c>
      <c r="BK95" s="162">
        <f t="shared" si="924"/>
        <v>9.3890224829364968</v>
      </c>
      <c r="BL95" s="162">
        <f t="shared" si="924"/>
        <v>10.712019485941825</v>
      </c>
      <c r="BM95" s="162">
        <f t="shared" si="924"/>
        <v>12.204456089717448</v>
      </c>
      <c r="BN95" s="162">
        <f t="shared" si="924"/>
        <v>11.692338403628927</v>
      </c>
      <c r="BO95" s="162">
        <f t="shared" si="924"/>
        <v>9.009329524839691</v>
      </c>
      <c r="BP95" s="162">
        <f t="shared" si="924"/>
        <v>9.5639812584208279</v>
      </c>
      <c r="BQ95" s="162">
        <f t="shared" si="924"/>
        <v>9.2290347288253631</v>
      </c>
      <c r="BR95" s="162">
        <f t="shared" si="924"/>
        <v>9.4849804431162941</v>
      </c>
      <c r="BS95" s="162">
        <f t="shared" si="924"/>
        <v>9.8146935263879751</v>
      </c>
      <c r="BT95" s="162">
        <f t="shared" si="924"/>
        <v>11.522324477117111</v>
      </c>
      <c r="BU95" s="162">
        <f t="shared" si="924"/>
        <v>11.327157884463533</v>
      </c>
      <c r="BV95" s="162">
        <f t="shared" si="924"/>
        <v>11.153746630403077</v>
      </c>
      <c r="BW95" s="162">
        <f t="shared" si="924"/>
        <v>9.9901360267762449</v>
      </c>
      <c r="BX95" s="162">
        <f t="shared" si="924"/>
        <v>10.993673433720392</v>
      </c>
      <c r="BY95" s="162">
        <f t="shared" si="924"/>
        <v>10.51922640489194</v>
      </c>
      <c r="BZ95" s="162">
        <f t="shared" si="924"/>
        <v>10.241363593414395</v>
      </c>
      <c r="CA95" s="162">
        <f t="shared" si="924"/>
        <v>9.8397401354776513</v>
      </c>
      <c r="CB95" s="162">
        <f t="shared" si="924"/>
        <v>9.9913071089246692</v>
      </c>
      <c r="CC95" s="162">
        <f t="shared" si="924"/>
        <v>10.463702226697558</v>
      </c>
      <c r="CD95" s="162">
        <f t="shared" si="924"/>
        <v>10.568350554983176</v>
      </c>
      <c r="CE95" s="162">
        <f t="shared" si="924"/>
        <v>9.9317469153647142</v>
      </c>
      <c r="CF95" s="162">
        <f t="shared" si="924"/>
        <v>11.931584019819006</v>
      </c>
      <c r="CG95" s="162">
        <f t="shared" si="924"/>
        <v>11.26000318561139</v>
      </c>
      <c r="CH95" s="162">
        <f t="shared" si="924"/>
        <v>9.455284408209641</v>
      </c>
      <c r="CI95" s="162">
        <f t="shared" si="924"/>
        <v>10.76963669193222</v>
      </c>
      <c r="CJ95" s="162">
        <f t="shared" ref="CJ95:CK96" si="927">+CJ78/CJ$92</f>
        <v>10.477519393106313</v>
      </c>
      <c r="CK95" s="162">
        <f t="shared" si="927"/>
        <v>11.078681187441019</v>
      </c>
      <c r="CL95" s="162">
        <f t="shared" ref="CL95" si="928">+CL78/CL$92</f>
        <v>11.209738347479828</v>
      </c>
      <c r="CM95" s="94">
        <f t="shared" ref="CM95:DB95" si="929">+CL95</f>
        <v>11.209738347479828</v>
      </c>
      <c r="CN95" s="94">
        <f t="shared" si="929"/>
        <v>11.209738347479828</v>
      </c>
      <c r="CO95" s="94">
        <f t="shared" si="929"/>
        <v>11.209738347479828</v>
      </c>
      <c r="CP95" s="94">
        <f t="shared" si="929"/>
        <v>11.209738347479828</v>
      </c>
      <c r="CQ95" s="94">
        <f t="shared" si="929"/>
        <v>11.209738347479828</v>
      </c>
      <c r="CR95" s="94">
        <f t="shared" si="929"/>
        <v>11.209738347479828</v>
      </c>
      <c r="CS95" s="94">
        <f t="shared" si="929"/>
        <v>11.209738347479828</v>
      </c>
      <c r="CT95" s="94">
        <f t="shared" si="929"/>
        <v>11.209738347479828</v>
      </c>
      <c r="CU95" s="94">
        <f t="shared" si="929"/>
        <v>11.209738347479828</v>
      </c>
      <c r="CV95" s="94">
        <f t="shared" si="929"/>
        <v>11.209738347479828</v>
      </c>
      <c r="CW95" s="94">
        <f t="shared" si="929"/>
        <v>11.209738347479828</v>
      </c>
      <c r="CX95" s="94">
        <f t="shared" si="929"/>
        <v>11.209738347479828</v>
      </c>
      <c r="CY95" s="94">
        <f t="shared" si="929"/>
        <v>11.209738347479828</v>
      </c>
      <c r="CZ95" s="94">
        <f t="shared" si="929"/>
        <v>11.209738347479828</v>
      </c>
      <c r="DA95" s="94">
        <f t="shared" si="929"/>
        <v>11.209738347479828</v>
      </c>
      <c r="DB95" s="94">
        <f t="shared" si="929"/>
        <v>11.209738347479828</v>
      </c>
      <c r="DC95" s="94"/>
      <c r="DE95" s="22"/>
      <c r="DF95" s="162">
        <v>0.54844440706561448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>
        <f t="shared" si="924"/>
        <v>0</v>
      </c>
      <c r="BA96" s="162">
        <f t="shared" si="924"/>
        <v>0</v>
      </c>
      <c r="BB96" s="162">
        <f t="shared" si="924"/>
        <v>0</v>
      </c>
      <c r="BC96" s="162">
        <f t="shared" si="924"/>
        <v>0</v>
      </c>
      <c r="BD96" s="162">
        <f t="shared" si="924"/>
        <v>0</v>
      </c>
      <c r="BE96" s="162">
        <f t="shared" si="924"/>
        <v>9.8262053613199036</v>
      </c>
      <c r="BF96" s="162">
        <f t="shared" si="924"/>
        <v>9.923075038833792</v>
      </c>
      <c r="BG96" s="162">
        <f t="shared" si="924"/>
        <v>9.4340471423132932</v>
      </c>
      <c r="BH96" s="162">
        <f t="shared" si="924"/>
        <v>7.1094026655383962</v>
      </c>
      <c r="BI96" s="162">
        <f t="shared" si="924"/>
        <v>6.6385614525519472</v>
      </c>
      <c r="BJ96" s="162">
        <f t="shared" si="924"/>
        <v>6.748773485913401</v>
      </c>
      <c r="BK96" s="162">
        <f t="shared" si="924"/>
        <v>7.3632590507344391</v>
      </c>
      <c r="BL96" s="162">
        <f t="shared" si="924"/>
        <v>8.8979071877950222</v>
      </c>
      <c r="BM96" s="162">
        <f t="shared" si="924"/>
        <v>9.5265851418765326</v>
      </c>
      <c r="BN96" s="162">
        <f t="shared" si="924"/>
        <v>5.9628460451008118</v>
      </c>
      <c r="BO96" s="162">
        <f t="shared" si="924"/>
        <v>6.8859684178949569</v>
      </c>
      <c r="BP96" s="162">
        <f t="shared" si="924"/>
        <v>8.092320205638929</v>
      </c>
      <c r="BQ96" s="162">
        <f t="shared" si="924"/>
        <v>7.6542230399165785</v>
      </c>
      <c r="BR96" s="162">
        <f t="shared" si="924"/>
        <v>8.0799945194573688</v>
      </c>
      <c r="BS96" s="162">
        <f t="shared" si="924"/>
        <v>8.1650700375296896</v>
      </c>
      <c r="BT96" s="162">
        <f t="shared" si="924"/>
        <v>9.1558127606162731</v>
      </c>
      <c r="BU96" s="162">
        <f t="shared" si="924"/>
        <v>9.786063096114777</v>
      </c>
      <c r="BV96" s="162">
        <f t="shared" si="924"/>
        <v>8.6573086761581806</v>
      </c>
      <c r="BW96" s="162">
        <f t="shared" si="924"/>
        <v>8.730297459184392</v>
      </c>
      <c r="BX96" s="162">
        <f t="shared" si="924"/>
        <v>8.8471352032776558</v>
      </c>
      <c r="BY96" s="162">
        <f t="shared" si="924"/>
        <v>9.3537154977005095</v>
      </c>
      <c r="BZ96" s="162">
        <f t="shared" si="924"/>
        <v>8.0040136224522715</v>
      </c>
      <c r="CA96" s="162">
        <f t="shared" si="924"/>
        <v>8.1636171009932461</v>
      </c>
      <c r="CB96" s="162">
        <f t="shared" si="924"/>
        <v>8.9807647334224843</v>
      </c>
      <c r="CC96" s="162">
        <f t="shared" si="924"/>
        <v>8.8673123898319659</v>
      </c>
      <c r="CD96" s="162">
        <f t="shared" si="924"/>
        <v>9.1268908868462155</v>
      </c>
      <c r="CE96" s="162">
        <f t="shared" si="924"/>
        <v>8.4933380563232781</v>
      </c>
      <c r="CF96" s="162">
        <f t="shared" si="924"/>
        <v>9.0522800621681085</v>
      </c>
      <c r="CG96" s="162">
        <f t="shared" si="924"/>
        <v>8.2185886224595439</v>
      </c>
      <c r="CH96" s="162">
        <f t="shared" si="924"/>
        <v>8.1979629266822851</v>
      </c>
      <c r="CI96" s="162">
        <f t="shared" si="924"/>
        <v>8.268590023413628</v>
      </c>
      <c r="CJ96" s="162">
        <f t="shared" si="927"/>
        <v>9.6144843507893611</v>
      </c>
      <c r="CK96" s="162">
        <f t="shared" si="927"/>
        <v>9.3483346508989715</v>
      </c>
      <c r="CL96" s="162">
        <f t="shared" ref="CL96" si="931">+CL79/CL$92</f>
        <v>9.3182362464633766</v>
      </c>
      <c r="CM96" s="94">
        <f t="shared" ref="CM96:DB96" si="932">+CL96</f>
        <v>9.3182362464633766</v>
      </c>
      <c r="CN96" s="94">
        <f t="shared" si="932"/>
        <v>9.3182362464633766</v>
      </c>
      <c r="CO96" s="94">
        <f t="shared" si="932"/>
        <v>9.3182362464633766</v>
      </c>
      <c r="CP96" s="94">
        <f t="shared" si="932"/>
        <v>9.3182362464633766</v>
      </c>
      <c r="CQ96" s="94">
        <f t="shared" si="932"/>
        <v>9.3182362464633766</v>
      </c>
      <c r="CR96" s="94">
        <f t="shared" si="932"/>
        <v>9.3182362464633766</v>
      </c>
      <c r="CS96" s="94">
        <f t="shared" si="932"/>
        <v>9.3182362464633766</v>
      </c>
      <c r="CT96" s="94">
        <f t="shared" si="932"/>
        <v>9.3182362464633766</v>
      </c>
      <c r="CU96" s="94">
        <f t="shared" si="932"/>
        <v>9.3182362464633766</v>
      </c>
      <c r="CV96" s="94">
        <f t="shared" si="932"/>
        <v>9.3182362464633766</v>
      </c>
      <c r="CW96" s="94">
        <f t="shared" si="932"/>
        <v>9.3182362464633766</v>
      </c>
      <c r="CX96" s="94">
        <f t="shared" si="932"/>
        <v>9.3182362464633766</v>
      </c>
      <c r="CY96" s="94">
        <f t="shared" si="932"/>
        <v>9.3182362464633766</v>
      </c>
      <c r="CZ96" s="94">
        <f t="shared" si="932"/>
        <v>9.3182362464633766</v>
      </c>
      <c r="DA96" s="94">
        <f t="shared" si="932"/>
        <v>9.3182362464633766</v>
      </c>
      <c r="DB96" s="94">
        <f t="shared" si="932"/>
        <v>9.3182362464633766</v>
      </c>
      <c r="DC96" s="94"/>
      <c r="DE96" s="22"/>
      <c r="DF96" s="162">
        <v>0.45590132389110338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0</v>
      </c>
      <c r="O98" s="177">
        <f t="shared" si="933"/>
        <v>0</v>
      </c>
      <c r="P98" s="177">
        <f t="shared" si="933"/>
        <v>0</v>
      </c>
      <c r="Q98" s="177">
        <f t="shared" si="933"/>
        <v>0</v>
      </c>
      <c r="R98" s="177">
        <f t="shared" si="933"/>
        <v>0</v>
      </c>
      <c r="S98" s="177">
        <f t="shared" si="933"/>
        <v>0</v>
      </c>
      <c r="T98" s="177">
        <f t="shared" si="933"/>
        <v>0</v>
      </c>
      <c r="U98" s="177">
        <f t="shared" si="933"/>
        <v>0</v>
      </c>
      <c r="V98" s="177">
        <f t="shared" si="933"/>
        <v>0</v>
      </c>
      <c r="W98" s="177">
        <f t="shared" si="933"/>
        <v>0</v>
      </c>
      <c r="X98" s="177">
        <f t="shared" si="933"/>
        <v>0</v>
      </c>
      <c r="Y98" s="177">
        <f t="shared" si="933"/>
        <v>0</v>
      </c>
      <c r="Z98" s="177">
        <f>+Z10</f>
        <v>0</v>
      </c>
      <c r="AA98" s="177">
        <f>+AA10</f>
        <v>0</v>
      </c>
      <c r="AB98" s="178">
        <f t="shared" ref="AA98:AE98" si="934">+AB10</f>
        <v>118882.73470730054</v>
      </c>
      <c r="AC98" s="178">
        <f t="shared" si="934"/>
        <v>141318.63003365661</v>
      </c>
      <c r="AD98" s="178">
        <f t="shared" si="934"/>
        <v>167963.33265676021</v>
      </c>
      <c r="AE98" s="178">
        <f t="shared" si="934"/>
        <v>199625.47421944566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4921.47</v>
      </c>
      <c r="BA98" s="177">
        <f t="shared" si="935"/>
        <v>10164.35</v>
      </c>
      <c r="BB98" s="177">
        <f t="shared" si="935"/>
        <v>17510.400000000001</v>
      </c>
      <c r="BC98" s="177">
        <f t="shared" si="935"/>
        <v>21272.980000000003</v>
      </c>
      <c r="BD98" s="177">
        <f t="shared" si="935"/>
        <v>21736.080000000002</v>
      </c>
      <c r="BE98" s="177">
        <f t="shared" si="935"/>
        <v>23269.41</v>
      </c>
      <c r="BF98" s="177">
        <f t="shared" si="935"/>
        <v>25160.06</v>
      </c>
      <c r="BG98" s="177">
        <f t="shared" si="935"/>
        <v>26152</v>
      </c>
      <c r="BH98" s="177">
        <f t="shared" si="935"/>
        <v>28428.98</v>
      </c>
      <c r="BI98" s="177">
        <f t="shared" si="935"/>
        <v>30794.03</v>
      </c>
      <c r="BJ98" s="177">
        <f t="shared" si="935"/>
        <v>32890.350000000006</v>
      </c>
      <c r="BK98" s="177">
        <f t="shared" si="935"/>
        <v>34790.850000000006</v>
      </c>
      <c r="BL98" s="177">
        <f t="shared" si="935"/>
        <v>37240.81</v>
      </c>
      <c r="BM98" s="177">
        <f t="shared" si="935"/>
        <v>39794.060000000005</v>
      </c>
      <c r="BN98" s="177">
        <f t="shared" si="935"/>
        <v>40324.020000000004</v>
      </c>
      <c r="BO98" s="177">
        <f t="shared" si="935"/>
        <v>41257.089999999997</v>
      </c>
      <c r="BP98" s="177">
        <f t="shared" si="935"/>
        <v>44003.53</v>
      </c>
      <c r="BQ98" s="177">
        <f t="shared" si="935"/>
        <v>46075.51</v>
      </c>
      <c r="BR98" s="177">
        <f t="shared" ref="BR98:CW98" si="936">+SUM(BO8:BR8)</f>
        <v>49768.27</v>
      </c>
      <c r="BS98" s="177">
        <f t="shared" si="936"/>
        <v>50492.729999999996</v>
      </c>
      <c r="BT98" s="177">
        <f t="shared" si="936"/>
        <v>52295.42</v>
      </c>
      <c r="BU98" s="177">
        <f t="shared" si="936"/>
        <v>56554.270000000004</v>
      </c>
      <c r="BV98" s="177">
        <f t="shared" si="936"/>
        <v>58432.3</v>
      </c>
      <c r="BW98" s="177">
        <f t="shared" si="936"/>
        <v>61155.770000000004</v>
      </c>
      <c r="BX98" s="177">
        <f t="shared" si="936"/>
        <v>62972.39</v>
      </c>
      <c r="BY98" s="177">
        <f t="shared" si="936"/>
        <v>64117.850000000006</v>
      </c>
      <c r="BZ98" s="177">
        <f t="shared" si="936"/>
        <v>66581</v>
      </c>
      <c r="CA98" s="177">
        <f t="shared" si="936"/>
        <v>68649.47</v>
      </c>
      <c r="CB98" s="177">
        <f t="shared" si="936"/>
        <v>72221.87</v>
      </c>
      <c r="CC98" s="177">
        <f t="shared" si="936"/>
        <v>75367.539999999994</v>
      </c>
      <c r="CD98" s="177">
        <f t="shared" si="936"/>
        <v>80587.09</v>
      </c>
      <c r="CE98" s="177">
        <f t="shared" si="936"/>
        <v>82588.08</v>
      </c>
      <c r="CF98" s="177">
        <f t="shared" si="936"/>
        <v>82804.51999999999</v>
      </c>
      <c r="CG98" s="177">
        <f t="shared" si="936"/>
        <v>85315.59</v>
      </c>
      <c r="CH98" s="177">
        <f t="shared" si="936"/>
        <v>84059.83</v>
      </c>
      <c r="CI98" s="177">
        <f t="shared" si="936"/>
        <v>86132.85</v>
      </c>
      <c r="CJ98" s="177">
        <f t="shared" si="936"/>
        <v>90715.06</v>
      </c>
      <c r="CK98" s="177">
        <f t="shared" si="936"/>
        <v>96132.84</v>
      </c>
      <c r="CL98" s="177">
        <f t="shared" si="936"/>
        <v>99955.920000000013</v>
      </c>
      <c r="CM98" s="178">
        <f t="shared" si="936"/>
        <v>103141.58670986982</v>
      </c>
      <c r="CN98" s="178">
        <f t="shared" si="936"/>
        <v>108049.05741190653</v>
      </c>
      <c r="CO98" s="178">
        <f t="shared" si="936"/>
        <v>113806.13006211491</v>
      </c>
      <c r="CP98" s="178">
        <f t="shared" si="936"/>
        <v>118882.73470730054</v>
      </c>
      <c r="CQ98" s="178">
        <f t="shared" si="936"/>
        <v>122734.9543113835</v>
      </c>
      <c r="CR98" s="178">
        <f t="shared" si="936"/>
        <v>128391.43800303878</v>
      </c>
      <c r="CS98" s="178">
        <f t="shared" si="936"/>
        <v>135168.77751490747</v>
      </c>
      <c r="CT98" s="178">
        <f t="shared" si="936"/>
        <v>141318.63003365661</v>
      </c>
      <c r="CU98" s="178">
        <f t="shared" si="936"/>
        <v>145890.88133771517</v>
      </c>
      <c r="CV98" s="178">
        <f t="shared" si="936"/>
        <v>152573.83270699671</v>
      </c>
      <c r="CW98" s="178">
        <f t="shared" si="936"/>
        <v>160632.41991474797</v>
      </c>
      <c r="CX98" s="178">
        <f t="shared" ref="CX98:DB98" si="937">+SUM(CU8:CX8)</f>
        <v>167963.33265676021</v>
      </c>
      <c r="CY98" s="178">
        <f t="shared" si="937"/>
        <v>173392.19588030575</v>
      </c>
      <c r="CZ98" s="178">
        <f t="shared" si="937"/>
        <v>181327.93134582683</v>
      </c>
      <c r="DA98" s="178">
        <f t="shared" si="937"/>
        <v>190909.36532082345</v>
      </c>
      <c r="DB98" s="178">
        <f t="shared" si="937"/>
        <v>199625.47421944566</v>
      </c>
      <c r="DE98" s="179"/>
      <c r="DF98" s="177">
        <v>99303.675263009733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49.088542445914001</v>
      </c>
      <c r="BA99" s="163">
        <f t="shared" si="940"/>
        <v>101.38294582921891</v>
      </c>
      <c r="BB99" s="163">
        <f t="shared" si="940"/>
        <v>174.65513629970974</v>
      </c>
      <c r="BC99" s="163">
        <f t="shared" si="940"/>
        <v>212.18448587131076</v>
      </c>
      <c r="BD99" s="163">
        <f t="shared" si="940"/>
        <v>216.80361471019481</v>
      </c>
      <c r="BE99" s="163">
        <f t="shared" si="940"/>
        <v>232.09760914449862</v>
      </c>
      <c r="BF99" s="163">
        <f t="shared" si="940"/>
        <v>250.95564399493301</v>
      </c>
      <c r="BG99" s="163">
        <f t="shared" si="940"/>
        <v>260.84961648563194</v>
      </c>
      <c r="BH99" s="163">
        <f t="shared" si="940"/>
        <v>283.56104810636663</v>
      </c>
      <c r="BI99" s="163">
        <f t="shared" si="940"/>
        <v>307.15092213012554</v>
      </c>
      <c r="BJ99" s="163">
        <f t="shared" si="940"/>
        <v>328.0603848110357</v>
      </c>
      <c r="BK99" s="163">
        <f t="shared" si="940"/>
        <v>347.016667165385</v>
      </c>
      <c r="BL99" s="163">
        <f t="shared" si="940"/>
        <v>371.45346459598829</v>
      </c>
      <c r="BM99" s="163">
        <f t="shared" si="940"/>
        <v>396.92051427830478</v>
      </c>
      <c r="BN99" s="163">
        <f t="shared" si="940"/>
        <v>402.20652921990484</v>
      </c>
      <c r="BO99" s="163">
        <f t="shared" si="940"/>
        <v>411.51331079126641</v>
      </c>
      <c r="BP99" s="163">
        <f t="shared" si="940"/>
        <v>438.90730821788003</v>
      </c>
      <c r="BQ99" s="163">
        <f t="shared" si="940"/>
        <v>459.57399483327845</v>
      </c>
      <c r="BR99" s="163">
        <f t="shared" ref="BR99:CW99" si="941">+BR98/BR65</f>
        <v>496.40693417915952</v>
      </c>
      <c r="BS99" s="163">
        <f t="shared" si="941"/>
        <v>503.63296328435911</v>
      </c>
      <c r="BT99" s="163">
        <f t="shared" si="941"/>
        <v>521.61365291201605</v>
      </c>
      <c r="BU99" s="163">
        <f t="shared" si="941"/>
        <v>564.0929810387305</v>
      </c>
      <c r="BV99" s="163">
        <f t="shared" si="941"/>
        <v>582.82513939176317</v>
      </c>
      <c r="BW99" s="163">
        <f t="shared" si="941"/>
        <v>609.99002563412034</v>
      </c>
      <c r="BX99" s="163">
        <f t="shared" si="941"/>
        <v>628.10965817848125</v>
      </c>
      <c r="BY99" s="163">
        <f t="shared" si="941"/>
        <v>639.53489531903017</v>
      </c>
      <c r="BZ99" s="163">
        <f t="shared" si="941"/>
        <v>664.1032546355865</v>
      </c>
      <c r="CA99" s="163">
        <f t="shared" si="941"/>
        <v>684.73493122674722</v>
      </c>
      <c r="CB99" s="163">
        <f t="shared" si="941"/>
        <v>720.36735589534885</v>
      </c>
      <c r="CC99" s="163">
        <f t="shared" si="941"/>
        <v>751.74341941211082</v>
      </c>
      <c r="CD99" s="163">
        <f t="shared" si="941"/>
        <v>803.80512083944257</v>
      </c>
      <c r="CE99" s="163">
        <f t="shared" si="941"/>
        <v>823.7637272210419</v>
      </c>
      <c r="CF99" s="163">
        <f t="shared" si="941"/>
        <v>825.92257897204172</v>
      </c>
      <c r="CG99" s="163">
        <f t="shared" si="941"/>
        <v>850.96890990155293</v>
      </c>
      <c r="CH99" s="163">
        <f t="shared" si="941"/>
        <v>838.4435002044745</v>
      </c>
      <c r="CI99" s="163">
        <f t="shared" si="941"/>
        <v>859.12056016038787</v>
      </c>
      <c r="CJ99" s="163">
        <f t="shared" si="941"/>
        <v>904.82519923795837</v>
      </c>
      <c r="CK99" s="163">
        <f t="shared" ref="CK99:CL99" si="942">+CK98/CK65</f>
        <v>958.61551808382274</v>
      </c>
      <c r="CL99" s="163">
        <f t="shared" si="942"/>
        <v>996.48007656341917</v>
      </c>
      <c r="CM99" s="50">
        <f t="shared" si="941"/>
        <v>1028.2386097944334</v>
      </c>
      <c r="CN99" s="50">
        <f t="shared" si="941"/>
        <v>1077.162143096896</v>
      </c>
      <c r="CO99" s="50">
        <f t="shared" si="941"/>
        <v>1134.555524051829</v>
      </c>
      <c r="CP99" s="50">
        <f t="shared" si="941"/>
        <v>1185.1651866462685</v>
      </c>
      <c r="CQ99" s="50">
        <f t="shared" si="941"/>
        <v>1223.5687157820685</v>
      </c>
      <c r="CR99" s="50">
        <f t="shared" si="941"/>
        <v>1279.9593057755415</v>
      </c>
      <c r="CS99" s="50">
        <f t="shared" si="941"/>
        <v>1347.5239262170639</v>
      </c>
      <c r="CT99" s="50">
        <f t="shared" si="941"/>
        <v>1408.8330063469541</v>
      </c>
      <c r="CU99" s="50">
        <f t="shared" si="941"/>
        <v>1454.4146720405465</v>
      </c>
      <c r="CV99" s="50">
        <f t="shared" si="941"/>
        <v>1521.0383186652914</v>
      </c>
      <c r="CW99" s="50">
        <f t="shared" si="941"/>
        <v>1601.3759474697981</v>
      </c>
      <c r="CX99" s="50">
        <f t="shared" ref="CX99:DB99" si="943">+CX98/CX65</f>
        <v>1674.4592474928493</v>
      </c>
      <c r="CY99" s="50">
        <f t="shared" si="943"/>
        <v>1728.580644611209</v>
      </c>
      <c r="CZ99" s="50">
        <f t="shared" si="943"/>
        <v>1807.6935404183755</v>
      </c>
      <c r="DA99" s="50">
        <f t="shared" si="943"/>
        <v>1903.212725885249</v>
      </c>
      <c r="DB99" s="50">
        <f t="shared" si="943"/>
        <v>1990.1053167656507</v>
      </c>
      <c r="DE99" s="164"/>
      <c r="DF99" s="163">
        <v>990.23438930835471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0</v>
      </c>
      <c r="BD102" s="163">
        <f t="shared" si="946"/>
        <v>0</v>
      </c>
      <c r="BE102" s="163">
        <f t="shared" si="946"/>
        <v>2.988397866555276</v>
      </c>
      <c r="BF102" s="163">
        <f t="shared" si="946"/>
        <v>2.6835419569746657</v>
      </c>
      <c r="BG102" s="163">
        <f t="shared" si="946"/>
        <v>2.5752385955185071</v>
      </c>
      <c r="BH102" s="163">
        <f t="shared" si="946"/>
        <v>1.7960858989664772</v>
      </c>
      <c r="BI102" s="163">
        <f t="shared" si="946"/>
        <v>1.9418792425025244</v>
      </c>
      <c r="BJ102" s="163">
        <f t="shared" si="946"/>
        <v>1.7665955014160684</v>
      </c>
      <c r="BK102" s="163">
        <f t="shared" si="946"/>
        <v>2.084482010356171</v>
      </c>
      <c r="BL102" s="163">
        <f t="shared" si="946"/>
        <v>2.2779434859231045</v>
      </c>
      <c r="BM102" s="163">
        <f t="shared" si="946"/>
        <v>2.4231551794413537</v>
      </c>
      <c r="BN102" s="163">
        <f t="shared" si="946"/>
        <v>1.5935842743357433</v>
      </c>
      <c r="BO102" s="163">
        <f t="shared" si="946"/>
        <v>1.9602039079828462</v>
      </c>
      <c r="BP102" s="163">
        <f t="shared" si="946"/>
        <v>1.8483401502106764</v>
      </c>
      <c r="BQ102" s="163">
        <f t="shared" si="946"/>
        <v>1.9675830446586484</v>
      </c>
      <c r="BR102" s="163">
        <f t="shared" ref="BR102:DB102" si="947">+BR77/BR99</f>
        <v>1.7737463749493403</v>
      </c>
      <c r="BS102" s="163">
        <f t="shared" si="947"/>
        <v>2.0007626058246406</v>
      </c>
      <c r="BT102" s="163">
        <f t="shared" si="947"/>
        <v>2.3288309138735288</v>
      </c>
      <c r="BU102" s="163">
        <f t="shared" si="947"/>
        <v>2.1206610261258785</v>
      </c>
      <c r="BV102" s="163">
        <f t="shared" si="947"/>
        <v>1.922017298651602</v>
      </c>
      <c r="BW102" s="163">
        <f t="shared" si="947"/>
        <v>1.7752749299044064</v>
      </c>
      <c r="BX102" s="163">
        <f t="shared" si="947"/>
        <v>1.9908943983228207</v>
      </c>
      <c r="BY102" s="163">
        <f t="shared" si="947"/>
        <v>1.9257745105302186</v>
      </c>
      <c r="BZ102" s="163">
        <f t="shared" si="947"/>
        <v>1.6558419076012678</v>
      </c>
      <c r="CA102" s="163">
        <f t="shared" si="947"/>
        <v>1.9086217752300203</v>
      </c>
      <c r="CB102" s="163">
        <f t="shared" si="947"/>
        <v>1.8137967931320529</v>
      </c>
      <c r="CC102" s="163">
        <f t="shared" si="947"/>
        <v>1.9051048044025323</v>
      </c>
      <c r="CD102" s="163">
        <f t="shared" si="947"/>
        <v>1.8635735965897269</v>
      </c>
      <c r="CE102" s="163">
        <f t="shared" si="947"/>
        <v>1.8101064063966614</v>
      </c>
      <c r="CF102" s="163">
        <f t="shared" si="947"/>
        <v>2.2318072503771536</v>
      </c>
      <c r="CG102" s="163">
        <f t="shared" si="947"/>
        <v>1.6340197436365382</v>
      </c>
      <c r="CH102" s="163">
        <f t="shared" si="947"/>
        <v>1.8463378863602269</v>
      </c>
      <c r="CI102" s="163">
        <f t="shared" si="947"/>
        <v>2.1395134574091066</v>
      </c>
      <c r="CJ102" s="163">
        <f t="shared" si="947"/>
        <v>1.9792773250659816</v>
      </c>
      <c r="CK102" s="163">
        <f t="shared" ref="CK102:CL102" si="948">+CK77/CK99</f>
        <v>2.1225402276682974</v>
      </c>
      <c r="CL102" s="163">
        <f t="shared" si="948"/>
        <v>1.7839292945330301</v>
      </c>
      <c r="CM102" s="50">
        <f t="shared" si="947"/>
        <v>1.7288302375218043</v>
      </c>
      <c r="CN102" s="50">
        <f t="shared" si="947"/>
        <v>1.6503086479526341</v>
      </c>
      <c r="CO102" s="50">
        <f t="shared" si="947"/>
        <v>1.5668250361617322</v>
      </c>
      <c r="CP102" s="50">
        <f t="shared" si="947"/>
        <v>1.4999174967586761</v>
      </c>
      <c r="CQ102" s="50">
        <f t="shared" si="947"/>
        <v>1.4528403489490818</v>
      </c>
      <c r="CR102" s="50">
        <f t="shared" si="947"/>
        <v>1.3888332167895778</v>
      </c>
      <c r="CS102" s="50">
        <f t="shared" si="947"/>
        <v>1.3191973555456187</v>
      </c>
      <c r="CT102" s="50">
        <f t="shared" si="947"/>
        <v>1.2617890069238038</v>
      </c>
      <c r="CU102" s="50">
        <f t="shared" si="947"/>
        <v>1.2222442706150329</v>
      </c>
      <c r="CV102" s="50">
        <f t="shared" si="947"/>
        <v>1.1687082292311248</v>
      </c>
      <c r="CW102" s="50">
        <f t="shared" si="947"/>
        <v>1.1100766205516688</v>
      </c>
      <c r="CX102" s="50">
        <f t="shared" si="947"/>
        <v>1.0616263146813858</v>
      </c>
      <c r="CY102" s="50">
        <f t="shared" si="947"/>
        <v>1.0283870790418503</v>
      </c>
      <c r="CZ102" s="50">
        <f t="shared" si="947"/>
        <v>0.98338018046387332</v>
      </c>
      <c r="DA102" s="50">
        <f t="shared" si="947"/>
        <v>0.93402591093602239</v>
      </c>
      <c r="DB102" s="50">
        <f t="shared" si="947"/>
        <v>0.89324418412642792</v>
      </c>
      <c r="DE102" s="106"/>
      <c r="DF102" s="163">
        <v>1.7951810391493559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0</v>
      </c>
      <c r="BD103" s="163">
        <f t="shared" si="950"/>
        <v>0</v>
      </c>
      <c r="BE103" s="163">
        <f t="shared" si="950"/>
        <v>3.1796966919230014</v>
      </c>
      <c r="BF103" s="163">
        <f t="shared" si="950"/>
        <v>2.9168501187993989</v>
      </c>
      <c r="BG103" s="163">
        <f t="shared" si="950"/>
        <v>2.9701021241205261</v>
      </c>
      <c r="BH103" s="163">
        <f t="shared" si="950"/>
        <v>2.5038699946322382</v>
      </c>
      <c r="BI103" s="163">
        <f t="shared" si="950"/>
        <v>1.9675994973701074</v>
      </c>
      <c r="BJ103" s="163">
        <f t="shared" si="950"/>
        <v>1.9757033461182378</v>
      </c>
      <c r="BK103" s="163">
        <f t="shared" si="950"/>
        <v>2.1449978356378185</v>
      </c>
      <c r="BL103" s="163">
        <f t="shared" si="950"/>
        <v>2.3216905539917096</v>
      </c>
      <c r="BM103" s="163">
        <f t="shared" si="950"/>
        <v>2.594977994203155</v>
      </c>
      <c r="BN103" s="163">
        <f t="shared" si="950"/>
        <v>2.5351403468701781</v>
      </c>
      <c r="BO103" s="163">
        <f t="shared" si="950"/>
        <v>1.9945891869736814</v>
      </c>
      <c r="BP103" s="163">
        <f t="shared" si="950"/>
        <v>2.1003295746954849</v>
      </c>
      <c r="BQ103" s="163">
        <f t="shared" si="950"/>
        <v>1.9822705597832777</v>
      </c>
      <c r="BR103" s="163">
        <f t="shared" ref="BR103:CJ103" si="951">+BR78/BR99</f>
        <v>1.9821439473383344</v>
      </c>
      <c r="BS103" s="163">
        <f t="shared" si="951"/>
        <v>2.0649958914877451</v>
      </c>
      <c r="BT103" s="163">
        <f t="shared" si="951"/>
        <v>2.4031196135340345</v>
      </c>
      <c r="BU103" s="163">
        <f t="shared" si="951"/>
        <v>2.2574292586572153</v>
      </c>
      <c r="BV103" s="163">
        <f t="shared" si="951"/>
        <v>2.2185041663600442</v>
      </c>
      <c r="BW103" s="163">
        <f t="shared" si="951"/>
        <v>1.9415071562339905</v>
      </c>
      <c r="BX103" s="163">
        <f t="shared" si="951"/>
        <v>2.132669005416501</v>
      </c>
      <c r="BY103" s="163">
        <f t="shared" si="951"/>
        <v>2.054070871839901</v>
      </c>
      <c r="BZ103" s="163">
        <f t="shared" si="951"/>
        <v>2.0023241728120635</v>
      </c>
      <c r="CA103" s="163">
        <f t="shared" si="951"/>
        <v>1.9204511702712346</v>
      </c>
      <c r="CB103" s="163">
        <f t="shared" si="951"/>
        <v>1.9324862358174886</v>
      </c>
      <c r="CC103" s="163">
        <f t="shared" si="951"/>
        <v>1.9840546142278228</v>
      </c>
      <c r="CD103" s="163">
        <f t="shared" si="951"/>
        <v>1.9551380791886146</v>
      </c>
      <c r="CE103" s="163">
        <f t="shared" si="951"/>
        <v>1.8553256831978657</v>
      </c>
      <c r="CF103" s="163">
        <f t="shared" si="951"/>
        <v>2.342834606130197</v>
      </c>
      <c r="CG103" s="163">
        <f t="shared" si="951"/>
        <v>2.2185886911172976</v>
      </c>
      <c r="CH103" s="163">
        <f t="shared" si="951"/>
        <v>1.8889167840334675</v>
      </c>
      <c r="CI103" s="163">
        <f t="shared" si="951"/>
        <v>2.174025493757608</v>
      </c>
      <c r="CJ103" s="163">
        <f t="shared" si="951"/>
        <v>2.1132258491588938</v>
      </c>
      <c r="CK103" s="163">
        <f t="shared" ref="CK103:CL103" si="952">+CK78/CK99</f>
        <v>2.1750117337634052</v>
      </c>
      <c r="CL103" s="163">
        <f t="shared" si="952"/>
        <v>2.1404341643796583</v>
      </c>
      <c r="CM103" s="94">
        <f t="shared" ref="CM103:DB103" si="953">+CL103</f>
        <v>2.1404341643796583</v>
      </c>
      <c r="CN103" s="94">
        <f t="shared" si="953"/>
        <v>2.1404341643796583</v>
      </c>
      <c r="CO103" s="94">
        <f t="shared" si="953"/>
        <v>2.1404341643796583</v>
      </c>
      <c r="CP103" s="94">
        <f t="shared" si="953"/>
        <v>2.1404341643796583</v>
      </c>
      <c r="CQ103" s="94">
        <f t="shared" si="953"/>
        <v>2.1404341643796583</v>
      </c>
      <c r="CR103" s="94">
        <f t="shared" si="953"/>
        <v>2.1404341643796583</v>
      </c>
      <c r="CS103" s="94">
        <f t="shared" si="953"/>
        <v>2.1404341643796583</v>
      </c>
      <c r="CT103" s="94">
        <f t="shared" si="953"/>
        <v>2.1404341643796583</v>
      </c>
      <c r="CU103" s="94">
        <f t="shared" si="953"/>
        <v>2.1404341643796583</v>
      </c>
      <c r="CV103" s="94">
        <f t="shared" si="953"/>
        <v>2.1404341643796583</v>
      </c>
      <c r="CW103" s="94">
        <f t="shared" si="953"/>
        <v>2.1404341643796583</v>
      </c>
      <c r="CX103" s="94">
        <f t="shared" si="953"/>
        <v>2.1404341643796583</v>
      </c>
      <c r="CY103" s="94">
        <f t="shared" si="953"/>
        <v>2.1404341643796583</v>
      </c>
      <c r="CZ103" s="94">
        <f t="shared" si="953"/>
        <v>2.1404341643796583</v>
      </c>
      <c r="DA103" s="94">
        <f t="shared" si="953"/>
        <v>2.1404341643796583</v>
      </c>
      <c r="DB103" s="94">
        <f t="shared" si="953"/>
        <v>2.1404341643796583</v>
      </c>
      <c r="DE103" s="164"/>
      <c r="DF103" s="163">
        <v>2.1539344856420901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0</v>
      </c>
      <c r="BE104" s="163">
        <f t="shared" si="954"/>
        <v>2.707912426658003</v>
      </c>
      <c r="BF104" s="163">
        <f t="shared" si="954"/>
        <v>2.5745585543118739</v>
      </c>
      <c r="BG104" s="163">
        <f t="shared" si="954"/>
        <v>2.4826565157540532</v>
      </c>
      <c r="BH104" s="163">
        <f t="shared" si="954"/>
        <v>1.7731631454944921</v>
      </c>
      <c r="BI104" s="163">
        <f t="shared" si="954"/>
        <v>1.5855397620902496</v>
      </c>
      <c r="BJ104" s="163">
        <f t="shared" si="954"/>
        <v>1.5545918483688981</v>
      </c>
      <c r="BK104" s="163">
        <f t="shared" si="954"/>
        <v>1.6821958575315059</v>
      </c>
      <c r="BL104" s="163">
        <f t="shared" si="954"/>
        <v>1.9285053668274135</v>
      </c>
      <c r="BM104" s="163">
        <f t="shared" si="954"/>
        <v>2.0255944731449866</v>
      </c>
      <c r="BN104" s="163">
        <f t="shared" si="954"/>
        <v>1.292868121779525</v>
      </c>
      <c r="BO104" s="163">
        <f t="shared" si="954"/>
        <v>1.5244950370954424</v>
      </c>
      <c r="BP104" s="163">
        <f t="shared" si="954"/>
        <v>1.7771406066740556</v>
      </c>
      <c r="BQ104" s="163">
        <f t="shared" si="954"/>
        <v>1.6440225262834856</v>
      </c>
      <c r="BR104" s="163">
        <f t="shared" ref="BR104:CJ104" si="955">+BR79/BR99</f>
        <v>1.6885340278052665</v>
      </c>
      <c r="BS104" s="163">
        <f t="shared" si="955"/>
        <v>1.7179177358799973</v>
      </c>
      <c r="BT104" s="163">
        <f t="shared" si="955"/>
        <v>1.9095550786283007</v>
      </c>
      <c r="BU104" s="163">
        <f t="shared" si="955"/>
        <v>1.950299041080364</v>
      </c>
      <c r="BV104" s="163">
        <f t="shared" si="955"/>
        <v>1.7219572941677805</v>
      </c>
      <c r="BW104" s="163">
        <f t="shared" si="955"/>
        <v>1.6966670871775467</v>
      </c>
      <c r="BX104" s="163">
        <f t="shared" si="955"/>
        <v>1.716260824783687</v>
      </c>
      <c r="BY104" s="163">
        <f t="shared" si="955"/>
        <v>1.8264836032399709</v>
      </c>
      <c r="BZ104" s="163">
        <f t="shared" si="955"/>
        <v>1.564892195220859</v>
      </c>
      <c r="CA104" s="163">
        <f t="shared" si="955"/>
        <v>1.5933172827117239</v>
      </c>
      <c r="CB104" s="163">
        <f t="shared" si="955"/>
        <v>1.7370304050559755</v>
      </c>
      <c r="CC104" s="163">
        <f t="shared" si="955"/>
        <v>1.6813582498513286</v>
      </c>
      <c r="CD104" s="163">
        <f t="shared" si="955"/>
        <v>1.6884689644457942</v>
      </c>
      <c r="CE104" s="163">
        <f t="shared" si="955"/>
        <v>1.5866199940717838</v>
      </c>
      <c r="CF104" s="163">
        <f t="shared" si="955"/>
        <v>1.7774668442012589</v>
      </c>
      <c r="CG104" s="163">
        <f t="shared" si="955"/>
        <v>1.6193306053442285</v>
      </c>
      <c r="CH104" s="163">
        <f t="shared" si="955"/>
        <v>1.6377370683476282</v>
      </c>
      <c r="CI104" s="163">
        <f t="shared" si="955"/>
        <v>1.6691487394182358</v>
      </c>
      <c r="CJ104" s="163">
        <f t="shared" si="955"/>
        <v>1.9391590789886486</v>
      </c>
      <c r="CK104" s="163">
        <f t="shared" ref="CK104:CL104" si="956">+CK79/CK99</f>
        <v>1.835303066569135</v>
      </c>
      <c r="CL104" s="163">
        <f t="shared" si="956"/>
        <v>1.779262869072687</v>
      </c>
      <c r="CM104" s="94">
        <f t="shared" ref="CM104:DB104" si="957">+CL104</f>
        <v>1.779262869072687</v>
      </c>
      <c r="CN104" s="94">
        <f t="shared" si="957"/>
        <v>1.779262869072687</v>
      </c>
      <c r="CO104" s="94">
        <f t="shared" si="957"/>
        <v>1.779262869072687</v>
      </c>
      <c r="CP104" s="94">
        <f t="shared" si="957"/>
        <v>1.779262869072687</v>
      </c>
      <c r="CQ104" s="94">
        <f t="shared" si="957"/>
        <v>1.779262869072687</v>
      </c>
      <c r="CR104" s="94">
        <f t="shared" si="957"/>
        <v>1.779262869072687</v>
      </c>
      <c r="CS104" s="94">
        <f t="shared" si="957"/>
        <v>1.779262869072687</v>
      </c>
      <c r="CT104" s="94">
        <f t="shared" si="957"/>
        <v>1.779262869072687</v>
      </c>
      <c r="CU104" s="94">
        <f t="shared" si="957"/>
        <v>1.779262869072687</v>
      </c>
      <c r="CV104" s="94">
        <f t="shared" si="957"/>
        <v>1.779262869072687</v>
      </c>
      <c r="CW104" s="94">
        <f t="shared" si="957"/>
        <v>1.779262869072687</v>
      </c>
      <c r="CX104" s="94">
        <f t="shared" si="957"/>
        <v>1.779262869072687</v>
      </c>
      <c r="CY104" s="94">
        <f t="shared" si="957"/>
        <v>1.779262869072687</v>
      </c>
      <c r="CZ104" s="94">
        <f t="shared" si="957"/>
        <v>1.779262869072687</v>
      </c>
      <c r="DA104" s="94">
        <f t="shared" si="957"/>
        <v>1.779262869072687</v>
      </c>
      <c r="DB104" s="94">
        <f t="shared" si="957"/>
        <v>1.779262869072687</v>
      </c>
      <c r="DE104" s="164"/>
      <c r="DF104" s="163">
        <v>1.7904851812290428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73989.665999999997</v>
      </c>
      <c r="BF107" s="162">
        <f t="shared" si="960"/>
        <v>73388.124000000011</v>
      </c>
      <c r="BG107" s="162">
        <f t="shared" si="960"/>
        <v>77674.110750000007</v>
      </c>
      <c r="BH107" s="162">
        <f t="shared" si="960"/>
        <v>71182.47</v>
      </c>
      <c r="BI107" s="162">
        <f t="shared" si="960"/>
        <v>60590.317950000004</v>
      </c>
      <c r="BJ107" s="162">
        <f t="shared" si="960"/>
        <v>64981.574549999998</v>
      </c>
      <c r="BK107" s="162">
        <f t="shared" si="960"/>
        <v>74626.297950000007</v>
      </c>
      <c r="BL107" s="162">
        <f t="shared" si="960"/>
        <v>86461.636800000007</v>
      </c>
      <c r="BM107" s="162">
        <f t="shared" si="960"/>
        <v>103264.71</v>
      </c>
      <c r="BN107" s="162">
        <f t="shared" si="960"/>
        <v>102227.05005000001</v>
      </c>
      <c r="BO107" s="162">
        <f t="shared" si="960"/>
        <v>82290.945600000006</v>
      </c>
      <c r="BP107" s="162">
        <f t="shared" si="960"/>
        <v>92421.91545</v>
      </c>
      <c r="BQ107" s="162">
        <f t="shared" si="960"/>
        <v>91334.127000000008</v>
      </c>
      <c r="BR107" s="162">
        <f t="shared" ref="BR107:CJ107" si="961">+BR78*BR65</f>
        <v>98647.875150000007</v>
      </c>
      <c r="BS107" s="162">
        <f t="shared" si="961"/>
        <v>104267.28</v>
      </c>
      <c r="BT107" s="162">
        <f t="shared" si="961"/>
        <v>125672.1495</v>
      </c>
      <c r="BU107" s="162">
        <f t="shared" si="961"/>
        <v>127667.26380000002</v>
      </c>
      <c r="BV107" s="162">
        <f t="shared" si="961"/>
        <v>129632.30100000001</v>
      </c>
      <c r="BW107" s="162">
        <f t="shared" si="961"/>
        <v>118734.3651</v>
      </c>
      <c r="BX107" s="162">
        <f t="shared" si="961"/>
        <v>134299.26435000001</v>
      </c>
      <c r="BY107" s="162">
        <f t="shared" si="961"/>
        <v>131702.60805000001</v>
      </c>
      <c r="BZ107" s="162">
        <f t="shared" si="961"/>
        <v>133316.74575</v>
      </c>
      <c r="CA107" s="162">
        <f t="shared" si="961"/>
        <v>131837.95500000002</v>
      </c>
      <c r="CB107" s="162">
        <f t="shared" si="961"/>
        <v>139567.7697</v>
      </c>
      <c r="CC107" s="162">
        <f t="shared" si="961"/>
        <v>149533.3155</v>
      </c>
      <c r="CD107" s="162">
        <f t="shared" si="961"/>
        <v>157558.88834999999</v>
      </c>
      <c r="CE107" s="162">
        <f t="shared" si="961"/>
        <v>153227.78594999999</v>
      </c>
      <c r="CF107" s="162">
        <f t="shared" si="961"/>
        <v>193997.29500000001</v>
      </c>
      <c r="CG107" s="162">
        <f t="shared" si="961"/>
        <v>189280.20315000002</v>
      </c>
      <c r="CH107" s="162">
        <f t="shared" si="961"/>
        <v>158782.02375000002</v>
      </c>
      <c r="CI107" s="162">
        <f t="shared" si="961"/>
        <v>187255.01175000001</v>
      </c>
      <c r="CJ107" s="162">
        <f t="shared" si="961"/>
        <v>191701.40969999999</v>
      </c>
      <c r="CK107" s="162">
        <f t="shared" ref="CK107:CL107" si="962">+CK78*CK65</f>
        <v>209090.05499999999</v>
      </c>
      <c r="CL107" s="162">
        <f t="shared" si="962"/>
        <v>213949.0661</v>
      </c>
      <c r="CM107" s="21">
        <f t="shared" ref="CM107:DB107" si="963">+CM78*CM65</f>
        <v>-293648.99350673554</v>
      </c>
      <c r="CN107" s="21">
        <f t="shared" si="963"/>
        <v>1975029.2864908574</v>
      </c>
      <c r="CO107" s="21">
        <f t="shared" si="963"/>
        <v>507048.38206662261</v>
      </c>
      <c r="CP107" s="21">
        <f t="shared" si="963"/>
        <v>-1834811.5924468469</v>
      </c>
      <c r="CQ107" s="21">
        <f t="shared" si="963"/>
        <v>-2143707.8639250607</v>
      </c>
      <c r="CR107" s="21">
        <f t="shared" si="963"/>
        <v>-2248340.4442357467</v>
      </c>
      <c r="CS107" s="21">
        <f t="shared" si="963"/>
        <v>-2767796.1561324829</v>
      </c>
      <c r="CT107" s="21">
        <f t="shared" si="963"/>
        <v>-3716966.410131142</v>
      </c>
      <c r="CU107" s="21">
        <f t="shared" si="963"/>
        <v>-3766393.2898986307</v>
      </c>
      <c r="CV107" s="21">
        <f t="shared" si="963"/>
        <v>-3403290.19781648</v>
      </c>
      <c r="CW107" s="21">
        <f t="shared" si="963"/>
        <v>-3815008.262974909</v>
      </c>
      <c r="CX107" s="21">
        <f t="shared" si="963"/>
        <v>-4476564.1669867979</v>
      </c>
      <c r="CY107" s="21">
        <f t="shared" si="963"/>
        <v>-4597023.8633510033</v>
      </c>
      <c r="CZ107" s="21">
        <f t="shared" si="963"/>
        <v>-4121423.0433193785</v>
      </c>
      <c r="DA107" s="21">
        <f t="shared" si="963"/>
        <v>-4572826.2116221571</v>
      </c>
      <c r="DB107" s="21">
        <f t="shared" si="963"/>
        <v>-5307353.890315352</v>
      </c>
      <c r="DE107" s="22"/>
      <c r="DF107" s="162">
        <v>213893.61070000002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63011.5245</v>
      </c>
      <c r="BF108" s="162">
        <f t="shared" si="966"/>
        <v>64776.047700000003</v>
      </c>
      <c r="BG108" s="162">
        <f t="shared" si="966"/>
        <v>64926.433200000007</v>
      </c>
      <c r="BH108" s="162">
        <f t="shared" si="966"/>
        <v>50409.219600000004</v>
      </c>
      <c r="BI108" s="162">
        <f t="shared" si="966"/>
        <v>48825.159</v>
      </c>
      <c r="BJ108" s="162">
        <f t="shared" si="966"/>
        <v>51131.07</v>
      </c>
      <c r="BK108" s="162">
        <f t="shared" si="966"/>
        <v>58525.02375</v>
      </c>
      <c r="BL108" s="162">
        <f t="shared" si="966"/>
        <v>71819.101950000011</v>
      </c>
      <c r="BM108" s="162">
        <f t="shared" si="966"/>
        <v>80606.627999999997</v>
      </c>
      <c r="BN108" s="162">
        <f t="shared" si="966"/>
        <v>52133.64</v>
      </c>
      <c r="BO108" s="162">
        <f t="shared" si="966"/>
        <v>62896.228950000004</v>
      </c>
      <c r="BP108" s="162">
        <f t="shared" si="966"/>
        <v>78200.460000000006</v>
      </c>
      <c r="BQ108" s="162">
        <f t="shared" si="966"/>
        <v>75749.176349999994</v>
      </c>
      <c r="BR108" s="162">
        <f t="shared" ref="BR108:CJ108" si="967">+BR79*BR65</f>
        <v>84035.417400000006</v>
      </c>
      <c r="BS108" s="162">
        <f t="shared" si="967"/>
        <v>86742.356400000004</v>
      </c>
      <c r="BT108" s="162">
        <f t="shared" si="967"/>
        <v>99860.984849999993</v>
      </c>
      <c r="BU108" s="162">
        <f t="shared" si="967"/>
        <v>110297.73855000001</v>
      </c>
      <c r="BV108" s="162">
        <f t="shared" si="967"/>
        <v>100617.92520000001</v>
      </c>
      <c r="BW108" s="162">
        <f t="shared" si="967"/>
        <v>103760.98215000001</v>
      </c>
      <c r="BX108" s="162">
        <f t="shared" si="967"/>
        <v>108077.046</v>
      </c>
      <c r="BY108" s="162">
        <f t="shared" si="967"/>
        <v>117110.20169999999</v>
      </c>
      <c r="BZ108" s="162">
        <f t="shared" si="967"/>
        <v>104192.08725000001</v>
      </c>
      <c r="CA108" s="162">
        <f t="shared" si="967"/>
        <v>109380.387</v>
      </c>
      <c r="CB108" s="162">
        <f t="shared" si="967"/>
        <v>125451.58410000001</v>
      </c>
      <c r="CC108" s="162">
        <f t="shared" si="967"/>
        <v>126719.83515000001</v>
      </c>
      <c r="CD108" s="162">
        <f t="shared" si="967"/>
        <v>136068.80040000001</v>
      </c>
      <c r="CE108" s="162">
        <f t="shared" si="967"/>
        <v>131035.899</v>
      </c>
      <c r="CF108" s="162">
        <f t="shared" si="967"/>
        <v>147182.28885000001</v>
      </c>
      <c r="CG108" s="162">
        <f t="shared" si="967"/>
        <v>138154.14600000001</v>
      </c>
      <c r="CH108" s="162">
        <f t="shared" si="967"/>
        <v>137667.89955</v>
      </c>
      <c r="CI108" s="162">
        <f t="shared" si="967"/>
        <v>143768.538</v>
      </c>
      <c r="CJ108" s="162">
        <f t="shared" si="967"/>
        <v>175910.93220000001</v>
      </c>
      <c r="CK108" s="162">
        <f t="shared" ref="CK108:CL108" si="968">+CK79*CK65</f>
        <v>176432.89604999998</v>
      </c>
      <c r="CL108" s="162">
        <f t="shared" si="968"/>
        <v>177847.85699999999</v>
      </c>
      <c r="CM108" s="21">
        <f t="shared" ref="CM108:DB108" si="969">+CM79*CM65</f>
        <v>-244099.42589312309</v>
      </c>
      <c r="CN108" s="21">
        <f t="shared" si="969"/>
        <v>1641767.9801904871</v>
      </c>
      <c r="CO108" s="21">
        <f t="shared" si="969"/>
        <v>421490.35651184857</v>
      </c>
      <c r="CP108" s="21">
        <f t="shared" si="969"/>
        <v>-1525210.255243218</v>
      </c>
      <c r="CQ108" s="21">
        <f t="shared" si="969"/>
        <v>-1781984.1730691232</v>
      </c>
      <c r="CR108" s="21">
        <f t="shared" si="969"/>
        <v>-1868961.3238454589</v>
      </c>
      <c r="CS108" s="21">
        <f t="shared" si="969"/>
        <v>-2300765.429613621</v>
      </c>
      <c r="CT108" s="21">
        <f t="shared" si="969"/>
        <v>-3089775.1629999136</v>
      </c>
      <c r="CU108" s="21">
        <f t="shared" si="969"/>
        <v>-3130861.8795959833</v>
      </c>
      <c r="CV108" s="21">
        <f t="shared" si="969"/>
        <v>-2829027.8591254256</v>
      </c>
      <c r="CW108" s="21">
        <f t="shared" si="969"/>
        <v>-3171273.688524785</v>
      </c>
      <c r="CX108" s="21">
        <f t="shared" si="969"/>
        <v>-3721200.3694817349</v>
      </c>
      <c r="CY108" s="21">
        <f t="shared" si="969"/>
        <v>-3821334.0099026342</v>
      </c>
      <c r="CZ108" s="21">
        <f t="shared" si="969"/>
        <v>-3425984.8355784421</v>
      </c>
      <c r="DA108" s="21">
        <f t="shared" si="969"/>
        <v>-3801219.4070074004</v>
      </c>
      <c r="DB108" s="21">
        <f t="shared" si="969"/>
        <v>-4411804.7951282859</v>
      </c>
      <c r="DE108" s="22"/>
      <c r="DF108" s="162">
        <v>177801.75899999999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-128.059</v>
      </c>
      <c r="K109" s="162">
        <f t="shared" si="970"/>
        <v>-321.89359999999999</v>
      </c>
      <c r="L109" s="162">
        <f t="shared" si="970"/>
        <v>-803.21100000000001</v>
      </c>
      <c r="M109" s="162">
        <f t="shared" si="970"/>
        <v>-2303.4029999999998</v>
      </c>
      <c r="N109" s="162">
        <f t="shared" si="970"/>
        <v>-2153.1855999999998</v>
      </c>
      <c r="O109" s="162">
        <f t="shared" si="970"/>
        <v>-2542.2912000000001</v>
      </c>
      <c r="P109" s="162">
        <f t="shared" si="970"/>
        <v>-2523.7784000000001</v>
      </c>
      <c r="Q109" s="162">
        <f t="shared" si="970"/>
        <v>-2616.7626</v>
      </c>
      <c r="R109" s="162">
        <f t="shared" si="970"/>
        <v>-2429.8416000000002</v>
      </c>
      <c r="S109" s="162">
        <f t="shared" si="970"/>
        <v>-2644.6284000000001</v>
      </c>
      <c r="T109" s="162">
        <f t="shared" si="970"/>
        <v>-2420.6309000000001</v>
      </c>
      <c r="U109" s="162">
        <f t="shared" si="970"/>
        <v>-1423.2265</v>
      </c>
      <c r="V109" s="162">
        <f t="shared" si="970"/>
        <v>-2710.5185000000001</v>
      </c>
      <c r="W109" s="162">
        <f t="shared" si="970"/>
        <v>-3204.2193000000002</v>
      </c>
      <c r="X109" s="162">
        <f t="shared" ref="X109:Y109" si="971">+X168</f>
        <v>-4164.9219999999996</v>
      </c>
      <c r="Y109" s="162">
        <f t="shared" si="971"/>
        <v>-4745.8999999999996</v>
      </c>
      <c r="Z109" s="162">
        <f t="shared" ref="Z109:AA109" si="972">+Z168</f>
        <v>-1846.63</v>
      </c>
      <c r="AA109" s="162">
        <f t="shared" si="972"/>
        <v>-3207.94</v>
      </c>
      <c r="AB109" s="21">
        <f t="shared" ref="AA109:AD109" si="973">+AB168</f>
        <v>-20935.211341203401</v>
      </c>
      <c r="AC109" s="21">
        <f t="shared" si="973"/>
        <v>-25151.956163361407</v>
      </c>
      <c r="AD109" s="21">
        <f t="shared" si="973"/>
        <v>-29649.930967090928</v>
      </c>
      <c r="AE109" s="21">
        <f t="shared" ref="AE109" si="974">+AE168</f>
        <v>-35171.858113699724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-1889.9899999999998</v>
      </c>
      <c r="BA109" s="162">
        <f t="shared" si="977"/>
        <v>-2080.4199999999996</v>
      </c>
      <c r="BB109" s="162">
        <f t="shared" si="977"/>
        <v>-2429.84</v>
      </c>
      <c r="BC109" s="162">
        <f t="shared" si="977"/>
        <v>-2743.29</v>
      </c>
      <c r="BD109" s="162">
        <f t="shared" si="977"/>
        <v>-1710.5700000000002</v>
      </c>
      <c r="BE109" s="162">
        <f t="shared" si="977"/>
        <v>-1940.85</v>
      </c>
      <c r="BF109" s="162">
        <f t="shared" si="977"/>
        <v>-2451.15</v>
      </c>
      <c r="BG109" s="162">
        <f t="shared" si="977"/>
        <v>-2805.4699999999993</v>
      </c>
      <c r="BH109" s="162">
        <f t="shared" si="977"/>
        <v>-1567.53</v>
      </c>
      <c r="BI109" s="162">
        <f t="shared" si="977"/>
        <v>-1831.8099999999984</v>
      </c>
      <c r="BJ109" s="162">
        <f t="shared" si="977"/>
        <v>-2139.0100000000002</v>
      </c>
      <c r="BK109" s="162">
        <f t="shared" si="977"/>
        <v>-2510.9099999999989</v>
      </c>
      <c r="BL109" s="162">
        <f t="shared" si="977"/>
        <v>-1116.48</v>
      </c>
      <c r="BM109" s="162">
        <f t="shared" si="977"/>
        <v>-1506.2500000000036</v>
      </c>
      <c r="BN109" s="162">
        <f t="shared" si="977"/>
        <v>-709.56000000000006</v>
      </c>
      <c r="BO109" s="162">
        <f t="shared" si="977"/>
        <v>-1100.4500000000016</v>
      </c>
      <c r="BP109" s="162">
        <f t="shared" si="977"/>
        <v>-835.43000000000006</v>
      </c>
      <c r="BQ109" s="162">
        <f t="shared" si="977"/>
        <v>-1068.2799999999968</v>
      </c>
      <c r="BR109" s="162">
        <f t="shared" si="977"/>
        <v>-1868.1999999999998</v>
      </c>
      <c r="BS109" s="162">
        <f t="shared" si="977"/>
        <v>-2091.3599999999988</v>
      </c>
      <c r="BT109" s="162">
        <f t="shared" si="977"/>
        <v>-1408.9399999999998</v>
      </c>
      <c r="BU109" s="162">
        <f t="shared" si="977"/>
        <v>-1772.9999999999984</v>
      </c>
      <c r="BV109" s="162">
        <f t="shared" si="977"/>
        <v>-2210.58</v>
      </c>
      <c r="BW109" s="162">
        <f t="shared" si="977"/>
        <v>-2473.4300000000017</v>
      </c>
      <c r="BX109" s="162">
        <f t="shared" si="977"/>
        <v>-1982.2699999999998</v>
      </c>
      <c r="BY109" s="162">
        <f t="shared" si="977"/>
        <v>-2286.4000000000042</v>
      </c>
      <c r="BZ109" s="162">
        <f t="shared" si="977"/>
        <v>-3022.1800000000003</v>
      </c>
      <c r="CA109" s="162">
        <f t="shared" si="977"/>
        <v>-3403.2199999999993</v>
      </c>
      <c r="CB109" s="162">
        <f t="shared" si="977"/>
        <v>-1967.1599999999999</v>
      </c>
      <c r="CC109" s="162">
        <f t="shared" si="977"/>
        <v>-2288.9100000000044</v>
      </c>
      <c r="CD109" s="162">
        <f t="shared" si="977"/>
        <v>-3409.3300000000004</v>
      </c>
      <c r="CE109" s="162">
        <f t="shared" ref="CE109:CF109" si="978">+CE168</f>
        <v>-3928.8499999999963</v>
      </c>
      <c r="CF109" s="162">
        <f t="shared" si="978"/>
        <v>-4173.6499999999996</v>
      </c>
      <c r="CG109" s="162">
        <f t="shared" ref="CG109:CH109" si="979">+CG168</f>
        <v>-4724.4699999999984</v>
      </c>
      <c r="CH109" s="162">
        <f t="shared" si="979"/>
        <v>-1846.63</v>
      </c>
      <c r="CI109" s="162">
        <f t="shared" ref="CI109:CJ109" si="980">+CI168</f>
        <v>-1907.7077368318087</v>
      </c>
      <c r="CJ109" s="162">
        <f t="shared" si="980"/>
        <v>-1733.87</v>
      </c>
      <c r="CK109" s="162">
        <f t="shared" ref="CK109:CL109" si="981">+CK168</f>
        <v>-45665.333406931917</v>
      </c>
      <c r="CL109" s="162">
        <f t="shared" si="981"/>
        <v>-3207.94</v>
      </c>
      <c r="CM109" s="21">
        <f t="shared" ref="CM109:DB109" si="982">+CM168</f>
        <v>58174.545094100424</v>
      </c>
      <c r="CN109" s="21">
        <f t="shared" si="982"/>
        <v>-40522.003625435034</v>
      </c>
      <c r="CO109" s="21">
        <f t="shared" si="982"/>
        <v>-72032.605757003359</v>
      </c>
      <c r="CP109" s="21">
        <f t="shared" si="982"/>
        <v>-20935.211341203401</v>
      </c>
      <c r="CQ109" s="21">
        <f t="shared" si="982"/>
        <v>53401.464939485879</v>
      </c>
      <c r="CR109" s="21">
        <f t="shared" si="982"/>
        <v>-57918.66338419688</v>
      </c>
      <c r="CS109" s="21">
        <f t="shared" si="982"/>
        <v>-92022.525763835059</v>
      </c>
      <c r="CT109" s="21">
        <f t="shared" si="982"/>
        <v>-25151.956163361407</v>
      </c>
      <c r="CU109" s="21">
        <f t="shared" si="982"/>
        <v>61849.976060968911</v>
      </c>
      <c r="CV109" s="21">
        <f t="shared" si="982"/>
        <v>-69845.188349462347</v>
      </c>
      <c r="CW109" s="21">
        <f t="shared" si="982"/>
        <v>-109739.87592205567</v>
      </c>
      <c r="CX109" s="21">
        <f t="shared" si="982"/>
        <v>-29649.930967090928</v>
      </c>
      <c r="CY109" s="21">
        <f t="shared" si="982"/>
        <v>73324.990262308493</v>
      </c>
      <c r="CZ109" s="21">
        <f t="shared" si="982"/>
        <v>-83081.70974574695</v>
      </c>
      <c r="DA109" s="21">
        <f t="shared" si="982"/>
        <v>-130379.25586922423</v>
      </c>
      <c r="DB109" s="21">
        <f t="shared" si="982"/>
        <v>-35171.858113699724</v>
      </c>
      <c r="DE109" s="22"/>
      <c r="DF109" s="162">
        <v>-390976.10046599997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-1889.9899999999998</v>
      </c>
      <c r="BA110" s="162">
        <f t="shared" si="990"/>
        <v>-2080.4199999999996</v>
      </c>
      <c r="BB110" s="162">
        <f t="shared" si="990"/>
        <v>-2429.84</v>
      </c>
      <c r="BC110" s="162">
        <f t="shared" si="990"/>
        <v>-2743.29</v>
      </c>
      <c r="BD110" s="162">
        <f t="shared" si="990"/>
        <v>-1710.5700000000002</v>
      </c>
      <c r="BE110" s="162">
        <f t="shared" si="990"/>
        <v>72048.815999999992</v>
      </c>
      <c r="BF110" s="162">
        <f t="shared" si="990"/>
        <v>70936.974000000017</v>
      </c>
      <c r="BG110" s="162">
        <f t="shared" si="990"/>
        <v>74868.640750000006</v>
      </c>
      <c r="BH110" s="162">
        <f t="shared" si="990"/>
        <v>69614.94</v>
      </c>
      <c r="BI110" s="162">
        <f t="shared" si="990"/>
        <v>58758.507950000007</v>
      </c>
      <c r="BJ110" s="162">
        <f t="shared" si="990"/>
        <v>62842.564549999996</v>
      </c>
      <c r="BK110" s="162">
        <f t="shared" si="990"/>
        <v>72115.387950000004</v>
      </c>
      <c r="BL110" s="162">
        <f t="shared" si="990"/>
        <v>85345.156800000012</v>
      </c>
      <c r="BM110" s="162">
        <f t="shared" si="990"/>
        <v>101758.46</v>
      </c>
      <c r="BN110" s="162">
        <f t="shared" si="990"/>
        <v>101517.49005000001</v>
      </c>
      <c r="BO110" s="162">
        <f t="shared" si="990"/>
        <v>81190.495600000009</v>
      </c>
      <c r="BP110" s="162">
        <f t="shared" si="990"/>
        <v>91586.485450000007</v>
      </c>
      <c r="BQ110" s="162">
        <f t="shared" si="990"/>
        <v>90265.847000000009</v>
      </c>
      <c r="BR110" s="162">
        <f t="shared" si="990"/>
        <v>96779.67515000001</v>
      </c>
      <c r="BS110" s="162">
        <f t="shared" si="990"/>
        <v>102175.92</v>
      </c>
      <c r="BT110" s="162">
        <f t="shared" si="990"/>
        <v>124263.2095</v>
      </c>
      <c r="BU110" s="162">
        <f t="shared" si="990"/>
        <v>125894.26380000002</v>
      </c>
      <c r="BV110" s="162">
        <f t="shared" si="990"/>
        <v>127421.72100000001</v>
      </c>
      <c r="BW110" s="162">
        <f t="shared" si="990"/>
        <v>116260.93509999999</v>
      </c>
      <c r="BX110" s="162">
        <f t="shared" si="990"/>
        <v>132316.99435000002</v>
      </c>
      <c r="BY110" s="162">
        <f t="shared" si="990"/>
        <v>129416.20805</v>
      </c>
      <c r="BZ110" s="162">
        <f t="shared" si="990"/>
        <v>130294.56575000001</v>
      </c>
      <c r="CA110" s="162">
        <f t="shared" si="990"/>
        <v>128434.73500000002</v>
      </c>
      <c r="CB110" s="162">
        <f t="shared" si="990"/>
        <v>137600.6097</v>
      </c>
      <c r="CC110" s="162">
        <f t="shared" si="990"/>
        <v>147244.40549999999</v>
      </c>
      <c r="CD110" s="162">
        <f t="shared" si="990"/>
        <v>154149.55835000001</v>
      </c>
      <c r="CE110" s="162">
        <f t="shared" ref="CE110:CF110" si="991">+CE107+CE109</f>
        <v>149298.93594999998</v>
      </c>
      <c r="CF110" s="162">
        <f t="shared" si="991"/>
        <v>189823.64500000002</v>
      </c>
      <c r="CG110" s="162">
        <f t="shared" ref="CG110:CH110" si="992">+CG107+CG109</f>
        <v>184555.73315000001</v>
      </c>
      <c r="CH110" s="162">
        <f t="shared" si="992"/>
        <v>156935.39375000002</v>
      </c>
      <c r="CI110" s="162">
        <f t="shared" ref="CI110:CJ110" si="993">+CI107+CI109</f>
        <v>185347.30401316821</v>
      </c>
      <c r="CJ110" s="162">
        <f t="shared" si="993"/>
        <v>189967.53969999999</v>
      </c>
      <c r="CK110" s="162">
        <f t="shared" ref="CK110:CL110" si="994">+CK107+CK109</f>
        <v>163424.72159306807</v>
      </c>
      <c r="CL110" s="162">
        <f t="shared" si="994"/>
        <v>210741.12609999999</v>
      </c>
      <c r="CM110" s="21">
        <f t="shared" ref="CM110:DB110" si="995">+CM107+CM109</f>
        <v>-235474.44841263513</v>
      </c>
      <c r="CN110" s="21">
        <f t="shared" si="995"/>
        <v>1934507.2828654223</v>
      </c>
      <c r="CO110" s="21">
        <f t="shared" si="995"/>
        <v>435015.77630961925</v>
      </c>
      <c r="CP110" s="21">
        <f t="shared" si="995"/>
        <v>-1855746.8037880503</v>
      </c>
      <c r="CQ110" s="21">
        <f t="shared" si="995"/>
        <v>-2090306.398985575</v>
      </c>
      <c r="CR110" s="21">
        <f t="shared" si="995"/>
        <v>-2306259.1076199436</v>
      </c>
      <c r="CS110" s="21">
        <f t="shared" si="995"/>
        <v>-2859818.6818963178</v>
      </c>
      <c r="CT110" s="21">
        <f t="shared" si="995"/>
        <v>-3742118.3662945032</v>
      </c>
      <c r="CU110" s="21">
        <f t="shared" si="995"/>
        <v>-3704543.3138376619</v>
      </c>
      <c r="CV110" s="21">
        <f t="shared" si="995"/>
        <v>-3473135.3861659421</v>
      </c>
      <c r="CW110" s="21">
        <f t="shared" si="995"/>
        <v>-3924748.1388969645</v>
      </c>
      <c r="CX110" s="21">
        <f t="shared" si="995"/>
        <v>-4506214.0979538886</v>
      </c>
      <c r="CY110" s="21">
        <f t="shared" si="995"/>
        <v>-4523698.8730886951</v>
      </c>
      <c r="CZ110" s="21">
        <f t="shared" si="995"/>
        <v>-4204504.7530651251</v>
      </c>
      <c r="DA110" s="21">
        <f t="shared" si="995"/>
        <v>-4703205.4674913818</v>
      </c>
      <c r="DB110" s="21">
        <f t="shared" si="995"/>
        <v>-5342525.7484290516</v>
      </c>
      <c r="DE110" s="22"/>
      <c r="DF110" s="162">
        <v>-177082.48976599996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-1889.9899999999998</v>
      </c>
      <c r="BA111" s="162">
        <f t="shared" si="1003"/>
        <v>-2080.4199999999996</v>
      </c>
      <c r="BB111" s="162">
        <f t="shared" si="1003"/>
        <v>-2429.84</v>
      </c>
      <c r="BC111" s="162">
        <f t="shared" si="1003"/>
        <v>-2743.29</v>
      </c>
      <c r="BD111" s="162">
        <f t="shared" si="1003"/>
        <v>-1710.5700000000002</v>
      </c>
      <c r="BE111" s="162">
        <f t="shared" si="1003"/>
        <v>61070.674500000001</v>
      </c>
      <c r="BF111" s="162">
        <f t="shared" si="1003"/>
        <v>62324.897700000001</v>
      </c>
      <c r="BG111" s="162">
        <f t="shared" si="1003"/>
        <v>62120.963200000006</v>
      </c>
      <c r="BH111" s="162">
        <f t="shared" si="1003"/>
        <v>48841.689600000005</v>
      </c>
      <c r="BI111" s="162">
        <f t="shared" si="1003"/>
        <v>46993.349000000002</v>
      </c>
      <c r="BJ111" s="162">
        <f t="shared" si="1003"/>
        <v>48992.06</v>
      </c>
      <c r="BK111" s="162">
        <f t="shared" si="1003"/>
        <v>56014.113750000004</v>
      </c>
      <c r="BL111" s="162">
        <f t="shared" si="1003"/>
        <v>70702.621950000015</v>
      </c>
      <c r="BM111" s="162">
        <f t="shared" si="1003"/>
        <v>79100.377999999997</v>
      </c>
      <c r="BN111" s="162">
        <f t="shared" si="1003"/>
        <v>51424.08</v>
      </c>
      <c r="BO111" s="162">
        <f t="shared" si="1003"/>
        <v>61795.77895</v>
      </c>
      <c r="BP111" s="162">
        <f t="shared" si="1003"/>
        <v>77365.030000000013</v>
      </c>
      <c r="BQ111" s="162">
        <f t="shared" si="1003"/>
        <v>74680.896349999995</v>
      </c>
      <c r="BR111" s="162">
        <f t="shared" si="1003"/>
        <v>82167.217400000009</v>
      </c>
      <c r="BS111" s="162">
        <f t="shared" si="1003"/>
        <v>84650.996400000004</v>
      </c>
      <c r="BT111" s="162">
        <f t="shared" si="1003"/>
        <v>98452.044849999991</v>
      </c>
      <c r="BU111" s="162">
        <f t="shared" si="1003"/>
        <v>108524.73855000001</v>
      </c>
      <c r="BV111" s="162">
        <f t="shared" si="1003"/>
        <v>98407.345200000011</v>
      </c>
      <c r="BW111" s="162">
        <f t="shared" si="1003"/>
        <v>101287.55215</v>
      </c>
      <c r="BX111" s="162">
        <f t="shared" si="1003"/>
        <v>106094.776</v>
      </c>
      <c r="BY111" s="162">
        <f t="shared" si="1003"/>
        <v>114823.80169999998</v>
      </c>
      <c r="BZ111" s="162">
        <f t="shared" si="1003"/>
        <v>101169.90725000002</v>
      </c>
      <c r="CA111" s="162">
        <f t="shared" si="1003"/>
        <v>105977.167</v>
      </c>
      <c r="CB111" s="162">
        <f t="shared" si="1003"/>
        <v>123484.4241</v>
      </c>
      <c r="CC111" s="162">
        <f t="shared" si="1003"/>
        <v>124430.92515000001</v>
      </c>
      <c r="CD111" s="162">
        <f t="shared" si="1003"/>
        <v>132659.47040000002</v>
      </c>
      <c r="CE111" s="162">
        <f t="shared" ref="CE111:CF111" si="1004">+CE108+CE109</f>
        <v>127107.04900000001</v>
      </c>
      <c r="CF111" s="162">
        <f t="shared" si="1004"/>
        <v>143008.63885000002</v>
      </c>
      <c r="CG111" s="162">
        <f t="shared" ref="CG111:CH111" si="1005">+CG108+CG109</f>
        <v>133429.67600000001</v>
      </c>
      <c r="CH111" s="162">
        <f t="shared" si="1005"/>
        <v>135821.26955</v>
      </c>
      <c r="CI111" s="162">
        <f t="shared" ref="CI111:CJ111" si="1006">+CI108+CI109</f>
        <v>141860.8302631682</v>
      </c>
      <c r="CJ111" s="162">
        <f t="shared" si="1006"/>
        <v>174177.06220000001</v>
      </c>
      <c r="CK111" s="162">
        <f t="shared" ref="CK111:CL111" si="1007">+CK108+CK109</f>
        <v>130767.56264306806</v>
      </c>
      <c r="CL111" s="162">
        <f t="shared" si="1007"/>
        <v>174639.91699999999</v>
      </c>
      <c r="CM111" s="21">
        <f t="shared" ref="CM111:DB111" si="1008">+CM108+CM109</f>
        <v>-185924.88079902268</v>
      </c>
      <c r="CN111" s="21">
        <f t="shared" si="1008"/>
        <v>1601245.9765650521</v>
      </c>
      <c r="CO111" s="21">
        <f t="shared" si="1008"/>
        <v>349457.75075484521</v>
      </c>
      <c r="CP111" s="21">
        <f t="shared" si="1008"/>
        <v>-1546145.4665844215</v>
      </c>
      <c r="CQ111" s="21">
        <f t="shared" si="1008"/>
        <v>-1728582.7081296374</v>
      </c>
      <c r="CR111" s="21">
        <f t="shared" si="1008"/>
        <v>-1926879.9872296557</v>
      </c>
      <c r="CS111" s="21">
        <f t="shared" si="1008"/>
        <v>-2392787.9553774558</v>
      </c>
      <c r="CT111" s="21">
        <f t="shared" si="1008"/>
        <v>-3114927.1191632748</v>
      </c>
      <c r="CU111" s="21">
        <f t="shared" si="1008"/>
        <v>-3069011.9035350145</v>
      </c>
      <c r="CV111" s="21">
        <f t="shared" si="1008"/>
        <v>-2898873.0474748882</v>
      </c>
      <c r="CW111" s="21">
        <f t="shared" si="1008"/>
        <v>-3281013.5644468404</v>
      </c>
      <c r="CX111" s="21">
        <f t="shared" si="1008"/>
        <v>-3750850.300448826</v>
      </c>
      <c r="CY111" s="21">
        <f t="shared" si="1008"/>
        <v>-3748009.0196403256</v>
      </c>
      <c r="CZ111" s="21">
        <f t="shared" si="1008"/>
        <v>-3509066.5453241891</v>
      </c>
      <c r="DA111" s="21">
        <f t="shared" si="1008"/>
        <v>-3931598.6628766246</v>
      </c>
      <c r="DB111" s="21">
        <f t="shared" si="1008"/>
        <v>-4446976.6532419855</v>
      </c>
      <c r="DE111" s="22"/>
      <c r="DF111" s="162">
        <v>-213174.34146599998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-0.48949999999999999</v>
      </c>
      <c r="K112" s="162">
        <f t="shared" si="1009"/>
        <v>-0.38800000000000001</v>
      </c>
      <c r="L112" s="162">
        <f t="shared" si="1009"/>
        <v>-3.0182000000000002</v>
      </c>
      <c r="M112" s="162">
        <f t="shared" si="1009"/>
        <v>-2.3307000000000002</v>
      </c>
      <c r="N112" s="162">
        <f t="shared" si="1009"/>
        <v>-7.4481000000000002</v>
      </c>
      <c r="O112" s="162">
        <f t="shared" si="1009"/>
        <v>-2.9819</v>
      </c>
      <c r="P112" s="162">
        <f t="shared" si="1009"/>
        <v>-1.5983000000000001</v>
      </c>
      <c r="Q112" s="162">
        <f t="shared" si="1009"/>
        <v>-117.1054</v>
      </c>
      <c r="R112" s="162">
        <f t="shared" si="1009"/>
        <v>-90.174700000000001</v>
      </c>
      <c r="S112" s="162">
        <f t="shared" si="1009"/>
        <v>-107.73439999999999</v>
      </c>
      <c r="T112" s="162">
        <f t="shared" si="1009"/>
        <v>-128.90690000000001</v>
      </c>
      <c r="U112" s="162">
        <f t="shared" si="1009"/>
        <v>-524.57719999999995</v>
      </c>
      <c r="V112" s="162">
        <f t="shared" si="1009"/>
        <v>-855.77859999999998</v>
      </c>
      <c r="W112" s="162">
        <f t="shared" si="1009"/>
        <v>-1139.1255000000001</v>
      </c>
      <c r="X112" s="162">
        <f t="shared" si="1009"/>
        <v>-1744.7161000000001</v>
      </c>
      <c r="Y112" s="162">
        <f t="shared" si="1009"/>
        <v>-1679.03</v>
      </c>
      <c r="Z112" s="162">
        <f t="shared" si="1009"/>
        <v>-1380.1</v>
      </c>
      <c r="AA112" s="162">
        <f t="shared" ref="AA112" si="1010">+AA28</f>
        <v>-1903.67</v>
      </c>
      <c r="AB112" s="21">
        <f t="shared" si="1009"/>
        <v>4243.9308498282335</v>
      </c>
      <c r="AC112" s="21">
        <f t="shared" si="1009"/>
        <v>9030.7326903813519</v>
      </c>
      <c r="AD112" s="21">
        <f t="shared" si="1009"/>
        <v>11540.429806231405</v>
      </c>
      <c r="AE112" s="21">
        <f t="shared" si="1009"/>
        <v>13861.695766126824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-2670.87</v>
      </c>
      <c r="BA112" s="162">
        <f t="shared" si="1011"/>
        <v>-3270.58</v>
      </c>
      <c r="BB112" s="162">
        <f t="shared" si="1011"/>
        <v>-6367.2400000000007</v>
      </c>
      <c r="BC112" s="162">
        <f t="shared" si="1011"/>
        <v>-8659.44</v>
      </c>
      <c r="BD112" s="162">
        <f t="shared" si="1011"/>
        <v>-8184.14</v>
      </c>
      <c r="BE112" s="162">
        <f t="shared" si="1011"/>
        <v>-10247.560000000001</v>
      </c>
      <c r="BF112" s="162">
        <f t="shared" si="1011"/>
        <v>-7565.85</v>
      </c>
      <c r="BG112" s="162">
        <f t="shared" si="1011"/>
        <v>-6994.4700000000012</v>
      </c>
      <c r="BH112" s="162">
        <f t="shared" si="1011"/>
        <v>-6603.0900000000011</v>
      </c>
      <c r="BI112" s="162">
        <f t="shared" si="1011"/>
        <v>-6767.3600000000024</v>
      </c>
      <c r="BJ112" s="162">
        <f t="shared" si="1011"/>
        <v>-10149.030000000001</v>
      </c>
      <c r="BK112" s="162">
        <f t="shared" si="1011"/>
        <v>-11211.77</v>
      </c>
      <c r="BL112" s="162">
        <f t="shared" si="1011"/>
        <v>-9443.1800000000021</v>
      </c>
      <c r="BM112" s="162">
        <f t="shared" si="1011"/>
        <v>-10406.839999999998</v>
      </c>
      <c r="BN112" s="162">
        <f t="shared" si="1011"/>
        <v>650.8700000000008</v>
      </c>
      <c r="BO112" s="162">
        <f t="shared" si="1011"/>
        <v>-4624.9699999999975</v>
      </c>
      <c r="BP112" s="162">
        <f t="shared" si="1011"/>
        <v>-10083.479999999998</v>
      </c>
      <c r="BQ112" s="162">
        <f t="shared" si="1011"/>
        <v>-18957.870000000003</v>
      </c>
      <c r="BR112" s="162">
        <f t="shared" ref="BR112:CW112" si="1012">+SUM(BO28:BR28)</f>
        <v>-30462.14</v>
      </c>
      <c r="BS112" s="162">
        <f t="shared" si="1012"/>
        <v>-29842.280000000006</v>
      </c>
      <c r="BT112" s="162">
        <f t="shared" si="1012"/>
        <v>-35051.29</v>
      </c>
      <c r="BU112" s="162">
        <f t="shared" si="1012"/>
        <v>-24632.319999999996</v>
      </c>
      <c r="BV112" s="162">
        <f t="shared" si="1012"/>
        <v>-23896.39</v>
      </c>
      <c r="BW112" s="162">
        <f t="shared" si="1012"/>
        <v>-9937.2599999999984</v>
      </c>
      <c r="BX112" s="162">
        <f t="shared" si="1012"/>
        <v>-10048.390000000003</v>
      </c>
      <c r="BY112" s="162">
        <f t="shared" si="1012"/>
        <v>-15114.400000000001</v>
      </c>
      <c r="BZ112" s="162">
        <f t="shared" si="1012"/>
        <v>-13906.910000000003</v>
      </c>
      <c r="CA112" s="162">
        <f t="shared" si="1012"/>
        <v>-34793.370000000003</v>
      </c>
      <c r="CB112" s="162">
        <f t="shared" si="1012"/>
        <v>-32321.54</v>
      </c>
      <c r="CC112" s="162">
        <f t="shared" si="1012"/>
        <v>-41373.43</v>
      </c>
      <c r="CD112" s="162">
        <f t="shared" si="1012"/>
        <v>-51000.59</v>
      </c>
      <c r="CE112" s="162">
        <f t="shared" si="1012"/>
        <v>-55588.229999999996</v>
      </c>
      <c r="CF112" s="162">
        <f t="shared" si="1012"/>
        <v>-66675.88</v>
      </c>
      <c r="CG112" s="162">
        <f t="shared" si="1012"/>
        <v>-43749.64</v>
      </c>
      <c r="CH112" s="162">
        <f t="shared" si="1012"/>
        <v>-31482.110000000004</v>
      </c>
      <c r="CI112" s="162">
        <f t="shared" si="1012"/>
        <v>-33681.67</v>
      </c>
      <c r="CJ112" s="162">
        <f t="shared" si="1012"/>
        <v>-12003.080000000005</v>
      </c>
      <c r="CK112" s="162">
        <f t="shared" si="1012"/>
        <v>-33836.979999999996</v>
      </c>
      <c r="CL112" s="162">
        <f t="shared" si="1012"/>
        <v>-11610.519999999997</v>
      </c>
      <c r="CM112" s="21">
        <f t="shared" si="1012"/>
        <v>5314.4040713895811</v>
      </c>
      <c r="CN112" s="21">
        <f t="shared" si="1012"/>
        <v>4501.9557108464687</v>
      </c>
      <c r="CO112" s="21">
        <f t="shared" si="1012"/>
        <v>21131.464423418645</v>
      </c>
      <c r="CP112" s="21">
        <f t="shared" si="1012"/>
        <v>4243.9308498282371</v>
      </c>
      <c r="CQ112" s="21">
        <f t="shared" si="1012"/>
        <v>8785.8130386347329</v>
      </c>
      <c r="CR112" s="21">
        <f t="shared" si="1012"/>
        <v>9759.9627220219081</v>
      </c>
      <c r="CS112" s="21">
        <f t="shared" si="1012"/>
        <v>11525.916071424177</v>
      </c>
      <c r="CT112" s="21">
        <f t="shared" si="1012"/>
        <v>9030.7326903813628</v>
      </c>
      <c r="CU112" s="21">
        <f t="shared" si="1012"/>
        <v>10415.274839827733</v>
      </c>
      <c r="CV112" s="21">
        <f t="shared" si="1012"/>
        <v>10971.381810039195</v>
      </c>
      <c r="CW112" s="21">
        <f t="shared" si="1012"/>
        <v>11460.960218770299</v>
      </c>
      <c r="CX112" s="21">
        <f t="shared" ref="CX112:DB112" si="1013">+SUM(CU28:CX28)</f>
        <v>11540.429806231368</v>
      </c>
      <c r="CY112" s="21">
        <f t="shared" si="1013"/>
        <v>12162.026325988336</v>
      </c>
      <c r="CZ112" s="21">
        <f t="shared" si="1013"/>
        <v>12696.449635468452</v>
      </c>
      <c r="DA112" s="21">
        <f t="shared" si="1013"/>
        <v>13303.640196083426</v>
      </c>
      <c r="DB112" s="21">
        <f t="shared" si="1013"/>
        <v>13861.695766126846</v>
      </c>
      <c r="DE112" s="22"/>
      <c r="DF112" s="162">
        <v>-45203.765643555227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>
        <f t="shared" si="1021"/>
        <v>0.70763084687760913</v>
      </c>
      <c r="BA113" s="162">
        <f t="shared" si="1021"/>
        <v>0.6361012419815445</v>
      </c>
      <c r="BB113" s="162">
        <f t="shared" si="1021"/>
        <v>0.38161589636954157</v>
      </c>
      <c r="BC113" s="162">
        <f t="shared" si="1021"/>
        <v>0.31679762201712813</v>
      </c>
      <c r="BD113" s="162">
        <f t="shared" si="1021"/>
        <v>0.20901035417282696</v>
      </c>
      <c r="BE113" s="162">
        <f t="shared" si="1021"/>
        <v>-7.0308264601524639</v>
      </c>
      <c r="BF113" s="162">
        <f t="shared" si="1021"/>
        <v>-9.3759424255040766</v>
      </c>
      <c r="BG113" s="162">
        <f t="shared" si="1021"/>
        <v>-10.703976248379076</v>
      </c>
      <c r="BH113" s="162">
        <f t="shared" si="1021"/>
        <v>-10.542782242859024</v>
      </c>
      <c r="BI113" s="162">
        <f t="shared" si="1021"/>
        <v>-8.6826336931979355</v>
      </c>
      <c r="BJ113" s="162">
        <f t="shared" si="1021"/>
        <v>-6.1919774155756748</v>
      </c>
      <c r="BK113" s="162">
        <f t="shared" si="1021"/>
        <v>-6.432114460963791</v>
      </c>
      <c r="BL113" s="162">
        <f t="shared" si="1021"/>
        <v>-9.0377560101575938</v>
      </c>
      <c r="BM113" s="162">
        <f t="shared" si="1021"/>
        <v>-9.7780363683884843</v>
      </c>
      <c r="BN113" s="162">
        <f t="shared" si="1021"/>
        <v>155.9719914114952</v>
      </c>
      <c r="BO113" s="162">
        <f t="shared" si="1021"/>
        <v>-17.554815620425657</v>
      </c>
      <c r="BP113" s="162">
        <f t="shared" si="1021"/>
        <v>-9.0828251208908064</v>
      </c>
      <c r="BQ113" s="162">
        <f t="shared" si="1021"/>
        <v>-4.7613918124768233</v>
      </c>
      <c r="BR113" s="162">
        <f t="shared" si="1021"/>
        <v>-3.1770478091821523</v>
      </c>
      <c r="BS113" s="162">
        <f t="shared" si="1021"/>
        <v>-3.4238643964201119</v>
      </c>
      <c r="BT113" s="162">
        <f t="shared" si="1021"/>
        <v>-3.5451822029945257</v>
      </c>
      <c r="BU113" s="162">
        <f t="shared" si="1021"/>
        <v>-5.110938141433695</v>
      </c>
      <c r="BV113" s="162">
        <f t="shared" si="1021"/>
        <v>-5.3322581779088809</v>
      </c>
      <c r="BW113" s="162">
        <f t="shared" si="1021"/>
        <v>-11.69949614883781</v>
      </c>
      <c r="BX113" s="162">
        <f t="shared" si="1021"/>
        <v>-13.16797958180365</v>
      </c>
      <c r="BY113" s="162">
        <f t="shared" si="1021"/>
        <v>-8.5624442948446511</v>
      </c>
      <c r="BZ113" s="162">
        <f t="shared" si="1021"/>
        <v>-9.3690522013876532</v>
      </c>
      <c r="CA113" s="162">
        <f t="shared" si="1021"/>
        <v>-3.6913565716686829</v>
      </c>
      <c r="CB113" s="162">
        <f t="shared" si="1021"/>
        <v>-4.2572417558074278</v>
      </c>
      <c r="CC113" s="162">
        <f t="shared" si="1021"/>
        <v>-3.5589122173336847</v>
      </c>
      <c r="CD113" s="162">
        <f t="shared" si="1021"/>
        <v>-3.022505393565055</v>
      </c>
      <c r="CE113" s="162">
        <f t="shared" ref="CE113:CF113" si="1022">+CE110/CE112</f>
        <v>-2.6858012199704864</v>
      </c>
      <c r="CF113" s="162">
        <f t="shared" si="1022"/>
        <v>-2.8469612249587106</v>
      </c>
      <c r="CG113" s="162">
        <f t="shared" ref="CG113:CH113" si="1023">+CG110/CG112</f>
        <v>-4.2184514695435213</v>
      </c>
      <c r="CH113" s="162">
        <f t="shared" si="1023"/>
        <v>-4.9849071027958418</v>
      </c>
      <c r="CI113" s="162">
        <f t="shared" ref="CI113:CJ113" si="1024">+CI110/CI112</f>
        <v>-5.5029131279170009</v>
      </c>
      <c r="CJ113" s="162">
        <f t="shared" si="1024"/>
        <v>-15.826566156353195</v>
      </c>
      <c r="CK113" s="162">
        <f t="shared" ref="CK113:CL113" si="1025">+CK110/CK112</f>
        <v>-4.8297667697610152</v>
      </c>
      <c r="CL113" s="162">
        <f t="shared" si="1025"/>
        <v>-18.150877488691293</v>
      </c>
      <c r="CM113" s="21">
        <f t="shared" ref="CM113:DB113" si="1026">+CM110/CM112</f>
        <v>-44.308721213038019</v>
      </c>
      <c r="CN113" s="21">
        <f t="shared" si="1026"/>
        <v>429.70375701490218</v>
      </c>
      <c r="CO113" s="21">
        <f t="shared" si="1026"/>
        <v>20.586163248937883</v>
      </c>
      <c r="CP113" s="21">
        <f t="shared" si="1026"/>
        <v>-437.27074484805922</v>
      </c>
      <c r="CQ113" s="21">
        <f t="shared" si="1026"/>
        <v>-237.91837930009004</v>
      </c>
      <c r="CR113" s="21">
        <f t="shared" si="1026"/>
        <v>-236.29794224687069</v>
      </c>
      <c r="CS113" s="21">
        <f t="shared" si="1026"/>
        <v>-248.12072759982797</v>
      </c>
      <c r="CT113" s="21">
        <f t="shared" si="1026"/>
        <v>-414.3759420849911</v>
      </c>
      <c r="CU113" s="21">
        <f t="shared" si="1026"/>
        <v>-355.68368293763956</v>
      </c>
      <c r="CV113" s="21">
        <f t="shared" si="1026"/>
        <v>-316.56316827729967</v>
      </c>
      <c r="CW113" s="21">
        <f t="shared" si="1026"/>
        <v>-342.44496656302584</v>
      </c>
      <c r="CX113" s="21">
        <f t="shared" si="1026"/>
        <v>-390.47194719911681</v>
      </c>
      <c r="CY113" s="21">
        <f t="shared" si="1026"/>
        <v>-371.95272825731865</v>
      </c>
      <c r="CZ113" s="21">
        <f t="shared" si="1026"/>
        <v>-331.1559431007812</v>
      </c>
      <c r="DA113" s="21">
        <f t="shared" si="1026"/>
        <v>-353.52771107534909</v>
      </c>
      <c r="DB113" s="21">
        <f t="shared" si="1026"/>
        <v>-385.41646264408161</v>
      </c>
      <c r="DE113" s="22"/>
      <c r="DF113" s="162">
        <v>3.9174278347150686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>
        <f t="shared" si="1034"/>
        <v>0.70763084687760913</v>
      </c>
      <c r="BA114" s="162">
        <f t="shared" si="1034"/>
        <v>0.6361012419815445</v>
      </c>
      <c r="BB114" s="162">
        <f t="shared" si="1034"/>
        <v>0.38161589636954157</v>
      </c>
      <c r="BC114" s="162">
        <f t="shared" si="1034"/>
        <v>0.31679762201712813</v>
      </c>
      <c r="BD114" s="162">
        <f t="shared" si="1034"/>
        <v>0.20901035417282696</v>
      </c>
      <c r="BE114" s="162">
        <f t="shared" si="1034"/>
        <v>-5.9595332449870986</v>
      </c>
      <c r="BF114" s="162">
        <f t="shared" si="1034"/>
        <v>-8.2376597077658165</v>
      </c>
      <c r="BG114" s="162">
        <f t="shared" si="1034"/>
        <v>-8.8814396516104868</v>
      </c>
      <c r="BH114" s="162">
        <f t="shared" si="1034"/>
        <v>-7.3967929560251333</v>
      </c>
      <c r="BI114" s="162">
        <f t="shared" si="1034"/>
        <v>-6.9441183858993734</v>
      </c>
      <c r="BJ114" s="162">
        <f t="shared" si="1034"/>
        <v>-4.8272652657446073</v>
      </c>
      <c r="BK114" s="162">
        <f t="shared" si="1034"/>
        <v>-4.9960098851474832</v>
      </c>
      <c r="BL114" s="162">
        <f t="shared" si="1034"/>
        <v>-7.4871623700914309</v>
      </c>
      <c r="BM114" s="162">
        <f t="shared" si="1034"/>
        <v>-7.6008065848999324</v>
      </c>
      <c r="BN114" s="162">
        <f t="shared" si="1034"/>
        <v>79.008219767388169</v>
      </c>
      <c r="BO114" s="162">
        <f t="shared" si="1034"/>
        <v>-13.361336170829222</v>
      </c>
      <c r="BP114" s="162">
        <f t="shared" si="1034"/>
        <v>-7.6724533593560986</v>
      </c>
      <c r="BQ114" s="162">
        <f t="shared" si="1034"/>
        <v>-3.939308390130325</v>
      </c>
      <c r="BR114" s="162">
        <f t="shared" si="1034"/>
        <v>-2.697355386062831</v>
      </c>
      <c r="BS114" s="162">
        <f t="shared" si="1034"/>
        <v>-2.8366128995505702</v>
      </c>
      <c r="BT114" s="162">
        <f t="shared" si="1034"/>
        <v>-2.8087994721449623</v>
      </c>
      <c r="BU114" s="162">
        <f t="shared" si="1034"/>
        <v>-4.4057863226037997</v>
      </c>
      <c r="BV114" s="162">
        <f t="shared" si="1034"/>
        <v>-4.118084162503207</v>
      </c>
      <c r="BW114" s="162">
        <f t="shared" si="1034"/>
        <v>-10.192704241410611</v>
      </c>
      <c r="BX114" s="162">
        <f t="shared" si="1034"/>
        <v>-10.558385572216043</v>
      </c>
      <c r="BY114" s="162">
        <f t="shared" si="1034"/>
        <v>-7.5969804755729617</v>
      </c>
      <c r="BZ114" s="162">
        <f t="shared" si="1034"/>
        <v>-7.2747941311189903</v>
      </c>
      <c r="CA114" s="162">
        <f t="shared" si="1034"/>
        <v>-3.0459011874963533</v>
      </c>
      <c r="CB114" s="162">
        <f t="shared" si="1034"/>
        <v>-3.8204993976153365</v>
      </c>
      <c r="CC114" s="162">
        <f t="shared" si="1034"/>
        <v>-3.007508083086174</v>
      </c>
      <c r="CD114" s="162">
        <f t="shared" si="1034"/>
        <v>-2.6011359947012385</v>
      </c>
      <c r="CE114" s="162">
        <f t="shared" ref="CE114:CF114" si="1035">+CE111/CE112</f>
        <v>-2.2865820516321533</v>
      </c>
      <c r="CF114" s="162">
        <f t="shared" si="1035"/>
        <v>-2.1448331668063476</v>
      </c>
      <c r="CG114" s="162">
        <f t="shared" ref="CG114:CH114" si="1036">+CG111/CG112</f>
        <v>-3.0498462615920956</v>
      </c>
      <c r="CH114" s="162">
        <f t="shared" si="1036"/>
        <v>-4.3142365473597541</v>
      </c>
      <c r="CI114" s="162">
        <f t="shared" ref="CI114:CJ114" si="1037">+CI111/CI112</f>
        <v>-4.2118110611251822</v>
      </c>
      <c r="CJ114" s="162">
        <f t="shared" si="1037"/>
        <v>-14.511030685457394</v>
      </c>
      <c r="CK114" s="162">
        <f t="shared" ref="CK114:CL114" si="1038">+CK111/CK112</f>
        <v>-3.8646345697242506</v>
      </c>
      <c r="CL114" s="162">
        <f t="shared" si="1038"/>
        <v>-15.041524152234356</v>
      </c>
      <c r="CM114" s="21">
        <f t="shared" ref="CM114:DB114" si="1039">+CM111/CM112</f>
        <v>-34.985085496219725</v>
      </c>
      <c r="CN114" s="21">
        <f t="shared" si="1039"/>
        <v>355.67786078108304</v>
      </c>
      <c r="CO114" s="21">
        <f t="shared" si="1039"/>
        <v>16.537318178836845</v>
      </c>
      <c r="CP114" s="21">
        <f t="shared" si="1039"/>
        <v>-364.31919399605624</v>
      </c>
      <c r="CQ114" s="21">
        <f t="shared" si="1039"/>
        <v>-196.74703986169158</v>
      </c>
      <c r="CR114" s="21">
        <f t="shared" si="1039"/>
        <v>-197.42698226520238</v>
      </c>
      <c r="CS114" s="21">
        <f t="shared" si="1039"/>
        <v>-207.60067490946042</v>
      </c>
      <c r="CT114" s="21">
        <f t="shared" si="1039"/>
        <v>-344.92518225913</v>
      </c>
      <c r="CU114" s="21">
        <f t="shared" si="1039"/>
        <v>-294.66451444941185</v>
      </c>
      <c r="CV114" s="21">
        <f t="shared" si="1039"/>
        <v>-264.22132577888402</v>
      </c>
      <c r="CW114" s="21">
        <f t="shared" si="1039"/>
        <v>-286.2773713386884</v>
      </c>
      <c r="CX114" s="21">
        <f t="shared" si="1039"/>
        <v>-325.01825005022931</v>
      </c>
      <c r="CY114" s="21">
        <f t="shared" si="1039"/>
        <v>-308.17307241240059</v>
      </c>
      <c r="CZ114" s="21">
        <f t="shared" si="1039"/>
        <v>-276.38171662740717</v>
      </c>
      <c r="DA114" s="21">
        <f t="shared" si="1039"/>
        <v>-295.52803630649015</v>
      </c>
      <c r="DB114" s="21">
        <f t="shared" si="1039"/>
        <v>-320.81043533712858</v>
      </c>
      <c r="DE114" s="22"/>
      <c r="DF114" s="162">
        <v>4.715853611553988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1000</v>
      </c>
      <c r="K117" s="23">
        <f>'Annual Raw'!L41</f>
        <v>1000</v>
      </c>
      <c r="L117" s="23">
        <f>'Annual Raw'!M41</f>
        <v>1000</v>
      </c>
      <c r="M117" s="23">
        <f>'Annual Raw'!N41</f>
        <v>1000</v>
      </c>
      <c r="N117" s="23">
        <f>'Annual Raw'!O41</f>
        <v>1000</v>
      </c>
      <c r="O117" s="23">
        <f>'Annual Raw'!P41</f>
        <v>1000</v>
      </c>
      <c r="P117" s="23">
        <f>'Annual Raw'!Q41</f>
        <v>1000</v>
      </c>
      <c r="Q117" s="23">
        <f>'Annual Raw'!R41</f>
        <v>1000</v>
      </c>
      <c r="R117" s="23">
        <f>'Annual Raw'!S41</f>
        <v>1000</v>
      </c>
      <c r="S117" s="23">
        <f>'Annual Raw'!T41</f>
        <v>1000</v>
      </c>
      <c r="T117" s="23">
        <f>'Annual Raw'!U41</f>
        <v>1000</v>
      </c>
      <c r="U117" s="23">
        <f>'Annual Raw'!V41</f>
        <v>1000.0263</v>
      </c>
      <c r="V117" s="23">
        <f>'Annual Raw'!W41</f>
        <v>1000.0709000000001</v>
      </c>
      <c r="W117" s="23">
        <f>'Annual Raw'!X41</f>
        <v>1000.3706</v>
      </c>
      <c r="X117" s="23">
        <f>'Annual Raw'!Y41</f>
        <v>1000.8948</v>
      </c>
      <c r="Y117" s="23">
        <f>'Annual Raw'!Z41</f>
        <v>1001.47</v>
      </c>
      <c r="Z117" s="23">
        <f>'Annual Raw'!AA41</f>
        <v>1002.14</v>
      </c>
      <c r="AA117" s="23">
        <f>'Annual Raw'!AB41</f>
        <v>1003.09</v>
      </c>
      <c r="AB117" s="24">
        <f>+CP117</f>
        <v>1003.09</v>
      </c>
      <c r="AC117" s="24">
        <f>+CT117</f>
        <v>1003.09</v>
      </c>
      <c r="AD117" s="24">
        <f>+CX117</f>
        <v>1003.09</v>
      </c>
      <c r="AE117" s="24">
        <f>+DB117</f>
        <v>1003.09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1000</v>
      </c>
      <c r="BA117" s="23">
        <f t="shared" si="1040"/>
        <v>1000</v>
      </c>
      <c r="BB117" s="23">
        <f>+'QTR Raw'!V56</f>
        <v>1000</v>
      </c>
      <c r="BC117" s="23">
        <f t="shared" si="1040"/>
        <v>1000</v>
      </c>
      <c r="BD117" s="23">
        <f>+'QTR Raw'!X56</f>
        <v>1000</v>
      </c>
      <c r="BE117" s="23">
        <f t="shared" si="1040"/>
        <v>1000</v>
      </c>
      <c r="BF117" s="23">
        <f>+'QTR Raw'!Z56</f>
        <v>1000</v>
      </c>
      <c r="BG117" s="23">
        <f t="shared" si="1040"/>
        <v>1000</v>
      </c>
      <c r="BH117" s="23">
        <f>+'QTR Raw'!AB56</f>
        <v>1000</v>
      </c>
      <c r="BI117" s="23">
        <f t="shared" si="1040"/>
        <v>1000</v>
      </c>
      <c r="BJ117" s="23">
        <f>+'QTR Raw'!AD56</f>
        <v>1000</v>
      </c>
      <c r="BK117" s="23">
        <f t="shared" si="1040"/>
        <v>1000</v>
      </c>
      <c r="BL117" s="23">
        <f>+'QTR Raw'!AF56</f>
        <v>1000</v>
      </c>
      <c r="BM117" s="23">
        <f t="shared" si="1040"/>
        <v>1000</v>
      </c>
      <c r="BN117" s="23">
        <f>+'QTR Raw'!AH56</f>
        <v>1000.03</v>
      </c>
      <c r="BO117" s="23">
        <f t="shared" si="1040"/>
        <v>1000.03</v>
      </c>
      <c r="BP117" s="23">
        <f>+'QTR Raw'!AJ56</f>
        <v>1000.05</v>
      </c>
      <c r="BQ117" s="23">
        <f t="shared" si="1040"/>
        <v>1000.05</v>
      </c>
      <c r="BR117" s="23">
        <f>+'QTR Raw'!AL56</f>
        <v>1000.07</v>
      </c>
      <c r="BS117" s="23">
        <f t="shared" si="1040"/>
        <v>1000.07</v>
      </c>
      <c r="BT117" s="23">
        <f>+'QTR Raw'!AN56</f>
        <v>1000.21</v>
      </c>
      <c r="BU117" s="23">
        <f t="shared" si="1040"/>
        <v>1000.21</v>
      </c>
      <c r="BV117" s="23">
        <f>+'QTR Raw'!AP56</f>
        <v>1000.37</v>
      </c>
      <c r="BW117" s="23">
        <f t="shared" si="1040"/>
        <v>1000.37</v>
      </c>
      <c r="BX117" s="23">
        <f>+'QTR Raw'!AR56</f>
        <v>1000.71</v>
      </c>
      <c r="BY117" s="23">
        <f t="shared" si="1040"/>
        <v>1000.71</v>
      </c>
      <c r="BZ117" s="23">
        <f>+'QTR Raw'!AT56</f>
        <v>1000.89</v>
      </c>
      <c r="CA117" s="23">
        <f t="shared" si="1040"/>
        <v>1000.89</v>
      </c>
      <c r="CB117" s="23">
        <f>+'QTR Raw'!AV56</f>
        <v>1001.09</v>
      </c>
      <c r="CC117" s="23">
        <f t="shared" si="1040"/>
        <v>1001.09</v>
      </c>
      <c r="CD117" s="23">
        <f>+'QTR Raw'!AX56</f>
        <v>1001.47</v>
      </c>
      <c r="CE117" s="23">
        <f t="shared" si="1040"/>
        <v>1001.47</v>
      </c>
      <c r="CF117" s="23">
        <f>+'QTR Raw'!AZ56</f>
        <v>1001.92</v>
      </c>
      <c r="CG117" s="23">
        <f t="shared" ref="CG117:CG118" si="1041">+CF117</f>
        <v>1001.92</v>
      </c>
      <c r="CH117" s="23">
        <f>Z117</f>
        <v>1002.14</v>
      </c>
      <c r="CI117" s="23">
        <f>CH117</f>
        <v>1002.14</v>
      </c>
      <c r="CJ117" s="23">
        <f>+'QTR Raw'!BD56</f>
        <v>1002.57</v>
      </c>
      <c r="CK117" s="24">
        <f t="shared" ref="CK117:DB117" si="1042">CJ117</f>
        <v>1002.57</v>
      </c>
      <c r="CL117" s="23">
        <f>+'QTR Raw'!BF56</f>
        <v>1003.09</v>
      </c>
      <c r="CM117" s="24">
        <f t="shared" si="1042"/>
        <v>1003.09</v>
      </c>
      <c r="CN117" s="24">
        <f t="shared" si="1042"/>
        <v>1003.09</v>
      </c>
      <c r="CO117" s="24">
        <f t="shared" si="1042"/>
        <v>1003.09</v>
      </c>
      <c r="CP117" s="24">
        <f t="shared" si="1042"/>
        <v>1003.09</v>
      </c>
      <c r="CQ117" s="24">
        <f t="shared" si="1042"/>
        <v>1003.09</v>
      </c>
      <c r="CR117" s="24">
        <f t="shared" si="1042"/>
        <v>1003.09</v>
      </c>
      <c r="CS117" s="24">
        <f t="shared" si="1042"/>
        <v>1003.09</v>
      </c>
      <c r="CT117" s="24">
        <f t="shared" si="1042"/>
        <v>1003.09</v>
      </c>
      <c r="CU117" s="24">
        <f t="shared" si="1042"/>
        <v>1003.09</v>
      </c>
      <c r="CV117" s="24">
        <f t="shared" si="1042"/>
        <v>1003.09</v>
      </c>
      <c r="CW117" s="24">
        <f t="shared" si="1042"/>
        <v>1003.09</v>
      </c>
      <c r="CX117" s="24">
        <f t="shared" si="1042"/>
        <v>1003.09</v>
      </c>
      <c r="CY117" s="24">
        <f t="shared" si="1042"/>
        <v>1003.09</v>
      </c>
      <c r="CZ117" s="24">
        <f t="shared" si="1042"/>
        <v>1003.09</v>
      </c>
      <c r="DA117" s="24">
        <f t="shared" si="1042"/>
        <v>1003.09</v>
      </c>
      <c r="DB117" s="24">
        <f t="shared" si="1042"/>
        <v>1003.09</v>
      </c>
      <c r="DE117" s="123"/>
      <c r="DF117" s="23">
        <v>1002.57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0.11260000000000001</v>
      </c>
      <c r="V118" s="23">
        <f>'Annual Raw'!W42</f>
        <v>0.4234</v>
      </c>
      <c r="W118" s="23">
        <f>'Annual Raw'!X42</f>
        <v>1.1992</v>
      </c>
      <c r="X118" s="23">
        <f>'Annual Raw'!Y42</f>
        <v>1.6964999999999999</v>
      </c>
      <c r="Y118" s="23">
        <f>'Annual Raw'!Z42</f>
        <v>2.23</v>
      </c>
      <c r="Z118" s="23">
        <f>'Annual Raw'!AA42</f>
        <v>4.57</v>
      </c>
      <c r="AA118" s="23">
        <f>'Annual Raw'!AB42</f>
        <v>6.6</v>
      </c>
      <c r="AB118" s="24">
        <f t="shared" ref="AB118:AB119" si="1043">+CP118</f>
        <v>0.61</v>
      </c>
      <c r="AC118" s="24">
        <f t="shared" ref="AC118:AC119" si="1044">+CT118</f>
        <v>0.61</v>
      </c>
      <c r="AD118" s="24">
        <f t="shared" ref="AD118:AD119" si="1045">+CX118</f>
        <v>0.61</v>
      </c>
      <c r="AE118" s="24">
        <f t="shared" ref="AE118:AE119" si="1046">+DB118</f>
        <v>0.61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0.15</v>
      </c>
      <c r="CE118" s="23">
        <f t="shared" si="1047"/>
        <v>0.15</v>
      </c>
      <c r="CF118" s="23">
        <f>+'QTR Raw'!AZ57</f>
        <v>0.11</v>
      </c>
      <c r="CG118" s="23">
        <f t="shared" si="1041"/>
        <v>0.11</v>
      </c>
      <c r="CH118" s="23">
        <f t="shared" ref="CH118:CH119" si="1048">Z118</f>
        <v>4.57</v>
      </c>
      <c r="CI118" s="23">
        <f>CH118</f>
        <v>4.57</v>
      </c>
      <c r="CJ118" s="23">
        <f>+'QTR Raw'!BD57</f>
        <v>0.05</v>
      </c>
      <c r="CK118" s="24">
        <f t="shared" ref="CK118:DB118" si="1049">CJ118</f>
        <v>0.05</v>
      </c>
      <c r="CL118" s="23">
        <f>+'QTR Raw'!BF57</f>
        <v>0.61</v>
      </c>
      <c r="CM118" s="24">
        <f t="shared" si="1049"/>
        <v>0.61</v>
      </c>
      <c r="CN118" s="24">
        <f t="shared" si="1049"/>
        <v>0.61</v>
      </c>
      <c r="CO118" s="24">
        <f t="shared" si="1049"/>
        <v>0.61</v>
      </c>
      <c r="CP118" s="24">
        <f t="shared" si="1049"/>
        <v>0.61</v>
      </c>
      <c r="CQ118" s="24">
        <f t="shared" si="1049"/>
        <v>0.61</v>
      </c>
      <c r="CR118" s="24">
        <f t="shared" si="1049"/>
        <v>0.61</v>
      </c>
      <c r="CS118" s="24">
        <f t="shared" si="1049"/>
        <v>0.61</v>
      </c>
      <c r="CT118" s="24">
        <f t="shared" si="1049"/>
        <v>0.61</v>
      </c>
      <c r="CU118" s="24">
        <f t="shared" si="1049"/>
        <v>0.61</v>
      </c>
      <c r="CV118" s="24">
        <f t="shared" si="1049"/>
        <v>0.61</v>
      </c>
      <c r="CW118" s="24">
        <f t="shared" si="1049"/>
        <v>0.61</v>
      </c>
      <c r="CX118" s="24">
        <f t="shared" si="1049"/>
        <v>0.61</v>
      </c>
      <c r="CY118" s="24">
        <f t="shared" si="1049"/>
        <v>0.61</v>
      </c>
      <c r="CZ118" s="24">
        <f t="shared" si="1049"/>
        <v>0.61</v>
      </c>
      <c r="DA118" s="24">
        <f t="shared" si="1049"/>
        <v>0.61</v>
      </c>
      <c r="DB118" s="24">
        <f t="shared" si="1049"/>
        <v>0.61</v>
      </c>
      <c r="DE118" s="123"/>
      <c r="DF118" s="23">
        <v>0.05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-21.583300000000001</v>
      </c>
      <c r="K119" s="23">
        <f>'Annual Raw'!L43</f>
        <v>254.87430000000001</v>
      </c>
      <c r="L119" s="23">
        <f>'Annual Raw'!M43</f>
        <v>621.2183</v>
      </c>
      <c r="M119" s="23">
        <f>'Annual Raw'!N43</f>
        <v>1118.9296999999999</v>
      </c>
      <c r="N119" s="23">
        <f>'Annual Raw'!O43</f>
        <v>1682.9881</v>
      </c>
      <c r="O119" s="23">
        <f>'Annual Raw'!P43</f>
        <v>2306.1273999999999</v>
      </c>
      <c r="P119" s="23">
        <f>'Annual Raw'!Q43</f>
        <v>2974.0598</v>
      </c>
      <c r="Q119" s="23">
        <f>'Annual Raw'!R43</f>
        <v>3690.6646999999998</v>
      </c>
      <c r="R119" s="23">
        <f>'Annual Raw'!S43</f>
        <v>4464.7809999999999</v>
      </c>
      <c r="S119" s="23">
        <f>'Annual Raw'!T43</f>
        <v>5374.4579999999996</v>
      </c>
      <c r="T119" s="23">
        <f>'Annual Raw'!U43</f>
        <v>6460.1437999999998</v>
      </c>
      <c r="U119" s="23">
        <f>'Annual Raw'!V43</f>
        <v>7883.7794999999996</v>
      </c>
      <c r="V119" s="23">
        <f>'Annual Raw'!W43</f>
        <v>9092.2183999999997</v>
      </c>
      <c r="W119" s="23">
        <f>'Annual Raw'!X43</f>
        <v>10416.875400000001</v>
      </c>
      <c r="X119" s="23">
        <f>'Annual Raw'!Y43</f>
        <v>11921.9612</v>
      </c>
      <c r="Y119" s="23">
        <f>'Annual Raw'!Z43</f>
        <v>13587.94</v>
      </c>
      <c r="Z119" s="23">
        <f>'Annual Raw'!AA43</f>
        <v>15786.23</v>
      </c>
      <c r="AA119" s="23">
        <f>'Annual Raw'!AB43</f>
        <v>18077.060000000001</v>
      </c>
      <c r="AB119" s="24">
        <f t="shared" si="1043"/>
        <v>-3109.2818354081392</v>
      </c>
      <c r="AC119" s="24">
        <f t="shared" si="1044"/>
        <v>-46039.247061273221</v>
      </c>
      <c r="AD119" s="24">
        <f t="shared" si="1045"/>
        <v>-97742.362670896517</v>
      </c>
      <c r="AE119" s="24">
        <f t="shared" si="1046"/>
        <v>-159040.87678487232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4171.33</v>
      </c>
      <c r="BA119" s="23">
        <f>+AZ119+BA48</f>
        <v>4361.76</v>
      </c>
      <c r="BB119" s="23">
        <f>+'QTR Raw'!V58</f>
        <v>4552.08</v>
      </c>
      <c r="BC119" s="23">
        <f>+BB119+BC48</f>
        <v>4865.53</v>
      </c>
      <c r="BD119" s="23">
        <f>+'QTR Raw'!X58</f>
        <v>5182.32</v>
      </c>
      <c r="BE119" s="23">
        <f>+BD119+BE48</f>
        <v>5412.5999999999995</v>
      </c>
      <c r="BF119" s="23">
        <f>+'QTR Raw'!Z58</f>
        <v>5527.82</v>
      </c>
      <c r="BG119" s="23">
        <f>+BF119+BG48</f>
        <v>5882.1399999999994</v>
      </c>
      <c r="BH119" s="23">
        <f>+'QTR Raw'!AB58</f>
        <v>6090.5</v>
      </c>
      <c r="BI119" s="23">
        <f>+BH119+BI48</f>
        <v>6354.7799999999988</v>
      </c>
      <c r="BJ119" s="23">
        <f>+'QTR Raw'!AD58</f>
        <v>6576.35</v>
      </c>
      <c r="BK119" s="23">
        <f>+BJ119+BK48</f>
        <v>6948.2499999999991</v>
      </c>
      <c r="BL119" s="23">
        <f>+'QTR Raw'!AF58</f>
        <v>7071.46</v>
      </c>
      <c r="BM119" s="23">
        <f>+BL119+BM48</f>
        <v>7461.2300000000023</v>
      </c>
      <c r="BN119" s="23">
        <f>+'QTR Raw'!AH58</f>
        <v>7743.05</v>
      </c>
      <c r="BO119" s="23">
        <f>+BN119+BO48</f>
        <v>8133.9400000000005</v>
      </c>
      <c r="BP119" s="23">
        <f>+'QTR Raw'!AJ58</f>
        <v>8663.49</v>
      </c>
      <c r="BQ119" s="23">
        <f>+BP119+BQ48</f>
        <v>8896.3399999999965</v>
      </c>
      <c r="BR119" s="23">
        <f>+'QTR Raw'!AL58</f>
        <v>9400.36</v>
      </c>
      <c r="BS119" s="23">
        <f>+BR119+BS48</f>
        <v>9623.5199999999986</v>
      </c>
      <c r="BT119" s="23">
        <f>+'QTR Raw'!AN58</f>
        <v>9906.6299999999992</v>
      </c>
      <c r="BU119" s="23">
        <f>+BT119+BU48</f>
        <v>10270.689999999999</v>
      </c>
      <c r="BV119" s="23">
        <f>+'QTR Raw'!AP58</f>
        <v>10621.94</v>
      </c>
      <c r="BW119" s="23">
        <f>+BV119+BW48</f>
        <v>10884.790000000003</v>
      </c>
      <c r="BX119" s="23">
        <f>+'QTR Raw'!AR58</f>
        <v>11215.34</v>
      </c>
      <c r="BY119" s="23">
        <f>+BX119+BY48</f>
        <v>11519.470000000003</v>
      </c>
      <c r="BZ119" s="23">
        <f>+'QTR Raw'!AT58</f>
        <v>12016.59</v>
      </c>
      <c r="CA119" s="23">
        <f>+BZ119+CA48</f>
        <v>12397.63</v>
      </c>
      <c r="CB119" s="23">
        <f>+'QTR Raw'!AV58</f>
        <v>12967.83</v>
      </c>
      <c r="CC119" s="23">
        <f>+CB119+CC48</f>
        <v>13289.580000000004</v>
      </c>
      <c r="CD119" s="23">
        <f>+'QTR Raw'!AX58</f>
        <v>13906.94</v>
      </c>
      <c r="CE119" s="23">
        <f>+CD119+CE48</f>
        <v>14426.459999999995</v>
      </c>
      <c r="CF119" s="23">
        <f>+'QTR Raw'!AZ58</f>
        <v>15257.11</v>
      </c>
      <c r="CG119" s="23">
        <f>+CF119+CG48</f>
        <v>15807.93</v>
      </c>
      <c r="CH119" s="23">
        <f t="shared" si="1048"/>
        <v>15786.23</v>
      </c>
      <c r="CI119" s="23">
        <f>CH119+CI48</f>
        <v>16380.6</v>
      </c>
      <c r="CJ119" s="23">
        <f>+'QTR Raw'!BD58</f>
        <v>17293.830000000002</v>
      </c>
      <c r="CK119" s="24">
        <f t="shared" ref="CK119:DB119" si="1050">CJ119+CK48</f>
        <v>17870.570000000007</v>
      </c>
      <c r="CL119" s="23">
        <f>+'QTR Raw'!BF58</f>
        <v>18082.3</v>
      </c>
      <c r="CM119" s="24">
        <f t="shared" si="1050"/>
        <v>12814.356818640455</v>
      </c>
      <c r="CN119" s="24">
        <f t="shared" si="1050"/>
        <v>39511.829068987907</v>
      </c>
      <c r="CO119" s="24">
        <f t="shared" si="1050"/>
        <v>23133.932833303123</v>
      </c>
      <c r="CP119" s="24">
        <f t="shared" si="1050"/>
        <v>-3109.2818354081392</v>
      </c>
      <c r="CQ119" s="24">
        <f t="shared" si="1050"/>
        <v>-11944.894112946366</v>
      </c>
      <c r="CR119" s="24">
        <f t="shared" si="1050"/>
        <v>13544.099895040052</v>
      </c>
      <c r="CS119" s="24">
        <f t="shared" si="1050"/>
        <v>-8833.3705061043129</v>
      </c>
      <c r="CT119" s="24">
        <f t="shared" si="1050"/>
        <v>-46039.247061273221</v>
      </c>
      <c r="CU119" s="24">
        <f t="shared" si="1050"/>
        <v>-55445.726544890516</v>
      </c>
      <c r="CV119" s="24">
        <f t="shared" si="1050"/>
        <v>-25762.989199863612</v>
      </c>
      <c r="CW119" s="24">
        <f t="shared" si="1050"/>
        <v>-52895.692839580115</v>
      </c>
      <c r="CX119" s="24">
        <f t="shared" si="1050"/>
        <v>-97742.362670896517</v>
      </c>
      <c r="CY119" s="24">
        <f t="shared" si="1050"/>
        <v>-108540.11934279787</v>
      </c>
      <c r="CZ119" s="24">
        <f t="shared" si="1050"/>
        <v>-73364.32007240635</v>
      </c>
      <c r="DA119" s="24">
        <f t="shared" si="1050"/>
        <v>-105710.60924931362</v>
      </c>
      <c r="DB119" s="24">
        <f t="shared" si="1050"/>
        <v>-159040.87678487232</v>
      </c>
      <c r="DE119" s="123"/>
      <c r="DF119" s="23">
        <v>388997.91231358843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978.41669999999999</v>
      </c>
      <c r="K120" s="22">
        <f t="shared" si="1051"/>
        <v>1254.8742999999999</v>
      </c>
      <c r="L120" s="22">
        <f t="shared" si="1051"/>
        <v>1621.2183</v>
      </c>
      <c r="M120" s="22">
        <f>M117+M118+M119</f>
        <v>2118.9296999999997</v>
      </c>
      <c r="N120" s="22">
        <f t="shared" si="1051"/>
        <v>2682.9881</v>
      </c>
      <c r="O120" s="22">
        <f t="shared" si="1051"/>
        <v>3306.1273999999999</v>
      </c>
      <c r="P120" s="22">
        <f t="shared" si="1051"/>
        <v>3974.0598</v>
      </c>
      <c r="Q120" s="22">
        <f t="shared" si="1051"/>
        <v>4690.6646999999994</v>
      </c>
      <c r="R120" s="22">
        <f t="shared" si="1051"/>
        <v>5464.7809999999999</v>
      </c>
      <c r="S120" s="22">
        <f t="shared" si="1051"/>
        <v>6374.4579999999996</v>
      </c>
      <c r="T120" s="22">
        <f t="shared" si="1051"/>
        <v>7460.1437999999998</v>
      </c>
      <c r="U120" s="22">
        <f t="shared" si="1051"/>
        <v>8883.9184000000005</v>
      </c>
      <c r="V120" s="22">
        <f t="shared" si="1051"/>
        <v>10092.7127</v>
      </c>
      <c r="W120" s="22">
        <f t="shared" ref="W120" si="1052">W117+W118+W119</f>
        <v>11418.4452</v>
      </c>
      <c r="X120" s="22">
        <f t="shared" ref="X120:Y120" si="1053">X117+X118+X119</f>
        <v>12924.5525</v>
      </c>
      <c r="Y120" s="22">
        <f t="shared" si="1053"/>
        <v>14591.640000000001</v>
      </c>
      <c r="Z120" s="22">
        <f t="shared" ref="Z120:AA120" si="1054">Z117+Z118+Z119</f>
        <v>16792.939999999999</v>
      </c>
      <c r="AA120" s="22">
        <f t="shared" si="1054"/>
        <v>19086.75</v>
      </c>
      <c r="AB120" s="21">
        <f t="shared" ref="AA120:AD120" si="1055">AB117+AB118+AB119</f>
        <v>-2105.5818354081393</v>
      </c>
      <c r="AC120" s="21">
        <f t="shared" si="1055"/>
        <v>-45035.547061273224</v>
      </c>
      <c r="AD120" s="21">
        <f t="shared" si="1055"/>
        <v>-96738.66267089652</v>
      </c>
      <c r="AE120" s="21">
        <f t="shared" ref="AE120" si="1056">AE117+AE118+AE119</f>
        <v>-158037.17678487231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5171.33</v>
      </c>
      <c r="BA120" s="22">
        <f t="shared" si="1061"/>
        <v>5361.76</v>
      </c>
      <c r="BB120" s="22">
        <f t="shared" si="1061"/>
        <v>5552.08</v>
      </c>
      <c r="BC120" s="22">
        <f t="shared" si="1061"/>
        <v>5865.53</v>
      </c>
      <c r="BD120" s="22">
        <f t="shared" si="1061"/>
        <v>6182.32</v>
      </c>
      <c r="BE120" s="22">
        <f t="shared" si="1061"/>
        <v>6412.5999999999995</v>
      </c>
      <c r="BF120" s="22">
        <f t="shared" si="1061"/>
        <v>6527.82</v>
      </c>
      <c r="BG120" s="22">
        <f t="shared" si="1061"/>
        <v>6882.1399999999994</v>
      </c>
      <c r="BH120" s="22">
        <f t="shared" si="1061"/>
        <v>7090.5</v>
      </c>
      <c r="BI120" s="22">
        <f t="shared" si="1061"/>
        <v>7354.7799999999988</v>
      </c>
      <c r="BJ120" s="22">
        <f t="shared" si="1061"/>
        <v>7576.35</v>
      </c>
      <c r="BK120" s="22">
        <f t="shared" si="1061"/>
        <v>7948.2499999999991</v>
      </c>
      <c r="BL120" s="22">
        <f t="shared" si="1061"/>
        <v>8071.46</v>
      </c>
      <c r="BM120" s="22">
        <f t="shared" si="1061"/>
        <v>8461.2300000000032</v>
      </c>
      <c r="BN120" s="22">
        <f t="shared" si="1061"/>
        <v>8743.08</v>
      </c>
      <c r="BO120" s="22">
        <f t="shared" si="1061"/>
        <v>9133.9700000000012</v>
      </c>
      <c r="BP120" s="22">
        <f t="shared" si="1061"/>
        <v>9663.5399999999991</v>
      </c>
      <c r="BQ120" s="22">
        <f t="shared" si="1061"/>
        <v>9896.3899999999958</v>
      </c>
      <c r="BR120" s="22">
        <f t="shared" si="1061"/>
        <v>10400.43</v>
      </c>
      <c r="BS120" s="22">
        <f t="shared" si="1061"/>
        <v>10623.589999999998</v>
      </c>
      <c r="BT120" s="22">
        <f t="shared" si="1061"/>
        <v>10906.84</v>
      </c>
      <c r="BU120" s="22">
        <f t="shared" si="1061"/>
        <v>11270.899999999998</v>
      </c>
      <c r="BV120" s="22">
        <f t="shared" si="1061"/>
        <v>11622.310000000001</v>
      </c>
      <c r="BW120" s="22">
        <f t="shared" si="1061"/>
        <v>11885.160000000003</v>
      </c>
      <c r="BX120" s="22">
        <f t="shared" si="1061"/>
        <v>12216.05</v>
      </c>
      <c r="BY120" s="22">
        <f t="shared" si="1061"/>
        <v>12520.180000000004</v>
      </c>
      <c r="BZ120" s="22">
        <f t="shared" si="1061"/>
        <v>13017.48</v>
      </c>
      <c r="CA120" s="22">
        <f t="shared" si="1061"/>
        <v>13398.519999999999</v>
      </c>
      <c r="CB120" s="22">
        <f t="shared" si="1061"/>
        <v>13968.92</v>
      </c>
      <c r="CC120" s="22">
        <f t="shared" si="1061"/>
        <v>14290.670000000004</v>
      </c>
      <c r="CD120" s="22">
        <f t="shared" si="1061"/>
        <v>14908.560000000001</v>
      </c>
      <c r="CE120" s="22">
        <f t="shared" si="1061"/>
        <v>15428.079999999996</v>
      </c>
      <c r="CF120" s="22">
        <f t="shared" ref="CF120:CG120" si="1062">CF117+CF118+CF119</f>
        <v>16259.140000000001</v>
      </c>
      <c r="CG120" s="22">
        <f t="shared" si="1062"/>
        <v>16809.96</v>
      </c>
      <c r="CH120" s="22">
        <f t="shared" ref="CH120:CI120" si="1063">CH117+CH118+CH119</f>
        <v>16792.939999999999</v>
      </c>
      <c r="CI120" s="22">
        <f t="shared" si="1063"/>
        <v>17387.310000000001</v>
      </c>
      <c r="CJ120" s="22">
        <f t="shared" ref="CJ120:DB120" si="1064">CJ117+CJ118+CJ119</f>
        <v>18296.45</v>
      </c>
      <c r="CK120" s="21">
        <f t="shared" si="1064"/>
        <v>18873.190000000006</v>
      </c>
      <c r="CL120" s="22">
        <f t="shared" ref="CL120" si="1065">CL117+CL118+CL119</f>
        <v>19086</v>
      </c>
      <c r="CM120" s="21">
        <f t="shared" si="1064"/>
        <v>13818.056818640456</v>
      </c>
      <c r="CN120" s="21">
        <f t="shared" si="1064"/>
        <v>40515.529068987904</v>
      </c>
      <c r="CO120" s="21">
        <f t="shared" si="1064"/>
        <v>24137.632833303123</v>
      </c>
      <c r="CP120" s="21">
        <f t="shared" si="1064"/>
        <v>-2105.5818354081393</v>
      </c>
      <c r="CQ120" s="21">
        <f t="shared" si="1064"/>
        <v>-10941.194112946365</v>
      </c>
      <c r="CR120" s="21">
        <f t="shared" si="1064"/>
        <v>14547.799895040052</v>
      </c>
      <c r="CS120" s="21">
        <f t="shared" si="1064"/>
        <v>-7829.6705061043131</v>
      </c>
      <c r="CT120" s="21">
        <f t="shared" si="1064"/>
        <v>-45035.547061273224</v>
      </c>
      <c r="CU120" s="21">
        <f t="shared" si="1064"/>
        <v>-54442.026544890519</v>
      </c>
      <c r="CV120" s="21">
        <f t="shared" si="1064"/>
        <v>-24759.289199863611</v>
      </c>
      <c r="CW120" s="21">
        <f t="shared" si="1064"/>
        <v>-51891.992839580118</v>
      </c>
      <c r="CX120" s="21">
        <f t="shared" si="1064"/>
        <v>-96738.66267089652</v>
      </c>
      <c r="CY120" s="21">
        <f t="shared" si="1064"/>
        <v>-107536.41934279788</v>
      </c>
      <c r="CZ120" s="21">
        <f t="shared" si="1064"/>
        <v>-72360.620072406353</v>
      </c>
      <c r="DA120" s="21">
        <f t="shared" si="1064"/>
        <v>-104706.90924931363</v>
      </c>
      <c r="DB120" s="21">
        <f t="shared" si="1064"/>
        <v>-158037.17678487231</v>
      </c>
      <c r="DE120" s="126"/>
      <c r="DF120" s="22">
        <v>390000.53231358842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212.5</v>
      </c>
      <c r="BA125" s="23">
        <f t="shared" si="1090"/>
        <v>212.5</v>
      </c>
      <c r="BB125" s="23">
        <f>+'QTR Raw'!V63</f>
        <v>0</v>
      </c>
      <c r="BC125" s="23">
        <f t="shared" si="1090"/>
        <v>0</v>
      </c>
      <c r="BD125" s="23">
        <f>+'QTR Raw'!X63</f>
        <v>196.86</v>
      </c>
      <c r="BE125" s="23">
        <f t="shared" si="1090"/>
        <v>196.86</v>
      </c>
      <c r="BF125" s="23">
        <f>+'QTR Raw'!Z63</f>
        <v>193.48</v>
      </c>
      <c r="BG125" s="23">
        <f t="shared" si="1090"/>
        <v>193.48</v>
      </c>
      <c r="BH125" s="23">
        <f>+'QTR Raw'!AB63</f>
        <v>416.32</v>
      </c>
      <c r="BI125" s="23">
        <f t="shared" si="1090"/>
        <v>416.32</v>
      </c>
      <c r="BJ125" s="23">
        <f>+'QTR Raw'!AD63</f>
        <v>281.62</v>
      </c>
      <c r="BK125" s="23">
        <f t="shared" si="1090"/>
        <v>281.62</v>
      </c>
      <c r="BL125" s="23">
        <f>+'QTR Raw'!AF63</f>
        <v>637.58000000000004</v>
      </c>
      <c r="BM125" s="23">
        <f t="shared" si="1090"/>
        <v>637.58000000000004</v>
      </c>
      <c r="BN125" s="23">
        <f>+'QTR Raw'!AH63</f>
        <v>713.67</v>
      </c>
      <c r="BO125" s="23">
        <f t="shared" si="1090"/>
        <v>713.67</v>
      </c>
      <c r="BP125" s="23">
        <f>+'QTR Raw'!AJ63</f>
        <v>1321.01</v>
      </c>
      <c r="BQ125" s="23">
        <f t="shared" si="1090"/>
        <v>1321.01</v>
      </c>
      <c r="BR125" s="23">
        <f>+'QTR Raw'!AL63</f>
        <v>842.32</v>
      </c>
      <c r="BS125" s="23">
        <f t="shared" si="1090"/>
        <v>842.32</v>
      </c>
      <c r="BT125" s="23">
        <f>+'QTR Raw'!AN63</f>
        <v>1118.22</v>
      </c>
      <c r="BU125" s="23">
        <f t="shared" si="1090"/>
        <v>1118.22</v>
      </c>
      <c r="BV125" s="23">
        <f>+'QTR Raw'!AP63</f>
        <v>993.64</v>
      </c>
      <c r="BW125" s="23">
        <f t="shared" si="1090"/>
        <v>993.64</v>
      </c>
      <c r="BX125" s="23">
        <f>+'QTR Raw'!AR63</f>
        <v>1320.22</v>
      </c>
      <c r="BY125" s="23">
        <f t="shared" si="1090"/>
        <v>1320.22</v>
      </c>
      <c r="BZ125" s="23">
        <f>+'QTR Raw'!AT63</f>
        <v>1142.74</v>
      </c>
      <c r="CA125" s="23">
        <f t="shared" si="1090"/>
        <v>1142.74</v>
      </c>
      <c r="CB125" s="23">
        <f>+'QTR Raw'!AV63</f>
        <v>1531.17</v>
      </c>
      <c r="CC125" s="23">
        <f t="shared" si="1090"/>
        <v>1531.17</v>
      </c>
      <c r="CD125" s="23">
        <f>+'QTR Raw'!AX63</f>
        <v>1336.56</v>
      </c>
      <c r="CE125" s="23">
        <f t="shared" si="1091"/>
        <v>1336.56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212.5</v>
      </c>
      <c r="BA128" s="22">
        <f t="shared" si="1120"/>
        <v>212.5</v>
      </c>
      <c r="BB128" s="22">
        <f t="shared" si="1120"/>
        <v>0</v>
      </c>
      <c r="BC128" s="22">
        <f t="shared" si="1120"/>
        <v>0</v>
      </c>
      <c r="BD128" s="22">
        <f t="shared" si="1120"/>
        <v>196.86</v>
      </c>
      <c r="BE128" s="22">
        <f t="shared" si="1120"/>
        <v>196.86</v>
      </c>
      <c r="BF128" s="22">
        <f t="shared" si="1120"/>
        <v>193.48</v>
      </c>
      <c r="BG128" s="22">
        <f t="shared" si="1120"/>
        <v>193.48</v>
      </c>
      <c r="BH128" s="22">
        <f t="shared" ref="BH128" si="1121">SUM(BH124:BH127)</f>
        <v>416.32</v>
      </c>
      <c r="BI128" s="22">
        <f t="shared" si="1120"/>
        <v>416.32</v>
      </c>
      <c r="BJ128" s="22">
        <f t="shared" si="1120"/>
        <v>281.62</v>
      </c>
      <c r="BK128" s="22">
        <f t="shared" si="1120"/>
        <v>281.62</v>
      </c>
      <c r="BL128" s="22">
        <f t="shared" si="1120"/>
        <v>637.58000000000004</v>
      </c>
      <c r="BM128" s="22">
        <f t="shared" si="1120"/>
        <v>637.58000000000004</v>
      </c>
      <c r="BN128" s="22">
        <f t="shared" si="1120"/>
        <v>713.67</v>
      </c>
      <c r="BO128" s="22">
        <f t="shared" si="1120"/>
        <v>713.67</v>
      </c>
      <c r="BP128" s="22">
        <f t="shared" si="1120"/>
        <v>1321.01</v>
      </c>
      <c r="BQ128" s="22">
        <f t="shared" si="1120"/>
        <v>1321.01</v>
      </c>
      <c r="BR128" s="22">
        <f t="shared" si="1120"/>
        <v>842.32</v>
      </c>
      <c r="BS128" s="22">
        <f t="shared" si="1120"/>
        <v>842.32</v>
      </c>
      <c r="BT128" s="22">
        <f t="shared" si="1120"/>
        <v>1118.22</v>
      </c>
      <c r="BU128" s="22">
        <f t="shared" si="1120"/>
        <v>1118.22</v>
      </c>
      <c r="BV128" s="22">
        <f t="shared" si="1120"/>
        <v>993.64</v>
      </c>
      <c r="BW128" s="22">
        <f t="shared" si="1120"/>
        <v>993.64</v>
      </c>
      <c r="BX128" s="22">
        <f t="shared" si="1120"/>
        <v>1320.22</v>
      </c>
      <c r="BY128" s="22">
        <f t="shared" si="1120"/>
        <v>1320.22</v>
      </c>
      <c r="BZ128" s="22">
        <f t="shared" si="1120"/>
        <v>1142.74</v>
      </c>
      <c r="CA128" s="22">
        <f t="shared" si="1120"/>
        <v>1142.74</v>
      </c>
      <c r="CB128" s="22">
        <f t="shared" si="1120"/>
        <v>1531.17</v>
      </c>
      <c r="CC128" s="22">
        <f t="shared" si="1120"/>
        <v>1531.17</v>
      </c>
      <c r="CD128" s="22">
        <f t="shared" si="1120"/>
        <v>1336.56</v>
      </c>
      <c r="CE128" s="22">
        <f t="shared" si="1120"/>
        <v>1336.56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978.41669999999999</v>
      </c>
      <c r="K129" s="26">
        <f t="shared" si="1126"/>
        <v>1254.8742999999999</v>
      </c>
      <c r="L129" s="26">
        <f t="shared" si="1126"/>
        <v>1621.2183</v>
      </c>
      <c r="M129" s="26">
        <f t="shared" si="1126"/>
        <v>2118.9296999999997</v>
      </c>
      <c r="N129" s="26">
        <f t="shared" si="1126"/>
        <v>2682.9881</v>
      </c>
      <c r="O129" s="26">
        <f t="shared" si="1126"/>
        <v>3306.1273999999999</v>
      </c>
      <c r="P129" s="26">
        <f t="shared" si="1126"/>
        <v>3974.0598</v>
      </c>
      <c r="Q129" s="26">
        <f t="shared" si="1126"/>
        <v>4690.6646999999994</v>
      </c>
      <c r="R129" s="26">
        <f t="shared" si="1126"/>
        <v>5464.7809999999999</v>
      </c>
      <c r="S129" s="26">
        <f t="shared" si="1126"/>
        <v>6374.4579999999996</v>
      </c>
      <c r="T129" s="26">
        <f t="shared" si="1126"/>
        <v>7460.1437999999998</v>
      </c>
      <c r="U129" s="26">
        <f t="shared" si="1126"/>
        <v>8883.9184000000005</v>
      </c>
      <c r="V129" s="26">
        <f t="shared" si="1126"/>
        <v>10092.7127</v>
      </c>
      <c r="W129" s="26">
        <f t="shared" ref="W129" si="1127">W128+W120+W122</f>
        <v>11418.4452</v>
      </c>
      <c r="X129" s="26">
        <f t="shared" ref="X129:Y129" si="1128">X128+X120+X122</f>
        <v>12924.5525</v>
      </c>
      <c r="Y129" s="26">
        <f t="shared" si="1128"/>
        <v>14591.640000000001</v>
      </c>
      <c r="Z129" s="26">
        <f t="shared" ref="Z129:AA129" si="1129">Z128+Z120+Z122</f>
        <v>16792.939999999999</v>
      </c>
      <c r="AA129" s="26">
        <f t="shared" si="1129"/>
        <v>19086.75</v>
      </c>
      <c r="AB129" s="27">
        <f t="shared" ref="AA129:AD129" si="1130">AB128+AB120+AB122</f>
        <v>-2105.5818354081393</v>
      </c>
      <c r="AC129" s="27">
        <f t="shared" si="1130"/>
        <v>-45035.547061273224</v>
      </c>
      <c r="AD129" s="27">
        <f t="shared" si="1130"/>
        <v>-96738.66267089652</v>
      </c>
      <c r="AE129" s="27">
        <f t="shared" ref="AE129" si="1131">AE128+AE120+AE122</f>
        <v>-158037.17678487231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5383.83</v>
      </c>
      <c r="BA129" s="26">
        <f t="shared" si="1136"/>
        <v>5574.26</v>
      </c>
      <c r="BB129" s="26">
        <f t="shared" si="1136"/>
        <v>5552.08</v>
      </c>
      <c r="BC129" s="26">
        <f t="shared" si="1136"/>
        <v>5865.53</v>
      </c>
      <c r="BD129" s="26">
        <f t="shared" si="1136"/>
        <v>6379.1799999999994</v>
      </c>
      <c r="BE129" s="26">
        <f t="shared" si="1136"/>
        <v>6609.4599999999991</v>
      </c>
      <c r="BF129" s="26">
        <f t="shared" si="1136"/>
        <v>6721.2999999999993</v>
      </c>
      <c r="BG129" s="26">
        <f t="shared" si="1136"/>
        <v>7075.619999999999</v>
      </c>
      <c r="BH129" s="26">
        <f t="shared" ref="BH129" si="1137">BH128+BH120+BH122</f>
        <v>7506.82</v>
      </c>
      <c r="BI129" s="26">
        <f t="shared" si="1136"/>
        <v>7771.0999999999985</v>
      </c>
      <c r="BJ129" s="26">
        <f t="shared" si="1136"/>
        <v>7857.97</v>
      </c>
      <c r="BK129" s="26">
        <f t="shared" si="1136"/>
        <v>8229.869999999999</v>
      </c>
      <c r="BL129" s="26">
        <f t="shared" si="1136"/>
        <v>8709.0400000000009</v>
      </c>
      <c r="BM129" s="26">
        <f t="shared" si="1136"/>
        <v>9098.8100000000031</v>
      </c>
      <c r="BN129" s="26">
        <f t="shared" si="1136"/>
        <v>9456.75</v>
      </c>
      <c r="BO129" s="26">
        <f t="shared" si="1136"/>
        <v>9847.6400000000012</v>
      </c>
      <c r="BP129" s="26">
        <f t="shared" si="1136"/>
        <v>10984.55</v>
      </c>
      <c r="BQ129" s="26">
        <f t="shared" si="1136"/>
        <v>11217.399999999996</v>
      </c>
      <c r="BR129" s="26">
        <f t="shared" si="1136"/>
        <v>11242.75</v>
      </c>
      <c r="BS129" s="26">
        <f t="shared" si="1136"/>
        <v>11465.909999999998</v>
      </c>
      <c r="BT129" s="26">
        <f t="shared" si="1136"/>
        <v>12025.06</v>
      </c>
      <c r="BU129" s="26">
        <f t="shared" si="1136"/>
        <v>12389.119999999997</v>
      </c>
      <c r="BV129" s="26">
        <f t="shared" si="1136"/>
        <v>12615.95</v>
      </c>
      <c r="BW129" s="26">
        <f t="shared" si="1136"/>
        <v>12878.800000000003</v>
      </c>
      <c r="BX129" s="26">
        <f t="shared" si="1136"/>
        <v>13536.269999999999</v>
      </c>
      <c r="BY129" s="26">
        <f t="shared" si="1136"/>
        <v>13840.400000000003</v>
      </c>
      <c r="BZ129" s="26">
        <f t="shared" si="1136"/>
        <v>14160.22</v>
      </c>
      <c r="CA129" s="26">
        <f t="shared" si="1136"/>
        <v>14541.259999999998</v>
      </c>
      <c r="CB129" s="26">
        <f t="shared" si="1136"/>
        <v>15500.09</v>
      </c>
      <c r="CC129" s="26">
        <f t="shared" si="1136"/>
        <v>15821.840000000004</v>
      </c>
      <c r="CD129" s="26">
        <f t="shared" si="1136"/>
        <v>16245.12</v>
      </c>
      <c r="CE129" s="26">
        <f t="shared" si="1136"/>
        <v>16764.639999999996</v>
      </c>
      <c r="CF129" s="26">
        <f t="shared" ref="CF129:CG129" si="1138">CF128+CF120+CF122</f>
        <v>16259.140000000001</v>
      </c>
      <c r="CG129" s="26">
        <f t="shared" si="1138"/>
        <v>16809.96</v>
      </c>
      <c r="CH129" s="26">
        <f t="shared" ref="CH129:CI129" si="1139">CH128+CH120+CH122</f>
        <v>16792.939999999999</v>
      </c>
      <c r="CI129" s="26">
        <f t="shared" si="1139"/>
        <v>17387.310000000001</v>
      </c>
      <c r="CJ129" s="26">
        <f t="shared" ref="CJ129:DB129" si="1140">CJ128+CJ120+CJ122</f>
        <v>18296.45</v>
      </c>
      <c r="CK129" s="27">
        <f t="shared" si="1140"/>
        <v>18873.190000000006</v>
      </c>
      <c r="CL129" s="26">
        <f t="shared" ref="CL129" si="1141">CL128+CL120+CL122</f>
        <v>19086</v>
      </c>
      <c r="CM129" s="27">
        <f t="shared" si="1140"/>
        <v>13818.056818640456</v>
      </c>
      <c r="CN129" s="27">
        <f t="shared" si="1140"/>
        <v>40515.529068987904</v>
      </c>
      <c r="CO129" s="27">
        <f t="shared" si="1140"/>
        <v>24137.632833303123</v>
      </c>
      <c r="CP129" s="27">
        <f t="shared" si="1140"/>
        <v>-2105.5818354081393</v>
      </c>
      <c r="CQ129" s="27">
        <f t="shared" si="1140"/>
        <v>-10941.194112946365</v>
      </c>
      <c r="CR129" s="27">
        <f t="shared" si="1140"/>
        <v>14547.799895040052</v>
      </c>
      <c r="CS129" s="27">
        <f t="shared" si="1140"/>
        <v>-7829.6705061043131</v>
      </c>
      <c r="CT129" s="27">
        <f t="shared" si="1140"/>
        <v>-45035.547061273224</v>
      </c>
      <c r="CU129" s="27">
        <f t="shared" si="1140"/>
        <v>-54442.026544890519</v>
      </c>
      <c r="CV129" s="27">
        <f t="shared" si="1140"/>
        <v>-24759.289199863611</v>
      </c>
      <c r="CW129" s="27">
        <f t="shared" si="1140"/>
        <v>-51891.992839580118</v>
      </c>
      <c r="CX129" s="27">
        <f t="shared" si="1140"/>
        <v>-96738.66267089652</v>
      </c>
      <c r="CY129" s="27">
        <f t="shared" si="1140"/>
        <v>-107536.41934279788</v>
      </c>
      <c r="CZ129" s="27">
        <f t="shared" si="1140"/>
        <v>-72360.620072406353</v>
      </c>
      <c r="DA129" s="27">
        <f t="shared" si="1140"/>
        <v>-104706.90924931363</v>
      </c>
      <c r="DB129" s="27">
        <f t="shared" si="1140"/>
        <v>-158037.17678487231</v>
      </c>
      <c r="DE129" s="121"/>
      <c r="DF129" s="26">
        <v>390000.53231358842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141.33709999999999</v>
      </c>
      <c r="K131" s="23">
        <f>'Annual Raw'!L62-K135</f>
        <v>157.88939999999999</v>
      </c>
      <c r="L131" s="23">
        <f>'Annual Raw'!M62-L135</f>
        <v>413.68259999999998</v>
      </c>
      <c r="M131" s="23">
        <f>'Annual Raw'!N62-M135</f>
        <v>430.5462</v>
      </c>
      <c r="N131" s="23">
        <f>'Annual Raw'!O62-N135</f>
        <v>451.69600000000003</v>
      </c>
      <c r="O131" s="23">
        <f>'Annual Raw'!P62-O135</f>
        <v>503.44299999999998</v>
      </c>
      <c r="P131" s="23">
        <f>'Annual Raw'!Q62-P135</f>
        <v>520.62480000000005</v>
      </c>
      <c r="Q131" s="23">
        <f>'Annual Raw'!R62-Q135</f>
        <v>563.99620000000004</v>
      </c>
      <c r="R131" s="23">
        <f>'Annual Raw'!S62-R135</f>
        <v>806.95320000000004</v>
      </c>
      <c r="S131" s="23">
        <f>'Annual Raw'!T62-S135</f>
        <v>861.83690000000001</v>
      </c>
      <c r="T131" s="23">
        <f>'Annual Raw'!U62-T135</f>
        <v>1002.8948</v>
      </c>
      <c r="U131" s="23">
        <f>'Annual Raw'!V62-U135</f>
        <v>1094.2609</v>
      </c>
      <c r="V131" s="23">
        <f>'Annual Raw'!W62-V135</f>
        <v>1179.4315999999999</v>
      </c>
      <c r="W131" s="23">
        <f>'Annual Raw'!X62-W135</f>
        <v>1193.2774999999999</v>
      </c>
      <c r="X131" s="23">
        <f>'Annual Raw'!Y62-X135</f>
        <v>1236.7121</v>
      </c>
      <c r="Y131" s="23">
        <f>'Annual Raw'!Z62-Y135</f>
        <v>1264.5999999999999</v>
      </c>
      <c r="Z131" s="23">
        <f>'Annual Raw'!AA62-Z135</f>
        <v>1347.3</v>
      </c>
      <c r="AA131" s="23">
        <f>'Annual Raw'!AB62-AA135</f>
        <v>1489.58</v>
      </c>
      <c r="AB131" s="24">
        <f t="shared" ref="AB131:AB137" si="1142">+CP131</f>
        <v>1454.67</v>
      </c>
      <c r="AC131" s="24">
        <f t="shared" ref="AC131:AC137" si="1143">+CT131</f>
        <v>1454.67</v>
      </c>
      <c r="AD131" s="24">
        <f t="shared" ref="AD131:AD137" si="1144">+CX131</f>
        <v>1454.67</v>
      </c>
      <c r="AE131" s="24">
        <f t="shared" ref="AE131:AE137" si="1145">+DB131</f>
        <v>1454.67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499.61</v>
      </c>
      <c r="BB131" s="23">
        <f>+'QTR Raw'!V68</f>
        <v>538.47</v>
      </c>
      <c r="BD131" s="23">
        <f>+'QTR Raw'!X68</f>
        <v>559.84</v>
      </c>
      <c r="BF131" s="23">
        <f>+'QTR Raw'!Z68</f>
        <v>581.29</v>
      </c>
      <c r="BH131" s="23">
        <f>+'QTR Raw'!AB68</f>
        <v>592.21</v>
      </c>
      <c r="BJ131" s="23">
        <f>+'QTR Raw'!AD68</f>
        <v>595.22</v>
      </c>
      <c r="BL131" s="23">
        <f>+'QTR Raw'!AF68</f>
        <v>599.16999999999996</v>
      </c>
      <c r="BN131" s="23">
        <f>+'QTR Raw'!AH68</f>
        <v>581.17999999999995</v>
      </c>
      <c r="BP131" s="23">
        <f>+'QTR Raw'!AJ68</f>
        <v>564.45000000000005</v>
      </c>
      <c r="BR131" s="23">
        <f>+'QTR Raw'!AL68</f>
        <v>565.42999999999995</v>
      </c>
      <c r="BT131" s="23">
        <f>+'QTR Raw'!AN68</f>
        <v>546.88</v>
      </c>
      <c r="BV131" s="23">
        <f>+'QTR Raw'!AP68</f>
        <v>526.77</v>
      </c>
      <c r="BX131" s="23">
        <f>+'QTR Raw'!AR68</f>
        <v>525.04</v>
      </c>
      <c r="BZ131" s="23">
        <f>+'QTR Raw'!AT68</f>
        <v>521.51</v>
      </c>
      <c r="CB131" s="23">
        <f>+'QTR Raw'!AV68</f>
        <v>542.41999999999996</v>
      </c>
      <c r="CD131" s="23">
        <f>+'QTR Raw'!AX68</f>
        <v>556.96</v>
      </c>
      <c r="CF131" s="23">
        <f>+'QTR Raw'!AZ68</f>
        <v>562.96</v>
      </c>
      <c r="CH131" s="23">
        <f t="shared" ref="CH131:CH137" si="1146">Z131</f>
        <v>1347.3</v>
      </c>
      <c r="CI131" s="23">
        <f>CH131</f>
        <v>1347.3</v>
      </c>
      <c r="CJ131" s="23">
        <f>+CJ132+CJ134</f>
        <v>1398.5700000000002</v>
      </c>
      <c r="CK131" s="24">
        <f>+CJ131</f>
        <v>1398.5700000000002</v>
      </c>
      <c r="CL131" s="23">
        <f>+CL132+CL134</f>
        <v>1454.67</v>
      </c>
      <c r="CM131" s="24">
        <f t="shared" ref="CM131:DB131" si="1147">+CL131</f>
        <v>1454.67</v>
      </c>
      <c r="CN131" s="24">
        <f t="shared" si="1147"/>
        <v>1454.67</v>
      </c>
      <c r="CO131" s="24">
        <f t="shared" si="1147"/>
        <v>1454.67</v>
      </c>
      <c r="CP131" s="24">
        <f t="shared" si="1147"/>
        <v>1454.67</v>
      </c>
      <c r="CQ131" s="24">
        <f t="shared" si="1147"/>
        <v>1454.67</v>
      </c>
      <c r="CR131" s="24">
        <f t="shared" si="1147"/>
        <v>1454.67</v>
      </c>
      <c r="CS131" s="24">
        <f t="shared" si="1147"/>
        <v>1454.67</v>
      </c>
      <c r="CT131" s="24">
        <f t="shared" si="1147"/>
        <v>1454.67</v>
      </c>
      <c r="CU131" s="24">
        <f t="shared" si="1147"/>
        <v>1454.67</v>
      </c>
      <c r="CV131" s="24">
        <f t="shared" si="1147"/>
        <v>1454.67</v>
      </c>
      <c r="CW131" s="24">
        <f t="shared" si="1147"/>
        <v>1454.67</v>
      </c>
      <c r="CX131" s="24">
        <f t="shared" si="1147"/>
        <v>1454.67</v>
      </c>
      <c r="CY131" s="24">
        <f t="shared" si="1147"/>
        <v>1454.67</v>
      </c>
      <c r="CZ131" s="24">
        <f t="shared" si="1147"/>
        <v>1454.67</v>
      </c>
      <c r="DA131" s="24">
        <f t="shared" si="1147"/>
        <v>1454.67</v>
      </c>
      <c r="DB131" s="24">
        <f t="shared" si="1147"/>
        <v>1454.67</v>
      </c>
      <c r="DE131" s="123"/>
      <c r="DF131" s="23">
        <v>1398.5700000000002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78.377899999999997</v>
      </c>
      <c r="K132" s="23">
        <f>'Annual Raw'!L63</f>
        <v>107.76349999999999</v>
      </c>
      <c r="L132" s="23">
        <f>'Annual Raw'!M63</f>
        <v>133.93469999999999</v>
      </c>
      <c r="M132" s="23">
        <f>'Annual Raw'!N63</f>
        <v>167.1294</v>
      </c>
      <c r="N132" s="23">
        <f>'Annual Raw'!O63</f>
        <v>179.0326</v>
      </c>
      <c r="O132" s="23">
        <f>'Annual Raw'!P63</f>
        <v>221.02850000000001</v>
      </c>
      <c r="P132" s="23">
        <f>'Annual Raw'!Q63</f>
        <v>255.94409999999999</v>
      </c>
      <c r="Q132" s="23">
        <f>'Annual Raw'!R63</f>
        <v>262.97340000000003</v>
      </c>
      <c r="R132" s="23">
        <f>'Annual Raw'!S63</f>
        <v>299.52699999999999</v>
      </c>
      <c r="S132" s="23">
        <f>'Annual Raw'!T63</f>
        <v>350.65539999999999</v>
      </c>
      <c r="T132" s="23">
        <f>'Annual Raw'!U63</f>
        <v>439.52269999999999</v>
      </c>
      <c r="U132" s="23">
        <f>'Annual Raw'!V63</f>
        <v>526.26660000000004</v>
      </c>
      <c r="V132" s="23">
        <f>'Annual Raw'!W63</f>
        <v>615.48839999999996</v>
      </c>
      <c r="W132" s="23">
        <f>'Annual Raw'!X63</f>
        <v>669.3134</v>
      </c>
      <c r="X132" s="23">
        <f>'Annual Raw'!Y63</f>
        <v>716.26610000000005</v>
      </c>
      <c r="Y132" s="23">
        <f>'Annual Raw'!Z63</f>
        <v>713.39</v>
      </c>
      <c r="Z132" s="23">
        <f>'Annual Raw'!AA63</f>
        <v>766.98</v>
      </c>
      <c r="AA132" s="23">
        <f>'Annual Raw'!AB63</f>
        <v>842.86</v>
      </c>
      <c r="AB132" s="24">
        <f t="shared" si="1142"/>
        <v>766.98</v>
      </c>
      <c r="AC132" s="24">
        <f t="shared" si="1143"/>
        <v>766.98</v>
      </c>
      <c r="AD132" s="24">
        <f t="shared" si="1144"/>
        <v>766.98</v>
      </c>
      <c r="AE132" s="24">
        <f t="shared" si="1145"/>
        <v>766.98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766.98</v>
      </c>
      <c r="CI132" s="23">
        <f t="shared" ref="CI132:DB132" si="1148">CH132+CI32</f>
        <v>766.98</v>
      </c>
      <c r="CJ132" s="23">
        <f t="shared" si="1148"/>
        <v>766.98</v>
      </c>
      <c r="CK132" s="24">
        <f t="shared" si="1148"/>
        <v>766.98</v>
      </c>
      <c r="CL132" s="23">
        <f t="shared" si="1148"/>
        <v>766.98</v>
      </c>
      <c r="CM132" s="24">
        <f t="shared" si="1148"/>
        <v>766.98</v>
      </c>
      <c r="CN132" s="24">
        <f t="shared" si="1148"/>
        <v>766.98</v>
      </c>
      <c r="CO132" s="24">
        <f t="shared" si="1148"/>
        <v>766.98</v>
      </c>
      <c r="CP132" s="24">
        <f t="shared" si="1148"/>
        <v>766.98</v>
      </c>
      <c r="CQ132" s="24">
        <f t="shared" si="1148"/>
        <v>766.98</v>
      </c>
      <c r="CR132" s="24">
        <f t="shared" si="1148"/>
        <v>766.98</v>
      </c>
      <c r="CS132" s="24">
        <f t="shared" si="1148"/>
        <v>766.98</v>
      </c>
      <c r="CT132" s="24">
        <f t="shared" si="1148"/>
        <v>766.98</v>
      </c>
      <c r="CU132" s="24">
        <f t="shared" si="1148"/>
        <v>766.98</v>
      </c>
      <c r="CV132" s="24">
        <f t="shared" si="1148"/>
        <v>766.98</v>
      </c>
      <c r="CW132" s="24">
        <f t="shared" si="1148"/>
        <v>766.98</v>
      </c>
      <c r="CX132" s="24">
        <f t="shared" si="1148"/>
        <v>766.98</v>
      </c>
      <c r="CY132" s="24">
        <f t="shared" si="1148"/>
        <v>766.98</v>
      </c>
      <c r="CZ132" s="24">
        <f t="shared" si="1148"/>
        <v>766.98</v>
      </c>
      <c r="DA132" s="24">
        <f t="shared" si="1148"/>
        <v>766.98</v>
      </c>
      <c r="DB132" s="24">
        <f t="shared" si="1148"/>
        <v>766.98</v>
      </c>
      <c r="DE132" s="123"/>
      <c r="DF132" s="23">
        <v>766.98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62.959199999999996</v>
      </c>
      <c r="K134" s="22">
        <f t="shared" si="1150"/>
        <v>50.125900000000001</v>
      </c>
      <c r="L134" s="22">
        <f t="shared" si="1150"/>
        <v>279.74789999999996</v>
      </c>
      <c r="M134" s="22">
        <f t="shared" si="1150"/>
        <v>263.41679999999997</v>
      </c>
      <c r="N134" s="22">
        <f t="shared" si="1150"/>
        <v>272.66340000000002</v>
      </c>
      <c r="O134" s="22">
        <f t="shared" si="1150"/>
        <v>282.41449999999998</v>
      </c>
      <c r="P134" s="22">
        <f t="shared" si="1150"/>
        <v>264.68070000000006</v>
      </c>
      <c r="Q134" s="22">
        <f t="shared" si="1150"/>
        <v>301.02280000000002</v>
      </c>
      <c r="R134" s="22">
        <f t="shared" si="1150"/>
        <v>507.42620000000005</v>
      </c>
      <c r="S134" s="22">
        <f t="shared" si="1150"/>
        <v>511.18150000000003</v>
      </c>
      <c r="T134" s="22">
        <f t="shared" si="1150"/>
        <v>563.37210000000005</v>
      </c>
      <c r="U134" s="22">
        <f t="shared" si="1150"/>
        <v>567.99429999999995</v>
      </c>
      <c r="V134" s="22">
        <f t="shared" si="1150"/>
        <v>563.94319999999993</v>
      </c>
      <c r="W134" s="22">
        <f t="shared" si="1150"/>
        <v>523.96409999999992</v>
      </c>
      <c r="X134" s="22">
        <f t="shared" ref="X134:Y134" si="1151">+X131-X132-X133</f>
        <v>520.44599999999991</v>
      </c>
      <c r="Y134" s="22">
        <f t="shared" si="1151"/>
        <v>551.20999999999992</v>
      </c>
      <c r="Z134" s="22">
        <f t="shared" ref="Z134:AE134" si="1152">+Z131-Z132-Z133</f>
        <v>580.31999999999994</v>
      </c>
      <c r="AA134" s="22">
        <f t="shared" ref="AA134" si="1153">+AA131-AA132-AA133</f>
        <v>646.71999999999991</v>
      </c>
      <c r="AB134" s="21">
        <f t="shared" si="1152"/>
        <v>687.69</v>
      </c>
      <c r="AC134" s="21">
        <f t="shared" si="1152"/>
        <v>687.69</v>
      </c>
      <c r="AD134" s="21">
        <f t="shared" si="1152"/>
        <v>687.69</v>
      </c>
      <c r="AE134" s="21">
        <f t="shared" si="1152"/>
        <v>687.69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499.61</v>
      </c>
      <c r="BA134" s="22">
        <f t="shared" si="1155"/>
        <v>499.61</v>
      </c>
      <c r="BB134" s="22">
        <f t="shared" si="1157"/>
        <v>538.47</v>
      </c>
      <c r="BC134" s="22">
        <f t="shared" si="1155"/>
        <v>538.47</v>
      </c>
      <c r="BD134" s="22">
        <f t="shared" si="1157"/>
        <v>559.84</v>
      </c>
      <c r="BE134" s="22">
        <f t="shared" si="1155"/>
        <v>559.84</v>
      </c>
      <c r="BF134" s="22">
        <f t="shared" si="1157"/>
        <v>581.29</v>
      </c>
      <c r="BG134" s="22">
        <f t="shared" si="1155"/>
        <v>581.29</v>
      </c>
      <c r="BH134" s="22">
        <f t="shared" si="1157"/>
        <v>592.21</v>
      </c>
      <c r="BI134" s="22">
        <f t="shared" si="1155"/>
        <v>592.21</v>
      </c>
      <c r="BJ134" s="22">
        <f t="shared" si="1157"/>
        <v>595.22</v>
      </c>
      <c r="BK134" s="22">
        <f t="shared" si="1155"/>
        <v>595.22</v>
      </c>
      <c r="BL134" s="22">
        <f t="shared" si="1157"/>
        <v>599.16999999999996</v>
      </c>
      <c r="BM134" s="22">
        <f t="shared" si="1155"/>
        <v>599.16999999999996</v>
      </c>
      <c r="BN134" s="22">
        <f t="shared" si="1157"/>
        <v>581.17999999999995</v>
      </c>
      <c r="BO134" s="22">
        <f t="shared" si="1155"/>
        <v>581.17999999999995</v>
      </c>
      <c r="BP134" s="22">
        <f t="shared" si="1157"/>
        <v>564.45000000000005</v>
      </c>
      <c r="BQ134" s="22">
        <f t="shared" si="1155"/>
        <v>564.45000000000005</v>
      </c>
      <c r="BR134" s="22">
        <f t="shared" si="1157"/>
        <v>565.42999999999995</v>
      </c>
      <c r="BS134" s="22">
        <f t="shared" si="1155"/>
        <v>565.42999999999995</v>
      </c>
      <c r="BT134" s="22">
        <f t="shared" si="1157"/>
        <v>546.88</v>
      </c>
      <c r="BU134" s="22">
        <f t="shared" si="1155"/>
        <v>546.88</v>
      </c>
      <c r="BV134" s="22">
        <f t="shared" si="1157"/>
        <v>526.77</v>
      </c>
      <c r="BW134" s="22">
        <f t="shared" si="1155"/>
        <v>526.77</v>
      </c>
      <c r="BX134" s="22">
        <f t="shared" si="1157"/>
        <v>525.04</v>
      </c>
      <c r="BY134" s="22">
        <f t="shared" si="1155"/>
        <v>525.04</v>
      </c>
      <c r="BZ134" s="22">
        <f t="shared" si="1157"/>
        <v>521.51</v>
      </c>
      <c r="CA134" s="22">
        <f t="shared" si="1155"/>
        <v>521.51</v>
      </c>
      <c r="CB134" s="22">
        <f t="shared" si="1157"/>
        <v>542.41999999999996</v>
      </c>
      <c r="CC134" s="22">
        <f t="shared" si="1155"/>
        <v>542.41999999999996</v>
      </c>
      <c r="CD134" s="22">
        <f t="shared" si="1157"/>
        <v>556.96</v>
      </c>
      <c r="CE134" s="22">
        <f t="shared" si="1155"/>
        <v>556.96</v>
      </c>
      <c r="CF134" s="22">
        <f t="shared" ref="CF134:CI134" si="1158">+CF131-CF132-CF133</f>
        <v>562.96</v>
      </c>
      <c r="CG134" s="22">
        <f t="shared" ref="CG134:CI137" si="1159">+CF134</f>
        <v>562.96</v>
      </c>
      <c r="CH134" s="22">
        <f t="shared" si="1158"/>
        <v>580.31999999999994</v>
      </c>
      <c r="CI134" s="22">
        <f t="shared" si="1158"/>
        <v>580.31999999999994</v>
      </c>
      <c r="CJ134" s="23">
        <f>+'QTR Raw'!BD68</f>
        <v>631.59</v>
      </c>
      <c r="CK134" s="21">
        <f t="shared" ref="CK134:DB134" si="1160">+CK131-CK132-CK133</f>
        <v>631.59000000000015</v>
      </c>
      <c r="CL134" s="23">
        <f>+'QTR Raw'!BF68</f>
        <v>687.69</v>
      </c>
      <c r="CM134" s="21">
        <f t="shared" si="1160"/>
        <v>687.69</v>
      </c>
      <c r="CN134" s="21">
        <f t="shared" si="1160"/>
        <v>687.69</v>
      </c>
      <c r="CO134" s="21">
        <f t="shared" si="1160"/>
        <v>687.69</v>
      </c>
      <c r="CP134" s="21">
        <f t="shared" si="1160"/>
        <v>687.69</v>
      </c>
      <c r="CQ134" s="21">
        <f t="shared" si="1160"/>
        <v>687.69</v>
      </c>
      <c r="CR134" s="21">
        <f t="shared" si="1160"/>
        <v>687.69</v>
      </c>
      <c r="CS134" s="21">
        <f t="shared" si="1160"/>
        <v>687.69</v>
      </c>
      <c r="CT134" s="21">
        <f t="shared" si="1160"/>
        <v>687.69</v>
      </c>
      <c r="CU134" s="21">
        <f t="shared" si="1160"/>
        <v>687.69</v>
      </c>
      <c r="CV134" s="21">
        <f t="shared" si="1160"/>
        <v>687.69</v>
      </c>
      <c r="CW134" s="21">
        <f t="shared" si="1160"/>
        <v>687.69</v>
      </c>
      <c r="CX134" s="21">
        <f t="shared" si="1160"/>
        <v>687.69</v>
      </c>
      <c r="CY134" s="21">
        <f t="shared" si="1160"/>
        <v>687.69</v>
      </c>
      <c r="CZ134" s="21">
        <f t="shared" si="1160"/>
        <v>687.69</v>
      </c>
      <c r="DA134" s="21">
        <f t="shared" si="1160"/>
        <v>687.69</v>
      </c>
      <c r="DB134" s="21">
        <f t="shared" si="1160"/>
        <v>687.69</v>
      </c>
      <c r="DE134" s="126"/>
      <c r="DF134" s="22">
        <v>631.59000000000015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7.0255000000000001</v>
      </c>
      <c r="K137" s="23">
        <f>'Annual Raw'!L67+'Annual Raw'!L66+'Annual Raw'!L69+'Annual Raw'!L70</f>
        <v>182.5729</v>
      </c>
      <c r="L137" s="23">
        <f>'Annual Raw'!M67+'Annual Raw'!M66+'Annual Raw'!M69+'Annual Raw'!M70</f>
        <v>3.4074</v>
      </c>
      <c r="M137" s="23">
        <f>'Annual Raw'!N67+'Annual Raw'!N66+'Annual Raw'!N69+'Annual Raw'!N70</f>
        <v>1.7988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146.22569999999999</v>
      </c>
      <c r="R137" s="23">
        <f>'Annual Raw'!S67+'Annual Raw'!S66+'Annual Raw'!S69+'Annual Raw'!S70</f>
        <v>31.0487</v>
      </c>
      <c r="S137" s="23">
        <f>'Annual Raw'!T67+'Annual Raw'!T66+'Annual Raw'!T69+'Annual Raw'!T70</f>
        <v>70.110399999999998</v>
      </c>
      <c r="T137" s="23">
        <f>'Annual Raw'!U67+'Annual Raw'!U66+'Annual Raw'!U69+'Annual Raw'!U70</f>
        <v>31.851199999999999</v>
      </c>
      <c r="U137" s="23">
        <f>'Annual Raw'!V67+'Annual Raw'!V66+'Annual Raw'!V69+'Annual Raw'!V70</f>
        <v>13.1905</v>
      </c>
      <c r="V137" s="23">
        <f>'Annual Raw'!W67+'Annual Raw'!W66+'Annual Raw'!W69+'Annual Raw'!W70</f>
        <v>1.4877</v>
      </c>
      <c r="W137" s="23">
        <f>'Annual Raw'!X67+'Annual Raw'!X66+'Annual Raw'!X69+'Annual Raw'!X70</f>
        <v>2.8085</v>
      </c>
      <c r="X137" s="23">
        <f>'Annual Raw'!Y67+'Annual Raw'!Y66+'Annual Raw'!Y69+'Annual Raw'!Y70</f>
        <v>1.0667</v>
      </c>
      <c r="Y137" s="23">
        <f>'Annual Raw'!Z67+'Annual Raw'!Z66+'Annual Raw'!Z69+'Annual Raw'!Z70</f>
        <v>5.75</v>
      </c>
      <c r="Z137" s="23">
        <f>'Annual Raw'!AA67+'Annual Raw'!AA66+'Annual Raw'!AA69+'Annual Raw'!AA70</f>
        <v>10.02</v>
      </c>
      <c r="AA137" s="23">
        <f>'Annual Raw'!AB67+'Annual Raw'!AB66+'Annual Raw'!AB69+'Annual Raw'!AB70</f>
        <v>0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0</v>
      </c>
      <c r="CE137" s="23">
        <f t="shared" si="1161"/>
        <v>0</v>
      </c>
      <c r="CF137" s="23">
        <f>+'QTR Raw'!AZ74+'QTR Raw'!AZ75</f>
        <v>0</v>
      </c>
      <c r="CG137" s="23">
        <f t="shared" si="1159"/>
        <v>0</v>
      </c>
      <c r="CH137" s="23">
        <f t="shared" si="1146"/>
        <v>10.02</v>
      </c>
      <c r="CI137" s="23">
        <f t="shared" si="1159"/>
        <v>10.02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69.984699999999989</v>
      </c>
      <c r="K138" s="22">
        <f t="shared" si="1180"/>
        <v>232.69880000000001</v>
      </c>
      <c r="L138" s="22">
        <f t="shared" si="1180"/>
        <v>283.15529999999995</v>
      </c>
      <c r="M138" s="22">
        <f t="shared" si="1180"/>
        <v>265.21559999999999</v>
      </c>
      <c r="N138" s="22">
        <f t="shared" si="1180"/>
        <v>272.66340000000002</v>
      </c>
      <c r="O138" s="22">
        <f t="shared" si="1180"/>
        <v>282.41449999999998</v>
      </c>
      <c r="P138" s="22">
        <f t="shared" si="1180"/>
        <v>264.68070000000006</v>
      </c>
      <c r="Q138" s="22">
        <f t="shared" si="1180"/>
        <v>447.24850000000004</v>
      </c>
      <c r="R138" s="22">
        <f t="shared" si="1180"/>
        <v>538.47490000000005</v>
      </c>
      <c r="S138" s="22">
        <f t="shared" si="1180"/>
        <v>581.29190000000006</v>
      </c>
      <c r="T138" s="22">
        <f t="shared" si="1180"/>
        <v>595.22329999999999</v>
      </c>
      <c r="U138" s="22">
        <f t="shared" si="1180"/>
        <v>581.1848</v>
      </c>
      <c r="V138" s="22">
        <f t="shared" si="1180"/>
        <v>565.43089999999995</v>
      </c>
      <c r="W138" s="22">
        <f t="shared" si="1180"/>
        <v>526.7725999999999</v>
      </c>
      <c r="X138" s="22">
        <f t="shared" si="1180"/>
        <v>521.51269999999988</v>
      </c>
      <c r="Y138" s="22">
        <f t="shared" si="1180"/>
        <v>556.95999999999992</v>
      </c>
      <c r="Z138" s="22">
        <f>Z134+Z137+Z136+Z135</f>
        <v>590.33999999999992</v>
      </c>
      <c r="AA138" s="22">
        <f>AA134+AA137+AA136+AA135</f>
        <v>646.71999999999991</v>
      </c>
      <c r="AB138" s="161">
        <f t="shared" ref="AB138:AE138" si="1181">AB134+AB137+AB136+AB135</f>
        <v>687.69</v>
      </c>
      <c r="AC138" s="161">
        <f t="shared" si="1181"/>
        <v>687.69</v>
      </c>
      <c r="AD138" s="161">
        <f t="shared" si="1181"/>
        <v>687.69</v>
      </c>
      <c r="AE138" s="161">
        <f t="shared" si="1181"/>
        <v>687.69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499.61</v>
      </c>
      <c r="BA138" s="22">
        <f t="shared" si="1186"/>
        <v>499.61</v>
      </c>
      <c r="BB138" s="22">
        <f t="shared" si="1186"/>
        <v>538.47</v>
      </c>
      <c r="BC138" s="22">
        <f t="shared" si="1186"/>
        <v>538.47</v>
      </c>
      <c r="BD138" s="22">
        <f t="shared" si="1186"/>
        <v>559.84</v>
      </c>
      <c r="BE138" s="22">
        <f t="shared" si="1186"/>
        <v>559.84</v>
      </c>
      <c r="BF138" s="22">
        <f t="shared" si="1186"/>
        <v>581.29</v>
      </c>
      <c r="BG138" s="22">
        <f t="shared" si="1186"/>
        <v>581.29</v>
      </c>
      <c r="BH138" s="22">
        <f t="shared" si="1186"/>
        <v>592.21</v>
      </c>
      <c r="BI138" s="22">
        <f t="shared" si="1186"/>
        <v>592.21</v>
      </c>
      <c r="BJ138" s="22">
        <f t="shared" si="1186"/>
        <v>595.22</v>
      </c>
      <c r="BK138" s="22">
        <f t="shared" si="1186"/>
        <v>595.22</v>
      </c>
      <c r="BL138" s="22">
        <f t="shared" si="1186"/>
        <v>599.16999999999996</v>
      </c>
      <c r="BM138" s="22">
        <f t="shared" si="1186"/>
        <v>599.16999999999996</v>
      </c>
      <c r="BN138" s="22">
        <f t="shared" si="1186"/>
        <v>581.17999999999995</v>
      </c>
      <c r="BO138" s="22">
        <f t="shared" si="1186"/>
        <v>581.17999999999995</v>
      </c>
      <c r="BP138" s="22">
        <f t="shared" si="1186"/>
        <v>564.45000000000005</v>
      </c>
      <c r="BQ138" s="22">
        <f t="shared" si="1186"/>
        <v>564.45000000000005</v>
      </c>
      <c r="BR138" s="22">
        <f t="shared" si="1186"/>
        <v>565.42999999999995</v>
      </c>
      <c r="BS138" s="22">
        <f t="shared" si="1186"/>
        <v>565.42999999999995</v>
      </c>
      <c r="BT138" s="22">
        <f t="shared" si="1186"/>
        <v>546.88</v>
      </c>
      <c r="BU138" s="22">
        <f t="shared" si="1186"/>
        <v>546.88</v>
      </c>
      <c r="BV138" s="22">
        <f t="shared" si="1186"/>
        <v>526.77</v>
      </c>
      <c r="BW138" s="22">
        <f t="shared" si="1186"/>
        <v>526.77</v>
      </c>
      <c r="BX138" s="22">
        <f t="shared" si="1186"/>
        <v>525.04</v>
      </c>
      <c r="BY138" s="22">
        <f t="shared" si="1186"/>
        <v>525.04</v>
      </c>
      <c r="BZ138" s="22">
        <f t="shared" si="1186"/>
        <v>521.51</v>
      </c>
      <c r="CA138" s="22">
        <f t="shared" si="1186"/>
        <v>521.51</v>
      </c>
      <c r="CB138" s="22">
        <f t="shared" si="1186"/>
        <v>542.41999999999996</v>
      </c>
      <c r="CC138" s="22">
        <f t="shared" si="1186"/>
        <v>542.41999999999996</v>
      </c>
      <c r="CD138" s="22">
        <f t="shared" si="1186"/>
        <v>556.96</v>
      </c>
      <c r="CE138" s="22">
        <f t="shared" si="1186"/>
        <v>556.96</v>
      </c>
      <c r="CF138" s="22">
        <f t="shared" ref="CF138:CG138" si="1187">CF134+CF137+CF135+CF136</f>
        <v>562.96</v>
      </c>
      <c r="CG138" s="22">
        <f t="shared" si="1187"/>
        <v>562.96</v>
      </c>
      <c r="CH138" s="22">
        <f t="shared" ref="CH138:CJ138" si="1188">CH134+CH137+CH135+CH136</f>
        <v>590.33999999999992</v>
      </c>
      <c r="CI138" s="22">
        <f t="shared" si="1188"/>
        <v>590.33999999999992</v>
      </c>
      <c r="CJ138" s="22">
        <f t="shared" si="1188"/>
        <v>631.59</v>
      </c>
      <c r="CK138" s="21">
        <f t="shared" ref="CK138:DB138" si="1189">CK134+CK137+CK135+CK136</f>
        <v>631.59000000000015</v>
      </c>
      <c r="CL138" s="22">
        <f t="shared" si="1189"/>
        <v>687.69</v>
      </c>
      <c r="CM138" s="21">
        <f t="shared" si="1189"/>
        <v>687.69</v>
      </c>
      <c r="CN138" s="21">
        <f t="shared" si="1189"/>
        <v>687.69</v>
      </c>
      <c r="CO138" s="21">
        <f t="shared" si="1189"/>
        <v>687.69</v>
      </c>
      <c r="CP138" s="21">
        <f t="shared" si="1189"/>
        <v>687.69</v>
      </c>
      <c r="CQ138" s="21">
        <f t="shared" si="1189"/>
        <v>687.69</v>
      </c>
      <c r="CR138" s="21">
        <f t="shared" si="1189"/>
        <v>687.69</v>
      </c>
      <c r="CS138" s="21">
        <f t="shared" si="1189"/>
        <v>687.69</v>
      </c>
      <c r="CT138" s="21">
        <f t="shared" si="1189"/>
        <v>687.69</v>
      </c>
      <c r="CU138" s="21">
        <f t="shared" si="1189"/>
        <v>687.69</v>
      </c>
      <c r="CV138" s="21">
        <f t="shared" si="1189"/>
        <v>687.69</v>
      </c>
      <c r="CW138" s="21">
        <f t="shared" si="1189"/>
        <v>687.69</v>
      </c>
      <c r="CX138" s="21">
        <f t="shared" si="1189"/>
        <v>687.69</v>
      </c>
      <c r="CY138" s="21">
        <f t="shared" si="1189"/>
        <v>687.69</v>
      </c>
      <c r="CZ138" s="21">
        <f t="shared" si="1189"/>
        <v>687.69</v>
      </c>
      <c r="DA138" s="21">
        <f t="shared" si="1189"/>
        <v>687.69</v>
      </c>
      <c r="DB138" s="21">
        <f t="shared" si="1189"/>
        <v>687.69</v>
      </c>
      <c r="DE138" s="126"/>
      <c r="DF138" s="22">
        <v>631.59000000000015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227423.04</v>
      </c>
      <c r="AC140" s="24">
        <f>+CT140</f>
        <v>227423.04</v>
      </c>
      <c r="AD140" s="24">
        <f>+CX140</f>
        <v>227423.04</v>
      </c>
      <c r="AE140" s="24">
        <f>+DB140</f>
        <v>227423.04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46583.54</v>
      </c>
      <c r="BA140" s="23">
        <f t="shared" si="1190"/>
        <v>46583.54</v>
      </c>
      <c r="BB140" s="23">
        <f>+'QTR Raw'!V77</f>
        <v>51257.25</v>
      </c>
      <c r="BC140" s="23">
        <f t="shared" si="1190"/>
        <v>51257.25</v>
      </c>
      <c r="BD140" s="23">
        <f>+'QTR Raw'!X77</f>
        <v>54505.24</v>
      </c>
      <c r="BE140" s="23">
        <f t="shared" si="1190"/>
        <v>54505.24</v>
      </c>
      <c r="BF140" s="23">
        <f>+'QTR Raw'!Z77</f>
        <v>59500.02</v>
      </c>
      <c r="BG140" s="23">
        <f t="shared" si="1190"/>
        <v>59500.02</v>
      </c>
      <c r="BH140" s="23">
        <f>+'QTR Raw'!AB77</f>
        <v>64752.54</v>
      </c>
      <c r="BI140" s="23">
        <f t="shared" si="1190"/>
        <v>64752.54</v>
      </c>
      <c r="BJ140" s="23">
        <f>+'QTR Raw'!AD77</f>
        <v>70195.63</v>
      </c>
      <c r="BK140" s="23">
        <f t="shared" si="1190"/>
        <v>70195.63</v>
      </c>
      <c r="BL140" s="23">
        <f>+'QTR Raw'!AF77</f>
        <v>76099.13</v>
      </c>
      <c r="BM140" s="23">
        <f t="shared" si="1190"/>
        <v>76099.13</v>
      </c>
      <c r="BN140" s="23">
        <f>+'QTR Raw'!AH77</f>
        <v>80247.89</v>
      </c>
      <c r="BO140" s="23">
        <f t="shared" si="1190"/>
        <v>80247.89</v>
      </c>
      <c r="BP140" s="23">
        <f>+'QTR Raw'!AJ77</f>
        <v>90862.399999999994</v>
      </c>
      <c r="BQ140" s="23">
        <f t="shared" si="1190"/>
        <v>90862.399999999994</v>
      </c>
      <c r="BR140" s="23">
        <f>+'QTR Raw'!AL77</f>
        <v>102541.15</v>
      </c>
      <c r="BS140" s="23">
        <f t="shared" si="1190"/>
        <v>102541.15</v>
      </c>
      <c r="BT140" s="23">
        <f>+'QTR Raw'!AN77</f>
        <v>111830.43</v>
      </c>
      <c r="BU140" s="23">
        <f t="shared" si="1190"/>
        <v>111830.43</v>
      </c>
      <c r="BV140" s="23">
        <f>+'QTR Raw'!AP77</f>
        <v>122206.48</v>
      </c>
      <c r="BW140" s="23">
        <f t="shared" si="1190"/>
        <v>122206.48</v>
      </c>
      <c r="BX140" s="23">
        <f>+'QTR Raw'!AR77</f>
        <v>131268.65</v>
      </c>
      <c r="BY140" s="23">
        <f t="shared" si="1190"/>
        <v>131268.65</v>
      </c>
      <c r="BZ140" s="23">
        <f>+'QTR Raw'!AT77</f>
        <v>141078.94</v>
      </c>
      <c r="CA140" s="23">
        <f t="shared" si="1190"/>
        <v>141078.94</v>
      </c>
      <c r="CB140" s="23">
        <f>+'QTR Raw'!AV77</f>
        <v>156853.01</v>
      </c>
      <c r="CC140" s="23">
        <f t="shared" si="1190"/>
        <v>156853.01</v>
      </c>
      <c r="CD140" s="23">
        <f>+'QTR Raw'!AX77</f>
        <v>169580</v>
      </c>
      <c r="CE140" s="23">
        <f t="shared" si="1190"/>
        <v>169580</v>
      </c>
      <c r="CF140" s="23">
        <f>+'QTR Raw'!AZ77</f>
        <v>184770.08</v>
      </c>
      <c r="CG140" s="23">
        <f t="shared" ref="CG140:CI143" si="1191">+CF140</f>
        <v>184770.08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215539.96</v>
      </c>
      <c r="CK140" s="24">
        <f t="shared" ref="CK140" si="1193">+CJ140</f>
        <v>215539.96</v>
      </c>
      <c r="CL140" s="23">
        <f>+'QTR Raw'!BF77</f>
        <v>227423.04</v>
      </c>
      <c r="CM140" s="24">
        <f t="shared" ref="CM140" si="1194">+CL140</f>
        <v>227423.04</v>
      </c>
      <c r="CN140" s="24">
        <f t="shared" ref="CN140" si="1195">+CM140</f>
        <v>227423.04</v>
      </c>
      <c r="CO140" s="24">
        <f t="shared" ref="CO140" si="1196">+CN140</f>
        <v>227423.04</v>
      </c>
      <c r="CP140" s="24">
        <f t="shared" ref="CP140" si="1197">+CO140</f>
        <v>227423.04</v>
      </c>
      <c r="CQ140" s="24">
        <f t="shared" ref="CQ140" si="1198">+CP140</f>
        <v>227423.04</v>
      </c>
      <c r="CR140" s="24">
        <f t="shared" ref="CR140" si="1199">+CQ140</f>
        <v>227423.04</v>
      </c>
      <c r="CS140" s="24">
        <f t="shared" ref="CS140" si="1200">+CR140</f>
        <v>227423.04</v>
      </c>
      <c r="CT140" s="24">
        <f t="shared" ref="CT140" si="1201">+CS140</f>
        <v>227423.04</v>
      </c>
      <c r="CU140" s="24">
        <f t="shared" ref="CU140" si="1202">+CT140</f>
        <v>227423.04</v>
      </c>
      <c r="CV140" s="24">
        <f t="shared" ref="CV140" si="1203">+CU140</f>
        <v>227423.04</v>
      </c>
      <c r="CW140" s="24">
        <f t="shared" ref="CW140" si="1204">+CV140</f>
        <v>227423.04</v>
      </c>
      <c r="CX140" s="24">
        <f t="shared" ref="CX140" si="1205">+CW140</f>
        <v>227423.04</v>
      </c>
      <c r="CY140" s="24">
        <f t="shared" ref="CY140" si="1206">+CX140</f>
        <v>227423.04</v>
      </c>
      <c r="CZ140" s="24">
        <f t="shared" ref="CZ140" si="1207">+CY140</f>
        <v>227423.04</v>
      </c>
      <c r="DA140" s="24">
        <f t="shared" ref="DA140" si="1208">+CZ140</f>
        <v>227423.04</v>
      </c>
      <c r="DB140" s="24">
        <f t="shared" ref="DB140" si="1209">+DA140</f>
        <v>227423.04</v>
      </c>
      <c r="DE140" s="123"/>
      <c r="DF140" s="23">
        <v>215539.96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0.1729</v>
      </c>
      <c r="O142" s="23">
        <f>'Annual Raw'!P72+'Annual Raw'!P61</f>
        <v>0.63800000000000001</v>
      </c>
      <c r="P142" s="23">
        <f>'Annual Raw'!Q72+'Annual Raw'!Q61</f>
        <v>1.7729999999999999</v>
      </c>
      <c r="Q142" s="23">
        <f>'Annual Raw'!R72+'Annual Raw'!R61</f>
        <v>123.56229999999999</v>
      </c>
      <c r="R142" s="23">
        <f>'Annual Raw'!S72+'Annual Raw'!S61</f>
        <v>178.1994</v>
      </c>
      <c r="S142" s="23">
        <f>'Annual Raw'!T72+'Annual Raw'!T61</f>
        <v>170.9016</v>
      </c>
      <c r="T142" s="23">
        <f>'Annual Raw'!U72+'Annual Raw'!U61</f>
        <v>172.50470000000001</v>
      </c>
      <c r="U142" s="23">
        <f>'Annual Raw'!V72+'Annual Raw'!V61</f>
        <v>364.48149999999998</v>
      </c>
      <c r="V142" s="23">
        <f>'Annual Raw'!W72+'Annual Raw'!W61</f>
        <v>358.07810000000001</v>
      </c>
      <c r="W142" s="23">
        <f>'Annual Raw'!X72+'Annual Raw'!X61</f>
        <v>362.68900000000002</v>
      </c>
      <c r="X142" s="23">
        <f>'Annual Raw'!Y72+'Annual Raw'!Y61</f>
        <v>388.9171</v>
      </c>
      <c r="Y142" s="23">
        <f>'Annual Raw'!Z72+'Annual Raw'!Z61</f>
        <v>388.8</v>
      </c>
      <c r="Z142" s="23">
        <f>'Annual Raw'!AA72+'Annual Raw'!AA61</f>
        <v>481.69</v>
      </c>
      <c r="AA142" s="23">
        <f>'Annual Raw'!AB72+'Annual Raw'!AB61</f>
        <v>605.13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185.46</v>
      </c>
      <c r="BA142" s="23">
        <f t="shared" si="1214"/>
        <v>185.46</v>
      </c>
      <c r="BB142" s="23">
        <f>+'QTR Raw'!V78</f>
        <v>178.2</v>
      </c>
      <c r="BC142" s="23">
        <f t="shared" si="1214"/>
        <v>178.2</v>
      </c>
      <c r="BD142" s="23">
        <f>+'QTR Raw'!X78</f>
        <v>173.29</v>
      </c>
      <c r="BE142" s="23">
        <f t="shared" si="1214"/>
        <v>173.29</v>
      </c>
      <c r="BF142" s="23">
        <f>+'QTR Raw'!Z78</f>
        <v>170.9</v>
      </c>
      <c r="BG142" s="23">
        <f t="shared" si="1214"/>
        <v>170.9</v>
      </c>
      <c r="BH142" s="23">
        <f>+'QTR Raw'!AB78</f>
        <v>170.21</v>
      </c>
      <c r="BI142" s="23">
        <f t="shared" si="1214"/>
        <v>170.21</v>
      </c>
      <c r="BJ142" s="23">
        <f>+'QTR Raw'!AD78</f>
        <v>172.5</v>
      </c>
      <c r="BK142" s="23">
        <f t="shared" si="1214"/>
        <v>172.5</v>
      </c>
      <c r="BL142" s="23">
        <f>+'QTR Raw'!AF78</f>
        <v>366.9</v>
      </c>
      <c r="BM142" s="23">
        <f t="shared" si="1214"/>
        <v>366.9</v>
      </c>
      <c r="BN142" s="23">
        <f>+'QTR Raw'!AH78</f>
        <v>364.48</v>
      </c>
      <c r="BO142" s="23">
        <f t="shared" si="1214"/>
        <v>364.48</v>
      </c>
      <c r="BP142" s="23">
        <f>+'QTR Raw'!AJ78</f>
        <v>324.08</v>
      </c>
      <c r="BQ142" s="23">
        <f t="shared" si="1214"/>
        <v>324.08</v>
      </c>
      <c r="BR142" s="23">
        <f>+'QTR Raw'!AL78</f>
        <v>358.08</v>
      </c>
      <c r="BS142" s="23">
        <f t="shared" si="1214"/>
        <v>358.08</v>
      </c>
      <c r="BT142" s="23">
        <f>+'QTR Raw'!AN78</f>
        <v>338.33</v>
      </c>
      <c r="BU142" s="23">
        <f t="shared" si="1214"/>
        <v>338.33</v>
      </c>
      <c r="BV142" s="23">
        <f>+'QTR Raw'!AP78</f>
        <v>362.69</v>
      </c>
      <c r="BW142" s="23">
        <f t="shared" si="1214"/>
        <v>362.69</v>
      </c>
      <c r="BX142" s="23">
        <f>+'QTR Raw'!AR78</f>
        <v>357.07</v>
      </c>
      <c r="BY142" s="23">
        <f t="shared" si="1214"/>
        <v>357.07</v>
      </c>
      <c r="BZ142" s="23">
        <f>+'QTR Raw'!AT78</f>
        <v>388.92</v>
      </c>
      <c r="CA142" s="23">
        <f t="shared" si="1214"/>
        <v>388.92</v>
      </c>
      <c r="CB142" s="23">
        <f>+'QTR Raw'!AV78</f>
        <v>357.21</v>
      </c>
      <c r="CC142" s="23">
        <f t="shared" si="1214"/>
        <v>357.21</v>
      </c>
      <c r="CD142" s="23">
        <f>+'QTR Raw'!AX78</f>
        <v>388.79</v>
      </c>
      <c r="CE142" s="23">
        <f t="shared" si="1214"/>
        <v>388.79</v>
      </c>
      <c r="CF142" s="23">
        <f>+'QTR Raw'!AZ78</f>
        <v>433.84</v>
      </c>
      <c r="CG142" s="23">
        <f t="shared" si="1191"/>
        <v>433.84</v>
      </c>
      <c r="CH142" s="23">
        <f t="shared" si="1192"/>
        <v>481.69</v>
      </c>
      <c r="CJ142" s="23">
        <f>+'QTR Raw'!BD78</f>
        <v>548.42999999999995</v>
      </c>
      <c r="CK142" s="24"/>
      <c r="CL142" s="23">
        <f>+'QTR Raw'!BF78</f>
        <v>605.13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605.13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39071.5</v>
      </c>
      <c r="BA143" s="23">
        <f t="shared" si="1214"/>
        <v>39071.5</v>
      </c>
      <c r="BB143" s="23">
        <f>+'QTR Raw'!V79+'QTR Raw'!V76</f>
        <v>44573.03</v>
      </c>
      <c r="BC143" s="23">
        <f t="shared" si="1214"/>
        <v>44573.03</v>
      </c>
      <c r="BD143" s="23">
        <f>+'QTR Raw'!X79+'QTR Raw'!X76</f>
        <v>48823.46</v>
      </c>
      <c r="BE143" s="23">
        <f t="shared" si="1214"/>
        <v>48823.46</v>
      </c>
      <c r="BF143" s="23">
        <f>+'QTR Raw'!Z79+'QTR Raw'!Z76</f>
        <v>54935.85</v>
      </c>
      <c r="BG143" s="23">
        <f t="shared" si="1214"/>
        <v>54935.85</v>
      </c>
      <c r="BH143" s="23">
        <f>+'QTR Raw'!AB79+'QTR Raw'!AB76</f>
        <v>59749.13</v>
      </c>
      <c r="BI143" s="23">
        <f t="shared" si="1214"/>
        <v>59749.13</v>
      </c>
      <c r="BJ143" s="23">
        <f>+'QTR Raw'!AD79+'QTR Raw'!AD76</f>
        <v>69129.08</v>
      </c>
      <c r="BK143" s="23">
        <f t="shared" si="1214"/>
        <v>69129.08</v>
      </c>
      <c r="BL143" s="23">
        <f>+'QTR Raw'!AF79+'QTR Raw'!AF76</f>
        <v>76931.98</v>
      </c>
      <c r="BM143" s="23">
        <f t="shared" si="1214"/>
        <v>76931.98</v>
      </c>
      <c r="BN143" s="23">
        <f>+'QTR Raw'!AH79+'QTR Raw'!AH76</f>
        <v>78565.33</v>
      </c>
      <c r="BO143" s="23">
        <f t="shared" si="1214"/>
        <v>78565.33</v>
      </c>
      <c r="BP143" s="23">
        <f>+'QTR Raw'!AJ79+'QTR Raw'!AJ76</f>
        <v>93475.7</v>
      </c>
      <c r="BQ143" s="23">
        <f t="shared" si="1214"/>
        <v>93475.7</v>
      </c>
      <c r="BR143" s="23">
        <f>+'QTR Raw'!AL79+'QTR Raw'!AL76</f>
        <v>116215.02</v>
      </c>
      <c r="BS143" s="23">
        <f t="shared" si="1214"/>
        <v>116215.02</v>
      </c>
      <c r="BT143" s="23">
        <f>+'QTR Raw'!AN79+'QTR Raw'!AN76</f>
        <v>130014.57</v>
      </c>
      <c r="BU143" s="23">
        <f t="shared" si="1214"/>
        <v>130014.57</v>
      </c>
      <c r="BV143" s="23">
        <f>+'QTR Raw'!AP79+'QTR Raw'!AP76</f>
        <v>142625.31</v>
      </c>
      <c r="BW143" s="23">
        <f t="shared" si="1214"/>
        <v>142625.31</v>
      </c>
      <c r="BX143" s="23">
        <f>+'QTR Raw'!AR79+'QTR Raw'!AR76</f>
        <v>148435.64000000001</v>
      </c>
      <c r="BY143" s="23">
        <f t="shared" si="1214"/>
        <v>148435.64000000001</v>
      </c>
      <c r="BZ143" s="23">
        <f>+'QTR Raw'!AT79+'QTR Raw'!AT76</f>
        <v>163255.54</v>
      </c>
      <c r="CA143" s="23">
        <f t="shared" si="1214"/>
        <v>163255.54</v>
      </c>
      <c r="CB143" s="23">
        <f>+'QTR Raw'!AV79+'QTR Raw'!AV76</f>
        <v>185320.97</v>
      </c>
      <c r="CC143" s="23">
        <f t="shared" si="1214"/>
        <v>185320.97</v>
      </c>
      <c r="CD143" s="23">
        <f>+'QTR Raw'!AX79+'QTR Raw'!AX76</f>
        <v>216010.27</v>
      </c>
      <c r="CE143" s="23">
        <f t="shared" si="1214"/>
        <v>216010.27</v>
      </c>
      <c r="CF143" s="23">
        <f>+'QTR Raw'!AZ79+'QTR Raw'!AZ76</f>
        <v>251155.9</v>
      </c>
      <c r="CG143" s="23">
        <f t="shared" si="1191"/>
        <v>251155.9</v>
      </c>
      <c r="CH143" s="23">
        <f t="shared" si="1192"/>
        <v>0</v>
      </c>
      <c r="CJ143" s="23">
        <f>+'QTR Raw'!BD79+'QTR Raw'!BD76</f>
        <v>265186.37</v>
      </c>
      <c r="CK143" s="24"/>
      <c r="CL143" s="23">
        <f>+'QTR Raw'!BF79+'QTR Raw'!BF76</f>
        <v>258944.45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258944.45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3">
        <f>'Annual Raw'!AB77</f>
        <v>0</v>
      </c>
      <c r="AB145" s="24">
        <f t="shared" si="1210"/>
        <v>0</v>
      </c>
      <c r="AC145" s="24">
        <f t="shared" si="1211"/>
        <v>0</v>
      </c>
      <c r="AD145" s="24">
        <f t="shared" si="1212"/>
        <v>0</v>
      </c>
      <c r="AE145" s="24">
        <f t="shared" si="1213"/>
        <v>0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192"/>
        <v>0</v>
      </c>
      <c r="CI145" s="23">
        <f>+CI180*CI10/90</f>
        <v>0</v>
      </c>
      <c r="CJ145" s="23">
        <f>+'QTR Raw'!BD82</f>
        <v>0</v>
      </c>
      <c r="CK145" s="24">
        <f t="shared" ref="CK145:DB145" si="1216">+CK180*CK10/90</f>
        <v>0</v>
      </c>
      <c r="CL145" s="23">
        <f>+'QTR Raw'!BF82</f>
        <v>0</v>
      </c>
      <c r="CM145" s="24">
        <f t="shared" si="1216"/>
        <v>0</v>
      </c>
      <c r="CN145" s="24">
        <f t="shared" si="1216"/>
        <v>0</v>
      </c>
      <c r="CO145" s="24">
        <f t="shared" si="1216"/>
        <v>0</v>
      </c>
      <c r="CP145" s="24">
        <f t="shared" si="1216"/>
        <v>0</v>
      </c>
      <c r="CQ145" s="24">
        <f t="shared" si="1216"/>
        <v>0</v>
      </c>
      <c r="CR145" s="24">
        <f t="shared" si="1216"/>
        <v>0</v>
      </c>
      <c r="CS145" s="24">
        <f t="shared" si="1216"/>
        <v>0</v>
      </c>
      <c r="CT145" s="24">
        <f t="shared" si="1216"/>
        <v>0</v>
      </c>
      <c r="CU145" s="24">
        <f t="shared" si="1216"/>
        <v>0</v>
      </c>
      <c r="CV145" s="24">
        <f t="shared" si="1216"/>
        <v>0</v>
      </c>
      <c r="CW145" s="24">
        <f t="shared" si="1216"/>
        <v>0</v>
      </c>
      <c r="CX145" s="24">
        <f t="shared" si="1216"/>
        <v>0</v>
      </c>
      <c r="CY145" s="24">
        <f t="shared" si="1216"/>
        <v>0</v>
      </c>
      <c r="CZ145" s="24">
        <f t="shared" si="1216"/>
        <v>0</v>
      </c>
      <c r="DA145" s="24">
        <f t="shared" si="1216"/>
        <v>0</v>
      </c>
      <c r="DB145" s="24">
        <f t="shared" si="1216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243.02459999999999</v>
      </c>
      <c r="K146" s="23">
        <f>'Annual Raw'!L79</f>
        <v>314.52080000000001</v>
      </c>
      <c r="L146" s="23">
        <f>'Annual Raw'!M79</f>
        <v>509.41539999999998</v>
      </c>
      <c r="M146" s="23">
        <f>'Annual Raw'!N79</f>
        <v>857.94200000000001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2372.2887999999998</v>
      </c>
      <c r="R146" s="23">
        <f>'Annual Raw'!S79</f>
        <v>3231.4902000000002</v>
      </c>
      <c r="S146" s="23">
        <f>'Annual Raw'!T79</f>
        <v>3845.8119999999999</v>
      </c>
      <c r="T146" s="23">
        <f>'Annual Raw'!U79</f>
        <v>4176.3446999999996</v>
      </c>
      <c r="U146" s="23">
        <f>'Annual Raw'!V79</f>
        <v>4345.4558999999999</v>
      </c>
      <c r="V146" s="23">
        <f>'Annual Raw'!W79</f>
        <v>4382.3477999999996</v>
      </c>
      <c r="W146" s="23">
        <f>'Annual Raw'!X79</f>
        <v>4336.3678</v>
      </c>
      <c r="X146" s="23">
        <f>'Annual Raw'!Y79</f>
        <v>5097.7341999999999</v>
      </c>
      <c r="Y146" s="23">
        <f>'Annual Raw'!Z79</f>
        <v>6680.47</v>
      </c>
      <c r="Z146" s="23">
        <f>'Annual Raw'!AA79</f>
        <v>6287.89</v>
      </c>
      <c r="AA146" s="23">
        <f>'Annual Raw'!AB79</f>
        <v>0</v>
      </c>
      <c r="AB146" s="24">
        <f t="shared" si="1210"/>
        <v>318006.00340933632</v>
      </c>
      <c r="AC146" s="24">
        <f t="shared" si="1211"/>
        <v>377702.78185860527</v>
      </c>
      <c r="AD146" s="24">
        <f t="shared" si="1212"/>
        <v>448864.14263215399</v>
      </c>
      <c r="AE146" s="24">
        <f t="shared" si="1213"/>
        <v>533471.63854761422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0</v>
      </c>
      <c r="BW146" s="23">
        <f t="shared" si="1214"/>
        <v>0</v>
      </c>
      <c r="BX146" s="23">
        <f>+'QTR Raw'!AR84</f>
        <v>0</v>
      </c>
      <c r="BY146" s="23">
        <f t="shared" si="1214"/>
        <v>0</v>
      </c>
      <c r="BZ146" s="23">
        <f>+'QTR Raw'!AT84</f>
        <v>0</v>
      </c>
      <c r="CA146" s="23">
        <f t="shared" si="1214"/>
        <v>0</v>
      </c>
      <c r="CB146" s="23">
        <f>+'QTR Raw'!AV84</f>
        <v>0</v>
      </c>
      <c r="CC146" s="23">
        <f t="shared" si="1214"/>
        <v>0</v>
      </c>
      <c r="CD146" s="23">
        <f>+'QTR Raw'!AX84</f>
        <v>0</v>
      </c>
      <c r="CE146" s="23">
        <f t="shared" si="1214"/>
        <v>0</v>
      </c>
      <c r="CF146" s="23">
        <f>+'QTR Raw'!AZ84</f>
        <v>0</v>
      </c>
      <c r="CG146" s="23">
        <f t="shared" ref="CG146:CG147" si="1217">+CF146</f>
        <v>0</v>
      </c>
      <c r="CH146" s="23">
        <f t="shared" si="1192"/>
        <v>6287.89</v>
      </c>
      <c r="CI146" s="23">
        <f>CI10/90*CI181</f>
        <v>4873.7539675055777</v>
      </c>
      <c r="CJ146" s="23">
        <f>+'QTR Raw'!BD84</f>
        <v>0</v>
      </c>
      <c r="CK146" s="24">
        <f t="shared" ref="CK146:DB146" si="1218">CK10/90*CK181</f>
        <v>331121.6396383174</v>
      </c>
      <c r="CL146" s="23">
        <f>+'QTR Raw'!BF84</f>
        <v>0</v>
      </c>
      <c r="CM146" s="24">
        <f t="shared" si="1218"/>
        <v>197675.4962296779</v>
      </c>
      <c r="CN146" s="24">
        <f t="shared" si="1218"/>
        <v>288840.13766818098</v>
      </c>
      <c r="CO146" s="24">
        <f t="shared" si="1218"/>
        <v>349476.16241701611</v>
      </c>
      <c r="CP146" s="24">
        <f t="shared" si="1218"/>
        <v>318006.00340933632</v>
      </c>
      <c r="CQ146" s="24">
        <f t="shared" si="1218"/>
        <v>235069.09218043814</v>
      </c>
      <c r="CR146" s="24">
        <f t="shared" si="1218"/>
        <v>343747.77207293722</v>
      </c>
      <c r="CS146" s="24">
        <f t="shared" si="1218"/>
        <v>415263.97343883064</v>
      </c>
      <c r="CT146" s="24">
        <f t="shared" si="1218"/>
        <v>377702.78185860527</v>
      </c>
      <c r="CU146" s="24">
        <f t="shared" si="1218"/>
        <v>279452.05458166992</v>
      </c>
      <c r="CV146" s="24">
        <f t="shared" si="1218"/>
        <v>408619.354938209</v>
      </c>
      <c r="CW146" s="24">
        <f t="shared" si="1218"/>
        <v>493488.88918901962</v>
      </c>
      <c r="CX146" s="24">
        <f t="shared" si="1218"/>
        <v>448864.14263215399</v>
      </c>
      <c r="CY146" s="24">
        <f t="shared" si="1218"/>
        <v>332150.1711786674</v>
      </c>
      <c r="CZ146" s="24">
        <f t="shared" si="1218"/>
        <v>485651.74562935589</v>
      </c>
      <c r="DA146" s="24">
        <f t="shared" si="1218"/>
        <v>586496.11814091098</v>
      </c>
      <c r="DB146" s="24">
        <f t="shared" si="1218"/>
        <v>533471.63854761422</v>
      </c>
      <c r="DE146" s="123"/>
      <c r="DF146" s="23">
        <v>295937.67199173861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3">
        <f>'Annual Raw'!AB80</f>
        <v>0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2306.5700000000002</v>
      </c>
      <c r="BA147" s="23">
        <f t="shared" si="1214"/>
        <v>2306.5700000000002</v>
      </c>
      <c r="BB147" s="23">
        <f>+'QTR Raw'!V85</f>
        <v>3262.77</v>
      </c>
      <c r="BC147" s="23">
        <f t="shared" si="1214"/>
        <v>3262.77</v>
      </c>
      <c r="BD147" s="23">
        <f>+'QTR Raw'!X85</f>
        <v>3525.95</v>
      </c>
      <c r="BE147" s="23">
        <f t="shared" si="1214"/>
        <v>3525.95</v>
      </c>
      <c r="BF147" s="23">
        <f>+'QTR Raw'!Z85</f>
        <v>3887.75</v>
      </c>
      <c r="BG147" s="23">
        <f t="shared" si="1214"/>
        <v>3887.75</v>
      </c>
      <c r="BH147" s="23">
        <f>+'QTR Raw'!AB85</f>
        <v>3735.88</v>
      </c>
      <c r="BI147" s="23">
        <f t="shared" si="1214"/>
        <v>3735.88</v>
      </c>
      <c r="BJ147" s="23">
        <f>+'QTR Raw'!AD85</f>
        <v>4220.78</v>
      </c>
      <c r="BK147" s="23">
        <f t="shared" si="1214"/>
        <v>4220.78</v>
      </c>
      <c r="BL147" s="23">
        <f>+'QTR Raw'!AF85</f>
        <v>4035.79</v>
      </c>
      <c r="BM147" s="23">
        <f t="shared" si="1214"/>
        <v>4035.79</v>
      </c>
      <c r="BN147" s="23">
        <f>+'QTR Raw'!AH85</f>
        <v>4397.95</v>
      </c>
      <c r="BO147" s="23">
        <f t="shared" si="1214"/>
        <v>4397.95</v>
      </c>
      <c r="BP147" s="23">
        <f>+'QTR Raw'!AJ85</f>
        <v>4421.4799999999996</v>
      </c>
      <c r="BQ147" s="23">
        <f t="shared" si="1214"/>
        <v>4421.4799999999996</v>
      </c>
      <c r="BR147" s="23">
        <f>+'QTR Raw'!AL85</f>
        <v>4440.24</v>
      </c>
      <c r="BS147" s="23">
        <f t="shared" si="1214"/>
        <v>4440.24</v>
      </c>
      <c r="BT147" s="23">
        <f>+'QTR Raw'!AN85</f>
        <v>4445.7299999999996</v>
      </c>
      <c r="BU147" s="23">
        <f t="shared" si="1214"/>
        <v>4445.7299999999996</v>
      </c>
      <c r="BV147" s="23">
        <f>+'QTR Raw'!AP85</f>
        <v>4411.5200000000004</v>
      </c>
      <c r="BW147" s="23">
        <f t="shared" si="1214"/>
        <v>4411.5200000000004</v>
      </c>
      <c r="BX147" s="23">
        <f>+'QTR Raw'!AR85</f>
        <v>4551.1899999999996</v>
      </c>
      <c r="BY147" s="23">
        <f t="shared" si="1214"/>
        <v>4551.1899999999996</v>
      </c>
      <c r="BZ147" s="23">
        <f>+'QTR Raw'!AT85</f>
        <v>5189.34</v>
      </c>
      <c r="CA147" s="23">
        <f t="shared" si="1214"/>
        <v>5189.34</v>
      </c>
      <c r="CB147" s="23">
        <f>+'QTR Raw'!AV85</f>
        <v>5579.89</v>
      </c>
      <c r="CC147" s="23">
        <f t="shared" si="1214"/>
        <v>5579.89</v>
      </c>
      <c r="CD147" s="23">
        <f>+'QTR Raw'!AX85</f>
        <v>6995.34</v>
      </c>
      <c r="CE147" s="23">
        <f t="shared" si="1214"/>
        <v>6995.34</v>
      </c>
      <c r="CF147" s="23">
        <f>+'QTR Raw'!AZ85</f>
        <v>7401.02</v>
      </c>
      <c r="CG147" s="23">
        <f t="shared" si="1217"/>
        <v>7401.02</v>
      </c>
      <c r="CH147" s="23">
        <f t="shared" si="1192"/>
        <v>0</v>
      </c>
      <c r="CJ147" s="23">
        <f>+'QTR Raw'!BD85</f>
        <v>6301.11</v>
      </c>
      <c r="CK147" s="24"/>
      <c r="CL147" s="23">
        <f>+'QTR Raw'!BF85</f>
        <v>9177.69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9177.69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243.02459999999999</v>
      </c>
      <c r="K148" s="22">
        <f t="shared" si="1219"/>
        <v>314.52080000000001</v>
      </c>
      <c r="L148" s="22">
        <f>SUM(L142:L147)</f>
        <v>509.41539999999998</v>
      </c>
      <c r="M148" s="22">
        <f>SUM(M142:M147)</f>
        <v>857.94200000000001</v>
      </c>
      <c r="N148" s="22">
        <f t="shared" si="1219"/>
        <v>0.1729</v>
      </c>
      <c r="O148" s="22">
        <f t="shared" si="1219"/>
        <v>0.63800000000000001</v>
      </c>
      <c r="P148" s="22">
        <f t="shared" si="1219"/>
        <v>1.7729999999999999</v>
      </c>
      <c r="Q148" s="22">
        <f t="shared" si="1219"/>
        <v>2495.8510999999999</v>
      </c>
      <c r="R148" s="22">
        <f t="shared" si="1219"/>
        <v>3409.6896000000002</v>
      </c>
      <c r="S148" s="22">
        <f t="shared" si="1219"/>
        <v>4016.7136</v>
      </c>
      <c r="T148" s="22">
        <f t="shared" si="1219"/>
        <v>4348.8494000000001</v>
      </c>
      <c r="U148" s="22">
        <f t="shared" si="1219"/>
        <v>4709.9373999999998</v>
      </c>
      <c r="V148" s="22">
        <f t="shared" si="1219"/>
        <v>4740.4258999999993</v>
      </c>
      <c r="W148" s="22">
        <f t="shared" ref="W148" si="1220">SUM(W142:W147)</f>
        <v>4699.0568000000003</v>
      </c>
      <c r="X148" s="22">
        <f t="shared" ref="X148:Y148" si="1221">SUM(X142:X147)</f>
        <v>5486.6512999999995</v>
      </c>
      <c r="Y148" s="22">
        <f t="shared" si="1221"/>
        <v>7069.27</v>
      </c>
      <c r="Z148" s="22">
        <f t="shared" ref="Z148:AA148" si="1222">SUM(Z142:Z147)</f>
        <v>6769.58</v>
      </c>
      <c r="AA148" s="22">
        <f t="shared" si="1222"/>
        <v>605.13</v>
      </c>
      <c r="AB148" s="21">
        <f t="shared" ref="AA148:AD148" si="1223">SUM(AB142:AB147)</f>
        <v>318006.00340933632</v>
      </c>
      <c r="AC148" s="21">
        <f t="shared" si="1223"/>
        <v>377702.78185860527</v>
      </c>
      <c r="AD148" s="21">
        <f t="shared" si="1223"/>
        <v>448864.14263215399</v>
      </c>
      <c r="AE148" s="21">
        <f t="shared" ref="AE148" si="1224">SUM(AE142:AE147)</f>
        <v>533471.63854761422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41563.53</v>
      </c>
      <c r="BA148" s="22">
        <f t="shared" si="1229"/>
        <v>41563.53</v>
      </c>
      <c r="BB148" s="22">
        <f t="shared" si="1229"/>
        <v>48013.999999999993</v>
      </c>
      <c r="BC148" s="22">
        <f t="shared" si="1229"/>
        <v>48013.999999999993</v>
      </c>
      <c r="BD148" s="22">
        <f t="shared" si="1229"/>
        <v>52522.7</v>
      </c>
      <c r="BE148" s="22">
        <f t="shared" si="1229"/>
        <v>52522.7</v>
      </c>
      <c r="BF148" s="22">
        <f t="shared" si="1229"/>
        <v>58994.5</v>
      </c>
      <c r="BG148" s="22">
        <f t="shared" si="1229"/>
        <v>58994.5</v>
      </c>
      <c r="BH148" s="22">
        <f t="shared" si="1229"/>
        <v>63655.219999999994</v>
      </c>
      <c r="BI148" s="22">
        <f t="shared" si="1229"/>
        <v>63655.219999999994</v>
      </c>
      <c r="BJ148" s="22">
        <f t="shared" si="1229"/>
        <v>73522.36</v>
      </c>
      <c r="BK148" s="22">
        <f t="shared" si="1229"/>
        <v>73522.36</v>
      </c>
      <c r="BL148" s="22">
        <f t="shared" si="1229"/>
        <v>81334.669999999984</v>
      </c>
      <c r="BM148" s="22">
        <f t="shared" si="1229"/>
        <v>81334.669999999984</v>
      </c>
      <c r="BN148" s="22">
        <f t="shared" si="1229"/>
        <v>83327.759999999995</v>
      </c>
      <c r="BO148" s="22">
        <f t="shared" si="1229"/>
        <v>83327.759999999995</v>
      </c>
      <c r="BP148" s="22">
        <f t="shared" si="1229"/>
        <v>98221.26</v>
      </c>
      <c r="BQ148" s="22">
        <f t="shared" si="1229"/>
        <v>98221.26</v>
      </c>
      <c r="BR148" s="22">
        <f t="shared" si="1229"/>
        <v>121013.34000000001</v>
      </c>
      <c r="BS148" s="22">
        <f t="shared" si="1229"/>
        <v>121013.34000000001</v>
      </c>
      <c r="BT148" s="22">
        <f t="shared" si="1229"/>
        <v>134798.63</v>
      </c>
      <c r="BU148" s="22">
        <f t="shared" si="1229"/>
        <v>134798.63</v>
      </c>
      <c r="BV148" s="22">
        <f t="shared" si="1229"/>
        <v>147399.51999999999</v>
      </c>
      <c r="BW148" s="22">
        <f t="shared" si="1229"/>
        <v>147399.51999999999</v>
      </c>
      <c r="BX148" s="22">
        <f t="shared" si="1229"/>
        <v>153343.90000000002</v>
      </c>
      <c r="BY148" s="22">
        <f t="shared" si="1229"/>
        <v>153343.90000000002</v>
      </c>
      <c r="BZ148" s="22">
        <f t="shared" si="1229"/>
        <v>168833.80000000002</v>
      </c>
      <c r="CA148" s="22">
        <f t="shared" si="1229"/>
        <v>168833.80000000002</v>
      </c>
      <c r="CB148" s="22">
        <f t="shared" si="1229"/>
        <v>191258.07</v>
      </c>
      <c r="CC148" s="22">
        <f t="shared" si="1229"/>
        <v>191258.07</v>
      </c>
      <c r="CD148" s="22">
        <f t="shared" si="1229"/>
        <v>223394.4</v>
      </c>
      <c r="CE148" s="22">
        <f t="shared" si="1229"/>
        <v>223394.4</v>
      </c>
      <c r="CF148" s="22">
        <f t="shared" ref="CF148:CG148" si="1230">SUM(CF142:CF147)</f>
        <v>258990.75999999998</v>
      </c>
      <c r="CG148" s="22">
        <f t="shared" si="1230"/>
        <v>258990.75999999998</v>
      </c>
      <c r="CH148" s="22">
        <f t="shared" ref="CH148:CI148" si="1231">SUM(CH142:CH147)</f>
        <v>6769.58</v>
      </c>
      <c r="CI148" s="22">
        <f t="shared" si="1231"/>
        <v>4873.7539675055777</v>
      </c>
      <c r="CJ148" s="22">
        <f t="shared" ref="CJ148:DB148" si="1232">SUM(CJ142:CJ147)</f>
        <v>272035.90999999997</v>
      </c>
      <c r="CK148" s="21">
        <f t="shared" si="1232"/>
        <v>331121.6396383174</v>
      </c>
      <c r="CL148" s="22">
        <f t="shared" ref="CL148" si="1233">SUM(CL142:CL147)</f>
        <v>268727.27</v>
      </c>
      <c r="CM148" s="21">
        <f t="shared" si="1232"/>
        <v>197675.4962296779</v>
      </c>
      <c r="CN148" s="21">
        <f t="shared" si="1232"/>
        <v>288840.13766818098</v>
      </c>
      <c r="CO148" s="21">
        <f t="shared" si="1232"/>
        <v>349476.16241701611</v>
      </c>
      <c r="CP148" s="21">
        <f t="shared" si="1232"/>
        <v>318006.00340933632</v>
      </c>
      <c r="CQ148" s="21">
        <f t="shared" si="1232"/>
        <v>235069.09218043814</v>
      </c>
      <c r="CR148" s="21">
        <f t="shared" si="1232"/>
        <v>343747.77207293722</v>
      </c>
      <c r="CS148" s="21">
        <f t="shared" si="1232"/>
        <v>415263.97343883064</v>
      </c>
      <c r="CT148" s="21">
        <f t="shared" si="1232"/>
        <v>377702.78185860527</v>
      </c>
      <c r="CU148" s="21">
        <f t="shared" si="1232"/>
        <v>279452.05458166992</v>
      </c>
      <c r="CV148" s="21">
        <f t="shared" si="1232"/>
        <v>408619.354938209</v>
      </c>
      <c r="CW148" s="21">
        <f t="shared" si="1232"/>
        <v>493488.88918901962</v>
      </c>
      <c r="CX148" s="21">
        <f t="shared" si="1232"/>
        <v>448864.14263215399</v>
      </c>
      <c r="CY148" s="21">
        <f t="shared" si="1232"/>
        <v>332150.1711786674</v>
      </c>
      <c r="CZ148" s="21">
        <f t="shared" si="1232"/>
        <v>485651.74562935589</v>
      </c>
      <c r="DA148" s="21">
        <f t="shared" si="1232"/>
        <v>586496.11814091098</v>
      </c>
      <c r="DB148" s="21">
        <f t="shared" si="1232"/>
        <v>533471.63854761422</v>
      </c>
      <c r="DE148" s="126"/>
      <c r="DF148" s="22">
        <v>295937.67199173861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43998.95</v>
      </c>
      <c r="BA149" s="23">
        <f t="shared" si="1238"/>
        <v>43998.95</v>
      </c>
      <c r="BB149" s="23">
        <f>+'QTR Raw'!V64</f>
        <v>49100.14</v>
      </c>
      <c r="BC149" s="23">
        <f t="shared" si="1238"/>
        <v>49100.14</v>
      </c>
      <c r="BD149" s="23">
        <f>+'QTR Raw'!X64</f>
        <v>51798.03</v>
      </c>
      <c r="BE149" s="23">
        <f t="shared" si="1238"/>
        <v>51798.03</v>
      </c>
      <c r="BF149" s="23">
        <f>+'QTR Raw'!Z64</f>
        <v>56498.61</v>
      </c>
      <c r="BG149" s="23">
        <f t="shared" si="1238"/>
        <v>56498.61</v>
      </c>
      <c r="BH149" s="23">
        <f>+'QTR Raw'!AB64</f>
        <v>60684.67</v>
      </c>
      <c r="BI149" s="23">
        <f t="shared" si="1238"/>
        <v>60684.67</v>
      </c>
      <c r="BJ149" s="23">
        <f>+'QTR Raw'!AD64</f>
        <v>66010.78</v>
      </c>
      <c r="BK149" s="23">
        <f t="shared" si="1238"/>
        <v>66010.78</v>
      </c>
      <c r="BL149" s="23">
        <f>+'QTR Raw'!AF64</f>
        <v>71410.240000000005</v>
      </c>
      <c r="BM149" s="23">
        <f t="shared" si="1238"/>
        <v>71410.240000000005</v>
      </c>
      <c r="BN149" s="23">
        <f>+'QTR Raw'!AH64</f>
        <v>74535.8</v>
      </c>
      <c r="BO149" s="23">
        <f t="shared" si="1238"/>
        <v>74535.8</v>
      </c>
      <c r="BP149" s="23">
        <f>+'QTR Raw'!AJ64</f>
        <v>83786.37</v>
      </c>
      <c r="BQ149" s="23">
        <f t="shared" si="1238"/>
        <v>83786.37</v>
      </c>
      <c r="BR149" s="23">
        <f>+'QTR Raw'!AL64</f>
        <v>95134.29</v>
      </c>
      <c r="BS149" s="23">
        <f t="shared" si="1238"/>
        <v>95134.29</v>
      </c>
      <c r="BT149" s="23">
        <f>+'QTR Raw'!AN64</f>
        <v>131738.99</v>
      </c>
      <c r="BU149" s="23">
        <f t="shared" si="1238"/>
        <v>131738.99</v>
      </c>
      <c r="BV149" s="23">
        <f>+'QTR Raw'!AP64</f>
        <v>112965.94</v>
      </c>
      <c r="BW149" s="23">
        <f t="shared" si="1238"/>
        <v>112965.94</v>
      </c>
      <c r="BX149" s="23">
        <f>+'QTR Raw'!AR64</f>
        <v>144565.25</v>
      </c>
      <c r="BY149" s="23">
        <f t="shared" si="1238"/>
        <v>144565.25</v>
      </c>
      <c r="BZ149" s="23">
        <f>+'QTR Raw'!AT64</f>
        <v>132170.79999999999</v>
      </c>
      <c r="CA149" s="23">
        <f t="shared" si="1238"/>
        <v>132170.79999999999</v>
      </c>
      <c r="CB149" s="23">
        <f>+'QTR Raw'!AV64</f>
        <v>180165.73</v>
      </c>
      <c r="CC149" s="23">
        <f t="shared" si="1238"/>
        <v>180165.73</v>
      </c>
      <c r="CD149" s="23">
        <f>+'QTR Raw'!AX64</f>
        <v>160527.6</v>
      </c>
      <c r="CE149" s="23">
        <f t="shared" si="1238"/>
        <v>160527.6</v>
      </c>
      <c r="CF149" s="23">
        <f>+'QTR Raw'!AZ64</f>
        <v>245900.52</v>
      </c>
      <c r="CG149" s="23">
        <f t="shared" ref="CG149:CG152" si="1239">+CF149</f>
        <v>245900.52</v>
      </c>
      <c r="CH149" s="23">
        <f t="shared" si="1192"/>
        <v>0</v>
      </c>
      <c r="CJ149" s="23">
        <f>+'QTR Raw'!BD64</f>
        <v>258175.37</v>
      </c>
      <c r="CK149" s="24"/>
      <c r="CL149" s="23">
        <f>+'QTR Raw'!BF64</f>
        <v>214022.92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214022.92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39071.26</v>
      </c>
      <c r="BA151" s="23">
        <f t="shared" si="1238"/>
        <v>39071.26</v>
      </c>
      <c r="BB151" s="23">
        <f>+'QTR Raw'!V66</f>
        <v>44573.03</v>
      </c>
      <c r="BC151" s="23">
        <f t="shared" si="1238"/>
        <v>44573.03</v>
      </c>
      <c r="BD151" s="23">
        <f>+'QTR Raw'!X66</f>
        <v>48823.46</v>
      </c>
      <c r="BE151" s="23">
        <f t="shared" si="1238"/>
        <v>48823.46</v>
      </c>
      <c r="BF151" s="23">
        <f>+'QTR Raw'!Z66</f>
        <v>54935.85</v>
      </c>
      <c r="BG151" s="23">
        <f t="shared" si="1238"/>
        <v>54935.85</v>
      </c>
      <c r="BH151" s="23">
        <f>+'QTR Raw'!AB66</f>
        <v>59749.13</v>
      </c>
      <c r="BI151" s="23">
        <f t="shared" si="1238"/>
        <v>59749.13</v>
      </c>
      <c r="BJ151" s="23">
        <f>+'QTR Raw'!AD66</f>
        <v>69129.08</v>
      </c>
      <c r="BK151" s="23">
        <f t="shared" si="1238"/>
        <v>69129.08</v>
      </c>
      <c r="BL151" s="23">
        <f>+'QTR Raw'!AF66</f>
        <v>76931.98</v>
      </c>
      <c r="BM151" s="23">
        <f t="shared" si="1238"/>
        <v>76931.98</v>
      </c>
      <c r="BN151" s="23">
        <f>+'QTR Raw'!AH66</f>
        <v>78565.34</v>
      </c>
      <c r="BO151" s="23">
        <f t="shared" si="1238"/>
        <v>78565.34</v>
      </c>
      <c r="BP151" s="23">
        <f>+'QTR Raw'!AJ66</f>
        <v>93475.7</v>
      </c>
      <c r="BQ151" s="23">
        <f t="shared" si="1238"/>
        <v>93475.7</v>
      </c>
      <c r="BR151" s="23">
        <f>+'QTR Raw'!AL66</f>
        <v>116215.03</v>
      </c>
      <c r="BS151" s="23">
        <f t="shared" si="1238"/>
        <v>116215.03</v>
      </c>
      <c r="BT151" s="23">
        <f>+'QTR Raw'!AN66</f>
        <v>101357.32</v>
      </c>
      <c r="BU151" s="23">
        <f t="shared" si="1238"/>
        <v>101357.32</v>
      </c>
      <c r="BV151" s="23">
        <f>+'QTR Raw'!AP66</f>
        <v>142625.31</v>
      </c>
      <c r="BW151" s="23">
        <f t="shared" si="1238"/>
        <v>142625.31</v>
      </c>
      <c r="BX151" s="23">
        <f>+'QTR Raw'!AR66</f>
        <v>125905.23</v>
      </c>
      <c r="BY151" s="23">
        <f t="shared" si="1238"/>
        <v>125905.23</v>
      </c>
      <c r="BZ151" s="23">
        <f>+'QTR Raw'!AT66</f>
        <v>163255.54</v>
      </c>
      <c r="CA151" s="23">
        <f t="shared" si="1238"/>
        <v>163255.54</v>
      </c>
      <c r="CB151" s="23">
        <f>+'QTR Raw'!AV66</f>
        <v>150770.14000000001</v>
      </c>
      <c r="CC151" s="23">
        <f t="shared" si="1238"/>
        <v>150770.14000000001</v>
      </c>
      <c r="CD151" s="23">
        <f>+'QTR Raw'!AX66</f>
        <v>216010.27</v>
      </c>
      <c r="CE151" s="23">
        <f t="shared" si="1238"/>
        <v>216010.27</v>
      </c>
      <c r="CF151" s="23">
        <f>+'QTR Raw'!AZ66</f>
        <v>179994.72</v>
      </c>
      <c r="CG151" s="23">
        <f t="shared" si="1239"/>
        <v>179994.72</v>
      </c>
      <c r="CH151" s="23">
        <f t="shared" si="1192"/>
        <v>0</v>
      </c>
      <c r="CJ151" s="23">
        <f>+'QTR Raw'!BD66</f>
        <v>206592.71</v>
      </c>
      <c r="CK151" s="24"/>
      <c r="CL151" s="23">
        <f>+'QTR Raw'!BF66</f>
        <v>258944.45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258944.45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569157.52658594784</v>
      </c>
      <c r="AC152" s="24">
        <f t="shared" si="1235"/>
        <v>676001.01508323988</v>
      </c>
      <c r="AD152" s="24">
        <f t="shared" si="1236"/>
        <v>803363.46627014142</v>
      </c>
      <c r="AE152" s="24">
        <f t="shared" si="1237"/>
        <v>954791.40344618622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6244.7317043373823</v>
      </c>
      <c r="CJ152" s="23">
        <f>+'QTR Raw'!BD87</f>
        <v>0</v>
      </c>
      <c r="CK152" s="24">
        <f t="shared" ref="CK152:DB152" si="1240">CK10/90*CK184</f>
        <v>574085.33304524934</v>
      </c>
      <c r="CL152" s="23">
        <f>+'QTR Raw'!BF87</f>
        <v>0</v>
      </c>
      <c r="CM152" s="24">
        <f t="shared" si="1240"/>
        <v>353793.624316937</v>
      </c>
      <c r="CN152" s="24">
        <f t="shared" si="1240"/>
        <v>516957.34222462808</v>
      </c>
      <c r="CO152" s="24">
        <f t="shared" si="1240"/>
        <v>625481.86534071632</v>
      </c>
      <c r="CP152" s="24">
        <f t="shared" si="1240"/>
        <v>569157.52658594784</v>
      </c>
      <c r="CQ152" s="24">
        <f t="shared" si="1240"/>
        <v>420719.5513538986</v>
      </c>
      <c r="CR152" s="24">
        <f t="shared" si="1240"/>
        <v>615229.36556209403</v>
      </c>
      <c r="CS152" s="24">
        <f t="shared" si="1240"/>
        <v>743226.89970876998</v>
      </c>
      <c r="CT152" s="24">
        <f t="shared" si="1240"/>
        <v>676001.01508323988</v>
      </c>
      <c r="CU152" s="24">
        <f t="shared" si="1240"/>
        <v>500154.8350655915</v>
      </c>
      <c r="CV152" s="24">
        <f t="shared" si="1240"/>
        <v>731334.56248753495</v>
      </c>
      <c r="CW152" s="24">
        <f t="shared" si="1240"/>
        <v>883231.4879506554</v>
      </c>
      <c r="CX152" s="24">
        <f t="shared" si="1240"/>
        <v>803363.46627014142</v>
      </c>
      <c r="CY152" s="24">
        <f t="shared" si="1240"/>
        <v>594472.33025915676</v>
      </c>
      <c r="CZ152" s="24">
        <f t="shared" si="1240"/>
        <v>869204.80544750916</v>
      </c>
      <c r="DA152" s="24">
        <f t="shared" si="1240"/>
        <v>1049693.0132594488</v>
      </c>
      <c r="DB152" s="24">
        <f t="shared" si="1240"/>
        <v>954791.40344618622</v>
      </c>
      <c r="DE152" s="123"/>
      <c r="DF152" s="23">
        <v>513084.7901441502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3">
        <f>'Annual Raw'!AB54</f>
        <v>0</v>
      </c>
      <c r="AB153" s="24">
        <f t="shared" si="1234"/>
        <v>0</v>
      </c>
      <c r="AC153" s="24">
        <f t="shared" si="1235"/>
        <v>0</v>
      </c>
      <c r="AD153" s="24">
        <f t="shared" si="1236"/>
        <v>0</v>
      </c>
      <c r="AE153" s="24">
        <f t="shared" si="1237"/>
        <v>0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192"/>
        <v>0</v>
      </c>
      <c r="CI153" s="23">
        <f>+CI183*CI10/90</f>
        <v>0</v>
      </c>
      <c r="CJ153" s="23">
        <f>+'QTR Raw'!BD89</f>
        <v>0</v>
      </c>
      <c r="CK153" s="24">
        <f t="shared" ref="CK153:DB153" si="1241">+CK183*CK10/90</f>
        <v>0</v>
      </c>
      <c r="CL153" s="23">
        <f>+'QTR Raw'!BF89</f>
        <v>0</v>
      </c>
      <c r="CM153" s="24">
        <f t="shared" si="1241"/>
        <v>0</v>
      </c>
      <c r="CN153" s="24">
        <f t="shared" si="1241"/>
        <v>0</v>
      </c>
      <c r="CO153" s="24">
        <f t="shared" si="1241"/>
        <v>0</v>
      </c>
      <c r="CP153" s="24">
        <f t="shared" si="1241"/>
        <v>0</v>
      </c>
      <c r="CQ153" s="24">
        <f t="shared" si="1241"/>
        <v>0</v>
      </c>
      <c r="CR153" s="24">
        <f t="shared" si="1241"/>
        <v>0</v>
      </c>
      <c r="CS153" s="24">
        <f t="shared" si="1241"/>
        <v>0</v>
      </c>
      <c r="CT153" s="24">
        <f t="shared" si="1241"/>
        <v>0</v>
      </c>
      <c r="CU153" s="24">
        <f t="shared" si="1241"/>
        <v>0</v>
      </c>
      <c r="CV153" s="24">
        <f t="shared" si="1241"/>
        <v>0</v>
      </c>
      <c r="CW153" s="24">
        <f t="shared" si="1241"/>
        <v>0</v>
      </c>
      <c r="CX153" s="24">
        <f t="shared" si="1241"/>
        <v>0</v>
      </c>
      <c r="CY153" s="24">
        <f t="shared" si="1241"/>
        <v>0</v>
      </c>
      <c r="CZ153" s="24">
        <f t="shared" si="1241"/>
        <v>0</v>
      </c>
      <c r="DA153" s="24">
        <f t="shared" si="1241"/>
        <v>0</v>
      </c>
      <c r="DB153" s="24">
        <f t="shared" si="1241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1007.1215</v>
      </c>
      <c r="K154" s="23">
        <f>'Annual Raw'!L55-Template!K126</f>
        <v>1430.3920000000001</v>
      </c>
      <c r="L154" s="23">
        <f>'Annual Raw'!M55-Template!L126</f>
        <v>1706.5157999999999</v>
      </c>
      <c r="M154" s="23">
        <f>'Annual Raw'!N55-Template!M126</f>
        <v>1253.6375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2502.5877</v>
      </c>
      <c r="R154" s="23">
        <f>'Annual Raw'!S55-Template!R126</f>
        <v>2764.0720999999999</v>
      </c>
      <c r="S154" s="23">
        <f>'Annual Raw'!T55-Template!S126</f>
        <v>3216.1323000000002</v>
      </c>
      <c r="T154" s="23">
        <f>'Annual Raw'!U55-Template!T126</f>
        <v>3377.1298000000002</v>
      </c>
      <c r="U154" s="23">
        <f>'Annual Raw'!V55-Template!U126</f>
        <v>2783.6588999999999</v>
      </c>
      <c r="V154" s="23">
        <f>'Annual Raw'!W55-Template!V126</f>
        <v>3805.0146</v>
      </c>
      <c r="W154" s="23">
        <f>'Annual Raw'!X55-Template!W126</f>
        <v>4558.5451000000003</v>
      </c>
      <c r="X154" s="23">
        <f>'Annual Raw'!Y55-Template!X126</f>
        <v>4644.473</v>
      </c>
      <c r="Y154" s="23">
        <f>'Annual Raw'!Z55-Template!Y126</f>
        <v>5195.22</v>
      </c>
      <c r="Z154" s="23">
        <f>'Annual Raw'!AA55-Template!Z126</f>
        <v>5790.85</v>
      </c>
      <c r="AA154" s="23">
        <f>'Annual Raw'!AB55-Template!AA126</f>
        <v>0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2180.25</v>
      </c>
      <c r="BA154" s="23">
        <f t="shared" si="1238"/>
        <v>2180.25</v>
      </c>
      <c r="BB154" s="23">
        <f>+'QTR Raw'!V91</f>
        <v>2764.07</v>
      </c>
      <c r="BC154" s="23">
        <f t="shared" si="1238"/>
        <v>2764.07</v>
      </c>
      <c r="BD154" s="23">
        <f>+'QTR Raw'!X91</f>
        <v>2297.84</v>
      </c>
      <c r="BE154" s="23">
        <f t="shared" si="1238"/>
        <v>2297.84</v>
      </c>
      <c r="BF154" s="23">
        <f>+'QTR Raw'!Z91</f>
        <v>3216.13</v>
      </c>
      <c r="BG154" s="23">
        <f t="shared" si="1238"/>
        <v>3216.13</v>
      </c>
      <c r="BH154" s="23">
        <f>+'QTR Raw'!AB91</f>
        <v>2819.28</v>
      </c>
      <c r="BI154" s="23">
        <f t="shared" si="1238"/>
        <v>2819.28</v>
      </c>
      <c r="BJ154" s="23">
        <f>+'QTR Raw'!AD91</f>
        <v>3377.13</v>
      </c>
      <c r="BK154" s="23">
        <f t="shared" si="1238"/>
        <v>3377.13</v>
      </c>
      <c r="BL154" s="23">
        <f>+'QTR Raw'!AF91</f>
        <v>2491.84</v>
      </c>
      <c r="BM154" s="23">
        <f t="shared" si="1238"/>
        <v>2491.84</v>
      </c>
      <c r="BN154" s="23">
        <f>+'QTR Raw'!AH91</f>
        <v>2783.66</v>
      </c>
      <c r="BO154" s="23">
        <f t="shared" si="1238"/>
        <v>2783.66</v>
      </c>
      <c r="BP154" s="23">
        <f>+'QTR Raw'!AJ91</f>
        <v>3302.58</v>
      </c>
      <c r="BQ154" s="23">
        <f t="shared" si="1238"/>
        <v>3302.58</v>
      </c>
      <c r="BR154" s="23">
        <f>+'QTR Raw'!AL91</f>
        <v>3805.01</v>
      </c>
      <c r="BS154" s="23">
        <f t="shared" si="1238"/>
        <v>3805.01</v>
      </c>
      <c r="BT154" s="23">
        <f>+'QTR Raw'!AN91</f>
        <v>4210.3900000000003</v>
      </c>
      <c r="BU154" s="23">
        <f t="shared" si="1238"/>
        <v>4210.3900000000003</v>
      </c>
      <c r="BV154" s="23">
        <f>+'QTR Raw'!AP91</f>
        <v>4558.55</v>
      </c>
      <c r="BW154" s="23">
        <f t="shared" si="1238"/>
        <v>4558.55</v>
      </c>
      <c r="BX154" s="23">
        <f>+'QTR Raw'!AR91</f>
        <v>4045.17</v>
      </c>
      <c r="BY154" s="23">
        <f t="shared" si="1238"/>
        <v>4045.17</v>
      </c>
      <c r="BZ154" s="23">
        <f>+'QTR Raw'!AT91</f>
        <v>4644.47</v>
      </c>
      <c r="CA154" s="23">
        <f t="shared" si="1238"/>
        <v>4644.47</v>
      </c>
      <c r="CB154" s="23">
        <f>+'QTR Raw'!AV91</f>
        <v>5348.98</v>
      </c>
      <c r="CC154" s="23">
        <f t="shared" si="1238"/>
        <v>5348.98</v>
      </c>
      <c r="CD154" s="23">
        <f>+'QTR Raw'!AX91</f>
        <v>5195.21</v>
      </c>
      <c r="CE154" s="23">
        <f t="shared" si="1238"/>
        <v>5195.21</v>
      </c>
      <c r="CF154" s="23">
        <f>+'QTR Raw'!AZ91</f>
        <v>5935.34</v>
      </c>
      <c r="CG154" s="23">
        <f t="shared" ref="CG154:CG155" si="1242">+CF154</f>
        <v>5935.34</v>
      </c>
      <c r="CH154" s="23">
        <f t="shared" si="1192"/>
        <v>5790.85</v>
      </c>
      <c r="CJ154" s="23">
        <f>+'QTR Raw'!BD91</f>
        <v>6459.34</v>
      </c>
      <c r="CK154" s="24"/>
      <c r="CL154" s="23">
        <f>+'QTR Raw'!BF91</f>
        <v>7508.08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7508.08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26.0505</v>
      </c>
      <c r="K155" s="23">
        <f>'Annual Raw'!L57</f>
        <v>32.263800000000003</v>
      </c>
      <c r="L155" s="23">
        <f>'Annual Raw'!M57</f>
        <v>63.114100000000001</v>
      </c>
      <c r="M155" s="23">
        <f>'Annual Raw'!N57</f>
        <v>165.85659999999999</v>
      </c>
      <c r="N155" s="23">
        <f>'Annual Raw'!O57</f>
        <v>227.68610000000001</v>
      </c>
      <c r="O155" s="23">
        <f>'Annual Raw'!P57</f>
        <v>381.2953</v>
      </c>
      <c r="P155" s="23">
        <f>'Annual Raw'!Q57</f>
        <v>558.44010000000003</v>
      </c>
      <c r="Q155" s="23">
        <f>'Annual Raw'!R57</f>
        <v>734.33730000000003</v>
      </c>
      <c r="R155" s="23">
        <f>'Annual Raw'!S57</f>
        <v>981.63329999999996</v>
      </c>
      <c r="S155" s="23">
        <f>'Annual Raw'!T57</f>
        <v>1292.6123</v>
      </c>
      <c r="T155" s="23">
        <f>'Annual Raw'!U57</f>
        <v>1617.4094</v>
      </c>
      <c r="U155" s="23">
        <f>'Annual Raw'!V57</f>
        <v>1808.6704999999999</v>
      </c>
      <c r="V155" s="23">
        <f>'Annual Raw'!W57</f>
        <v>2231.7739999999999</v>
      </c>
      <c r="W155" s="23">
        <f>'Annual Raw'!X57</f>
        <v>2365.6734999999999</v>
      </c>
      <c r="X155" s="23">
        <f>'Annual Raw'!Y57</f>
        <v>2390.8816000000002</v>
      </c>
      <c r="Y155" s="23">
        <f>'Annual Raw'!Z57</f>
        <v>2578.13</v>
      </c>
      <c r="Z155" s="23">
        <f>'Annual Raw'!AA57</f>
        <v>2883</v>
      </c>
      <c r="AA155" s="23">
        <f>'Annual Raw'!AB57</f>
        <v>3262.06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114.87</v>
      </c>
      <c r="BA155" s="23">
        <f t="shared" si="1238"/>
        <v>114.87</v>
      </c>
      <c r="BB155" s="23">
        <f>+'QTR Raw'!V92</f>
        <v>250.25</v>
      </c>
      <c r="BC155" s="23">
        <f t="shared" si="1238"/>
        <v>250.25</v>
      </c>
      <c r="BD155" s="23">
        <f>+'QTR Raw'!X92</f>
        <v>196.7</v>
      </c>
      <c r="BE155" s="23">
        <f t="shared" si="1238"/>
        <v>196.7</v>
      </c>
      <c r="BF155" s="23">
        <f>+'QTR Raw'!Z92</f>
        <v>348.54</v>
      </c>
      <c r="BG155" s="23">
        <f t="shared" si="1238"/>
        <v>348.54</v>
      </c>
      <c r="BH155" s="23">
        <f>+'QTR Raw'!AB92</f>
        <v>223.92</v>
      </c>
      <c r="BI155" s="23">
        <f t="shared" si="1238"/>
        <v>223.92</v>
      </c>
      <c r="BJ155" s="23">
        <f>+'QTR Raw'!AD92</f>
        <v>358.88</v>
      </c>
      <c r="BK155" s="23">
        <f t="shared" si="1238"/>
        <v>358.88</v>
      </c>
      <c r="BL155" s="23">
        <f>+'QTR Raw'!AF92</f>
        <v>243.92</v>
      </c>
      <c r="BM155" s="23">
        <f t="shared" si="1238"/>
        <v>243.92</v>
      </c>
      <c r="BN155" s="23">
        <f>+'QTR Raw'!AH92</f>
        <v>238.51</v>
      </c>
      <c r="BO155" s="23">
        <f t="shared" si="1238"/>
        <v>238.51</v>
      </c>
      <c r="BP155" s="23">
        <f>+'QTR Raw'!AJ92</f>
        <v>255.35</v>
      </c>
      <c r="BQ155" s="23">
        <f t="shared" si="1238"/>
        <v>255.35</v>
      </c>
      <c r="BR155" s="23">
        <f>+'QTR Raw'!AL92</f>
        <v>433.36</v>
      </c>
      <c r="BS155" s="23">
        <f t="shared" si="1238"/>
        <v>433.36</v>
      </c>
      <c r="BT155" s="23">
        <f>+'QTR Raw'!AN92</f>
        <v>371.34</v>
      </c>
      <c r="BU155" s="23">
        <f t="shared" si="1238"/>
        <v>371.34</v>
      </c>
      <c r="BV155" s="23">
        <f>+'QTR Raw'!AP92</f>
        <v>571.24</v>
      </c>
      <c r="BW155" s="23">
        <f t="shared" si="1238"/>
        <v>571.24</v>
      </c>
      <c r="BX155" s="23">
        <f>+'QTR Raw'!AR92</f>
        <v>388.16</v>
      </c>
      <c r="BY155" s="23">
        <f t="shared" si="1238"/>
        <v>388.16</v>
      </c>
      <c r="BZ155" s="23">
        <f>+'QTR Raw'!AT92</f>
        <v>368.14</v>
      </c>
      <c r="CA155" s="23">
        <f t="shared" si="1238"/>
        <v>368.14</v>
      </c>
      <c r="CB155" s="23">
        <f>+'QTR Raw'!AV92</f>
        <v>366.89</v>
      </c>
      <c r="CC155" s="23">
        <f t="shared" si="1238"/>
        <v>366.89</v>
      </c>
      <c r="CD155" s="23">
        <f>+'QTR Raw'!AX92</f>
        <v>299.05</v>
      </c>
      <c r="CE155" s="23">
        <f t="shared" si="1238"/>
        <v>299.05</v>
      </c>
      <c r="CF155" s="23">
        <f>+'QTR Raw'!AZ92</f>
        <v>407.73</v>
      </c>
      <c r="CG155" s="23">
        <f t="shared" si="1242"/>
        <v>407.73</v>
      </c>
      <c r="CH155" s="23">
        <f t="shared" si="1192"/>
        <v>2883</v>
      </c>
      <c r="CJ155" s="23">
        <f>+'QTR Raw'!BD92</f>
        <v>417.46</v>
      </c>
      <c r="CK155" s="24"/>
      <c r="CL155" s="23">
        <f>+'QTR Raw'!BF92</f>
        <v>484.49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484.49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1033.172</v>
      </c>
      <c r="K156" s="22">
        <f t="shared" si="1243"/>
        <v>1462.6558</v>
      </c>
      <c r="L156" s="22">
        <f t="shared" si="1243"/>
        <v>1769.6298999999999</v>
      </c>
      <c r="M156" s="22">
        <f t="shared" si="1243"/>
        <v>1419.4941000000001</v>
      </c>
      <c r="N156" s="22">
        <f t="shared" si="1243"/>
        <v>227.68610000000001</v>
      </c>
      <c r="O156" s="22">
        <f t="shared" si="1243"/>
        <v>381.2953</v>
      </c>
      <c r="P156" s="22">
        <f t="shared" si="1243"/>
        <v>558.44010000000003</v>
      </c>
      <c r="Q156" s="22">
        <f t="shared" si="1243"/>
        <v>3236.9250000000002</v>
      </c>
      <c r="R156" s="22">
        <f t="shared" si="1243"/>
        <v>3745.7053999999998</v>
      </c>
      <c r="S156" s="22">
        <f t="shared" si="1243"/>
        <v>4508.7446</v>
      </c>
      <c r="T156" s="22">
        <f t="shared" si="1243"/>
        <v>4994.5392000000002</v>
      </c>
      <c r="U156" s="22">
        <f t="shared" si="1243"/>
        <v>4592.3293999999996</v>
      </c>
      <c r="V156" s="22">
        <f t="shared" si="1243"/>
        <v>6036.7885999999999</v>
      </c>
      <c r="W156" s="22">
        <f t="shared" ref="W156" si="1244">SUM(W149:W155)</f>
        <v>6924.2186000000002</v>
      </c>
      <c r="X156" s="22">
        <f t="shared" ref="X156:Y156" si="1245">SUM(X149:X155)</f>
        <v>7035.3546000000006</v>
      </c>
      <c r="Y156" s="22">
        <f t="shared" si="1245"/>
        <v>7773.35</v>
      </c>
      <c r="Z156" s="22">
        <f t="shared" ref="Z156:AA156" si="1246">SUM(Z149:Z155)</f>
        <v>8673.85</v>
      </c>
      <c r="AA156" s="22">
        <f t="shared" si="1246"/>
        <v>3262.06</v>
      </c>
      <c r="AB156" s="21">
        <f t="shared" ref="AA156:AD156" si="1247">SUM(AB149:AB155)</f>
        <v>569157.52658594784</v>
      </c>
      <c r="AC156" s="21">
        <f t="shared" si="1247"/>
        <v>676001.01508323988</v>
      </c>
      <c r="AD156" s="21">
        <f t="shared" si="1247"/>
        <v>803363.46627014142</v>
      </c>
      <c r="AE156" s="21">
        <f t="shared" ref="AE156" si="1248">SUM(AE149:AE155)</f>
        <v>954791.40344618622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85365.329999999987</v>
      </c>
      <c r="BA156" s="22">
        <f t="shared" si="1253"/>
        <v>85365.329999999987</v>
      </c>
      <c r="BB156" s="22">
        <f t="shared" si="1253"/>
        <v>96687.49</v>
      </c>
      <c r="BC156" s="22">
        <f t="shared" si="1253"/>
        <v>96687.49</v>
      </c>
      <c r="BD156" s="22">
        <f t="shared" si="1253"/>
        <v>103116.02999999998</v>
      </c>
      <c r="BE156" s="22">
        <f t="shared" si="1253"/>
        <v>103116.02999999998</v>
      </c>
      <c r="BF156" s="22">
        <f t="shared" si="1253"/>
        <v>114999.12999999999</v>
      </c>
      <c r="BG156" s="22">
        <f t="shared" si="1253"/>
        <v>114999.12999999999</v>
      </c>
      <c r="BH156" s="22">
        <f t="shared" ref="BH156" si="1254">SUM(BH149:BH155)</f>
        <v>123476.99999999999</v>
      </c>
      <c r="BI156" s="22">
        <f t="shared" si="1253"/>
        <v>123476.99999999999</v>
      </c>
      <c r="BJ156" s="22">
        <f t="shared" si="1253"/>
        <v>138875.87</v>
      </c>
      <c r="BK156" s="22">
        <f t="shared" si="1253"/>
        <v>138875.87</v>
      </c>
      <c r="BL156" s="22">
        <f t="shared" si="1253"/>
        <v>151077.98000000001</v>
      </c>
      <c r="BM156" s="22">
        <f t="shared" si="1253"/>
        <v>151077.98000000001</v>
      </c>
      <c r="BN156" s="22">
        <f t="shared" si="1253"/>
        <v>156123.31000000003</v>
      </c>
      <c r="BO156" s="22">
        <f t="shared" si="1253"/>
        <v>156123.31000000003</v>
      </c>
      <c r="BP156" s="22">
        <f t="shared" si="1253"/>
        <v>180820</v>
      </c>
      <c r="BQ156" s="22">
        <f t="shared" si="1253"/>
        <v>180820</v>
      </c>
      <c r="BR156" s="22">
        <f t="shared" si="1253"/>
        <v>215587.69</v>
      </c>
      <c r="BS156" s="22">
        <f t="shared" si="1253"/>
        <v>215587.69</v>
      </c>
      <c r="BT156" s="22">
        <f t="shared" si="1253"/>
        <v>237678.04</v>
      </c>
      <c r="BU156" s="22">
        <f t="shared" si="1253"/>
        <v>237678.04</v>
      </c>
      <c r="BV156" s="22">
        <f t="shared" si="1253"/>
        <v>260721.03999999998</v>
      </c>
      <c r="BW156" s="22">
        <f t="shared" si="1253"/>
        <v>260721.03999999998</v>
      </c>
      <c r="BX156" s="22">
        <f t="shared" si="1253"/>
        <v>274903.80999999994</v>
      </c>
      <c r="BY156" s="22">
        <f t="shared" si="1253"/>
        <v>274903.80999999994</v>
      </c>
      <c r="BZ156" s="22">
        <f t="shared" si="1253"/>
        <v>300438.94999999995</v>
      </c>
      <c r="CA156" s="22">
        <f t="shared" si="1253"/>
        <v>300438.94999999995</v>
      </c>
      <c r="CB156" s="22">
        <f t="shared" si="1253"/>
        <v>336651.74</v>
      </c>
      <c r="CC156" s="22">
        <f t="shared" si="1253"/>
        <v>336651.74</v>
      </c>
      <c r="CD156" s="22">
        <f t="shared" si="1253"/>
        <v>382032.13</v>
      </c>
      <c r="CE156" s="22">
        <f t="shared" si="1253"/>
        <v>382032.13</v>
      </c>
      <c r="CF156" s="22">
        <f t="shared" ref="CF156:CG156" si="1255">SUM(CF149:CF155)</f>
        <v>432238.31</v>
      </c>
      <c r="CG156" s="22">
        <f t="shared" si="1255"/>
        <v>432238.31</v>
      </c>
      <c r="CH156" s="22">
        <f t="shared" ref="CH156:CI156" si="1256">SUM(CH149:CH155)</f>
        <v>8673.85</v>
      </c>
      <c r="CI156" s="22">
        <f t="shared" si="1256"/>
        <v>6244.7317043373823</v>
      </c>
      <c r="CJ156" s="22">
        <f t="shared" ref="CJ156:DB156" si="1257">SUM(CJ149:CJ155)</f>
        <v>471644.88</v>
      </c>
      <c r="CK156" s="21">
        <f t="shared" si="1257"/>
        <v>574085.33304524934</v>
      </c>
      <c r="CL156" s="22">
        <f t="shared" ref="CL156" si="1258">SUM(CL149:CL155)</f>
        <v>480959.94</v>
      </c>
      <c r="CM156" s="21">
        <f t="shared" si="1257"/>
        <v>353793.624316937</v>
      </c>
      <c r="CN156" s="21">
        <f t="shared" si="1257"/>
        <v>516957.34222462808</v>
      </c>
      <c r="CO156" s="21">
        <f t="shared" si="1257"/>
        <v>625481.86534071632</v>
      </c>
      <c r="CP156" s="21">
        <f t="shared" si="1257"/>
        <v>569157.52658594784</v>
      </c>
      <c r="CQ156" s="21">
        <f t="shared" si="1257"/>
        <v>420719.5513538986</v>
      </c>
      <c r="CR156" s="21">
        <f t="shared" si="1257"/>
        <v>615229.36556209403</v>
      </c>
      <c r="CS156" s="21">
        <f t="shared" si="1257"/>
        <v>743226.89970876998</v>
      </c>
      <c r="CT156" s="21">
        <f t="shared" si="1257"/>
        <v>676001.01508323988</v>
      </c>
      <c r="CU156" s="21">
        <f t="shared" si="1257"/>
        <v>500154.8350655915</v>
      </c>
      <c r="CV156" s="21">
        <f t="shared" si="1257"/>
        <v>731334.56248753495</v>
      </c>
      <c r="CW156" s="21">
        <f t="shared" si="1257"/>
        <v>883231.4879506554</v>
      </c>
      <c r="CX156" s="21">
        <f t="shared" si="1257"/>
        <v>803363.46627014142</v>
      </c>
      <c r="CY156" s="21">
        <f t="shared" si="1257"/>
        <v>594472.33025915676</v>
      </c>
      <c r="CZ156" s="21">
        <f t="shared" si="1257"/>
        <v>869204.80544750916</v>
      </c>
      <c r="DA156" s="21">
        <f t="shared" si="1257"/>
        <v>1049693.0132594488</v>
      </c>
      <c r="DB156" s="21">
        <f t="shared" si="1257"/>
        <v>954791.40344618622</v>
      </c>
      <c r="DE156" s="126"/>
      <c r="DF156" s="22">
        <v>513084.7901441502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-790.14740000000006</v>
      </c>
      <c r="K157" s="22">
        <f t="shared" si="1259"/>
        <v>-1148.135</v>
      </c>
      <c r="L157" s="22">
        <f t="shared" si="1259"/>
        <v>-1260.2145</v>
      </c>
      <c r="M157" s="22">
        <f t="shared" si="1259"/>
        <v>-561.55210000000011</v>
      </c>
      <c r="N157" s="22">
        <f t="shared" si="1259"/>
        <v>-227.51320000000001</v>
      </c>
      <c r="O157" s="22">
        <f t="shared" si="1259"/>
        <v>-380.65730000000002</v>
      </c>
      <c r="P157" s="22">
        <f t="shared" si="1259"/>
        <v>-556.6671</v>
      </c>
      <c r="Q157" s="22">
        <f t="shared" si="1259"/>
        <v>-741.07390000000032</v>
      </c>
      <c r="R157" s="22">
        <f t="shared" si="1259"/>
        <v>-336.01579999999967</v>
      </c>
      <c r="S157" s="22">
        <f t="shared" si="1259"/>
        <v>-492.03099999999995</v>
      </c>
      <c r="T157" s="22">
        <f t="shared" si="1259"/>
        <v>-645.6898000000001</v>
      </c>
      <c r="U157" s="22">
        <f t="shared" si="1259"/>
        <v>117.60800000000017</v>
      </c>
      <c r="V157" s="22">
        <f t="shared" si="1259"/>
        <v>-1296.3627000000006</v>
      </c>
      <c r="W157" s="22">
        <f t="shared" ref="W157" si="1260">W148-W156</f>
        <v>-2225.1617999999999</v>
      </c>
      <c r="X157" s="22">
        <f t="shared" ref="X157:Y157" si="1261">X148-X156</f>
        <v>-1548.703300000001</v>
      </c>
      <c r="Y157" s="22">
        <f t="shared" si="1261"/>
        <v>-704.07999999999993</v>
      </c>
      <c r="Z157" s="22">
        <f t="shared" ref="Z157:AA157" si="1262">Z148-Z156</f>
        <v>-1904.2700000000004</v>
      </c>
      <c r="AA157" s="22">
        <f t="shared" si="1262"/>
        <v>-2656.93</v>
      </c>
      <c r="AB157" s="21">
        <f t="shared" ref="AA157:AD157" si="1263">AB148-AB156</f>
        <v>-251151.52317661152</v>
      </c>
      <c r="AC157" s="21">
        <f t="shared" si="1263"/>
        <v>-298298.2332246346</v>
      </c>
      <c r="AD157" s="21">
        <f t="shared" si="1263"/>
        <v>-354499.32363798743</v>
      </c>
      <c r="AE157" s="21">
        <f t="shared" ref="AE157" si="1264">AE148-AE156</f>
        <v>-421319.764898572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-43801.799999999988</v>
      </c>
      <c r="BA157" s="22">
        <f t="shared" si="1269"/>
        <v>-43801.799999999988</v>
      </c>
      <c r="BB157" s="22">
        <f t="shared" si="1269"/>
        <v>-48673.490000000013</v>
      </c>
      <c r="BC157" s="22">
        <f t="shared" si="1269"/>
        <v>-48673.490000000013</v>
      </c>
      <c r="BD157" s="22">
        <f t="shared" si="1269"/>
        <v>-50593.329999999987</v>
      </c>
      <c r="BE157" s="22">
        <f t="shared" si="1269"/>
        <v>-50593.329999999987</v>
      </c>
      <c r="BF157" s="22">
        <f t="shared" si="1269"/>
        <v>-56004.62999999999</v>
      </c>
      <c r="BG157" s="22">
        <f t="shared" si="1269"/>
        <v>-56004.62999999999</v>
      </c>
      <c r="BH157" s="22">
        <f t="shared" ref="BH157" si="1270">BH148-BH156</f>
        <v>-59821.779999999992</v>
      </c>
      <c r="BI157" s="22">
        <f t="shared" si="1269"/>
        <v>-59821.779999999992</v>
      </c>
      <c r="BJ157" s="22">
        <f t="shared" si="1269"/>
        <v>-65353.509999999995</v>
      </c>
      <c r="BK157" s="22">
        <f t="shared" si="1269"/>
        <v>-65353.509999999995</v>
      </c>
      <c r="BL157" s="22">
        <f t="shared" si="1269"/>
        <v>-69743.310000000027</v>
      </c>
      <c r="BM157" s="22">
        <f t="shared" si="1269"/>
        <v>-69743.310000000027</v>
      </c>
      <c r="BN157" s="22">
        <f t="shared" si="1269"/>
        <v>-72795.550000000032</v>
      </c>
      <c r="BO157" s="22">
        <f t="shared" si="1269"/>
        <v>-72795.550000000032</v>
      </c>
      <c r="BP157" s="22">
        <f t="shared" si="1269"/>
        <v>-82598.740000000005</v>
      </c>
      <c r="BQ157" s="22">
        <f t="shared" si="1269"/>
        <v>-82598.740000000005</v>
      </c>
      <c r="BR157" s="22">
        <f t="shared" si="1269"/>
        <v>-94574.349999999991</v>
      </c>
      <c r="BS157" s="22">
        <f t="shared" si="1269"/>
        <v>-94574.349999999991</v>
      </c>
      <c r="BT157" s="22">
        <f t="shared" si="1269"/>
        <v>-102879.41</v>
      </c>
      <c r="BU157" s="22">
        <f t="shared" si="1269"/>
        <v>-102879.41</v>
      </c>
      <c r="BV157" s="22">
        <f t="shared" si="1269"/>
        <v>-113321.51999999999</v>
      </c>
      <c r="BW157" s="22">
        <f t="shared" si="1269"/>
        <v>-113321.51999999999</v>
      </c>
      <c r="BX157" s="22">
        <f t="shared" si="1269"/>
        <v>-121559.90999999992</v>
      </c>
      <c r="BY157" s="22">
        <f t="shared" si="1269"/>
        <v>-121559.90999999992</v>
      </c>
      <c r="BZ157" s="22">
        <f t="shared" si="1269"/>
        <v>-131605.14999999994</v>
      </c>
      <c r="CA157" s="22">
        <f t="shared" si="1269"/>
        <v>-131605.14999999994</v>
      </c>
      <c r="CB157" s="22">
        <f t="shared" si="1269"/>
        <v>-145393.66999999998</v>
      </c>
      <c r="CC157" s="22">
        <f t="shared" si="1269"/>
        <v>-145393.66999999998</v>
      </c>
      <c r="CD157" s="22">
        <f t="shared" si="1269"/>
        <v>-158637.73000000001</v>
      </c>
      <c r="CE157" s="22">
        <f t="shared" si="1269"/>
        <v>-158637.73000000001</v>
      </c>
      <c r="CF157" s="22">
        <f t="shared" ref="CF157:CG157" si="1271">CF148-CF156</f>
        <v>-173247.55000000002</v>
      </c>
      <c r="CG157" s="22">
        <f t="shared" si="1271"/>
        <v>-173247.55000000002</v>
      </c>
      <c r="CH157" s="22">
        <f t="shared" ref="CH157:CI157" si="1272">CH148-CH156</f>
        <v>-1904.2700000000004</v>
      </c>
      <c r="CI157" s="22">
        <f t="shared" si="1272"/>
        <v>-1370.9777368318046</v>
      </c>
      <c r="CJ157" s="22">
        <f t="shared" ref="CJ157:DB157" si="1273">CJ148-CJ156</f>
        <v>-199608.97000000003</v>
      </c>
      <c r="CK157" s="21">
        <f t="shared" si="1273"/>
        <v>-242963.69340693194</v>
      </c>
      <c r="CL157" s="22">
        <f t="shared" ref="CL157" si="1274">CL148-CL156</f>
        <v>-212232.66999999998</v>
      </c>
      <c r="CM157" s="21">
        <f t="shared" si="1273"/>
        <v>-156118.1280872591</v>
      </c>
      <c r="CN157" s="21">
        <f t="shared" si="1273"/>
        <v>-228117.2045564471</v>
      </c>
      <c r="CO157" s="21">
        <f t="shared" si="1273"/>
        <v>-276005.70292370021</v>
      </c>
      <c r="CP157" s="21">
        <f t="shared" si="1273"/>
        <v>-251151.52317661152</v>
      </c>
      <c r="CQ157" s="21">
        <f t="shared" si="1273"/>
        <v>-185650.45917346046</v>
      </c>
      <c r="CR157" s="21">
        <f t="shared" si="1273"/>
        <v>-271481.5934891568</v>
      </c>
      <c r="CS157" s="21">
        <f t="shared" si="1273"/>
        <v>-327962.92626993934</v>
      </c>
      <c r="CT157" s="21">
        <f t="shared" si="1273"/>
        <v>-298298.2332246346</v>
      </c>
      <c r="CU157" s="21">
        <f t="shared" si="1273"/>
        <v>-220702.78048392158</v>
      </c>
      <c r="CV157" s="21">
        <f t="shared" si="1273"/>
        <v>-322715.20754932595</v>
      </c>
      <c r="CW157" s="21">
        <f t="shared" si="1273"/>
        <v>-389742.59876163577</v>
      </c>
      <c r="CX157" s="21">
        <f t="shared" si="1273"/>
        <v>-354499.32363798743</v>
      </c>
      <c r="CY157" s="21">
        <f t="shared" si="1273"/>
        <v>-262322.15908048936</v>
      </c>
      <c r="CZ157" s="21">
        <f t="shared" si="1273"/>
        <v>-383553.05981815327</v>
      </c>
      <c r="DA157" s="21">
        <f t="shared" si="1273"/>
        <v>-463196.89511853782</v>
      </c>
      <c r="DB157" s="21">
        <f t="shared" si="1273"/>
        <v>-421319.764898572</v>
      </c>
      <c r="DE157" s="126"/>
      <c r="DF157" s="22">
        <v>-217147.1181524116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128.059</v>
      </c>
      <c r="K160" s="23">
        <f>'Annual Raw'!L78</f>
        <v>321.89359999999999</v>
      </c>
      <c r="L160" s="23">
        <f>'Annual Raw'!M78</f>
        <v>803.21100000000001</v>
      </c>
      <c r="M160" s="23">
        <f>'Annual Raw'!N78</f>
        <v>2303.4029999999998</v>
      </c>
      <c r="N160" s="23">
        <f>'Annual Raw'!O78</f>
        <v>2153.1855999999998</v>
      </c>
      <c r="O160" s="23">
        <f>'Annual Raw'!P78</f>
        <v>2542.2912000000001</v>
      </c>
      <c r="P160" s="23">
        <f>'Annual Raw'!Q78</f>
        <v>2523.7784000000001</v>
      </c>
      <c r="Q160" s="23">
        <f>'Annual Raw'!R78</f>
        <v>2616.7626</v>
      </c>
      <c r="R160" s="23">
        <f>'Annual Raw'!S78</f>
        <v>2429.8416000000002</v>
      </c>
      <c r="S160" s="23">
        <f>'Annual Raw'!T78</f>
        <v>2644.6284000000001</v>
      </c>
      <c r="T160" s="23">
        <f>'Annual Raw'!U78</f>
        <v>2420.6309000000001</v>
      </c>
      <c r="U160" s="23">
        <f>'Annual Raw'!V78</f>
        <v>1423.2265</v>
      </c>
      <c r="V160" s="23">
        <f>'Annual Raw'!W78</f>
        <v>2710.5185000000001</v>
      </c>
      <c r="W160" s="23">
        <f>'Annual Raw'!X78</f>
        <v>3204.2193000000002</v>
      </c>
      <c r="X160" s="23">
        <f>'Annual Raw'!Y78</f>
        <v>4164.9219999999996</v>
      </c>
      <c r="Y160" s="23">
        <f>'Annual Raw'!Z78</f>
        <v>4745.8999999999996</v>
      </c>
      <c r="Z160" s="23">
        <f>'Annual Raw'!AA78</f>
        <v>1846.63</v>
      </c>
      <c r="AA160" s="23">
        <f>'Annual Raw'!AB78</f>
        <v>3207.94</v>
      </c>
      <c r="AB160" s="24">
        <f t="shared" si="1275"/>
        <v>20935.211341203401</v>
      </c>
      <c r="AC160" s="24">
        <f t="shared" si="1276"/>
        <v>25151.956163361407</v>
      </c>
      <c r="AD160" s="24">
        <f t="shared" si="1277"/>
        <v>29649.930967090928</v>
      </c>
      <c r="AE160" s="24">
        <f t="shared" si="1278"/>
        <v>35171.858113699724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2102.4899999999998</v>
      </c>
      <c r="BA160" s="23">
        <f t="shared" ref="BA160" si="1287">+BA210</f>
        <v>2292.9199999999996</v>
      </c>
      <c r="BB160" s="23">
        <f>+'QTR Raw'!V83</f>
        <v>2429.84</v>
      </c>
      <c r="BC160" s="23">
        <f t="shared" ref="BC160" si="1288">+BC210</f>
        <v>2743.29</v>
      </c>
      <c r="BD160" s="23">
        <f>+'QTR Raw'!X83</f>
        <v>1907.43</v>
      </c>
      <c r="BE160" s="23">
        <f t="shared" ref="BE160" si="1289">+BE210</f>
        <v>2137.71</v>
      </c>
      <c r="BF160" s="23">
        <f>+'QTR Raw'!Z83</f>
        <v>2644.63</v>
      </c>
      <c r="BG160" s="23">
        <f t="shared" ref="BG160" si="1290">+BG210</f>
        <v>2998.9499999999994</v>
      </c>
      <c r="BH160" s="23">
        <f>+'QTR Raw'!AB83</f>
        <v>1983.85</v>
      </c>
      <c r="BI160" s="23">
        <f t="shared" ref="BI160" si="1291">+BI210</f>
        <v>2248.1299999999983</v>
      </c>
      <c r="BJ160" s="23">
        <f>+'QTR Raw'!AD83</f>
        <v>2420.63</v>
      </c>
      <c r="BK160" s="23">
        <f t="shared" ref="BK160" si="1292">+BK210</f>
        <v>2792.5299999999988</v>
      </c>
      <c r="BL160" s="23">
        <f>+'QTR Raw'!AF83</f>
        <v>1754.06</v>
      </c>
      <c r="BM160" s="23">
        <f t="shared" ref="BM160" si="1293">+BM210</f>
        <v>2143.8300000000036</v>
      </c>
      <c r="BN160" s="23">
        <f>+'QTR Raw'!AH83</f>
        <v>1423.23</v>
      </c>
      <c r="BO160" s="23">
        <f t="shared" ref="BO160" si="1294">+BO210</f>
        <v>1814.1200000000017</v>
      </c>
      <c r="BP160" s="23">
        <f>+'QTR Raw'!AJ83</f>
        <v>2156.44</v>
      </c>
      <c r="BQ160" s="23">
        <f t="shared" ref="BQ160" si="1295">+BQ210</f>
        <v>2389.2899999999968</v>
      </c>
      <c r="BR160" s="23">
        <f>+'QTR Raw'!AL83</f>
        <v>2710.52</v>
      </c>
      <c r="BS160" s="23">
        <f t="shared" ref="BS160" si="1296">+BS210</f>
        <v>2933.6799999999989</v>
      </c>
      <c r="BT160" s="23">
        <f>+'QTR Raw'!AN83</f>
        <v>2527.16</v>
      </c>
      <c r="BU160" s="23">
        <f t="shared" ref="BU160" si="1297">+BU210</f>
        <v>2891.2199999999984</v>
      </c>
      <c r="BV160" s="23">
        <f>+'QTR Raw'!AP83</f>
        <v>3204.22</v>
      </c>
      <c r="BW160" s="23">
        <f t="shared" ref="BW160" si="1298">+BW210</f>
        <v>3467.0700000000015</v>
      </c>
      <c r="BX160" s="23">
        <f>+'QTR Raw'!AR83</f>
        <v>3302.49</v>
      </c>
      <c r="BY160" s="23">
        <f t="shared" ref="BY160" si="1299">+BY210</f>
        <v>3606.620000000004</v>
      </c>
      <c r="BZ160" s="23">
        <f>+'QTR Raw'!AT83</f>
        <v>4164.92</v>
      </c>
      <c r="CA160" s="23">
        <f t="shared" ref="CA160" si="1300">+CA210</f>
        <v>4545.9599999999991</v>
      </c>
      <c r="CB160" s="23">
        <f>+'QTR Raw'!AV83</f>
        <v>3498.33</v>
      </c>
      <c r="CC160" s="23">
        <f t="shared" ref="CC160" si="1301">+CC210</f>
        <v>3820.0800000000045</v>
      </c>
      <c r="CD160" s="23">
        <f>+'QTR Raw'!AX83</f>
        <v>4745.8900000000003</v>
      </c>
      <c r="CE160" s="23">
        <f t="shared" ref="CE160" si="1302">+CE210</f>
        <v>5265.4099999999962</v>
      </c>
      <c r="CF160" s="23">
        <f>+'QTR Raw'!AZ83</f>
        <v>4173.6499999999996</v>
      </c>
      <c r="CG160" s="23">
        <f t="shared" ref="CG160:CI160" si="1303">+CG210</f>
        <v>4724.4699999999984</v>
      </c>
      <c r="CH160" s="23">
        <f t="shared" si="1279"/>
        <v>1846.63</v>
      </c>
      <c r="CI160" s="23">
        <f t="shared" si="1303"/>
        <v>1907.7077368318087</v>
      </c>
      <c r="CJ160" s="23">
        <f>+'QTR Raw'!BD83</f>
        <v>1733.87</v>
      </c>
      <c r="CK160" s="24">
        <f t="shared" ref="CK160:DB160" si="1304">+CK210</f>
        <v>45665.333406931917</v>
      </c>
      <c r="CL160" s="23">
        <f>+'QTR Raw'!BF83</f>
        <v>3207.94</v>
      </c>
      <c r="CM160" s="24">
        <f t="shared" si="1304"/>
        <v>-58174.545094100424</v>
      </c>
      <c r="CN160" s="24">
        <f t="shared" si="1304"/>
        <v>40522.003625435034</v>
      </c>
      <c r="CO160" s="24">
        <f t="shared" si="1304"/>
        <v>72032.605757003359</v>
      </c>
      <c r="CP160" s="24">
        <f t="shared" si="1304"/>
        <v>20935.211341203401</v>
      </c>
      <c r="CQ160" s="24">
        <f t="shared" si="1304"/>
        <v>-53401.464939485879</v>
      </c>
      <c r="CR160" s="24">
        <f t="shared" si="1304"/>
        <v>57918.66338419688</v>
      </c>
      <c r="CS160" s="24">
        <f t="shared" si="1304"/>
        <v>92022.525763835059</v>
      </c>
      <c r="CT160" s="24">
        <f t="shared" si="1304"/>
        <v>25151.956163361407</v>
      </c>
      <c r="CU160" s="24">
        <f t="shared" si="1304"/>
        <v>-61849.976060968911</v>
      </c>
      <c r="CV160" s="24">
        <f t="shared" si="1304"/>
        <v>69845.188349462347</v>
      </c>
      <c r="CW160" s="24">
        <f t="shared" si="1304"/>
        <v>109739.87592205567</v>
      </c>
      <c r="CX160" s="24">
        <f t="shared" si="1304"/>
        <v>29649.930967090928</v>
      </c>
      <c r="CY160" s="24">
        <f t="shared" si="1304"/>
        <v>-73324.990262308493</v>
      </c>
      <c r="CZ160" s="24">
        <f t="shared" si="1304"/>
        <v>83081.70974574695</v>
      </c>
      <c r="DA160" s="24">
        <f t="shared" si="1304"/>
        <v>130379.25586922423</v>
      </c>
      <c r="DB160" s="24">
        <f t="shared" si="1304"/>
        <v>35171.858113699724</v>
      </c>
      <c r="DE160" s="123"/>
      <c r="DF160" s="23">
        <v>390976.10046599997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128.059</v>
      </c>
      <c r="K161" s="22">
        <f t="shared" si="1305"/>
        <v>321.89359999999999</v>
      </c>
      <c r="L161" s="22">
        <f t="shared" si="1305"/>
        <v>803.21100000000001</v>
      </c>
      <c r="M161" s="22">
        <f t="shared" si="1305"/>
        <v>2303.4029999999998</v>
      </c>
      <c r="N161" s="22">
        <f t="shared" si="1305"/>
        <v>2153.1855999999998</v>
      </c>
      <c r="O161" s="22">
        <f t="shared" si="1305"/>
        <v>2542.2912000000001</v>
      </c>
      <c r="P161" s="22">
        <f t="shared" si="1305"/>
        <v>2523.7784000000001</v>
      </c>
      <c r="Q161" s="22">
        <f t="shared" si="1305"/>
        <v>2616.7626</v>
      </c>
      <c r="R161" s="22">
        <f t="shared" si="1305"/>
        <v>2429.8416000000002</v>
      </c>
      <c r="S161" s="22">
        <f t="shared" si="1305"/>
        <v>2644.6284000000001</v>
      </c>
      <c r="T161" s="22">
        <f t="shared" si="1305"/>
        <v>2420.6309000000001</v>
      </c>
      <c r="U161" s="22">
        <f t="shared" si="1305"/>
        <v>1423.2265</v>
      </c>
      <c r="V161" s="22">
        <f t="shared" si="1305"/>
        <v>2710.5185000000001</v>
      </c>
      <c r="W161" s="22">
        <f t="shared" ref="W161" si="1306">W159+W160</f>
        <v>3204.2193000000002</v>
      </c>
      <c r="X161" s="22">
        <f t="shared" ref="X161:Y161" si="1307">X159+X160</f>
        <v>4164.9219999999996</v>
      </c>
      <c r="Y161" s="22">
        <f t="shared" si="1307"/>
        <v>4745.8999999999996</v>
      </c>
      <c r="Z161" s="22">
        <f t="shared" ref="Z161:AA161" si="1308">Z159+Z160</f>
        <v>1846.63</v>
      </c>
      <c r="AA161" s="22">
        <f t="shared" si="1308"/>
        <v>3207.94</v>
      </c>
      <c r="AB161" s="21">
        <f t="shared" ref="AA161:AD161" si="1309">AB159+AB160</f>
        <v>20935.211341203401</v>
      </c>
      <c r="AC161" s="21">
        <f t="shared" si="1309"/>
        <v>25151.956163361407</v>
      </c>
      <c r="AD161" s="21">
        <f t="shared" si="1309"/>
        <v>29649.930967090928</v>
      </c>
      <c r="AE161" s="21">
        <f t="shared" ref="AE161" si="1310">AE159+AE160</f>
        <v>35171.858113699724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2102.4899999999998</v>
      </c>
      <c r="BA161" s="22">
        <f t="shared" si="1315"/>
        <v>2292.9199999999996</v>
      </c>
      <c r="BB161" s="22">
        <f t="shared" si="1315"/>
        <v>2429.84</v>
      </c>
      <c r="BC161" s="22">
        <f t="shared" si="1315"/>
        <v>2743.29</v>
      </c>
      <c r="BD161" s="22">
        <f t="shared" si="1315"/>
        <v>1907.43</v>
      </c>
      <c r="BE161" s="22">
        <f t="shared" si="1315"/>
        <v>2137.71</v>
      </c>
      <c r="BF161" s="22">
        <f t="shared" si="1315"/>
        <v>2644.63</v>
      </c>
      <c r="BG161" s="22">
        <f t="shared" si="1315"/>
        <v>2998.9499999999994</v>
      </c>
      <c r="BH161" s="22">
        <f t="shared" si="1315"/>
        <v>1983.85</v>
      </c>
      <c r="BI161" s="22">
        <f t="shared" si="1315"/>
        <v>2248.1299999999983</v>
      </c>
      <c r="BJ161" s="22">
        <f t="shared" si="1315"/>
        <v>2420.63</v>
      </c>
      <c r="BK161" s="22">
        <f t="shared" si="1315"/>
        <v>2792.5299999999988</v>
      </c>
      <c r="BL161" s="22">
        <f t="shared" si="1315"/>
        <v>1754.06</v>
      </c>
      <c r="BM161" s="22">
        <f t="shared" si="1315"/>
        <v>2143.8300000000036</v>
      </c>
      <c r="BN161" s="22">
        <f t="shared" si="1315"/>
        <v>1423.23</v>
      </c>
      <c r="BO161" s="22">
        <f t="shared" si="1315"/>
        <v>1814.1200000000017</v>
      </c>
      <c r="BP161" s="22">
        <f t="shared" si="1315"/>
        <v>2156.44</v>
      </c>
      <c r="BQ161" s="22">
        <f t="shared" si="1315"/>
        <v>2389.2899999999968</v>
      </c>
      <c r="BR161" s="22">
        <f t="shared" si="1315"/>
        <v>2710.52</v>
      </c>
      <c r="BS161" s="22">
        <f t="shared" si="1315"/>
        <v>2933.6799999999989</v>
      </c>
      <c r="BT161" s="22">
        <f t="shared" si="1315"/>
        <v>2527.16</v>
      </c>
      <c r="BU161" s="22">
        <f t="shared" si="1315"/>
        <v>2891.2199999999984</v>
      </c>
      <c r="BV161" s="22">
        <f t="shared" si="1315"/>
        <v>3204.22</v>
      </c>
      <c r="BW161" s="22">
        <f t="shared" si="1315"/>
        <v>3467.0700000000015</v>
      </c>
      <c r="BX161" s="22">
        <f t="shared" si="1315"/>
        <v>3302.49</v>
      </c>
      <c r="BY161" s="22">
        <f t="shared" si="1315"/>
        <v>3606.620000000004</v>
      </c>
      <c r="BZ161" s="22">
        <f t="shared" si="1315"/>
        <v>4164.92</v>
      </c>
      <c r="CA161" s="22">
        <f t="shared" si="1315"/>
        <v>4545.9599999999991</v>
      </c>
      <c r="CB161" s="22">
        <f t="shared" si="1315"/>
        <v>3498.33</v>
      </c>
      <c r="CC161" s="22">
        <f t="shared" si="1315"/>
        <v>3820.0800000000045</v>
      </c>
      <c r="CD161" s="22">
        <f t="shared" si="1315"/>
        <v>4745.8900000000003</v>
      </c>
      <c r="CE161" s="22">
        <f t="shared" si="1315"/>
        <v>5265.4099999999962</v>
      </c>
      <c r="CF161" s="22">
        <f t="shared" ref="CF161:CG161" si="1316">CF159+CF160</f>
        <v>4173.6499999999996</v>
      </c>
      <c r="CG161" s="22">
        <f t="shared" si="1316"/>
        <v>4724.4699999999984</v>
      </c>
      <c r="CH161" s="22">
        <f t="shared" ref="CH161:CI161" si="1317">CH159+CH160</f>
        <v>1846.63</v>
      </c>
      <c r="CI161" s="22">
        <f t="shared" si="1317"/>
        <v>1907.7077368318087</v>
      </c>
      <c r="CJ161" s="22">
        <f t="shared" ref="CJ161:DB161" si="1318">CJ159+CJ160</f>
        <v>1733.87</v>
      </c>
      <c r="CK161" s="21">
        <f t="shared" si="1318"/>
        <v>45665.333406931917</v>
      </c>
      <c r="CL161" s="22">
        <f t="shared" ref="CL161" si="1319">CL159+CL160</f>
        <v>3207.94</v>
      </c>
      <c r="CM161" s="21">
        <f t="shared" si="1318"/>
        <v>-58174.545094100424</v>
      </c>
      <c r="CN161" s="21">
        <f t="shared" si="1318"/>
        <v>40522.003625435034</v>
      </c>
      <c r="CO161" s="21">
        <f t="shared" si="1318"/>
        <v>72032.605757003359</v>
      </c>
      <c r="CP161" s="21">
        <f t="shared" si="1318"/>
        <v>20935.211341203401</v>
      </c>
      <c r="CQ161" s="21">
        <f t="shared" si="1318"/>
        <v>-53401.464939485879</v>
      </c>
      <c r="CR161" s="21">
        <f t="shared" si="1318"/>
        <v>57918.66338419688</v>
      </c>
      <c r="CS161" s="21">
        <f t="shared" si="1318"/>
        <v>92022.525763835059</v>
      </c>
      <c r="CT161" s="21">
        <f t="shared" si="1318"/>
        <v>25151.956163361407</v>
      </c>
      <c r="CU161" s="21">
        <f t="shared" si="1318"/>
        <v>-61849.976060968911</v>
      </c>
      <c r="CV161" s="21">
        <f t="shared" si="1318"/>
        <v>69845.188349462347</v>
      </c>
      <c r="CW161" s="21">
        <f t="shared" si="1318"/>
        <v>109739.87592205567</v>
      </c>
      <c r="CX161" s="21">
        <f t="shared" si="1318"/>
        <v>29649.930967090928</v>
      </c>
      <c r="CY161" s="21">
        <f t="shared" si="1318"/>
        <v>-73324.990262308493</v>
      </c>
      <c r="CZ161" s="21">
        <f t="shared" si="1318"/>
        <v>83081.70974574695</v>
      </c>
      <c r="DA161" s="21">
        <f t="shared" si="1318"/>
        <v>130379.25586922423</v>
      </c>
      <c r="DB161" s="21">
        <f t="shared" si="1318"/>
        <v>35171.858113699724</v>
      </c>
      <c r="DE161" s="126"/>
      <c r="DF161" s="22">
        <v>390976.10046599997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3">
        <f>-'Annual Raw'!AB49</f>
        <v>0</v>
      </c>
      <c r="AB163" s="24">
        <f t="shared" ref="AB163:AB164" si="1320">+CP163</f>
        <v>0</v>
      </c>
      <c r="AC163" s="24">
        <f t="shared" ref="AC163:AC164" si="1321">+CT163</f>
        <v>0</v>
      </c>
      <c r="AD163" s="24">
        <f t="shared" ref="AD163:AD164" si="1322">+CX163</f>
        <v>0</v>
      </c>
      <c r="AE163" s="24">
        <f t="shared" ref="AE163:AE164" si="1323">+DB163</f>
        <v>0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0</v>
      </c>
      <c r="BW163" s="23">
        <f t="shared" si="1324"/>
        <v>0</v>
      </c>
      <c r="BX163" s="23">
        <f>+'QTR Raw'!AR96</f>
        <v>0</v>
      </c>
      <c r="BY163" s="23">
        <f t="shared" si="1324"/>
        <v>0</v>
      </c>
      <c r="BZ163" s="23">
        <f>+'QTR Raw'!AT96</f>
        <v>0</v>
      </c>
      <c r="CA163" s="23">
        <f t="shared" si="1324"/>
        <v>0</v>
      </c>
      <c r="CB163" s="23">
        <f>+'QTR Raw'!AV96</f>
        <v>0</v>
      </c>
      <c r="CC163" s="23">
        <f t="shared" si="1324"/>
        <v>0</v>
      </c>
      <c r="CD163" s="23">
        <f>+'QTR Raw'!AX96</f>
        <v>0</v>
      </c>
      <c r="CE163" s="23">
        <f t="shared" si="1324"/>
        <v>0</v>
      </c>
      <c r="CF163" s="23">
        <f>+'QTR Raw'!AZ96</f>
        <v>0</v>
      </c>
      <c r="CG163" s="23">
        <f t="shared" ref="CG163:CI164" si="1325">+CF163</f>
        <v>0</v>
      </c>
      <c r="CH163" s="23">
        <f t="shared" ref="CH163:CH164" si="1326">Z163</f>
        <v>0</v>
      </c>
      <c r="CI163" s="23">
        <f t="shared" si="1325"/>
        <v>0</v>
      </c>
      <c r="CJ163" s="23">
        <f>+'QTR Raw'!BD96</f>
        <v>0</v>
      </c>
      <c r="CK163" s="24">
        <f t="shared" ref="CK163:CK164" si="1327">+CJ163</f>
        <v>0</v>
      </c>
      <c r="CL163" s="23">
        <f>+'QTR Raw'!BF96</f>
        <v>0</v>
      </c>
      <c r="CM163" s="24">
        <f t="shared" ref="CM163:CM164" si="1328">+CL163</f>
        <v>0</v>
      </c>
      <c r="CN163" s="24">
        <f t="shared" ref="CN163:CN164" si="1329">+CM163</f>
        <v>0</v>
      </c>
      <c r="CO163" s="24">
        <f t="shared" ref="CO163:CO164" si="1330">+CN163</f>
        <v>0</v>
      </c>
      <c r="CP163" s="24">
        <f t="shared" ref="CP163:CP164" si="1331">+CO163</f>
        <v>0</v>
      </c>
      <c r="CQ163" s="24">
        <f t="shared" ref="CQ163:CQ164" si="1332">+CP163</f>
        <v>0</v>
      </c>
      <c r="CR163" s="24">
        <f t="shared" ref="CR163:CR164" si="1333">+CQ163</f>
        <v>0</v>
      </c>
      <c r="CS163" s="24">
        <f t="shared" ref="CS163:CS164" si="1334">+CR163</f>
        <v>0</v>
      </c>
      <c r="CT163" s="24">
        <f t="shared" ref="CT163:CT164" si="1335">+CS163</f>
        <v>0</v>
      </c>
      <c r="CU163" s="24">
        <f t="shared" ref="CU163:CU164" si="1336">+CT163</f>
        <v>0</v>
      </c>
      <c r="CV163" s="24">
        <f t="shared" ref="CV163:CV164" si="1337">+CU163</f>
        <v>0</v>
      </c>
      <c r="CW163" s="24">
        <f t="shared" ref="CW163:CW164" si="1338">+CV163</f>
        <v>0</v>
      </c>
      <c r="CX163" s="24">
        <f t="shared" ref="CX163:CX164" si="1339">+CW163</f>
        <v>0</v>
      </c>
      <c r="CY163" s="24">
        <f t="shared" ref="CY163:CY164" si="1340">+CX163</f>
        <v>0</v>
      </c>
      <c r="CZ163" s="24">
        <f t="shared" ref="CZ163:CZ164" si="1341">+CY163</f>
        <v>0</v>
      </c>
      <c r="DA163" s="24">
        <f t="shared" ref="DA163:DA164" si="1342">+CZ163</f>
        <v>0</v>
      </c>
      <c r="DB163" s="24">
        <f t="shared" ref="DB163:DB164" si="1343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-592.10370000000012</v>
      </c>
      <c r="K165" s="26">
        <f t="shared" si="1345"/>
        <v>-593.54259999999999</v>
      </c>
      <c r="L165" s="26">
        <f t="shared" si="1345"/>
        <v>-173.84820000000008</v>
      </c>
      <c r="M165" s="26">
        <f t="shared" si="1345"/>
        <v>2007.0664999999997</v>
      </c>
      <c r="N165" s="26">
        <f t="shared" si="1345"/>
        <v>2198.3357999999998</v>
      </c>
      <c r="O165" s="26">
        <f t="shared" si="1345"/>
        <v>2444.0484000000001</v>
      </c>
      <c r="P165" s="26">
        <f t="shared" si="1345"/>
        <v>2231.7919999999999</v>
      </c>
      <c r="Q165" s="26">
        <f t="shared" si="1345"/>
        <v>2322.9371999999998</v>
      </c>
      <c r="R165" s="26">
        <f t="shared" si="1345"/>
        <v>2632.3007000000007</v>
      </c>
      <c r="S165" s="26">
        <f t="shared" si="1345"/>
        <v>2733.8893000000003</v>
      </c>
      <c r="T165" s="26">
        <f t="shared" si="1345"/>
        <v>2370.1644000000001</v>
      </c>
      <c r="U165" s="26">
        <f t="shared" si="1345"/>
        <v>2122.0192999999999</v>
      </c>
      <c r="V165" s="26">
        <f t="shared" si="1345"/>
        <v>1979.5866999999994</v>
      </c>
      <c r="W165" s="26">
        <f t="shared" si="1345"/>
        <v>1505.8301000000001</v>
      </c>
      <c r="X165" s="26">
        <f t="shared" ref="X165:Y165" si="1346">X163+X161+X157+X140+X138+X164</f>
        <v>3137.7313999999983</v>
      </c>
      <c r="Y165" s="26">
        <f t="shared" si="1346"/>
        <v>4598.78</v>
      </c>
      <c r="Z165" s="26">
        <f t="shared" ref="Z165:AA165" si="1347">Z163+Z161+Z157+Z140+Z138+Z164</f>
        <v>532.69999999999959</v>
      </c>
      <c r="AA165" s="26">
        <f t="shared" si="1347"/>
        <v>1197.73</v>
      </c>
      <c r="AB165" s="27">
        <f t="shared" ref="AA165:AD165" si="1348">AB163+AB161+AB157+AB140+AB138+AB164</f>
        <v>-2105.5818354081152</v>
      </c>
      <c r="AC165" s="27">
        <f t="shared" si="1348"/>
        <v>-45035.547061273217</v>
      </c>
      <c r="AD165" s="27">
        <f t="shared" si="1348"/>
        <v>-96738.662670896476</v>
      </c>
      <c r="AE165" s="27">
        <f t="shared" ref="AE165" si="1349">AE163+AE161+AE157+AE140+AE138+AE164</f>
        <v>-158037.17678487228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5383.8400000000101</v>
      </c>
      <c r="BA165" s="26">
        <f t="shared" si="1353"/>
        <v>5574.2700000000104</v>
      </c>
      <c r="BB165" s="26">
        <f t="shared" si="1353"/>
        <v>5552.0699999999915</v>
      </c>
      <c r="BC165" s="26">
        <f t="shared" si="1353"/>
        <v>5865.5199999999886</v>
      </c>
      <c r="BD165" s="26">
        <f t="shared" si="1353"/>
        <v>6379.1800000000112</v>
      </c>
      <c r="BE165" s="26">
        <f t="shared" si="1353"/>
        <v>6609.46000000001</v>
      </c>
      <c r="BF165" s="26">
        <f t="shared" si="1353"/>
        <v>6721.310000000004</v>
      </c>
      <c r="BG165" s="26">
        <f t="shared" si="1353"/>
        <v>7075.6300000000037</v>
      </c>
      <c r="BH165" s="26">
        <f t="shared" ref="BH165" si="1354">BH163+BH161+BH157+BH140+BH138+BH164</f>
        <v>7506.8200000000079</v>
      </c>
      <c r="BI165" s="26">
        <f t="shared" si="1353"/>
        <v>7771.1000000000067</v>
      </c>
      <c r="BJ165" s="26">
        <f t="shared" si="1353"/>
        <v>7857.9700000000075</v>
      </c>
      <c r="BK165" s="26">
        <f t="shared" si="1353"/>
        <v>8229.8700000000081</v>
      </c>
      <c r="BL165" s="26">
        <f t="shared" si="1353"/>
        <v>8709.0499999999756</v>
      </c>
      <c r="BM165" s="26">
        <f t="shared" si="1353"/>
        <v>9098.8199999999797</v>
      </c>
      <c r="BN165" s="26">
        <f t="shared" si="1353"/>
        <v>9456.7499999999636</v>
      </c>
      <c r="BO165" s="26">
        <f t="shared" si="1353"/>
        <v>9847.639999999963</v>
      </c>
      <c r="BP165" s="26">
        <f t="shared" si="1353"/>
        <v>10984.549999999992</v>
      </c>
      <c r="BQ165" s="26">
        <f t="shared" si="1353"/>
        <v>11217.399999999983</v>
      </c>
      <c r="BR165" s="26">
        <f t="shared" si="1353"/>
        <v>11242.750000000007</v>
      </c>
      <c r="BS165" s="26">
        <f t="shared" si="1353"/>
        <v>11465.909999999996</v>
      </c>
      <c r="BT165" s="26">
        <f t="shared" si="1353"/>
        <v>12025.059999999992</v>
      </c>
      <c r="BU165" s="26">
        <f t="shared" si="1353"/>
        <v>12389.11999999999</v>
      </c>
      <c r="BV165" s="26">
        <f t="shared" si="1353"/>
        <v>12615.950000000008</v>
      </c>
      <c r="BW165" s="26">
        <f t="shared" si="1353"/>
        <v>12878.800000000014</v>
      </c>
      <c r="BX165" s="26">
        <f t="shared" si="1353"/>
        <v>13536.270000000084</v>
      </c>
      <c r="BY165" s="26">
        <f t="shared" si="1353"/>
        <v>13840.400000000089</v>
      </c>
      <c r="BZ165" s="26">
        <f t="shared" si="1353"/>
        <v>14160.220000000065</v>
      </c>
      <c r="CA165" s="26">
        <f t="shared" si="1353"/>
        <v>14541.260000000058</v>
      </c>
      <c r="CB165" s="26">
        <f t="shared" si="1353"/>
        <v>15500.090000000013</v>
      </c>
      <c r="CC165" s="26">
        <f t="shared" si="1353"/>
        <v>15821.840000000042</v>
      </c>
      <c r="CD165" s="26">
        <f t="shared" si="1353"/>
        <v>16245.120000000003</v>
      </c>
      <c r="CE165" s="26">
        <f t="shared" si="1353"/>
        <v>16764.639999999992</v>
      </c>
      <c r="CF165" s="26">
        <f t="shared" ref="CF165:CG165" si="1355">CF163+CF161+CF157+CF140+CF138+CF164</f>
        <v>16259.139999999963</v>
      </c>
      <c r="CG165" s="26">
        <f t="shared" si="1355"/>
        <v>16809.95999999997</v>
      </c>
      <c r="CH165" s="26">
        <f t="shared" ref="CH165:CI165" si="1356">CH163+CH161+CH157+CH140+CH138+CH164</f>
        <v>532.69999999999959</v>
      </c>
      <c r="CI165" s="26">
        <f t="shared" si="1356"/>
        <v>1127.070000000004</v>
      </c>
      <c r="CJ165" s="26">
        <f t="shared" ref="CJ165:DB165" si="1357">CJ163+CJ161+CJ157+CJ140+CJ138+CJ164</f>
        <v>18296.449999999957</v>
      </c>
      <c r="CK165" s="27">
        <f t="shared" si="1357"/>
        <v>18873.189999999977</v>
      </c>
      <c r="CL165" s="26">
        <f t="shared" ref="CL165" si="1358">CL163+CL161+CL157+CL140+CL138+CL164</f>
        <v>19086.000000000025</v>
      </c>
      <c r="CM165" s="27">
        <f t="shared" si="1357"/>
        <v>13818.056818640469</v>
      </c>
      <c r="CN165" s="27">
        <f t="shared" si="1357"/>
        <v>40515.529068987933</v>
      </c>
      <c r="CO165" s="27">
        <f t="shared" si="1357"/>
        <v>24137.632833303152</v>
      </c>
      <c r="CP165" s="27">
        <f t="shared" si="1357"/>
        <v>-2105.5818354081152</v>
      </c>
      <c r="CQ165" s="27">
        <f t="shared" si="1357"/>
        <v>-10941.194112946339</v>
      </c>
      <c r="CR165" s="27">
        <f t="shared" si="1357"/>
        <v>14547.799895040078</v>
      </c>
      <c r="CS165" s="27">
        <f t="shared" si="1357"/>
        <v>-7829.6705061042758</v>
      </c>
      <c r="CT165" s="27">
        <f t="shared" si="1357"/>
        <v>-45035.547061273217</v>
      </c>
      <c r="CU165" s="27">
        <f t="shared" si="1357"/>
        <v>-54442.026544890454</v>
      </c>
      <c r="CV165" s="27">
        <f t="shared" si="1357"/>
        <v>-24759.289199863593</v>
      </c>
      <c r="CW165" s="27">
        <f t="shared" si="1357"/>
        <v>-51891.992839580082</v>
      </c>
      <c r="CX165" s="27">
        <f t="shared" si="1357"/>
        <v>-96738.662670896476</v>
      </c>
      <c r="CY165" s="27">
        <f t="shared" si="1357"/>
        <v>-107536.41934279786</v>
      </c>
      <c r="CZ165" s="27">
        <f t="shared" si="1357"/>
        <v>-72360.620072406338</v>
      </c>
      <c r="DA165" s="27">
        <f t="shared" si="1357"/>
        <v>-104706.90924931361</v>
      </c>
      <c r="DB165" s="27">
        <f t="shared" si="1357"/>
        <v>-158037.17678487228</v>
      </c>
      <c r="DE165" s="121"/>
      <c r="DF165" s="26">
        <v>390000.53231358837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-1570.5204000000001</v>
      </c>
      <c r="K166" s="23">
        <f t="shared" si="1359"/>
        <v>-1848.4168999999999</v>
      </c>
      <c r="L166" s="23">
        <f t="shared" si="1359"/>
        <v>-1795.0665000000001</v>
      </c>
      <c r="M166" s="23">
        <f t="shared" si="1359"/>
        <v>-111.86320000000001</v>
      </c>
      <c r="N166" s="23">
        <f t="shared" si="1359"/>
        <v>-484.6523000000002</v>
      </c>
      <c r="O166" s="23">
        <f t="shared" si="1359"/>
        <v>-862.07899999999972</v>
      </c>
      <c r="P166" s="23">
        <f t="shared" si="1359"/>
        <v>-1742.2678000000001</v>
      </c>
      <c r="Q166" s="23">
        <f t="shared" si="1359"/>
        <v>-2367.7274999999995</v>
      </c>
      <c r="R166" s="23">
        <f t="shared" si="1359"/>
        <v>-2832.4802999999993</v>
      </c>
      <c r="S166" s="23">
        <f t="shared" si="1359"/>
        <v>-3640.5686999999994</v>
      </c>
      <c r="T166" s="23">
        <f t="shared" si="1359"/>
        <v>-5089.9794000000002</v>
      </c>
      <c r="U166" s="23">
        <f t="shared" si="1359"/>
        <v>-6761.8991000000005</v>
      </c>
      <c r="V166" s="23">
        <f t="shared" si="1359"/>
        <v>-8113.1260000000002</v>
      </c>
      <c r="W166" s="23">
        <f t="shared" si="1359"/>
        <v>-9912.6150999999991</v>
      </c>
      <c r="X166" s="23">
        <f t="shared" ref="X166:Y166" si="1360">X165-X129</f>
        <v>-9786.821100000001</v>
      </c>
      <c r="Y166" s="23">
        <f t="shared" si="1360"/>
        <v>-9992.86</v>
      </c>
      <c r="Z166" s="23">
        <f t="shared" ref="Z166:AA166" si="1361">Z165-Z129</f>
        <v>-16260.24</v>
      </c>
      <c r="AA166" s="23">
        <f t="shared" si="1361"/>
        <v>-17889.02</v>
      </c>
      <c r="AB166" s="24">
        <f t="shared" ref="AA166:AD166" si="1362">AB165-AB129</f>
        <v>2.4101609596982598E-11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1.000000001022272E-2</v>
      </c>
      <c r="BA166" s="23">
        <f t="shared" si="1368"/>
        <v>1.000000001022272E-2</v>
      </c>
      <c r="BB166" s="23">
        <f t="shared" si="1368"/>
        <v>-1.0000000008403731E-2</v>
      </c>
      <c r="BC166" s="23">
        <f t="shared" si="1368"/>
        <v>-1.0000000011132215E-2</v>
      </c>
      <c r="BD166" s="23">
        <f t="shared" si="1368"/>
        <v>1.1823431123048067E-11</v>
      </c>
      <c r="BE166" s="23">
        <f t="shared" si="1368"/>
        <v>1.0913936421275139E-11</v>
      </c>
      <c r="BF166" s="23">
        <f t="shared" si="1368"/>
        <v>1.0000000004765752E-2</v>
      </c>
      <c r="BG166" s="23">
        <f t="shared" si="1368"/>
        <v>1.0000000004765752E-2</v>
      </c>
      <c r="BH166" s="23">
        <f t="shared" ref="BH166" si="1369">BH165-BH129</f>
        <v>8.1854523159563541E-12</v>
      </c>
      <c r="BI166" s="23">
        <f t="shared" si="1368"/>
        <v>8.1854523159563541E-12</v>
      </c>
      <c r="BJ166" s="23">
        <f t="shared" si="1368"/>
        <v>7.2759576141834259E-12</v>
      </c>
      <c r="BK166" s="23">
        <f t="shared" si="1368"/>
        <v>0</v>
      </c>
      <c r="BL166" s="23">
        <f t="shared" si="1368"/>
        <v>9.9999999747524271E-3</v>
      </c>
      <c r="BM166" s="23">
        <f t="shared" si="1368"/>
        <v>9.9999999765714165E-3</v>
      </c>
      <c r="BN166" s="23">
        <f t="shared" si="1368"/>
        <v>-3.637978807091713E-11</v>
      </c>
      <c r="BO166" s="23">
        <f t="shared" si="1368"/>
        <v>-3.8198777474462986E-11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8.5492501966655254E-11</v>
      </c>
      <c r="BY166" s="23">
        <f t="shared" si="1368"/>
        <v>8.5492501966655254E-11</v>
      </c>
      <c r="BZ166" s="23">
        <f t="shared" si="1368"/>
        <v>6.5483618527650833E-11</v>
      </c>
      <c r="CA166" s="23">
        <f t="shared" si="1368"/>
        <v>6.0026650317013264E-11</v>
      </c>
      <c r="CB166" s="23">
        <f t="shared" si="1368"/>
        <v>0</v>
      </c>
      <c r="CC166" s="23">
        <f t="shared" si="1368"/>
        <v>3.8198777474462986E-11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-3.8198777474462986E-11</v>
      </c>
      <c r="CG166" s="23">
        <f t="shared" si="1370"/>
        <v>-2.9103830456733704E-11</v>
      </c>
      <c r="CH166" s="23">
        <f t="shared" ref="CH166:CI166" si="1371">CH165-CH129</f>
        <v>-16260.24</v>
      </c>
      <c r="CI166" s="23">
        <f t="shared" si="1371"/>
        <v>-16260.239999999998</v>
      </c>
      <c r="CJ166" s="23">
        <f t="shared" ref="CJ166:DB166" si="1372">CJ165-CJ129</f>
        <v>-4.3655745685100555E-11</v>
      </c>
      <c r="CK166" s="24">
        <f t="shared" si="1372"/>
        <v>-2.9103830456733704E-11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2.9103830456733704E-11</v>
      </c>
      <c r="CP166" s="24">
        <f t="shared" si="1372"/>
        <v>2.4101609596982598E-11</v>
      </c>
      <c r="CQ166" s="24">
        <f t="shared" si="1372"/>
        <v>2.5465851649641991E-11</v>
      </c>
      <c r="CR166" s="24">
        <f t="shared" si="1372"/>
        <v>2.5465851649641991E-11</v>
      </c>
      <c r="CS166" s="24">
        <f t="shared" si="1372"/>
        <v>3.7289282772690058E-11</v>
      </c>
      <c r="CT166" s="24">
        <f t="shared" si="1372"/>
        <v>0</v>
      </c>
      <c r="CU166" s="24">
        <f t="shared" si="1372"/>
        <v>6.5483618527650833E-11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-128.059</v>
      </c>
      <c r="K168" s="22">
        <f t="shared" si="1374"/>
        <v>-321.89359999999999</v>
      </c>
      <c r="L168" s="22">
        <f t="shared" si="1374"/>
        <v>-803.21100000000001</v>
      </c>
      <c r="M168" s="22">
        <f t="shared" si="1374"/>
        <v>-2303.4029999999998</v>
      </c>
      <c r="N168" s="22">
        <f t="shared" si="1374"/>
        <v>-2153.1855999999998</v>
      </c>
      <c r="O168" s="22">
        <f t="shared" si="1374"/>
        <v>-2542.2912000000001</v>
      </c>
      <c r="P168" s="22">
        <f t="shared" si="1374"/>
        <v>-2523.7784000000001</v>
      </c>
      <c r="Q168" s="22">
        <f t="shared" si="1374"/>
        <v>-2616.7626</v>
      </c>
      <c r="R168" s="22">
        <f t="shared" si="1374"/>
        <v>-2429.8416000000002</v>
      </c>
      <c r="S168" s="22">
        <f t="shared" si="1374"/>
        <v>-2644.6284000000001</v>
      </c>
      <c r="T168" s="22">
        <f t="shared" si="1374"/>
        <v>-2420.6309000000001</v>
      </c>
      <c r="U168" s="22">
        <f t="shared" si="1374"/>
        <v>-1423.2265</v>
      </c>
      <c r="V168" s="22">
        <f t="shared" si="1374"/>
        <v>-2710.5185000000001</v>
      </c>
      <c r="W168" s="22">
        <f t="shared" si="1374"/>
        <v>-3204.2193000000002</v>
      </c>
      <c r="X168" s="22">
        <f t="shared" ref="X168:Y168" si="1375">X128-X161</f>
        <v>-4164.9219999999996</v>
      </c>
      <c r="Y168" s="22">
        <f t="shared" si="1375"/>
        <v>-4745.8999999999996</v>
      </c>
      <c r="Z168" s="22">
        <f t="shared" ref="Z168:AA168" si="1376">Z128-Z161</f>
        <v>-1846.63</v>
      </c>
      <c r="AA168" s="22">
        <f t="shared" si="1376"/>
        <v>-3207.94</v>
      </c>
      <c r="AB168" s="21">
        <f t="shared" ref="AA168:AD168" si="1377">AB128-AB161</f>
        <v>-20935.211341203401</v>
      </c>
      <c r="AC168" s="21">
        <f t="shared" si="1377"/>
        <v>-25151.956163361407</v>
      </c>
      <c r="AD168" s="21">
        <f t="shared" si="1377"/>
        <v>-29649.930967090928</v>
      </c>
      <c r="AE168" s="21">
        <f t="shared" ref="AE168" si="1378">AE128-AE161</f>
        <v>-35171.858113699724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-1889.9899999999998</v>
      </c>
      <c r="BA168" s="22">
        <f t="shared" si="1381"/>
        <v>-2080.4199999999996</v>
      </c>
      <c r="BB168" s="22">
        <f t="shared" si="1381"/>
        <v>-2429.84</v>
      </c>
      <c r="BC168" s="22">
        <f t="shared" si="1381"/>
        <v>-2743.29</v>
      </c>
      <c r="BD168" s="22">
        <f t="shared" si="1381"/>
        <v>-1710.5700000000002</v>
      </c>
      <c r="BE168" s="22">
        <f t="shared" si="1381"/>
        <v>-1940.85</v>
      </c>
      <c r="BF168" s="22">
        <f t="shared" si="1381"/>
        <v>-2451.15</v>
      </c>
      <c r="BG168" s="22">
        <f t="shared" si="1381"/>
        <v>-2805.4699999999993</v>
      </c>
      <c r="BH168" s="22">
        <f t="shared" si="1381"/>
        <v>-1567.53</v>
      </c>
      <c r="BI168" s="22">
        <f t="shared" si="1381"/>
        <v>-1831.8099999999984</v>
      </c>
      <c r="BJ168" s="22">
        <f t="shared" si="1381"/>
        <v>-2139.0100000000002</v>
      </c>
      <c r="BK168" s="22">
        <f t="shared" si="1381"/>
        <v>-2510.9099999999989</v>
      </c>
      <c r="BL168" s="22">
        <f t="shared" si="1381"/>
        <v>-1116.48</v>
      </c>
      <c r="BM168" s="22">
        <f t="shared" si="1381"/>
        <v>-1506.2500000000036</v>
      </c>
      <c r="BN168" s="22">
        <f t="shared" si="1381"/>
        <v>-709.56000000000006</v>
      </c>
      <c r="BO168" s="22">
        <f t="shared" si="1381"/>
        <v>-1100.4500000000016</v>
      </c>
      <c r="BP168" s="22">
        <f t="shared" si="1381"/>
        <v>-835.43000000000006</v>
      </c>
      <c r="BQ168" s="22">
        <f t="shared" si="1381"/>
        <v>-1068.2799999999968</v>
      </c>
      <c r="BR168" s="22">
        <f t="shared" si="1381"/>
        <v>-1868.1999999999998</v>
      </c>
      <c r="BS168" s="22">
        <f t="shared" si="1381"/>
        <v>-2091.3599999999988</v>
      </c>
      <c r="BT168" s="22">
        <f t="shared" si="1381"/>
        <v>-1408.9399999999998</v>
      </c>
      <c r="BU168" s="22">
        <f t="shared" si="1381"/>
        <v>-1772.9999999999984</v>
      </c>
      <c r="BV168" s="22">
        <f t="shared" si="1381"/>
        <v>-2210.58</v>
      </c>
      <c r="BW168" s="22">
        <f t="shared" si="1381"/>
        <v>-2473.4300000000017</v>
      </c>
      <c r="BX168" s="22">
        <f t="shared" si="1381"/>
        <v>-1982.2699999999998</v>
      </c>
      <c r="BY168" s="22">
        <f t="shared" si="1381"/>
        <v>-2286.4000000000042</v>
      </c>
      <c r="BZ168" s="22">
        <f t="shared" si="1381"/>
        <v>-3022.1800000000003</v>
      </c>
      <c r="CA168" s="22">
        <f t="shared" si="1381"/>
        <v>-3403.2199999999993</v>
      </c>
      <c r="CB168" s="22">
        <f t="shared" si="1381"/>
        <v>-1967.1599999999999</v>
      </c>
      <c r="CC168" s="22">
        <f t="shared" si="1381"/>
        <v>-2288.9100000000044</v>
      </c>
      <c r="CD168" s="22">
        <f t="shared" si="1381"/>
        <v>-3409.3300000000004</v>
      </c>
      <c r="CE168" s="22">
        <f t="shared" si="1381"/>
        <v>-3928.8499999999963</v>
      </c>
      <c r="CF168" s="22">
        <f t="shared" ref="CF168:CG168" si="1382">CF128-CF161</f>
        <v>-4173.6499999999996</v>
      </c>
      <c r="CG168" s="22">
        <f t="shared" si="1382"/>
        <v>-4724.4699999999984</v>
      </c>
      <c r="CH168" s="22">
        <f t="shared" ref="CH168:CI168" si="1383">CH128-CH161</f>
        <v>-1846.63</v>
      </c>
      <c r="CI168" s="22">
        <f t="shared" si="1383"/>
        <v>-1907.7077368318087</v>
      </c>
      <c r="CJ168" s="22">
        <f t="shared" ref="CJ168:DB168" si="1384">CJ128-CJ161</f>
        <v>-1733.87</v>
      </c>
      <c r="CK168" s="21">
        <f t="shared" si="1384"/>
        <v>-45665.333406931917</v>
      </c>
      <c r="CL168" s="22">
        <f t="shared" ref="CL168" si="1385">CL128-CL161</f>
        <v>-3207.94</v>
      </c>
      <c r="CM168" s="21">
        <f t="shared" si="1384"/>
        <v>58174.545094100424</v>
      </c>
      <c r="CN168" s="21">
        <f t="shared" si="1384"/>
        <v>-40522.003625435034</v>
      </c>
      <c r="CO168" s="21">
        <f t="shared" si="1384"/>
        <v>-72032.605757003359</v>
      </c>
      <c r="CP168" s="21">
        <f t="shared" si="1384"/>
        <v>-20935.211341203401</v>
      </c>
      <c r="CQ168" s="21">
        <f t="shared" si="1384"/>
        <v>53401.464939485879</v>
      </c>
      <c r="CR168" s="21">
        <f t="shared" si="1384"/>
        <v>-57918.66338419688</v>
      </c>
      <c r="CS168" s="21">
        <f t="shared" si="1384"/>
        <v>-92022.525763835059</v>
      </c>
      <c r="CT168" s="21">
        <f t="shared" si="1384"/>
        <v>-25151.956163361407</v>
      </c>
      <c r="CU168" s="21">
        <f t="shared" si="1384"/>
        <v>61849.976060968911</v>
      </c>
      <c r="CV168" s="21">
        <f t="shared" si="1384"/>
        <v>-69845.188349462347</v>
      </c>
      <c r="CW168" s="21">
        <f t="shared" si="1384"/>
        <v>-109739.87592205567</v>
      </c>
      <c r="CX168" s="21">
        <f t="shared" si="1384"/>
        <v>-29649.930967090928</v>
      </c>
      <c r="CY168" s="21">
        <f t="shared" si="1384"/>
        <v>73324.990262308493</v>
      </c>
      <c r="CZ168" s="21">
        <f t="shared" si="1384"/>
        <v>-83081.70974574695</v>
      </c>
      <c r="DA168" s="21">
        <f t="shared" si="1384"/>
        <v>-130379.25586922423</v>
      </c>
      <c r="DB168" s="21">
        <f t="shared" si="1384"/>
        <v>-35171.858113699724</v>
      </c>
      <c r="DE168" s="126"/>
      <c r="DF168" s="22">
        <v>-390976.10046599997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58.061</v>
      </c>
      <c r="L170" s="49">
        <f>'Annual Raw'!M85</f>
        <v>100.3835</v>
      </c>
      <c r="M170" s="49">
        <f>'Annual Raw'!N85</f>
        <v>136.46379999999999</v>
      </c>
      <c r="N170" s="49">
        <f>'Annual Raw'!O85</f>
        <v>339.62020000000001</v>
      </c>
      <c r="O170" s="49">
        <f>'Annual Raw'!P85</f>
        <v>444.89960000000002</v>
      </c>
      <c r="P170" s="49">
        <f>'Annual Raw'!Q85</f>
        <v>480.66559999999998</v>
      </c>
      <c r="Q170" s="49">
        <f>'Annual Raw'!R85</f>
        <v>466.79340000000002</v>
      </c>
      <c r="R170" s="49">
        <f>'Annual Raw'!S85</f>
        <v>409.53070000000002</v>
      </c>
      <c r="S170" s="49">
        <f>'Annual Raw'!T85</f>
        <v>548.55759999999998</v>
      </c>
      <c r="T170" s="49">
        <f>'Annual Raw'!U85</f>
        <v>1132.7611999999999</v>
      </c>
      <c r="U170" s="49">
        <f>'Annual Raw'!V85</f>
        <v>1114.5644</v>
      </c>
      <c r="V170" s="49">
        <f>'Annual Raw'!W85</f>
        <v>1643.5340000000001</v>
      </c>
      <c r="W170" s="49">
        <f>'Annual Raw'!X85</f>
        <v>1110.5116</v>
      </c>
      <c r="X170" s="49">
        <f>'Annual Raw'!Y85</f>
        <v>1077.4398000000001</v>
      </c>
      <c r="Y170" s="49">
        <f>'Annual Raw'!Z85</f>
        <v>1339.56</v>
      </c>
      <c r="Z170" s="49">
        <f>'Annual Raw'!AA85</f>
        <v>1211.71</v>
      </c>
      <c r="AA170" s="49">
        <f>'Annual Raw'!AB85</f>
        <v>604.83000000000004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58.061</v>
      </c>
      <c r="L172" s="29">
        <f>'Annual Raw'!M93</f>
        <v>100.3835</v>
      </c>
      <c r="M172" s="29">
        <f>'Annual Raw'!N93</f>
        <v>136.46379999999999</v>
      </c>
      <c r="N172" s="29">
        <f>'Annual Raw'!O93</f>
        <v>339.62020000000001</v>
      </c>
      <c r="O172" s="29">
        <f>'Annual Raw'!P93</f>
        <v>444.89960000000002</v>
      </c>
      <c r="P172" s="29">
        <f>'Annual Raw'!Q93</f>
        <v>480.66559999999998</v>
      </c>
      <c r="Q172" s="29">
        <f>'Annual Raw'!R93</f>
        <v>466.79340000000002</v>
      </c>
      <c r="R172" s="29">
        <f>'Annual Raw'!S93</f>
        <v>409.53070000000002</v>
      </c>
      <c r="S172" s="29">
        <f>'Annual Raw'!T93</f>
        <v>448.55309999999997</v>
      </c>
      <c r="T172" s="29">
        <f>'Annual Raw'!U93</f>
        <v>477.76119999999997</v>
      </c>
      <c r="U172" s="29">
        <f>'Annual Raw'!V93</f>
        <v>254.56440000000001</v>
      </c>
      <c r="V172" s="29">
        <f>'Annual Raw'!W93</f>
        <v>553.53399999999999</v>
      </c>
      <c r="W172" s="29">
        <f>'Annual Raw'!X93</f>
        <v>490.51159999999999</v>
      </c>
      <c r="X172" s="29">
        <f>'Annual Raw'!Y93</f>
        <v>502.43979999999999</v>
      </c>
      <c r="Y172" s="29">
        <f>'Annual Raw'!Z93</f>
        <v>565.98</v>
      </c>
      <c r="Z172" s="29">
        <f>'Annual Raw'!AA93</f>
        <v>553.04</v>
      </c>
      <c r="AA172" s="29">
        <f>'Annual Raw'!AB93</f>
        <v>504.83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100.00450000000001</v>
      </c>
      <c r="T173" s="29">
        <f t="shared" si="1386"/>
        <v>655</v>
      </c>
      <c r="U173" s="29">
        <f t="shared" si="1386"/>
        <v>860</v>
      </c>
      <c r="V173" s="29">
        <f t="shared" si="1386"/>
        <v>1090</v>
      </c>
      <c r="W173" s="29">
        <f t="shared" ref="W173" si="1387">W170-W171-W172</f>
        <v>620</v>
      </c>
      <c r="X173" s="29">
        <f t="shared" ref="X173:Y173" si="1388">X170-X171-X172</f>
        <v>575.00000000000011</v>
      </c>
      <c r="Y173" s="29">
        <f t="shared" si="1388"/>
        <v>773.57999999999993</v>
      </c>
      <c r="Z173" s="29">
        <f t="shared" ref="Z173:AA173" si="1389">Z170-Z171-Z172</f>
        <v>658.67000000000007</v>
      </c>
      <c r="AA173" s="29">
        <f t="shared" si="1389"/>
        <v>100.00000000000006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>
        <f t="shared" si="1392"/>
        <v>0</v>
      </c>
      <c r="K175" s="95">
        <f t="shared" si="1392"/>
        <v>4.6268379231290339E-2</v>
      </c>
      <c r="L175" s="95">
        <f t="shared" si="1392"/>
        <v>6.1918558407587677E-2</v>
      </c>
      <c r="M175" s="95">
        <f t="shared" si="1392"/>
        <v>6.4402230994260928E-2</v>
      </c>
      <c r="N175" s="95">
        <f t="shared" si="1392"/>
        <v>0.12658282010270563</v>
      </c>
      <c r="O175" s="95">
        <f t="shared" si="1392"/>
        <v>0.13456819601083733</v>
      </c>
      <c r="P175" s="95">
        <f t="shared" si="1392"/>
        <v>0.12095077180267896</v>
      </c>
      <c r="Q175" s="95">
        <f t="shared" si="1392"/>
        <v>9.9515405567147039E-2</v>
      </c>
      <c r="R175" s="95">
        <f t="shared" si="1392"/>
        <v>7.4940002170260811E-2</v>
      </c>
      <c r="S175" s="95">
        <f t="shared" si="1392"/>
        <v>8.6055567390984453E-2</v>
      </c>
      <c r="T175" s="95">
        <f t="shared" si="1392"/>
        <v>0.15184173795684741</v>
      </c>
      <c r="U175" s="95">
        <f t="shared" si="1392"/>
        <v>0.12545864896732956</v>
      </c>
      <c r="V175" s="95">
        <f t="shared" si="1392"/>
        <v>0.16284363271333385</v>
      </c>
      <c r="W175" s="95">
        <f t="shared" si="1392"/>
        <v>9.7255938137707235E-2</v>
      </c>
      <c r="X175" s="95">
        <f t="shared" ref="X175:Y175" si="1393">X170/X120</f>
        <v>8.336379924952915E-2</v>
      </c>
      <c r="Y175" s="95">
        <f t="shared" si="1393"/>
        <v>9.1803251724960303E-2</v>
      </c>
      <c r="Z175" s="95">
        <f t="shared" ref="Z175:AA175" si="1394">Z170/Z120</f>
        <v>7.2155917903595213E-2</v>
      </c>
      <c r="AA175" s="95">
        <f t="shared" si="1394"/>
        <v>3.1688474989194075E-2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 t="e">
        <f t="shared" si="1397"/>
        <v>#DIV/0!</v>
      </c>
      <c r="O179" s="67" t="e">
        <f t="shared" si="1397"/>
        <v>#DIV/0!</v>
      </c>
      <c r="P179" s="67" t="e">
        <f t="shared" si="1397"/>
        <v>#DIV/0!</v>
      </c>
      <c r="Q179" s="67" t="e">
        <f t="shared" si="1397"/>
        <v>#DIV/0!</v>
      </c>
      <c r="R179" s="67" t="e">
        <f t="shared" si="1397"/>
        <v>#DIV/0!</v>
      </c>
      <c r="S179" s="67" t="e">
        <f t="shared" si="1397"/>
        <v>#DIV/0!</v>
      </c>
      <c r="T179" s="67" t="e">
        <f t="shared" si="1397"/>
        <v>#DIV/0!</v>
      </c>
      <c r="U179" s="67" t="e">
        <f t="shared" si="1397"/>
        <v>#DIV/0!</v>
      </c>
      <c r="V179" s="67" t="e">
        <f t="shared" si="1397"/>
        <v>#DIV/0!</v>
      </c>
      <c r="W179" s="67" t="e">
        <f t="shared" si="1397"/>
        <v>#DIV/0!</v>
      </c>
      <c r="X179" s="67" t="e">
        <f t="shared" si="1397"/>
        <v>#DIV/0!</v>
      </c>
      <c r="Y179" s="67" t="e">
        <f t="shared" si="1397"/>
        <v>#DIV/0!</v>
      </c>
      <c r="Z179" s="67" t="e">
        <f t="shared" si="1397"/>
        <v>#DIV/0!</v>
      </c>
      <c r="AA179" s="67" t="e">
        <f t="shared" ref="AA179" si="1398">AA144/AA8*365</f>
        <v>#DIV/0!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0</v>
      </c>
      <c r="BC179" s="67">
        <f t="shared" ref="BC179:BC180" si="1408">+BB179</f>
        <v>0</v>
      </c>
      <c r="BD179" s="67">
        <f>BD144/BD8*90</f>
        <v>0</v>
      </c>
      <c r="BE179" s="67">
        <f t="shared" ref="BE179:BE180" si="1409">+BD179</f>
        <v>0</v>
      </c>
      <c r="BF179" s="67">
        <f>BF144/BF8*90</f>
        <v>0</v>
      </c>
      <c r="BG179" s="67">
        <f t="shared" ref="BG179:BG180" si="1410">+BF179</f>
        <v>0</v>
      </c>
      <c r="BH179" s="67">
        <f>BH144/BH8*90</f>
        <v>0</v>
      </c>
      <c r="BI179" s="67">
        <f t="shared" ref="BI179:BI180" si="1411">+BH179</f>
        <v>0</v>
      </c>
      <c r="BJ179" s="67">
        <f>BJ144/BJ8*90</f>
        <v>0</v>
      </c>
      <c r="BK179" s="67">
        <f t="shared" ref="BK179:BK180" si="1412">+BJ179</f>
        <v>0</v>
      </c>
      <c r="BL179" s="67">
        <f>BL144/BL8*90</f>
        <v>0</v>
      </c>
      <c r="BM179" s="67">
        <f t="shared" ref="BM179:BM180" si="1413">+BL179</f>
        <v>0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 t="e">
        <f t="shared" si="1440"/>
        <v>#DIV/0!</v>
      </c>
      <c r="O180" s="67" t="e">
        <f t="shared" si="1440"/>
        <v>#DIV/0!</v>
      </c>
      <c r="P180" s="67" t="e">
        <f t="shared" si="1440"/>
        <v>#DIV/0!</v>
      </c>
      <c r="Q180" s="67" t="e">
        <f t="shared" si="1440"/>
        <v>#DIV/0!</v>
      </c>
      <c r="R180" s="67" t="e">
        <f t="shared" si="1440"/>
        <v>#DIV/0!</v>
      </c>
      <c r="S180" s="67" t="e">
        <f t="shared" si="1440"/>
        <v>#DIV/0!</v>
      </c>
      <c r="T180" s="67" t="e">
        <f t="shared" si="1440"/>
        <v>#DIV/0!</v>
      </c>
      <c r="U180" s="67" t="e">
        <f t="shared" si="1440"/>
        <v>#DIV/0!</v>
      </c>
      <c r="V180" s="67" t="e">
        <f t="shared" si="1440"/>
        <v>#DIV/0!</v>
      </c>
      <c r="W180" s="67" t="e">
        <f t="shared" si="1440"/>
        <v>#DIV/0!</v>
      </c>
      <c r="X180" s="67" t="e">
        <f t="shared" si="1440"/>
        <v>#DIV/0!</v>
      </c>
      <c r="Y180" s="67" t="e">
        <f t="shared" si="1440"/>
        <v>#DIV/0!</v>
      </c>
      <c r="Z180" s="67" t="e">
        <f t="shared" si="1440"/>
        <v>#DIV/0!</v>
      </c>
      <c r="AA180" s="67" t="e">
        <f t="shared" ref="AA180" si="1441">AA145/AA8*365</f>
        <v>#DIV/0!</v>
      </c>
      <c r="AB180" s="18">
        <f t="shared" si="1440"/>
        <v>0</v>
      </c>
      <c r="AC180" s="18">
        <f t="shared" si="1440"/>
        <v>0</v>
      </c>
      <c r="AD180" s="18">
        <f t="shared" si="1440"/>
        <v>0</v>
      </c>
      <c r="AE180" s="18">
        <f t="shared" si="1440"/>
        <v>0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>
        <f>AZ145/AZ8*90</f>
        <v>0</v>
      </c>
      <c r="BA180" s="67">
        <f t="shared" si="1407"/>
        <v>0</v>
      </c>
      <c r="BB180" s="67">
        <f>BB145/BB8*90</f>
        <v>0</v>
      </c>
      <c r="BC180" s="67">
        <f t="shared" si="1408"/>
        <v>0</v>
      </c>
      <c r="BD180" s="67">
        <f>BD145/BD8*90</f>
        <v>0</v>
      </c>
      <c r="BE180" s="67">
        <f t="shared" si="1409"/>
        <v>0</v>
      </c>
      <c r="BF180" s="67">
        <f>BF145/BF8*90</f>
        <v>0</v>
      </c>
      <c r="BG180" s="67">
        <f t="shared" si="1410"/>
        <v>0</v>
      </c>
      <c r="BH180" s="67">
        <f>BH145/BH8*90</f>
        <v>0</v>
      </c>
      <c r="BI180" s="67">
        <f t="shared" si="1411"/>
        <v>0</v>
      </c>
      <c r="BJ180" s="67">
        <f>BJ145/BJ8*90</f>
        <v>0</v>
      </c>
      <c r="BK180" s="67">
        <f t="shared" si="1412"/>
        <v>0</v>
      </c>
      <c r="BL180" s="67">
        <f>BL145/BL8*90</f>
        <v>0</v>
      </c>
      <c r="BM180" s="67">
        <f t="shared" si="1413"/>
        <v>0</v>
      </c>
      <c r="BN180" s="67">
        <f>BN145/BN8*90</f>
        <v>0</v>
      </c>
      <c r="BO180" s="67">
        <f t="shared" si="1414"/>
        <v>0</v>
      </c>
      <c r="BP180" s="67">
        <f>BP145/BP8*90</f>
        <v>0</v>
      </c>
      <c r="BQ180" s="67">
        <f t="shared" si="1415"/>
        <v>0</v>
      </c>
      <c r="BR180" s="67">
        <f>BR145/BR8*90</f>
        <v>0</v>
      </c>
      <c r="BS180" s="67">
        <f t="shared" si="1416"/>
        <v>0</v>
      </c>
      <c r="BT180" s="67">
        <f>BT145/BT8*90</f>
        <v>0</v>
      </c>
      <c r="BU180" s="67">
        <f t="shared" si="1417"/>
        <v>0</v>
      </c>
      <c r="BV180" s="67">
        <f>BV145/BV8*90</f>
        <v>0</v>
      </c>
      <c r="BW180" s="67">
        <f t="shared" si="1418"/>
        <v>0</v>
      </c>
      <c r="BX180" s="67">
        <f>BX145/BX8*90</f>
        <v>0</v>
      </c>
      <c r="BY180" s="67">
        <f t="shared" si="1419"/>
        <v>0</v>
      </c>
      <c r="BZ180" s="67">
        <f>BZ145/BZ8*90</f>
        <v>0</v>
      </c>
      <c r="CA180" s="67">
        <f t="shared" si="1420"/>
        <v>0</v>
      </c>
      <c r="CB180" s="67">
        <f>CB145/CB8*90</f>
        <v>0</v>
      </c>
      <c r="CC180" s="67">
        <f t="shared" si="1421"/>
        <v>0</v>
      </c>
      <c r="CD180" s="67">
        <f>CD145/CD8*90</f>
        <v>0</v>
      </c>
      <c r="CE180" s="114">
        <f t="shared" ref="CE180" si="1442">+CD180</f>
        <v>0</v>
      </c>
      <c r="CF180" s="67">
        <f>CF145/CF8*90</f>
        <v>0</v>
      </c>
      <c r="CG180" s="67">
        <f t="shared" si="1422"/>
        <v>0</v>
      </c>
      <c r="CH180" s="67">
        <f>CH145/CH8*90</f>
        <v>0</v>
      </c>
      <c r="CI180" s="67">
        <f t="shared" si="1422"/>
        <v>0</v>
      </c>
      <c r="CJ180" s="67">
        <f>CJ145/CJ8*90</f>
        <v>0</v>
      </c>
      <c r="CK180" s="30">
        <f t="shared" si="1423"/>
        <v>0</v>
      </c>
      <c r="CL180" s="67">
        <f>CL145/CL8*90</f>
        <v>0</v>
      </c>
      <c r="CM180" s="30">
        <f t="shared" si="1424"/>
        <v>0</v>
      </c>
      <c r="CN180" s="30">
        <f t="shared" si="1425"/>
        <v>0</v>
      </c>
      <c r="CO180" s="30">
        <f t="shared" si="1426"/>
        <v>0</v>
      </c>
      <c r="CP180" s="30">
        <f t="shared" si="1427"/>
        <v>0</v>
      </c>
      <c r="CQ180" s="30">
        <f t="shared" si="1428"/>
        <v>0</v>
      </c>
      <c r="CR180" s="30">
        <f t="shared" si="1429"/>
        <v>0</v>
      </c>
      <c r="CS180" s="30">
        <f t="shared" si="1430"/>
        <v>0</v>
      </c>
      <c r="CT180" s="30">
        <f t="shared" si="1431"/>
        <v>0</v>
      </c>
      <c r="CU180" s="30">
        <f t="shared" si="1432"/>
        <v>0</v>
      </c>
      <c r="CV180" s="30">
        <f t="shared" si="1433"/>
        <v>0</v>
      </c>
      <c r="CW180" s="30">
        <f t="shared" si="1434"/>
        <v>0</v>
      </c>
      <c r="CX180" s="30">
        <f t="shared" si="1435"/>
        <v>0</v>
      </c>
      <c r="CY180" s="30">
        <f t="shared" si="1436"/>
        <v>0</v>
      </c>
      <c r="CZ180" s="30">
        <f t="shared" si="1437"/>
        <v>0</v>
      </c>
      <c r="DA180" s="30">
        <f t="shared" si="1438"/>
        <v>0</v>
      </c>
      <c r="DB180" s="30">
        <f t="shared" si="1439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 t="e">
        <f t="shared" si="1443"/>
        <v>#DIV/0!</v>
      </c>
      <c r="O181" s="67" t="e">
        <f t="shared" si="1443"/>
        <v>#DIV/0!</v>
      </c>
      <c r="P181" s="67" t="e">
        <f t="shared" si="1443"/>
        <v>#DIV/0!</v>
      </c>
      <c r="Q181" s="67" t="e">
        <f t="shared" si="1443"/>
        <v>#DIV/0!</v>
      </c>
      <c r="R181" s="67" t="e">
        <f t="shared" si="1443"/>
        <v>#DIV/0!</v>
      </c>
      <c r="S181" s="67" t="e">
        <f t="shared" si="1443"/>
        <v>#DIV/0!</v>
      </c>
      <c r="T181" s="67" t="e">
        <f t="shared" si="1443"/>
        <v>#DIV/0!</v>
      </c>
      <c r="U181" s="67" t="e">
        <f t="shared" si="1443"/>
        <v>#DIV/0!</v>
      </c>
      <c r="V181" s="67" t="e">
        <f>V182-V180-V179</f>
        <v>#DIV/0!</v>
      </c>
      <c r="W181" s="67" t="e">
        <f t="shared" ref="W181" si="1444">W182-W180-W179</f>
        <v>#DIV/0!</v>
      </c>
      <c r="X181" s="67" t="e">
        <f t="shared" ref="X181:Y181" si="1445">X182-X180-X179</f>
        <v>#DIV/0!</v>
      </c>
      <c r="Y181" s="67" t="e">
        <f t="shared" si="1445"/>
        <v>#DIV/0!</v>
      </c>
      <c r="Z181" s="67" t="e">
        <f t="shared" ref="Z181:AA181" si="1446">Z182-Z180-Z179</f>
        <v>#DIV/0!</v>
      </c>
      <c r="AA181" s="67" t="e">
        <f t="shared" si="1446"/>
        <v>#DIV/0!</v>
      </c>
      <c r="AB181" s="18">
        <f t="shared" ref="AA181:AD181" si="1447">AB182-AB180-AB179</f>
        <v>976.35869102597121</v>
      </c>
      <c r="AC181" s="18">
        <f t="shared" si="1447"/>
        <v>975.53673811837598</v>
      </c>
      <c r="AD181" s="18">
        <f t="shared" si="1447"/>
        <v>975.42368009296672</v>
      </c>
      <c r="AE181" s="18">
        <f t="shared" ref="AE181" si="1448">AE182-AE180-AE179</f>
        <v>975.41232566255132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>
        <f t="shared" ref="AZ181:BC181" si="1452">AZ182-AZ180-AZ179</f>
        <v>760.08137812482857</v>
      </c>
      <c r="BA181" s="67">
        <f t="shared" si="1452"/>
        <v>713.48527908325195</v>
      </c>
      <c r="BB181" s="67">
        <f t="shared" si="1452"/>
        <v>588.24266102190961</v>
      </c>
      <c r="BC181" s="67">
        <f t="shared" si="1452"/>
        <v>1148.4832216192078</v>
      </c>
      <c r="BD181" s="67">
        <f t="shared" ref="BD181:CE181" si="1453">BD182-BD180-BD179</f>
        <v>877.88681361742908</v>
      </c>
      <c r="BE181" s="67">
        <f t="shared" si="1453"/>
        <v>697.59393525289204</v>
      </c>
      <c r="BF181" s="67">
        <f t="shared" si="1453"/>
        <v>574.82704862126081</v>
      </c>
      <c r="BG181" s="67">
        <f t="shared" si="1453"/>
        <v>1116.7278715832513</v>
      </c>
      <c r="BH181" s="67">
        <f t="shared" si="1453"/>
        <v>747.75597627111995</v>
      </c>
      <c r="BI181" s="67">
        <f t="shared" si="1453"/>
        <v>626.71555124785857</v>
      </c>
      <c r="BJ181" s="67">
        <f t="shared" si="1453"/>
        <v>583.87017758726267</v>
      </c>
      <c r="BK181" s="67">
        <f t="shared" si="1453"/>
        <v>994.28888267803848</v>
      </c>
      <c r="BL181" s="67">
        <f t="shared" si="1453"/>
        <v>723.93938195185478</v>
      </c>
      <c r="BM181" s="67">
        <f t="shared" si="1453"/>
        <v>625.94502035570531</v>
      </c>
      <c r="BN181" s="67">
        <f t="shared" si="1453"/>
        <v>632.176603180651</v>
      </c>
      <c r="BO181" s="67">
        <f t="shared" si="1453"/>
        <v>988.32491443828417</v>
      </c>
      <c r="BP181" s="67">
        <f t="shared" si="1453"/>
        <v>687.50565992246038</v>
      </c>
      <c r="BQ181" s="67">
        <f t="shared" si="1453"/>
        <v>642.13270049228231</v>
      </c>
      <c r="BR181" s="67">
        <f t="shared" si="1453"/>
        <v>700.14030833634411</v>
      </c>
      <c r="BS181" s="67">
        <f t="shared" si="1453"/>
        <v>1310.211740079759</v>
      </c>
      <c r="BT181" s="67">
        <f t="shared" si="1453"/>
        <v>827.51344416069162</v>
      </c>
      <c r="BU181" s="67">
        <f t="shared" si="1453"/>
        <v>673.0456512886858</v>
      </c>
      <c r="BV181" s="67">
        <f t="shared" si="1453"/>
        <v>760.93448519740696</v>
      </c>
      <c r="BW181" s="67">
        <f t="shared" si="1453"/>
        <v>1202.0598730339377</v>
      </c>
      <c r="BX181" s="67">
        <f t="shared" si="1453"/>
        <v>837.5756041963291</v>
      </c>
      <c r="BY181" s="67">
        <f t="shared" si="1453"/>
        <v>719.89437060529565</v>
      </c>
      <c r="BZ181" s="67">
        <f t="shared" si="1453"/>
        <v>763.68814871849531</v>
      </c>
      <c r="CA181" s="67">
        <f t="shared" si="1453"/>
        <v>1159.5294437250134</v>
      </c>
      <c r="CB181" s="67">
        <f t="shared" si="1453"/>
        <v>858.52958603786806</v>
      </c>
      <c r="CC181" s="67">
        <f t="shared" si="1453"/>
        <v>771.3238832127123</v>
      </c>
      <c r="CD181" s="67">
        <f t="shared" si="1453"/>
        <v>800.49051478969761</v>
      </c>
      <c r="CE181" s="114">
        <f t="shared" si="1453"/>
        <v>1331.0067604604421</v>
      </c>
      <c r="CF181" s="67">
        <f t="shared" ref="CF181:CG181" si="1454">CF182-CF180-CF179</f>
        <v>1150.1555997453877</v>
      </c>
      <c r="CG181" s="67">
        <f t="shared" si="1454"/>
        <v>938.84325229160822</v>
      </c>
      <c r="CH181" s="67">
        <f t="shared" ref="CH181" si="1455">CH182-CH180-CH179</f>
        <v>25.53411864106307</v>
      </c>
      <c r="CI181" s="67">
        <f>CH181</f>
        <v>25.53411864106307</v>
      </c>
      <c r="CJ181" s="67">
        <f t="shared" ref="CJ181:CL181" si="1456">CJ182-CJ180-CJ179</f>
        <v>985.30772917755758</v>
      </c>
      <c r="CK181" s="30">
        <f t="shared" ref="CK181:DB181" si="1457">CJ181</f>
        <v>985.30772917755758</v>
      </c>
      <c r="CL181" s="67">
        <f t="shared" si="1456"/>
        <v>873.63234224793644</v>
      </c>
      <c r="CM181" s="30">
        <f t="shared" si="1457"/>
        <v>873.63234224793644</v>
      </c>
      <c r="CN181" s="30">
        <f t="shared" si="1457"/>
        <v>873.63234224793644</v>
      </c>
      <c r="CO181" s="30">
        <f t="shared" si="1457"/>
        <v>873.63234224793644</v>
      </c>
      <c r="CP181" s="30">
        <f t="shared" si="1457"/>
        <v>873.63234224793644</v>
      </c>
      <c r="CQ181" s="30">
        <f t="shared" si="1457"/>
        <v>873.63234224793644</v>
      </c>
      <c r="CR181" s="30">
        <f t="shared" si="1457"/>
        <v>873.63234224793644</v>
      </c>
      <c r="CS181" s="30">
        <f t="shared" si="1457"/>
        <v>873.63234224793644</v>
      </c>
      <c r="CT181" s="30">
        <f t="shared" si="1457"/>
        <v>873.63234224793644</v>
      </c>
      <c r="CU181" s="30">
        <f t="shared" si="1457"/>
        <v>873.63234224793644</v>
      </c>
      <c r="CV181" s="30">
        <f t="shared" si="1457"/>
        <v>873.63234224793644</v>
      </c>
      <c r="CW181" s="30">
        <f t="shared" si="1457"/>
        <v>873.63234224793644</v>
      </c>
      <c r="CX181" s="30">
        <f t="shared" si="1457"/>
        <v>873.63234224793644</v>
      </c>
      <c r="CY181" s="30">
        <f t="shared" si="1457"/>
        <v>873.63234224793644</v>
      </c>
      <c r="CZ181" s="30">
        <f t="shared" si="1457"/>
        <v>873.63234224793644</v>
      </c>
      <c r="DA181" s="30">
        <f t="shared" si="1457"/>
        <v>873.63234224793644</v>
      </c>
      <c r="DB181" s="30">
        <f t="shared" si="1457"/>
        <v>873.63234224793644</v>
      </c>
      <c r="DE181" s="139"/>
      <c r="DF181" s="62">
        <v>985.30772917755758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 t="e">
        <f t="shared" si="1458"/>
        <v>#DIV/0!</v>
      </c>
      <c r="O182" s="70" t="e">
        <f t="shared" si="1458"/>
        <v>#DIV/0!</v>
      </c>
      <c r="P182" s="70" t="e">
        <f t="shared" si="1458"/>
        <v>#DIV/0!</v>
      </c>
      <c r="Q182" s="70" t="e">
        <f t="shared" si="1458"/>
        <v>#DIV/0!</v>
      </c>
      <c r="R182" s="70" t="e">
        <f t="shared" si="1458"/>
        <v>#DIV/0!</v>
      </c>
      <c r="S182" s="70" t="e">
        <f t="shared" si="1458"/>
        <v>#DIV/0!</v>
      </c>
      <c r="T182" s="70" t="e">
        <f t="shared" si="1458"/>
        <v>#DIV/0!</v>
      </c>
      <c r="U182" s="70" t="e">
        <f t="shared" si="1458"/>
        <v>#DIV/0!</v>
      </c>
      <c r="V182" s="70" t="e">
        <f t="shared" si="1458"/>
        <v>#DIV/0!</v>
      </c>
      <c r="W182" s="70" t="e">
        <f t="shared" si="1458"/>
        <v>#DIV/0!</v>
      </c>
      <c r="X182" s="70" t="e">
        <f t="shared" si="1458"/>
        <v>#DIV/0!</v>
      </c>
      <c r="Y182" s="70" t="e">
        <f t="shared" si="1458"/>
        <v>#DIV/0!</v>
      </c>
      <c r="Z182" s="70" t="e">
        <f t="shared" si="1458"/>
        <v>#DIV/0!</v>
      </c>
      <c r="AA182" s="70" t="e">
        <f t="shared" ref="AA182" si="1459">AA148/AA8*365</f>
        <v>#DIV/0!</v>
      </c>
      <c r="AB182" s="71">
        <f t="shared" si="1458"/>
        <v>976.35869102597121</v>
      </c>
      <c r="AC182" s="71">
        <f t="shared" si="1458"/>
        <v>975.53673811837598</v>
      </c>
      <c r="AD182" s="71">
        <f t="shared" si="1458"/>
        <v>975.42368009296672</v>
      </c>
      <c r="AE182" s="71">
        <f t="shared" si="1458"/>
        <v>975.41232566255132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>
        <f t="shared" si="1460"/>
        <v>760.08137812482857</v>
      </c>
      <c r="BA182" s="70">
        <f t="shared" si="1460"/>
        <v>713.48527908325195</v>
      </c>
      <c r="BB182" s="70">
        <f t="shared" si="1460"/>
        <v>588.24266102190961</v>
      </c>
      <c r="BC182" s="70">
        <f t="shared" si="1460"/>
        <v>1148.4832216192078</v>
      </c>
      <c r="BD182" s="70">
        <f t="shared" si="1460"/>
        <v>877.88681361742908</v>
      </c>
      <c r="BE182" s="70">
        <f t="shared" si="1460"/>
        <v>697.59393525289204</v>
      </c>
      <c r="BF182" s="70">
        <f t="shared" si="1460"/>
        <v>574.82704862126081</v>
      </c>
      <c r="BG182" s="70">
        <f t="shared" si="1460"/>
        <v>1116.7278715832513</v>
      </c>
      <c r="BH182" s="70">
        <f t="shared" si="1460"/>
        <v>747.75597627111995</v>
      </c>
      <c r="BI182" s="70">
        <f t="shared" si="1460"/>
        <v>626.71555124785857</v>
      </c>
      <c r="BJ182" s="70">
        <f t="shared" si="1460"/>
        <v>583.87017758726267</v>
      </c>
      <c r="BK182" s="70">
        <f t="shared" si="1460"/>
        <v>994.28888267803848</v>
      </c>
      <c r="BL182" s="70">
        <f t="shared" si="1460"/>
        <v>723.93938195185478</v>
      </c>
      <c r="BM182" s="70">
        <f t="shared" si="1460"/>
        <v>625.94502035570531</v>
      </c>
      <c r="BN182" s="70">
        <f t="shared" si="1460"/>
        <v>632.176603180651</v>
      </c>
      <c r="BO182" s="70">
        <f t="shared" si="1460"/>
        <v>988.32491443828417</v>
      </c>
      <c r="BP182" s="70">
        <f t="shared" si="1460"/>
        <v>687.50565992246038</v>
      </c>
      <c r="BQ182" s="70">
        <f t="shared" si="1460"/>
        <v>642.13270049228231</v>
      </c>
      <c r="BR182" s="70">
        <f t="shared" si="1460"/>
        <v>700.14030833634411</v>
      </c>
      <c r="BS182" s="70">
        <f t="shared" si="1460"/>
        <v>1310.211740079759</v>
      </c>
      <c r="BT182" s="70">
        <f t="shared" si="1460"/>
        <v>827.51344416069162</v>
      </c>
      <c r="BU182" s="70">
        <f t="shared" si="1460"/>
        <v>673.0456512886858</v>
      </c>
      <c r="BV182" s="70">
        <f t="shared" si="1460"/>
        <v>760.93448519740696</v>
      </c>
      <c r="BW182" s="70">
        <f t="shared" si="1460"/>
        <v>1202.0598730339377</v>
      </c>
      <c r="BX182" s="70">
        <f t="shared" si="1460"/>
        <v>837.5756041963291</v>
      </c>
      <c r="BY182" s="70">
        <f t="shared" si="1460"/>
        <v>719.89437060529565</v>
      </c>
      <c r="BZ182" s="70">
        <f t="shared" si="1460"/>
        <v>763.68814871849531</v>
      </c>
      <c r="CA182" s="70">
        <f t="shared" si="1460"/>
        <v>1159.5294437250134</v>
      </c>
      <c r="CB182" s="70">
        <f t="shared" si="1460"/>
        <v>858.52958603786806</v>
      </c>
      <c r="CC182" s="70">
        <f t="shared" si="1460"/>
        <v>771.3238832127123</v>
      </c>
      <c r="CD182" s="70">
        <f t="shared" si="1460"/>
        <v>800.49051478969761</v>
      </c>
      <c r="CE182" s="115">
        <f>CE148/CE10*90</f>
        <v>1331.0067604604421</v>
      </c>
      <c r="CF182" s="70">
        <f>CF148/CF8*90</f>
        <v>1150.1555997453877</v>
      </c>
      <c r="CG182" s="70">
        <f>CG148/CG10*90</f>
        <v>938.84325229160822</v>
      </c>
      <c r="CH182" s="70">
        <f>CH148/CH8*90</f>
        <v>25.53411864106307</v>
      </c>
      <c r="CI182" s="70">
        <f>CI179+CI180+CI181</f>
        <v>25.53411864106307</v>
      </c>
      <c r="CJ182" s="70">
        <f>CJ148/CJ8*90</f>
        <v>985.30772917755758</v>
      </c>
      <c r="CK182" s="50">
        <f t="shared" ref="CK182:DB182" si="1461">CK179+CK180+CK181</f>
        <v>985.30772917755758</v>
      </c>
      <c r="CL182" s="70">
        <f>CL148/CL8*90</f>
        <v>873.63234224793644</v>
      </c>
      <c r="CM182" s="50">
        <f t="shared" si="1461"/>
        <v>873.63234224793644</v>
      </c>
      <c r="CN182" s="50">
        <f t="shared" si="1461"/>
        <v>873.63234224793644</v>
      </c>
      <c r="CO182" s="50">
        <f t="shared" si="1461"/>
        <v>873.63234224793644</v>
      </c>
      <c r="CP182" s="50">
        <f t="shared" si="1461"/>
        <v>873.63234224793644</v>
      </c>
      <c r="CQ182" s="50">
        <f t="shared" si="1461"/>
        <v>873.63234224793644</v>
      </c>
      <c r="CR182" s="50">
        <f t="shared" si="1461"/>
        <v>873.63234224793644</v>
      </c>
      <c r="CS182" s="50">
        <f t="shared" si="1461"/>
        <v>873.63234224793644</v>
      </c>
      <c r="CT182" s="50">
        <f t="shared" si="1461"/>
        <v>873.63234224793644</v>
      </c>
      <c r="CU182" s="50">
        <f t="shared" si="1461"/>
        <v>873.63234224793644</v>
      </c>
      <c r="CV182" s="50">
        <f t="shared" si="1461"/>
        <v>873.63234224793644</v>
      </c>
      <c r="CW182" s="50">
        <f t="shared" si="1461"/>
        <v>873.63234224793644</v>
      </c>
      <c r="CX182" s="50">
        <f t="shared" si="1461"/>
        <v>873.63234224793644</v>
      </c>
      <c r="CY182" s="50">
        <f t="shared" si="1461"/>
        <v>873.63234224793644</v>
      </c>
      <c r="CZ182" s="50">
        <f t="shared" si="1461"/>
        <v>873.63234224793644</v>
      </c>
      <c r="DA182" s="50">
        <f t="shared" si="1461"/>
        <v>873.63234224793644</v>
      </c>
      <c r="DB182" s="50">
        <f t="shared" si="1461"/>
        <v>873.63234224793644</v>
      </c>
      <c r="DE182" s="138"/>
      <c r="DF182" s="7">
        <v>985.30772917755758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 t="e">
        <f t="shared" si="1462"/>
        <v>#DIV/0!</v>
      </c>
      <c r="O183" s="67" t="e">
        <f t="shared" si="1462"/>
        <v>#DIV/0!</v>
      </c>
      <c r="P183" s="67" t="e">
        <f t="shared" si="1462"/>
        <v>#DIV/0!</v>
      </c>
      <c r="Q183" s="67" t="e">
        <f t="shared" si="1462"/>
        <v>#DIV/0!</v>
      </c>
      <c r="R183" s="67" t="e">
        <f t="shared" si="1462"/>
        <v>#DIV/0!</v>
      </c>
      <c r="S183" s="67" t="e">
        <f t="shared" si="1462"/>
        <v>#DIV/0!</v>
      </c>
      <c r="T183" s="67" t="e">
        <f t="shared" si="1462"/>
        <v>#DIV/0!</v>
      </c>
      <c r="U183" s="67" t="e">
        <f t="shared" si="1462"/>
        <v>#DIV/0!</v>
      </c>
      <c r="V183" s="67" t="e">
        <f t="shared" si="1462"/>
        <v>#DIV/0!</v>
      </c>
      <c r="W183" s="67" t="e">
        <f t="shared" si="1462"/>
        <v>#DIV/0!</v>
      </c>
      <c r="X183" s="67" t="e">
        <f t="shared" si="1462"/>
        <v>#DIV/0!</v>
      </c>
      <c r="Y183" s="67" t="e">
        <f t="shared" si="1462"/>
        <v>#DIV/0!</v>
      </c>
      <c r="Z183" s="67" t="e">
        <f t="shared" si="1462"/>
        <v>#DIV/0!</v>
      </c>
      <c r="AA183" s="67" t="e">
        <f t="shared" ref="AA183" si="1463">AA153/AA8*365</f>
        <v>#DIV/0!</v>
      </c>
      <c r="AB183" s="18">
        <f t="shared" si="1462"/>
        <v>0</v>
      </c>
      <c r="AC183" s="18">
        <f t="shared" si="1462"/>
        <v>0</v>
      </c>
      <c r="AD183" s="18">
        <f t="shared" si="1462"/>
        <v>0</v>
      </c>
      <c r="AE183" s="18">
        <f t="shared" si="1462"/>
        <v>0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>
        <f>AZ153/AZ8*90</f>
        <v>0</v>
      </c>
      <c r="BA183" s="67">
        <f t="shared" ref="BA183" si="1472">+AZ183</f>
        <v>0</v>
      </c>
      <c r="BB183" s="67">
        <f>BB153/BB8*90</f>
        <v>0</v>
      </c>
      <c r="BC183" s="67">
        <f t="shared" ref="BC183" si="1473">+BB183</f>
        <v>0</v>
      </c>
      <c r="BD183" s="67">
        <f>BD153/BD8*90</f>
        <v>0</v>
      </c>
      <c r="BE183" s="67">
        <f t="shared" ref="BE183" si="1474">+BD183</f>
        <v>0</v>
      </c>
      <c r="BF183" s="67">
        <f>BF153/BF8*90</f>
        <v>0</v>
      </c>
      <c r="BG183" s="67">
        <f t="shared" ref="BG183" si="1475">+BF183</f>
        <v>0</v>
      </c>
      <c r="BH183" s="67">
        <f>BH153/BH8*90</f>
        <v>0</v>
      </c>
      <c r="BI183" s="67">
        <f t="shared" ref="BI183" si="1476">+BH183</f>
        <v>0</v>
      </c>
      <c r="BJ183" s="67">
        <f>BJ153/BJ8*90</f>
        <v>0</v>
      </c>
      <c r="BK183" s="67">
        <f t="shared" ref="BK183" si="1477">+BJ183</f>
        <v>0</v>
      </c>
      <c r="BL183" s="67">
        <f>BL153/BL8*90</f>
        <v>0</v>
      </c>
      <c r="BM183" s="67">
        <f t="shared" ref="BM183" si="1478">+BL183</f>
        <v>0</v>
      </c>
      <c r="BN183" s="67">
        <f>BN153/BN8*90</f>
        <v>0</v>
      </c>
      <c r="BO183" s="67">
        <f t="shared" ref="BO183" si="1479">+BN183</f>
        <v>0</v>
      </c>
      <c r="BP183" s="67">
        <f>BP153/BP8*90</f>
        <v>0</v>
      </c>
      <c r="BQ183" s="67">
        <f t="shared" ref="BQ183" si="1480">+BP183</f>
        <v>0</v>
      </c>
      <c r="BR183" s="67">
        <f>BR153/BR8*90</f>
        <v>0</v>
      </c>
      <c r="BS183" s="67">
        <f t="shared" ref="BS183" si="1481">+BR183</f>
        <v>0</v>
      </c>
      <c r="BT183" s="67">
        <f>BT153/BT8*90</f>
        <v>0</v>
      </c>
      <c r="BU183" s="67">
        <f t="shared" ref="BU183" si="1482">+BT183</f>
        <v>0</v>
      </c>
      <c r="BV183" s="67">
        <f>BV153/BV8*90</f>
        <v>0</v>
      </c>
      <c r="BW183" s="67">
        <f t="shared" ref="BW183" si="1483">+BV183</f>
        <v>0</v>
      </c>
      <c r="BX183" s="67">
        <f>BX153/BX8*90</f>
        <v>0</v>
      </c>
      <c r="BY183" s="67">
        <f t="shared" ref="BY183" si="1484">+BX183</f>
        <v>0</v>
      </c>
      <c r="BZ183" s="67">
        <f>BZ153/BZ8*90</f>
        <v>0</v>
      </c>
      <c r="CA183" s="67">
        <f t="shared" ref="CA183" si="1485">+BZ183</f>
        <v>0</v>
      </c>
      <c r="CB183" s="67">
        <f>CB153/CB8*90</f>
        <v>0</v>
      </c>
      <c r="CC183" s="67">
        <f t="shared" ref="CC183" si="1486">+CB183</f>
        <v>0</v>
      </c>
      <c r="CD183" s="67">
        <f>CD153/CD8*90</f>
        <v>0</v>
      </c>
      <c r="CE183" s="114">
        <f t="shared" si="1464"/>
        <v>0</v>
      </c>
      <c r="CF183" s="67">
        <f>CF153/CF8*90</f>
        <v>0</v>
      </c>
      <c r="CG183" s="67">
        <f t="shared" ref="CG183:CI183" si="1487">+CF183</f>
        <v>0</v>
      </c>
      <c r="CH183" s="67">
        <f>CH153/CH8*90</f>
        <v>0</v>
      </c>
      <c r="CI183" s="67">
        <f t="shared" si="1487"/>
        <v>0</v>
      </c>
      <c r="CJ183" s="67">
        <f>CJ153/CJ8*90</f>
        <v>0</v>
      </c>
      <c r="CK183" s="30">
        <f t="shared" ref="CK183" si="1488">+CJ183</f>
        <v>0</v>
      </c>
      <c r="CL183" s="67">
        <f>CL153/CL8*90</f>
        <v>0</v>
      </c>
      <c r="CM183" s="30">
        <f t="shared" ref="CM183" si="1489">+CL183</f>
        <v>0</v>
      </c>
      <c r="CN183" s="30">
        <f t="shared" ref="CN183" si="1490">+CM183</f>
        <v>0</v>
      </c>
      <c r="CO183" s="30">
        <f t="shared" ref="CO183" si="1491">+CN183</f>
        <v>0</v>
      </c>
      <c r="CP183" s="30">
        <f t="shared" ref="CP183" si="1492">+CO183</f>
        <v>0</v>
      </c>
      <c r="CQ183" s="30">
        <f t="shared" ref="CQ183" si="1493">+CP183</f>
        <v>0</v>
      </c>
      <c r="CR183" s="30">
        <f t="shared" ref="CR183" si="1494">+CQ183</f>
        <v>0</v>
      </c>
      <c r="CS183" s="30">
        <f t="shared" ref="CS183" si="1495">+CR183</f>
        <v>0</v>
      </c>
      <c r="CT183" s="30">
        <f t="shared" ref="CT183" si="1496">+CS183</f>
        <v>0</v>
      </c>
      <c r="CU183" s="30">
        <f t="shared" ref="CU183" si="1497">+CT183</f>
        <v>0</v>
      </c>
      <c r="CV183" s="30">
        <f t="shared" ref="CV183" si="1498">+CU183</f>
        <v>0</v>
      </c>
      <c r="CW183" s="30">
        <f t="shared" ref="CW183" si="1499">+CV183</f>
        <v>0</v>
      </c>
      <c r="CX183" s="30">
        <f t="shared" ref="CX183" si="1500">+CW183</f>
        <v>0</v>
      </c>
      <c r="CY183" s="30">
        <f t="shared" ref="CY183" si="1501">+CX183</f>
        <v>0</v>
      </c>
      <c r="CZ183" s="30">
        <f t="shared" ref="CZ183" si="1502">+CY183</f>
        <v>0</v>
      </c>
      <c r="DA183" s="30">
        <f t="shared" ref="DA183" si="1503">+CZ183</f>
        <v>0</v>
      </c>
      <c r="DB183" s="30">
        <f t="shared" ref="DB183" si="1504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 t="e">
        <f t="shared" si="1505"/>
        <v>#DIV/0!</v>
      </c>
      <c r="O184" s="67" t="e">
        <f t="shared" si="1505"/>
        <v>#DIV/0!</v>
      </c>
      <c r="P184" s="67" t="e">
        <f t="shared" si="1505"/>
        <v>#DIV/0!</v>
      </c>
      <c r="Q184" s="67" t="e">
        <f t="shared" si="1505"/>
        <v>#DIV/0!</v>
      </c>
      <c r="R184" s="67" t="e">
        <f t="shared" si="1505"/>
        <v>#DIV/0!</v>
      </c>
      <c r="S184" s="67" t="e">
        <f t="shared" si="1505"/>
        <v>#DIV/0!</v>
      </c>
      <c r="T184" s="67" t="e">
        <f t="shared" si="1505"/>
        <v>#DIV/0!</v>
      </c>
      <c r="U184" s="67" t="e">
        <f t="shared" si="1505"/>
        <v>#DIV/0!</v>
      </c>
      <c r="V184" s="67" t="e">
        <f t="shared" si="1505"/>
        <v>#DIV/0!</v>
      </c>
      <c r="W184" s="67" t="e">
        <f t="shared" ref="W184" si="1506">W185-W183</f>
        <v>#DIV/0!</v>
      </c>
      <c r="X184" s="67" t="e">
        <f t="shared" ref="X184:Y184" si="1507">X185-X183</f>
        <v>#DIV/0!</v>
      </c>
      <c r="Y184" s="67" t="e">
        <f t="shared" si="1507"/>
        <v>#DIV/0!</v>
      </c>
      <c r="Z184" s="67" t="e">
        <f t="shared" ref="Z184:AA184" si="1508">Z185-Z183</f>
        <v>#DIV/0!</v>
      </c>
      <c r="AA184" s="67" t="e">
        <f t="shared" si="1508"/>
        <v>#DIV/0!</v>
      </c>
      <c r="AB184" s="18">
        <f t="shared" ref="AA184:AD184" si="1509">AB185-AB183</f>
        <v>1747.4572545403735</v>
      </c>
      <c r="AC184" s="18">
        <f t="shared" si="1509"/>
        <v>1745.9861480869054</v>
      </c>
      <c r="AD184" s="18">
        <f t="shared" si="1509"/>
        <v>1745.7838002525475</v>
      </c>
      <c r="AE184" s="18">
        <f t="shared" ref="AE184" si="1510">AE185-AE183</f>
        <v>1745.7634784364132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>
        <f t="shared" ref="AZ184:BC184" si="1514">AZ185-AZ183</f>
        <v>1561.0944900608961</v>
      </c>
      <c r="BA184" s="67">
        <f t="shared" si="1514"/>
        <v>1465.3930091857908</v>
      </c>
      <c r="BB184" s="67">
        <f t="shared" si="1514"/>
        <v>1184.5650519667031</v>
      </c>
      <c r="BC184" s="67">
        <f t="shared" si="1514"/>
        <v>2312.7412839062558</v>
      </c>
      <c r="BD184" s="67">
        <f t="shared" ref="BD184:CE184" si="1515">BD185-BD183</f>
        <v>1723.525313999075</v>
      </c>
      <c r="BE184" s="67">
        <f t="shared" si="1515"/>
        <v>1369.5624397709041</v>
      </c>
      <c r="BF184" s="67">
        <f t="shared" si="1515"/>
        <v>1120.5215823833184</v>
      </c>
      <c r="BG184" s="67">
        <f t="shared" si="1515"/>
        <v>2176.8594306049818</v>
      </c>
      <c r="BH184" s="67">
        <f t="shared" si="1515"/>
        <v>1450.4806468664954</v>
      </c>
      <c r="BI184" s="67">
        <f t="shared" si="1515"/>
        <v>1215.6890844369375</v>
      </c>
      <c r="BJ184" s="67">
        <f t="shared" si="1515"/>
        <v>1102.8682822407443</v>
      </c>
      <c r="BK184" s="67">
        <f t="shared" si="1515"/>
        <v>1878.105294950278</v>
      </c>
      <c r="BL184" s="67">
        <f t="shared" si="1515"/>
        <v>1344.7069923285444</v>
      </c>
      <c r="BM184" s="67">
        <f t="shared" si="1515"/>
        <v>1162.6838747412248</v>
      </c>
      <c r="BN184" s="67">
        <f t="shared" si="1515"/>
        <v>1184.4492614840456</v>
      </c>
      <c r="BO184" s="67">
        <f t="shared" si="1515"/>
        <v>1851.7305277085541</v>
      </c>
      <c r="BP184" s="67">
        <f t="shared" si="1515"/>
        <v>1265.6605446435863</v>
      </c>
      <c r="BQ184" s="67">
        <f t="shared" si="1515"/>
        <v>1182.1313929694497</v>
      </c>
      <c r="BR184" s="67">
        <f t="shared" si="1515"/>
        <v>1247.3139882769963</v>
      </c>
      <c r="BS184" s="67">
        <f t="shared" si="1515"/>
        <v>2334.1684681595902</v>
      </c>
      <c r="BT184" s="67">
        <f t="shared" si="1515"/>
        <v>1459.0784304095864</v>
      </c>
      <c r="BU184" s="67">
        <f t="shared" si="1515"/>
        <v>1186.719562571358</v>
      </c>
      <c r="BV184" s="67">
        <f t="shared" si="1515"/>
        <v>1345.9448874225136</v>
      </c>
      <c r="BW184" s="67">
        <f t="shared" si="1515"/>
        <v>2126.2097749007339</v>
      </c>
      <c r="BX184" s="67">
        <f t="shared" si="1515"/>
        <v>1501.5447289173076</v>
      </c>
      <c r="BY184" s="67">
        <f t="shared" si="1515"/>
        <v>1290.5743578776053</v>
      </c>
      <c r="BZ184" s="67">
        <f t="shared" si="1515"/>
        <v>1358.9794551116454</v>
      </c>
      <c r="CA184" s="67">
        <f t="shared" si="1515"/>
        <v>2063.3771707254532</v>
      </c>
      <c r="CB184" s="67">
        <f t="shared" si="1515"/>
        <v>1511.1805686480468</v>
      </c>
      <c r="CC184" s="67">
        <f t="shared" si="1515"/>
        <v>1357.681416460578</v>
      </c>
      <c r="CD184" s="67">
        <f t="shared" si="1515"/>
        <v>1368.9380593690116</v>
      </c>
      <c r="CE184" s="114">
        <f t="shared" si="1515"/>
        <v>2276.186635578611</v>
      </c>
      <c r="CF184" s="67">
        <f t="shared" ref="CF184:CG184" si="1516">CF185-CF183</f>
        <v>1919.5330083242459</v>
      </c>
      <c r="CG184" s="67">
        <f t="shared" si="1516"/>
        <v>1566.866789863192</v>
      </c>
      <c r="CH184" s="67">
        <f t="shared" ref="CH184" si="1517">CH185-CH183</f>
        <v>32.716817730905746</v>
      </c>
      <c r="CI184" s="67">
        <f>CH184</f>
        <v>32.716817730905746</v>
      </c>
      <c r="CJ184" s="67">
        <f t="shared" ref="CJ184:CL184" si="1518">CJ185-CJ183</f>
        <v>1708.2867687983608</v>
      </c>
      <c r="CK184" s="30">
        <f t="shared" ref="CK184:DB184" si="1519">CJ184</f>
        <v>1708.2867687983608</v>
      </c>
      <c r="CL184" s="67">
        <f t="shared" si="1518"/>
        <v>1563.6007425283892</v>
      </c>
      <c r="CM184" s="30">
        <f t="shared" si="1519"/>
        <v>1563.6007425283892</v>
      </c>
      <c r="CN184" s="30">
        <f t="shared" si="1519"/>
        <v>1563.6007425283892</v>
      </c>
      <c r="CO184" s="30">
        <f t="shared" si="1519"/>
        <v>1563.6007425283892</v>
      </c>
      <c r="CP184" s="30">
        <f t="shared" si="1519"/>
        <v>1563.6007425283892</v>
      </c>
      <c r="CQ184" s="30">
        <f t="shared" si="1519"/>
        <v>1563.6007425283892</v>
      </c>
      <c r="CR184" s="30">
        <f t="shared" si="1519"/>
        <v>1563.6007425283892</v>
      </c>
      <c r="CS184" s="30">
        <f t="shared" si="1519"/>
        <v>1563.6007425283892</v>
      </c>
      <c r="CT184" s="30">
        <f t="shared" si="1519"/>
        <v>1563.6007425283892</v>
      </c>
      <c r="CU184" s="30">
        <f t="shared" si="1519"/>
        <v>1563.6007425283892</v>
      </c>
      <c r="CV184" s="30">
        <f t="shared" si="1519"/>
        <v>1563.6007425283892</v>
      </c>
      <c r="CW184" s="30">
        <f t="shared" si="1519"/>
        <v>1563.6007425283892</v>
      </c>
      <c r="CX184" s="30">
        <f t="shared" si="1519"/>
        <v>1563.6007425283892</v>
      </c>
      <c r="CY184" s="30">
        <f t="shared" si="1519"/>
        <v>1563.6007425283892</v>
      </c>
      <c r="CZ184" s="30">
        <f t="shared" si="1519"/>
        <v>1563.6007425283892</v>
      </c>
      <c r="DA184" s="30">
        <f t="shared" si="1519"/>
        <v>1563.6007425283892</v>
      </c>
      <c r="DB184" s="30">
        <f t="shared" si="1519"/>
        <v>1563.6007425283892</v>
      </c>
      <c r="DE184" s="139"/>
      <c r="DF184" s="62">
        <v>1708.2867687983608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 t="e">
        <f t="shared" si="1520"/>
        <v>#DIV/0!</v>
      </c>
      <c r="O185" s="70" t="e">
        <f t="shared" si="1520"/>
        <v>#DIV/0!</v>
      </c>
      <c r="P185" s="70" t="e">
        <f t="shared" si="1520"/>
        <v>#DIV/0!</v>
      </c>
      <c r="Q185" s="70" t="e">
        <f t="shared" si="1520"/>
        <v>#DIV/0!</v>
      </c>
      <c r="R185" s="70" t="e">
        <f t="shared" si="1520"/>
        <v>#DIV/0!</v>
      </c>
      <c r="S185" s="70" t="e">
        <f t="shared" si="1520"/>
        <v>#DIV/0!</v>
      </c>
      <c r="T185" s="70" t="e">
        <f t="shared" si="1520"/>
        <v>#DIV/0!</v>
      </c>
      <c r="U185" s="70" t="e">
        <f t="shared" si="1520"/>
        <v>#DIV/0!</v>
      </c>
      <c r="V185" s="70" t="e">
        <f t="shared" si="1520"/>
        <v>#DIV/0!</v>
      </c>
      <c r="W185" s="70" t="e">
        <f t="shared" si="1520"/>
        <v>#DIV/0!</v>
      </c>
      <c r="X185" s="70" t="e">
        <f t="shared" si="1520"/>
        <v>#DIV/0!</v>
      </c>
      <c r="Y185" s="70" t="e">
        <f t="shared" si="1520"/>
        <v>#DIV/0!</v>
      </c>
      <c r="Z185" s="70" t="e">
        <f t="shared" si="1520"/>
        <v>#DIV/0!</v>
      </c>
      <c r="AA185" s="70" t="e">
        <f t="shared" ref="AA185" si="1521">AA156/AA8*365</f>
        <v>#DIV/0!</v>
      </c>
      <c r="AB185" s="71">
        <f t="shared" si="1520"/>
        <v>1747.4572545403735</v>
      </c>
      <c r="AC185" s="71">
        <f t="shared" si="1520"/>
        <v>1745.9861480869054</v>
      </c>
      <c r="AD185" s="71">
        <f t="shared" si="1520"/>
        <v>1745.7838002525475</v>
      </c>
      <c r="AE185" s="71">
        <f t="shared" si="1520"/>
        <v>1745.7634784364132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>
        <f t="shared" si="1522"/>
        <v>1561.0944900608961</v>
      </c>
      <c r="BA185" s="70">
        <f t="shared" si="1522"/>
        <v>1465.3930091857908</v>
      </c>
      <c r="BB185" s="70">
        <f t="shared" si="1522"/>
        <v>1184.5650519667031</v>
      </c>
      <c r="BC185" s="70">
        <f t="shared" si="1522"/>
        <v>2312.7412839062558</v>
      </c>
      <c r="BD185" s="70">
        <f t="shared" si="1522"/>
        <v>1723.525313999075</v>
      </c>
      <c r="BE185" s="70">
        <f t="shared" si="1522"/>
        <v>1369.5624397709041</v>
      </c>
      <c r="BF185" s="70">
        <f t="shared" si="1522"/>
        <v>1120.5215823833184</v>
      </c>
      <c r="BG185" s="70">
        <f t="shared" si="1522"/>
        <v>2176.8594306049818</v>
      </c>
      <c r="BH185" s="70">
        <f t="shared" si="1522"/>
        <v>1450.4806468664954</v>
      </c>
      <c r="BI185" s="70">
        <f t="shared" si="1522"/>
        <v>1215.6890844369375</v>
      </c>
      <c r="BJ185" s="70">
        <f t="shared" si="1522"/>
        <v>1102.8682822407443</v>
      </c>
      <c r="BK185" s="70">
        <f t="shared" si="1522"/>
        <v>1878.105294950278</v>
      </c>
      <c r="BL185" s="70">
        <f t="shared" si="1522"/>
        <v>1344.7069923285444</v>
      </c>
      <c r="BM185" s="70">
        <f t="shared" si="1522"/>
        <v>1162.6838747412248</v>
      </c>
      <c r="BN185" s="70">
        <f t="shared" si="1522"/>
        <v>1184.4492614840456</v>
      </c>
      <c r="BO185" s="70">
        <f t="shared" si="1522"/>
        <v>1851.7305277085541</v>
      </c>
      <c r="BP185" s="70">
        <f t="shared" si="1522"/>
        <v>1265.6605446435863</v>
      </c>
      <c r="BQ185" s="70">
        <f t="shared" si="1522"/>
        <v>1182.1313929694497</v>
      </c>
      <c r="BR185" s="70">
        <f t="shared" si="1522"/>
        <v>1247.3139882769963</v>
      </c>
      <c r="BS185" s="70">
        <f t="shared" si="1522"/>
        <v>2334.1684681595902</v>
      </c>
      <c r="BT185" s="70">
        <f t="shared" si="1522"/>
        <v>1459.0784304095864</v>
      </c>
      <c r="BU185" s="70">
        <f t="shared" si="1522"/>
        <v>1186.719562571358</v>
      </c>
      <c r="BV185" s="70">
        <f t="shared" si="1522"/>
        <v>1345.9448874225136</v>
      </c>
      <c r="BW185" s="70">
        <f t="shared" si="1522"/>
        <v>2126.2097749007339</v>
      </c>
      <c r="BX185" s="70">
        <f t="shared" si="1522"/>
        <v>1501.5447289173076</v>
      </c>
      <c r="BY185" s="70">
        <f t="shared" si="1522"/>
        <v>1290.5743578776053</v>
      </c>
      <c r="BZ185" s="70">
        <f t="shared" si="1522"/>
        <v>1358.9794551116454</v>
      </c>
      <c r="CA185" s="70">
        <f t="shared" si="1522"/>
        <v>2063.3771707254532</v>
      </c>
      <c r="CB185" s="70">
        <f t="shared" si="1522"/>
        <v>1511.1805686480468</v>
      </c>
      <c r="CC185" s="70">
        <f t="shared" si="1522"/>
        <v>1357.681416460578</v>
      </c>
      <c r="CD185" s="70">
        <f t="shared" si="1522"/>
        <v>1368.9380593690116</v>
      </c>
      <c r="CE185" s="115">
        <f>CE156/CE10*90</f>
        <v>2276.186635578611</v>
      </c>
      <c r="CF185" s="70">
        <f>CF156/CF8*90</f>
        <v>1919.5330083242459</v>
      </c>
      <c r="CG185" s="70">
        <f>CG156/CG10*90</f>
        <v>1566.866789863192</v>
      </c>
      <c r="CH185" s="70">
        <f>CH156/CH8*90</f>
        <v>32.716817730905746</v>
      </c>
      <c r="CI185" s="70">
        <f>CI183+CI184</f>
        <v>32.716817730905746</v>
      </c>
      <c r="CJ185" s="70">
        <f>CJ156/CJ8*90</f>
        <v>1708.2867687983608</v>
      </c>
      <c r="CK185" s="50">
        <f t="shared" ref="CK185:DB185" si="1523">CK183+CK184</f>
        <v>1708.2867687983608</v>
      </c>
      <c r="CL185" s="70">
        <f>CL156/CL8*90</f>
        <v>1563.6007425283892</v>
      </c>
      <c r="CM185" s="50">
        <f t="shared" si="1523"/>
        <v>1563.6007425283892</v>
      </c>
      <c r="CN185" s="50">
        <f t="shared" si="1523"/>
        <v>1563.6007425283892</v>
      </c>
      <c r="CO185" s="50">
        <f t="shared" si="1523"/>
        <v>1563.6007425283892</v>
      </c>
      <c r="CP185" s="50">
        <f t="shared" si="1523"/>
        <v>1563.6007425283892</v>
      </c>
      <c r="CQ185" s="50">
        <f t="shared" si="1523"/>
        <v>1563.6007425283892</v>
      </c>
      <c r="CR185" s="50">
        <f t="shared" si="1523"/>
        <v>1563.6007425283892</v>
      </c>
      <c r="CS185" s="50">
        <f t="shared" si="1523"/>
        <v>1563.6007425283892</v>
      </c>
      <c r="CT185" s="50">
        <f t="shared" si="1523"/>
        <v>1563.6007425283892</v>
      </c>
      <c r="CU185" s="50">
        <f t="shared" si="1523"/>
        <v>1563.6007425283892</v>
      </c>
      <c r="CV185" s="50">
        <f t="shared" si="1523"/>
        <v>1563.6007425283892</v>
      </c>
      <c r="CW185" s="50">
        <f t="shared" si="1523"/>
        <v>1563.6007425283892</v>
      </c>
      <c r="CX185" s="50">
        <f t="shared" si="1523"/>
        <v>1563.6007425283892</v>
      </c>
      <c r="CY185" s="50">
        <f t="shared" si="1523"/>
        <v>1563.6007425283892</v>
      </c>
      <c r="CZ185" s="50">
        <f t="shared" si="1523"/>
        <v>1563.6007425283892</v>
      </c>
      <c r="DA185" s="50">
        <f t="shared" si="1523"/>
        <v>1563.6007425283892</v>
      </c>
      <c r="DB185" s="50">
        <f t="shared" si="1523"/>
        <v>1563.6007425283892</v>
      </c>
      <c r="DE185" s="138"/>
      <c r="DF185" s="7">
        <v>1708.2867687983608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 t="e">
        <f t="shared" si="1524"/>
        <v>#DIV/0!</v>
      </c>
      <c r="O186" s="70" t="e">
        <f t="shared" si="1524"/>
        <v>#DIV/0!</v>
      </c>
      <c r="P186" s="70" t="e">
        <f t="shared" si="1524"/>
        <v>#DIV/0!</v>
      </c>
      <c r="Q186" s="70" t="e">
        <f t="shared" si="1524"/>
        <v>#DIV/0!</v>
      </c>
      <c r="R186" s="70" t="e">
        <f t="shared" si="1524"/>
        <v>#DIV/0!</v>
      </c>
      <c r="S186" s="70" t="e">
        <f t="shared" si="1524"/>
        <v>#DIV/0!</v>
      </c>
      <c r="T186" s="70" t="e">
        <f t="shared" si="1524"/>
        <v>#DIV/0!</v>
      </c>
      <c r="U186" s="70" t="e">
        <f t="shared" si="1524"/>
        <v>#DIV/0!</v>
      </c>
      <c r="V186" s="70" t="e">
        <f t="shared" si="1524"/>
        <v>#DIV/0!</v>
      </c>
      <c r="W186" s="70" t="e">
        <f t="shared" ref="W186" si="1525">W182-W185</f>
        <v>#DIV/0!</v>
      </c>
      <c r="X186" s="70" t="e">
        <f t="shared" ref="X186:Y186" si="1526">X182-X185</f>
        <v>#DIV/0!</v>
      </c>
      <c r="Y186" s="70" t="e">
        <f t="shared" si="1526"/>
        <v>#DIV/0!</v>
      </c>
      <c r="Z186" s="70" t="e">
        <f t="shared" ref="Z186:AA186" si="1527">Z182-Z185</f>
        <v>#DIV/0!</v>
      </c>
      <c r="AA186" s="70" t="e">
        <f t="shared" si="1527"/>
        <v>#DIV/0!</v>
      </c>
      <c r="AB186" s="71">
        <f t="shared" ref="AA186:AD186" si="1528">AB182-AB185</f>
        <v>-771.09856351440226</v>
      </c>
      <c r="AC186" s="71">
        <f t="shared" si="1528"/>
        <v>-770.44940996852938</v>
      </c>
      <c r="AD186" s="71">
        <f t="shared" si="1528"/>
        <v>-770.36012015958079</v>
      </c>
      <c r="AE186" s="71">
        <f t="shared" ref="AE186" si="1529">AE182-AE185</f>
        <v>-770.35115277386183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>
        <f t="shared" ref="AZ186:BC186" si="1533">AZ182-AZ185</f>
        <v>-801.0131119360675</v>
      </c>
      <c r="BA186" s="70">
        <f t="shared" si="1533"/>
        <v>-751.90773010253884</v>
      </c>
      <c r="BB186" s="70">
        <f t="shared" si="1533"/>
        <v>-596.32239094479348</v>
      </c>
      <c r="BC186" s="70">
        <f t="shared" si="1533"/>
        <v>-1164.258062287048</v>
      </c>
      <c r="BD186" s="70">
        <f t="shared" ref="BD186:CE186" si="1534">BD182-BD185</f>
        <v>-845.63850038164594</v>
      </c>
      <c r="BE186" s="70">
        <f t="shared" si="1534"/>
        <v>-671.96850451801208</v>
      </c>
      <c r="BF186" s="70">
        <f t="shared" si="1534"/>
        <v>-545.69453376205763</v>
      </c>
      <c r="BG186" s="70">
        <f t="shared" si="1534"/>
        <v>-1060.1315590217305</v>
      </c>
      <c r="BH186" s="70">
        <f t="shared" si="1534"/>
        <v>-702.72467059537541</v>
      </c>
      <c r="BI186" s="70">
        <f t="shared" si="1534"/>
        <v>-588.97353318907892</v>
      </c>
      <c r="BJ186" s="70">
        <f t="shared" si="1534"/>
        <v>-518.99810465348162</v>
      </c>
      <c r="BK186" s="70">
        <f t="shared" si="1534"/>
        <v>-883.81641227223952</v>
      </c>
      <c r="BL186" s="70">
        <f t="shared" si="1534"/>
        <v>-620.76761037668962</v>
      </c>
      <c r="BM186" s="70">
        <f t="shared" si="1534"/>
        <v>-536.73885438551952</v>
      </c>
      <c r="BN186" s="70">
        <f t="shared" si="1534"/>
        <v>-552.27265830339456</v>
      </c>
      <c r="BO186" s="70">
        <f t="shared" si="1534"/>
        <v>-863.4056132702699</v>
      </c>
      <c r="BP186" s="70">
        <f t="shared" si="1534"/>
        <v>-578.15488472112588</v>
      </c>
      <c r="BQ186" s="70">
        <f t="shared" si="1534"/>
        <v>-539.99869247716742</v>
      </c>
      <c r="BR186" s="70">
        <f t="shared" si="1534"/>
        <v>-547.17367994065216</v>
      </c>
      <c r="BS186" s="70">
        <f t="shared" si="1534"/>
        <v>-1023.9567280798312</v>
      </c>
      <c r="BT186" s="70">
        <f t="shared" si="1534"/>
        <v>-631.5649862488948</v>
      </c>
      <c r="BU186" s="70">
        <f t="shared" si="1534"/>
        <v>-513.67391128267218</v>
      </c>
      <c r="BV186" s="70">
        <f t="shared" si="1534"/>
        <v>-585.01040222510665</v>
      </c>
      <c r="BW186" s="70">
        <f t="shared" si="1534"/>
        <v>-924.1499018667962</v>
      </c>
      <c r="BX186" s="70">
        <f t="shared" si="1534"/>
        <v>-663.96912472097847</v>
      </c>
      <c r="BY186" s="70">
        <f t="shared" si="1534"/>
        <v>-570.67998727230963</v>
      </c>
      <c r="BZ186" s="70">
        <f t="shared" si="1534"/>
        <v>-595.29130639315008</v>
      </c>
      <c r="CA186" s="70">
        <f t="shared" si="1534"/>
        <v>-903.84772700043982</v>
      </c>
      <c r="CB186" s="70">
        <f t="shared" si="1534"/>
        <v>-652.65098261017874</v>
      </c>
      <c r="CC186" s="70">
        <f t="shared" si="1534"/>
        <v>-586.35753324786572</v>
      </c>
      <c r="CD186" s="70">
        <f t="shared" si="1534"/>
        <v>-568.44754457931401</v>
      </c>
      <c r="CE186" s="115">
        <f t="shared" si="1534"/>
        <v>-945.17987511816887</v>
      </c>
      <c r="CF186" s="70">
        <f t="shared" ref="CF186:CG186" si="1535">CF182-CF185</f>
        <v>-769.37740857885819</v>
      </c>
      <c r="CG186" s="70">
        <f t="shared" si="1535"/>
        <v>-628.0235375715838</v>
      </c>
      <c r="CH186" s="70">
        <f t="shared" ref="CH186:CI186" si="1536">CH182-CH185</f>
        <v>-7.182699089842675</v>
      </c>
      <c r="CI186" s="70">
        <f t="shared" si="1536"/>
        <v>-7.182699089842675</v>
      </c>
      <c r="CJ186" s="70">
        <f t="shared" ref="CJ186:DB186" si="1537">CJ182-CJ185</f>
        <v>-722.97903962080318</v>
      </c>
      <c r="CK186" s="50">
        <f t="shared" si="1537"/>
        <v>-722.97903962080318</v>
      </c>
      <c r="CL186" s="70">
        <f t="shared" ref="CL186" si="1538">CL182-CL185</f>
        <v>-689.96840028045278</v>
      </c>
      <c r="CM186" s="50">
        <f t="shared" si="1537"/>
        <v>-689.96840028045278</v>
      </c>
      <c r="CN186" s="50">
        <f t="shared" si="1537"/>
        <v>-689.96840028045278</v>
      </c>
      <c r="CO186" s="50">
        <f t="shared" si="1537"/>
        <v>-689.96840028045278</v>
      </c>
      <c r="CP186" s="50">
        <f t="shared" si="1537"/>
        <v>-689.96840028045278</v>
      </c>
      <c r="CQ186" s="50">
        <f t="shared" si="1537"/>
        <v>-689.96840028045278</v>
      </c>
      <c r="CR186" s="50">
        <f t="shared" si="1537"/>
        <v>-689.96840028045278</v>
      </c>
      <c r="CS186" s="50">
        <f t="shared" si="1537"/>
        <v>-689.96840028045278</v>
      </c>
      <c r="CT186" s="50">
        <f t="shared" si="1537"/>
        <v>-689.96840028045278</v>
      </c>
      <c r="CU186" s="50">
        <f t="shared" si="1537"/>
        <v>-689.96840028045278</v>
      </c>
      <c r="CV186" s="50">
        <f t="shared" si="1537"/>
        <v>-689.96840028045278</v>
      </c>
      <c r="CW186" s="50">
        <f t="shared" si="1537"/>
        <v>-689.96840028045278</v>
      </c>
      <c r="CX186" s="50">
        <f t="shared" si="1537"/>
        <v>-689.96840028045278</v>
      </c>
      <c r="CY186" s="50">
        <f t="shared" si="1537"/>
        <v>-689.96840028045278</v>
      </c>
      <c r="CZ186" s="50">
        <f t="shared" si="1537"/>
        <v>-689.96840028045278</v>
      </c>
      <c r="DA186" s="50">
        <f t="shared" si="1537"/>
        <v>-689.96840028045278</v>
      </c>
      <c r="DB186" s="50">
        <f t="shared" si="1537"/>
        <v>-689.96840028045278</v>
      </c>
      <c r="DE186" s="138"/>
      <c r="DF186" s="7">
        <v>-722.97903962080318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 t="e">
        <f t="shared" si="1539"/>
        <v>#DIV/0!</v>
      </c>
      <c r="P188" s="86" t="e">
        <f t="shared" si="1539"/>
        <v>#DIV/0!</v>
      </c>
      <c r="Q188" s="86" t="e">
        <f t="shared" si="1539"/>
        <v>#DIV/0!</v>
      </c>
      <c r="R188" s="86" t="e">
        <f t="shared" si="1539"/>
        <v>#DIV/0!</v>
      </c>
      <c r="S188" s="86" t="e">
        <f t="shared" si="1539"/>
        <v>#DIV/0!</v>
      </c>
      <c r="T188" s="86" t="e">
        <f t="shared" si="1539"/>
        <v>#DIV/0!</v>
      </c>
      <c r="U188" s="86" t="e">
        <f t="shared" si="1539"/>
        <v>#DIV/0!</v>
      </c>
      <c r="V188" s="86" t="e">
        <f t="shared" si="1539"/>
        <v>#DIV/0!</v>
      </c>
      <c r="W188" s="86" t="e">
        <f t="shared" si="1539"/>
        <v>#DIV/0!</v>
      </c>
      <c r="X188" s="86" t="e">
        <f t="shared" si="1539"/>
        <v>#DIV/0!</v>
      </c>
      <c r="Y188" s="86" t="e">
        <f t="shared" si="1539"/>
        <v>#DIV/0!</v>
      </c>
      <c r="Z188" s="86" t="e">
        <f>Z10/Y10-1</f>
        <v>#DIV/0!</v>
      </c>
      <c r="AA188" s="86" t="e">
        <f>AA10/Z10-1</f>
        <v>#DIV/0!</v>
      </c>
      <c r="AB188" s="87" t="e">
        <f t="shared" ref="AA188:AE188" si="1540">AB10/AA10-1</f>
        <v>#DIV/0!</v>
      </c>
      <c r="AC188" s="87">
        <f t="shared" si="1540"/>
        <v>0.18872290733885921</v>
      </c>
      <c r="AD188" s="87">
        <f t="shared" si="1540"/>
        <v>0.18854345401422212</v>
      </c>
      <c r="AE188" s="87">
        <f t="shared" si="1540"/>
        <v>0.18850627135023768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>
        <f t="shared" si="1541"/>
        <v>0.85862150942706128</v>
      </c>
      <c r="BE188" s="86">
        <f t="shared" si="1541"/>
        <v>0.19641492077702938</v>
      </c>
      <c r="BF188" s="86">
        <f t="shared" si="1541"/>
        <v>0.27198340128986342</v>
      </c>
      <c r="BG188" s="86">
        <f t="shared" si="1541"/>
        <v>0.25949104435020343</v>
      </c>
      <c r="BH188" s="86">
        <f t="shared" si="1541"/>
        <v>0.3573703284629639</v>
      </c>
      <c r="BI188" s="86">
        <f t="shared" si="1541"/>
        <v>0.38172140273896926</v>
      </c>
      <c r="BJ188" s="86">
        <f t="shared" si="1541"/>
        <v>0.27861082089389111</v>
      </c>
      <c r="BK188" s="86">
        <f t="shared" si="1541"/>
        <v>0.28566629643447805</v>
      </c>
      <c r="BL188" s="86">
        <f t="shared" si="1541"/>
        <v>0.35038945495635887</v>
      </c>
      <c r="BM188" s="86">
        <f t="shared" si="1541"/>
        <v>0.29776031509015444</v>
      </c>
      <c r="BN188" s="86">
        <f t="shared" si="1541"/>
        <v>0.15058942243634443</v>
      </c>
      <c r="BO188" s="86">
        <f t="shared" si="1541"/>
        <v>8.1333486027382662E-2</v>
      </c>
      <c r="BP188" s="86">
        <f t="shared" si="1541"/>
        <v>0.21945566554319851</v>
      </c>
      <c r="BQ188" s="86">
        <f t="shared" si="1541"/>
        <v>0.22096742092321309</v>
      </c>
      <c r="BR188" s="86">
        <f t="shared" si="1541"/>
        <v>0.2447094321169192</v>
      </c>
      <c r="BS188" s="86">
        <f t="shared" si="1541"/>
        <v>0.2270939336499227</v>
      </c>
      <c r="BT188" s="86">
        <f t="shared" si="1541"/>
        <v>0.12360095157790929</v>
      </c>
      <c r="BU188" s="86">
        <f t="shared" si="1541"/>
        <v>0.22766826269397589</v>
      </c>
      <c r="BV188" s="86">
        <f t="shared" si="1541"/>
        <v>0.20929103959692008</v>
      </c>
      <c r="BW188" s="86">
        <f t="shared" si="1541"/>
        <v>0.1927871665712122</v>
      </c>
      <c r="BX188" s="86">
        <f t="shared" si="1541"/>
        <v>0.19762558007834352</v>
      </c>
      <c r="BY188" s="86">
        <f t="shared" si="1541"/>
        <v>9.0622340220485986E-2</v>
      </c>
      <c r="BZ188" s="86">
        <f t="shared" si="1541"/>
        <v>0.10176820568818568</v>
      </c>
      <c r="CA188" s="86">
        <f t="shared" si="1541"/>
        <v>0.15917293383618203</v>
      </c>
      <c r="CB188" s="86">
        <f t="shared" si="1541"/>
        <v>0.20502353772432813</v>
      </c>
      <c r="CC188" s="86">
        <f t="shared" si="1541"/>
        <v>0.18845541664819931</v>
      </c>
      <c r="CD188" s="86">
        <f t="shared" si="1541"/>
        <v>0.21412101858004506</v>
      </c>
      <c r="CE188" s="86">
        <f t="shared" si="1541"/>
        <v>0.21879489391513873</v>
      </c>
      <c r="CF188" s="86">
        <f t="shared" si="1541"/>
        <v>6.6882426483562352E-2</v>
      </c>
      <c r="CG188" s="86">
        <f t="shared" si="1541"/>
        <v>6.4379493713492275E-2</v>
      </c>
      <c r="CH188" s="86">
        <f t="shared" si="1541"/>
        <v>2.6464941873727277E-2</v>
      </c>
      <c r="CI188" s="86">
        <f t="shared" si="1541"/>
        <v>2.0318756300975016E-2</v>
      </c>
      <c r="CJ188" s="86">
        <f>+(CJ10+CI10)/(CF10+CE10)-1</f>
        <v>0.18815190048055519</v>
      </c>
      <c r="CK188" s="87"/>
      <c r="CL188" s="86">
        <f>+(CL10+CK10)/(CH10+CG10)-1</f>
        <v>0.18979651147864218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 t="e">
        <f t="shared" ref="O189" si="1552">O186/N186-1</f>
        <v>#DIV/0!</v>
      </c>
      <c r="P189" s="86" t="e">
        <f t="shared" ref="P189" si="1553">P186/O186-1</f>
        <v>#DIV/0!</v>
      </c>
      <c r="Q189" s="86" t="e">
        <f t="shared" ref="Q189" si="1554">Q186/P186-1</f>
        <v>#DIV/0!</v>
      </c>
      <c r="R189" s="86" t="e">
        <f t="shared" ref="R189" si="1555">R186/Q186-1</f>
        <v>#DIV/0!</v>
      </c>
      <c r="S189" s="86" t="e">
        <f t="shared" ref="S189" si="1556">S186/R186-1</f>
        <v>#DIV/0!</v>
      </c>
      <c r="T189" s="86" t="e">
        <f t="shared" ref="T189" si="1557">T186/S186-1</f>
        <v>#DIV/0!</v>
      </c>
      <c r="U189" s="86" t="e">
        <f t="shared" ref="U189" si="1558">U186/T186-1</f>
        <v>#DIV/0!</v>
      </c>
      <c r="V189" s="86" t="e">
        <f t="shared" ref="V189" si="1559">V186/U186-1</f>
        <v>#DIV/0!</v>
      </c>
      <c r="W189" s="86" t="e">
        <f t="shared" ref="W189:AA189" si="1560">W186/V186-1</f>
        <v>#DIV/0!</v>
      </c>
      <c r="X189" s="86" t="e">
        <f t="shared" si="1560"/>
        <v>#DIV/0!</v>
      </c>
      <c r="Y189" s="86" t="e">
        <f t="shared" si="1560"/>
        <v>#DIV/0!</v>
      </c>
      <c r="Z189" s="86" t="e">
        <f t="shared" si="1560"/>
        <v>#DIV/0!</v>
      </c>
      <c r="AA189" s="86" t="e">
        <f t="shared" si="1560"/>
        <v>#DIV/0!</v>
      </c>
      <c r="AB189" s="87" t="e">
        <f t="shared" ref="AB189" si="1561">AB186/AA186-1</f>
        <v>#DIV/0!</v>
      </c>
      <c r="AC189" s="87">
        <f t="shared" ref="AC189" si="1562">AC186/AB186-1</f>
        <v>-8.4185547294268748E-4</v>
      </c>
      <c r="AD189" s="87">
        <f t="shared" ref="AD189" si="1563">AD186/AC186-1</f>
        <v>-1.1589314988535993E-4</v>
      </c>
      <c r="AE189" s="87">
        <f t="shared" ref="AE189" si="1564">AE186/AD186-1</f>
        <v>-1.1640511345611948E-5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>
        <f t="shared" si="1565"/>
        <v>5.5711183475783299E-2</v>
      </c>
      <c r="BE189" s="86">
        <f t="shared" si="1565"/>
        <v>-0.10631520648634019</v>
      </c>
      <c r="BF189" s="86">
        <f t="shared" si="1565"/>
        <v>-8.4900144538464728E-2</v>
      </c>
      <c r="BG189" s="86">
        <f t="shared" si="1565"/>
        <v>-8.9435930605258784E-2</v>
      </c>
      <c r="BH189" s="86">
        <f t="shared" si="1565"/>
        <v>-0.1690010917451984</v>
      </c>
      <c r="BI189" s="86">
        <f t="shared" si="1565"/>
        <v>-0.12351021033115772</v>
      </c>
      <c r="BJ189" s="86">
        <f t="shared" si="1565"/>
        <v>-4.8921928765767397E-2</v>
      </c>
      <c r="BK189" s="86">
        <f t="shared" si="1565"/>
        <v>-0.1663144024428358</v>
      </c>
      <c r="BL189" s="86">
        <f t="shared" si="1565"/>
        <v>-0.11662755506968125</v>
      </c>
      <c r="BM189" s="86">
        <f t="shared" si="1565"/>
        <v>-8.8687650395303019E-2</v>
      </c>
      <c r="BN189" s="86">
        <f t="shared" si="1565"/>
        <v>6.4113054270456882E-2</v>
      </c>
      <c r="BO189" s="86">
        <f t="shared" si="1565"/>
        <v>-2.3093935254601905E-2</v>
      </c>
      <c r="BP189" s="86">
        <f t="shared" si="1565"/>
        <v>-6.8645214317328507E-2</v>
      </c>
      <c r="BQ189" s="86">
        <f t="shared" si="1565"/>
        <v>6.0734155260286915E-3</v>
      </c>
      <c r="BR189" s="86">
        <f t="shared" si="1565"/>
        <v>-9.2327191760799288E-3</v>
      </c>
      <c r="BS189" s="86">
        <f t="shared" si="1565"/>
        <v>0.18595097407515282</v>
      </c>
      <c r="BT189" s="86">
        <f t="shared" si="1565"/>
        <v>9.2380265114479387E-2</v>
      </c>
      <c r="BU189" s="86">
        <f t="shared" si="1565"/>
        <v>-4.8749712844181281E-2</v>
      </c>
      <c r="BV189" s="86">
        <f t="shared" si="1565"/>
        <v>6.9149382858763042E-2</v>
      </c>
      <c r="BW189" s="86">
        <f t="shared" si="1565"/>
        <v>-9.7471722657848203E-2</v>
      </c>
      <c r="BX189" s="86">
        <f t="shared" si="1565"/>
        <v>5.1307686742648961E-2</v>
      </c>
      <c r="BY189" s="86">
        <f t="shared" si="1565"/>
        <v>0.11097716807787683</v>
      </c>
      <c r="BZ189" s="86">
        <f t="shared" si="1565"/>
        <v>1.7573882667623719E-2</v>
      </c>
      <c r="CA189" s="86">
        <f t="shared" si="1565"/>
        <v>-2.1968486741540172E-2</v>
      </c>
      <c r="CB189" s="86">
        <f t="shared" si="1565"/>
        <v>-1.7046187374384236E-2</v>
      </c>
      <c r="CC189" s="86">
        <f t="shared" si="1565"/>
        <v>2.7471693988237345E-2</v>
      </c>
      <c r="CD189" s="86">
        <f t="shared" si="1565"/>
        <v>-4.5093488726521969E-2</v>
      </c>
      <c r="CE189" s="86">
        <f t="shared" si="1565"/>
        <v>4.5729105559513039E-2</v>
      </c>
      <c r="CF189" s="86">
        <f t="shared" si="1565"/>
        <v>0.17884969007761198</v>
      </c>
      <c r="CG189" s="86">
        <f t="shared" si="1565"/>
        <v>7.105904155938414E-2</v>
      </c>
      <c r="CH189" s="86">
        <f t="shared" si="1565"/>
        <v>-0.98736435901898689</v>
      </c>
      <c r="CI189" s="86">
        <f t="shared" si="1565"/>
        <v>-0.99240070670257907</v>
      </c>
      <c r="CJ189" s="86">
        <f>+CJ186/CF186-1</f>
        <v>-6.0306383370105632E-2</v>
      </c>
      <c r="CK189" s="87"/>
      <c r="CL189" s="86">
        <f>+CL186/CH186-1</f>
        <v>95.059766899627334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 t="e">
        <f t="shared" si="1566"/>
        <v>#DIV/0!</v>
      </c>
      <c r="P190" s="103" t="e">
        <f t="shared" si="1566"/>
        <v>#DIV/0!</v>
      </c>
      <c r="Q190" s="103" t="e">
        <f t="shared" si="1566"/>
        <v>#DIV/0!</v>
      </c>
      <c r="R190" s="103" t="e">
        <f t="shared" si="1566"/>
        <v>#DIV/0!</v>
      </c>
      <c r="S190" s="103" t="e">
        <f t="shared" si="1566"/>
        <v>#DIV/0!</v>
      </c>
      <c r="T190" s="103" t="e">
        <f t="shared" si="1566"/>
        <v>#DIV/0!</v>
      </c>
      <c r="U190" s="103" t="e">
        <f t="shared" si="1566"/>
        <v>#DIV/0!</v>
      </c>
      <c r="V190" s="103" t="e">
        <f>IF(V189&gt;V188,"RF",0)</f>
        <v>#DIV/0!</v>
      </c>
      <c r="W190" s="103" t="e">
        <f t="shared" ref="W190" si="1567">IF(W189&gt;W188,"RF",0)</f>
        <v>#DIV/0!</v>
      </c>
      <c r="X190" s="103" t="e">
        <f t="shared" ref="X190:Y190" si="1568">IF(X189&gt;X188,"RF",0)</f>
        <v>#DIV/0!</v>
      </c>
      <c r="Y190" s="103" t="e">
        <f t="shared" si="1568"/>
        <v>#DIV/0!</v>
      </c>
      <c r="Z190" s="103" t="e">
        <f t="shared" ref="Z190:AA190" si="1569">IF(Z189&gt;Z188,"RF",0)</f>
        <v>#DIV/0!</v>
      </c>
      <c r="AA190" s="103" t="e">
        <f t="shared" si="1569"/>
        <v>#DIV/0!</v>
      </c>
      <c r="AB190" s="73" t="e">
        <f t="shared" ref="AA190:AD190" si="1570">IF(AB189&gt;AB188,"RF",0)</f>
        <v>#DIV/0!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-0.15970000000000001</v>
      </c>
      <c r="K193" s="23">
        <f t="shared" si="1572"/>
        <v>-1.4217</v>
      </c>
      <c r="L193" s="23">
        <f t="shared" si="1572"/>
        <v>-3.0500000000000007</v>
      </c>
      <c r="M193" s="23">
        <f t="shared" si="1572"/>
        <v>4.1551999999999998</v>
      </c>
      <c r="N193" s="23">
        <f t="shared" si="1572"/>
        <v>-0.89710000000000001</v>
      </c>
      <c r="O193" s="23">
        <f t="shared" si="1572"/>
        <v>4.3733000000000004</v>
      </c>
      <c r="P193" s="23">
        <f t="shared" si="1572"/>
        <v>-8.5690000000000008</v>
      </c>
      <c r="Q193" s="23">
        <f t="shared" si="1572"/>
        <v>-121.92150000000001</v>
      </c>
      <c r="R193" s="23">
        <f t="shared" si="1572"/>
        <v>-101.8768</v>
      </c>
      <c r="S193" s="23">
        <f t="shared" si="1572"/>
        <v>-130.33519999999999</v>
      </c>
      <c r="T193" s="23">
        <f t="shared" si="1572"/>
        <v>-161.43380000000002</v>
      </c>
      <c r="U193" s="23">
        <f t="shared" si="1572"/>
        <v>-509.15069999999992</v>
      </c>
      <c r="V193" s="23">
        <f t="shared" si="1572"/>
        <v>-936.08019999999999</v>
      </c>
      <c r="W193" s="23">
        <f t="shared" si="1572"/>
        <v>-1188.5271000000002</v>
      </c>
      <c r="X193" s="23">
        <f t="shared" si="1572"/>
        <v>-1781.8413000000003</v>
      </c>
      <c r="Y193" s="23">
        <f t="shared" si="1572"/>
        <v>-1739.3999999999999</v>
      </c>
      <c r="Z193" s="23">
        <f t="shared" si="1572"/>
        <v>-1466.19</v>
      </c>
      <c r="AA193" s="23">
        <f t="shared" ref="AA193" si="1573">AA48</f>
        <v>-1970.77</v>
      </c>
      <c r="AB193" s="24">
        <f t="shared" si="1572"/>
        <v>-21191.581835408138</v>
      </c>
      <c r="AC193" s="24">
        <f t="shared" si="1572"/>
        <v>-42929.965225865089</v>
      </c>
      <c r="AD193" s="24">
        <f t="shared" si="1572"/>
        <v>-51703.115609623266</v>
      </c>
      <c r="AE193" s="24">
        <f t="shared" si="1572"/>
        <v>-61298.514113975827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212.76000000000002</v>
      </c>
      <c r="BA193" s="23">
        <f t="shared" si="1574"/>
        <v>190.42999999999995</v>
      </c>
      <c r="BB193" s="23">
        <f t="shared" si="1574"/>
        <v>336.04999999999939</v>
      </c>
      <c r="BC193" s="23">
        <f t="shared" si="1574"/>
        <v>313.45</v>
      </c>
      <c r="BD193" s="23">
        <f t="shared" si="1574"/>
        <v>225.47000000000008</v>
      </c>
      <c r="BE193" s="23">
        <f t="shared" si="1574"/>
        <v>230.28000000000009</v>
      </c>
      <c r="BF193" s="23">
        <f t="shared" si="1574"/>
        <v>381.18999999999932</v>
      </c>
      <c r="BG193" s="23">
        <f t="shared" si="1574"/>
        <v>354.31999999999925</v>
      </c>
      <c r="BH193" s="23">
        <f t="shared" si="1574"/>
        <v>250.52000000000049</v>
      </c>
      <c r="BI193" s="23">
        <f t="shared" si="1574"/>
        <v>264.27999999999838</v>
      </c>
      <c r="BJ193" s="23">
        <f t="shared" si="1574"/>
        <v>457.68000000000086</v>
      </c>
      <c r="BK193" s="23">
        <f t="shared" si="1574"/>
        <v>371.89999999999878</v>
      </c>
      <c r="BL193" s="23">
        <f t="shared" si="1574"/>
        <v>129.83999999999963</v>
      </c>
      <c r="BM193" s="23">
        <f t="shared" si="1574"/>
        <v>389.77000000000265</v>
      </c>
      <c r="BN193" s="23">
        <f t="shared" si="1574"/>
        <v>530.67000000000019</v>
      </c>
      <c r="BO193" s="23">
        <f t="shared" ref="BO193:CT193" si="1575">BO48</f>
        <v>390.89</v>
      </c>
      <c r="BP193" s="23">
        <f t="shared" si="1575"/>
        <v>299.72999999999973</v>
      </c>
      <c r="BQ193" s="23">
        <f t="shared" si="1575"/>
        <v>232.84999999999658</v>
      </c>
      <c r="BR193" s="23">
        <f t="shared" si="1575"/>
        <v>532.3800000000017</v>
      </c>
      <c r="BS193" s="23">
        <f t="shared" si="1575"/>
        <v>223.15999999999883</v>
      </c>
      <c r="BT193" s="23">
        <f t="shared" si="1575"/>
        <v>246.62000000000182</v>
      </c>
      <c r="BU193" s="23">
        <f t="shared" si="1575"/>
        <v>364.06000000000023</v>
      </c>
      <c r="BV193" s="23">
        <f t="shared" si="1575"/>
        <v>672.15000000000009</v>
      </c>
      <c r="BW193" s="23">
        <f t="shared" si="1575"/>
        <v>262.8500000000015</v>
      </c>
      <c r="BX193" s="23">
        <f t="shared" si="1575"/>
        <v>376.73999999999711</v>
      </c>
      <c r="BY193" s="23">
        <f t="shared" si="1575"/>
        <v>304.13000000000227</v>
      </c>
      <c r="BZ193" s="23">
        <f t="shared" si="1575"/>
        <v>776.84999999999786</v>
      </c>
      <c r="CA193" s="23">
        <f t="shared" si="1575"/>
        <v>381.0399999999994</v>
      </c>
      <c r="CB193" s="23">
        <f t="shared" si="1575"/>
        <v>380.19000000000176</v>
      </c>
      <c r="CC193" s="23">
        <f t="shared" si="1575"/>
        <v>321.75000000000438</v>
      </c>
      <c r="CD193" s="23">
        <f t="shared" si="1575"/>
        <v>810.80000000000098</v>
      </c>
      <c r="CE193" s="23">
        <f t="shared" si="1575"/>
        <v>519.51999999999589</v>
      </c>
      <c r="CF193" s="23">
        <f t="shared" si="1575"/>
        <v>529.41999999999871</v>
      </c>
      <c r="CG193" s="23">
        <f t="shared" si="1575"/>
        <v>550.82000000000062</v>
      </c>
      <c r="CH193" s="23">
        <f t="shared" si="1575"/>
        <v>813.50999999999692</v>
      </c>
      <c r="CI193" s="23">
        <f t="shared" si="1575"/>
        <v>594.37000000000069</v>
      </c>
      <c r="CJ193" s="23">
        <f t="shared" si="1575"/>
        <v>494.58999999999679</v>
      </c>
      <c r="CK193" s="24">
        <f t="shared" si="1575"/>
        <v>576.74000000000592</v>
      </c>
      <c r="CL193" s="23">
        <f t="shared" ref="CL193" si="1576">CL48</f>
        <v>804.63999999999794</v>
      </c>
      <c r="CM193" s="24">
        <f t="shared" si="1575"/>
        <v>-5267.9431813595429</v>
      </c>
      <c r="CN193" s="24">
        <f t="shared" si="1575"/>
        <v>26697.472250347455</v>
      </c>
      <c r="CO193" s="24">
        <f t="shared" si="1575"/>
        <v>-16377.896235684782</v>
      </c>
      <c r="CP193" s="24">
        <f t="shared" si="1575"/>
        <v>-26243.214668711262</v>
      </c>
      <c r="CQ193" s="24">
        <f t="shared" si="1575"/>
        <v>-8835.6122775382264</v>
      </c>
      <c r="CR193" s="24">
        <f t="shared" si="1575"/>
        <v>25488.994007986417</v>
      </c>
      <c r="CS193" s="24">
        <f t="shared" si="1575"/>
        <v>-22377.470401144365</v>
      </c>
      <c r="CT193" s="24">
        <f t="shared" si="1575"/>
        <v>-37205.876555168907</v>
      </c>
      <c r="CU193" s="24">
        <f t="shared" ref="CU193:DB193" si="1577">CU48</f>
        <v>-9406.479483617295</v>
      </c>
      <c r="CV193" s="24">
        <f t="shared" si="1577"/>
        <v>29682.737345026904</v>
      </c>
      <c r="CW193" s="24">
        <f t="shared" si="1577"/>
        <v>-27132.703639716503</v>
      </c>
      <c r="CX193" s="24">
        <f t="shared" si="1577"/>
        <v>-44846.669831316402</v>
      </c>
      <c r="CY193" s="24">
        <f t="shared" si="1577"/>
        <v>-10797.756671901361</v>
      </c>
      <c r="CZ193" s="24">
        <f t="shared" si="1577"/>
        <v>35175.799270391515</v>
      </c>
      <c r="DA193" s="24">
        <f t="shared" si="1577"/>
        <v>-32346.289176907274</v>
      </c>
      <c r="DB193" s="24">
        <f t="shared" si="1577"/>
        <v>-53330.267535558691</v>
      </c>
      <c r="DE193" s="123"/>
      <c r="DF193" s="23">
        <v>371127.34231358842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0</v>
      </c>
      <c r="P194" s="23">
        <f t="shared" si="1578"/>
        <v>0</v>
      </c>
      <c r="Q194" s="23">
        <f t="shared" si="1578"/>
        <v>0</v>
      </c>
      <c r="R194" s="23">
        <f t="shared" si="1578"/>
        <v>0</v>
      </c>
      <c r="S194" s="23">
        <f t="shared" si="1578"/>
        <v>0</v>
      </c>
      <c r="T194" s="23">
        <f t="shared" si="1578"/>
        <v>0</v>
      </c>
      <c r="U194" s="23">
        <f t="shared" si="1578"/>
        <v>0</v>
      </c>
      <c r="V194" s="23">
        <f t="shared" si="1578"/>
        <v>0</v>
      </c>
      <c r="W194" s="23">
        <f t="shared" si="1578"/>
        <v>0</v>
      </c>
      <c r="X194" s="23">
        <f t="shared" si="1578"/>
        <v>0</v>
      </c>
      <c r="Y194" s="23">
        <f t="shared" si="1578"/>
        <v>0</v>
      </c>
      <c r="Z194" s="23">
        <f t="shared" si="1578"/>
        <v>0</v>
      </c>
      <c r="AA194" s="23">
        <f t="shared" ref="AA194" si="1579">AA32</f>
        <v>0</v>
      </c>
      <c r="AB194" s="24">
        <f t="shared" si="1578"/>
        <v>0</v>
      </c>
      <c r="AC194" s="24">
        <f t="shared" si="1578"/>
        <v>0</v>
      </c>
      <c r="AD194" s="24">
        <f t="shared" si="1578"/>
        <v>0</v>
      </c>
      <c r="AE194" s="24">
        <f t="shared" si="1578"/>
        <v>0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0</v>
      </c>
      <c r="BV194" s="23">
        <f t="shared" si="1581"/>
        <v>0</v>
      </c>
      <c r="BW194" s="23">
        <f t="shared" si="1581"/>
        <v>0</v>
      </c>
      <c r="BX194" s="23">
        <f t="shared" si="1581"/>
        <v>0</v>
      </c>
      <c r="BY194" s="23">
        <f t="shared" si="1581"/>
        <v>0</v>
      </c>
      <c r="BZ194" s="23">
        <f t="shared" si="1581"/>
        <v>0</v>
      </c>
      <c r="CA194" s="23">
        <f t="shared" si="1581"/>
        <v>0</v>
      </c>
      <c r="CB194" s="23">
        <f t="shared" si="1581"/>
        <v>0</v>
      </c>
      <c r="CC194" s="23">
        <f t="shared" si="1581"/>
        <v>0</v>
      </c>
      <c r="CD194" s="23">
        <f t="shared" si="1581"/>
        <v>0</v>
      </c>
      <c r="CE194" s="23">
        <f t="shared" si="1581"/>
        <v>0</v>
      </c>
      <c r="CF194" s="23">
        <f t="shared" si="1581"/>
        <v>0</v>
      </c>
      <c r="CG194" s="23">
        <f t="shared" si="1581"/>
        <v>0</v>
      </c>
      <c r="CH194" s="23">
        <f t="shared" si="1581"/>
        <v>0</v>
      </c>
      <c r="CI194" s="23">
        <f t="shared" si="1581"/>
        <v>0</v>
      </c>
      <c r="CJ194" s="23">
        <f t="shared" si="1581"/>
        <v>0</v>
      </c>
      <c r="CK194" s="24">
        <f t="shared" si="1581"/>
        <v>0</v>
      </c>
      <c r="CL194" s="23">
        <f t="shared" ref="CL194" si="1582">CL32</f>
        <v>0</v>
      </c>
      <c r="CM194" s="24">
        <f t="shared" si="1581"/>
        <v>0</v>
      </c>
      <c r="CN194" s="24">
        <f t="shared" si="1581"/>
        <v>0</v>
      </c>
      <c r="CO194" s="24">
        <f t="shared" si="1581"/>
        <v>0</v>
      </c>
      <c r="CP194" s="24">
        <f t="shared" si="1581"/>
        <v>0</v>
      </c>
      <c r="CQ194" s="24">
        <f t="shared" si="1581"/>
        <v>0</v>
      </c>
      <c r="CR194" s="24">
        <f t="shared" si="1581"/>
        <v>0</v>
      </c>
      <c r="CS194" s="24">
        <f t="shared" si="1581"/>
        <v>0</v>
      </c>
      <c r="CT194" s="24">
        <f t="shared" si="1581"/>
        <v>0</v>
      </c>
      <c r="CU194" s="24">
        <f t="shared" ref="CU194:DB194" si="1583">CU32</f>
        <v>0</v>
      </c>
      <c r="CV194" s="24">
        <f t="shared" si="1583"/>
        <v>0</v>
      </c>
      <c r="CW194" s="24">
        <f t="shared" si="1583"/>
        <v>0</v>
      </c>
      <c r="CX194" s="24">
        <f t="shared" si="1583"/>
        <v>0</v>
      </c>
      <c r="CY194" s="24">
        <f t="shared" si="1583"/>
        <v>0</v>
      </c>
      <c r="CZ194" s="24">
        <f t="shared" si="1583"/>
        <v>0</v>
      </c>
      <c r="DA194" s="24">
        <f t="shared" si="1583"/>
        <v>0</v>
      </c>
      <c r="DB194" s="24">
        <f t="shared" si="1583"/>
        <v>0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-0.15970000000000001</v>
      </c>
      <c r="K195" s="22">
        <f t="shared" si="1584"/>
        <v>-1.4217</v>
      </c>
      <c r="L195" s="22">
        <f t="shared" si="1584"/>
        <v>-3.0500000000000007</v>
      </c>
      <c r="M195" s="22">
        <f t="shared" si="1584"/>
        <v>4.1551999999999998</v>
      </c>
      <c r="N195" s="22">
        <f t="shared" si="1584"/>
        <v>-0.89710000000000001</v>
      </c>
      <c r="O195" s="22">
        <f t="shared" si="1584"/>
        <v>4.3733000000000004</v>
      </c>
      <c r="P195" s="22">
        <f t="shared" si="1584"/>
        <v>-8.5690000000000008</v>
      </c>
      <c r="Q195" s="22">
        <f t="shared" si="1584"/>
        <v>-121.92150000000001</v>
      </c>
      <c r="R195" s="22">
        <f t="shared" si="1584"/>
        <v>-101.8768</v>
      </c>
      <c r="S195" s="22">
        <f t="shared" si="1584"/>
        <v>-130.33519999999999</v>
      </c>
      <c r="T195" s="22">
        <f t="shared" si="1584"/>
        <v>-161.43380000000002</v>
      </c>
      <c r="U195" s="22">
        <f t="shared" si="1584"/>
        <v>-509.15069999999992</v>
      </c>
      <c r="V195" s="22">
        <f t="shared" si="1584"/>
        <v>-936.08019999999999</v>
      </c>
      <c r="W195" s="22">
        <f t="shared" si="1584"/>
        <v>-1188.5271000000002</v>
      </c>
      <c r="X195" s="22">
        <f t="shared" ref="X195:Y195" si="1585">X193+X194</f>
        <v>-1781.8413000000003</v>
      </c>
      <c r="Y195" s="22">
        <f t="shared" si="1585"/>
        <v>-1739.3999999999999</v>
      </c>
      <c r="Z195" s="22">
        <f t="shared" ref="Z195:AA195" si="1586">Z193+Z194</f>
        <v>-1466.19</v>
      </c>
      <c r="AA195" s="22">
        <f t="shared" si="1586"/>
        <v>-1970.77</v>
      </c>
      <c r="AB195" s="21">
        <f t="shared" ref="AA195:AD195" si="1587">AB193+AB194</f>
        <v>-21191.581835408138</v>
      </c>
      <c r="AC195" s="21">
        <f t="shared" si="1587"/>
        <v>-42929.965225865089</v>
      </c>
      <c r="AD195" s="21">
        <f t="shared" si="1587"/>
        <v>-51703.115609623266</v>
      </c>
      <c r="AE195" s="21">
        <f t="shared" ref="AE195" si="1588">AE193+AE194</f>
        <v>-61298.514113975827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212.76000000000002</v>
      </c>
      <c r="BA195" s="22">
        <f t="shared" si="1592"/>
        <v>190.42999999999995</v>
      </c>
      <c r="BB195" s="22">
        <f t="shared" si="1592"/>
        <v>336.04999999999939</v>
      </c>
      <c r="BC195" s="22">
        <f t="shared" si="1592"/>
        <v>313.45</v>
      </c>
      <c r="BD195" s="22">
        <f t="shared" si="1592"/>
        <v>225.47000000000008</v>
      </c>
      <c r="BE195" s="22">
        <f t="shared" si="1592"/>
        <v>230.28000000000009</v>
      </c>
      <c r="BF195" s="22">
        <f t="shared" si="1592"/>
        <v>381.18999999999932</v>
      </c>
      <c r="BG195" s="22">
        <f t="shared" si="1592"/>
        <v>354.31999999999925</v>
      </c>
      <c r="BH195" s="22">
        <f t="shared" si="1592"/>
        <v>250.52000000000049</v>
      </c>
      <c r="BI195" s="22">
        <f t="shared" si="1592"/>
        <v>264.27999999999838</v>
      </c>
      <c r="BJ195" s="22">
        <f t="shared" si="1592"/>
        <v>457.68000000000086</v>
      </c>
      <c r="BK195" s="22">
        <f t="shared" si="1592"/>
        <v>371.89999999999878</v>
      </c>
      <c r="BL195" s="22">
        <f t="shared" si="1592"/>
        <v>129.83999999999963</v>
      </c>
      <c r="BM195" s="22">
        <f t="shared" si="1592"/>
        <v>389.77000000000265</v>
      </c>
      <c r="BN195" s="22">
        <f t="shared" si="1592"/>
        <v>530.67000000000019</v>
      </c>
      <c r="BO195" s="22">
        <f t="shared" si="1592"/>
        <v>390.89</v>
      </c>
      <c r="BP195" s="22">
        <f t="shared" si="1592"/>
        <v>299.72999999999973</v>
      </c>
      <c r="BQ195" s="22">
        <f t="shared" si="1592"/>
        <v>232.84999999999658</v>
      </c>
      <c r="BR195" s="22">
        <f t="shared" si="1592"/>
        <v>532.3800000000017</v>
      </c>
      <c r="BS195" s="22">
        <f t="shared" si="1592"/>
        <v>223.15999999999883</v>
      </c>
      <c r="BT195" s="22">
        <f t="shared" si="1592"/>
        <v>246.62000000000182</v>
      </c>
      <c r="BU195" s="22">
        <f t="shared" si="1592"/>
        <v>364.06000000000023</v>
      </c>
      <c r="BV195" s="22">
        <f t="shared" si="1592"/>
        <v>672.15000000000009</v>
      </c>
      <c r="BW195" s="22">
        <f t="shared" si="1592"/>
        <v>262.8500000000015</v>
      </c>
      <c r="BX195" s="22">
        <f t="shared" si="1592"/>
        <v>376.73999999999711</v>
      </c>
      <c r="BY195" s="22">
        <f t="shared" si="1592"/>
        <v>304.13000000000227</v>
      </c>
      <c r="BZ195" s="22">
        <f t="shared" si="1592"/>
        <v>776.84999999999786</v>
      </c>
      <c r="CA195" s="22">
        <f t="shared" si="1592"/>
        <v>381.0399999999994</v>
      </c>
      <c r="CB195" s="22">
        <f t="shared" si="1592"/>
        <v>380.19000000000176</v>
      </c>
      <c r="CC195" s="22">
        <f t="shared" si="1592"/>
        <v>321.75000000000438</v>
      </c>
      <c r="CD195" s="22">
        <f t="shared" si="1592"/>
        <v>810.80000000000098</v>
      </c>
      <c r="CE195" s="22">
        <f t="shared" ref="CE195:CF195" si="1593">CE193+CE194</f>
        <v>519.51999999999589</v>
      </c>
      <c r="CF195" s="22">
        <f t="shared" si="1593"/>
        <v>529.41999999999871</v>
      </c>
      <c r="CG195" s="22">
        <f t="shared" ref="CG195:CH195" si="1594">CG193+CG194</f>
        <v>550.82000000000062</v>
      </c>
      <c r="CH195" s="22">
        <f t="shared" si="1594"/>
        <v>813.50999999999692</v>
      </c>
      <c r="CI195" s="22">
        <f t="shared" ref="CI195:CJ195" si="1595">CI193+CI194</f>
        <v>594.37000000000069</v>
      </c>
      <c r="CJ195" s="22">
        <f t="shared" si="1595"/>
        <v>494.58999999999679</v>
      </c>
      <c r="CK195" s="21">
        <f t="shared" ref="CK195:DB195" si="1596">CK193+CK194</f>
        <v>576.74000000000592</v>
      </c>
      <c r="CL195" s="22">
        <f t="shared" si="1596"/>
        <v>804.63999999999794</v>
      </c>
      <c r="CM195" s="21">
        <f t="shared" si="1596"/>
        <v>-5267.9431813595429</v>
      </c>
      <c r="CN195" s="21">
        <f t="shared" si="1596"/>
        <v>26697.472250347455</v>
      </c>
      <c r="CO195" s="21">
        <f t="shared" si="1596"/>
        <v>-16377.896235684782</v>
      </c>
      <c r="CP195" s="21">
        <f t="shared" si="1596"/>
        <v>-26243.214668711262</v>
      </c>
      <c r="CQ195" s="21">
        <f t="shared" si="1596"/>
        <v>-8835.6122775382264</v>
      </c>
      <c r="CR195" s="21">
        <f t="shared" si="1596"/>
        <v>25488.994007986417</v>
      </c>
      <c r="CS195" s="21">
        <f t="shared" si="1596"/>
        <v>-22377.470401144365</v>
      </c>
      <c r="CT195" s="21">
        <f t="shared" si="1596"/>
        <v>-37205.876555168907</v>
      </c>
      <c r="CU195" s="21">
        <f t="shared" si="1596"/>
        <v>-9406.479483617295</v>
      </c>
      <c r="CV195" s="21">
        <f t="shared" si="1596"/>
        <v>29682.737345026904</v>
      </c>
      <c r="CW195" s="21">
        <f t="shared" si="1596"/>
        <v>-27132.703639716503</v>
      </c>
      <c r="CX195" s="21">
        <f t="shared" si="1596"/>
        <v>-44846.669831316402</v>
      </c>
      <c r="CY195" s="21">
        <f t="shared" si="1596"/>
        <v>-10797.756671901361</v>
      </c>
      <c r="CZ195" s="21">
        <f t="shared" si="1596"/>
        <v>35175.799270391515</v>
      </c>
      <c r="DA195" s="21">
        <f t="shared" si="1596"/>
        <v>-32346.289176907274</v>
      </c>
      <c r="DB195" s="21">
        <f t="shared" si="1596"/>
        <v>-53330.267535558691</v>
      </c>
      <c r="DE195" s="126"/>
      <c r="DF195" s="22">
        <v>371127.34231358842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-243.02459999999999</v>
      </c>
      <c r="K196" s="23">
        <f>J148-K148+J163+J164-K163-K164</f>
        <v>-71.496200000000016</v>
      </c>
      <c r="L196" s="23">
        <f t="shared" si="1597"/>
        <v>-194.89459999999997</v>
      </c>
      <c r="M196" s="23">
        <f t="shared" si="1597"/>
        <v>-348.52660000000003</v>
      </c>
      <c r="N196" s="23">
        <f t="shared" si="1597"/>
        <v>857.76909999999998</v>
      </c>
      <c r="O196" s="23">
        <f t="shared" si="1597"/>
        <v>-0.46510000000000001</v>
      </c>
      <c r="P196" s="23">
        <f t="shared" si="1597"/>
        <v>-1.1349999999999998</v>
      </c>
      <c r="Q196" s="23">
        <f t="shared" si="1597"/>
        <v>-2494.0780999999997</v>
      </c>
      <c r="R196" s="23">
        <f t="shared" si="1597"/>
        <v>-913.83850000000029</v>
      </c>
      <c r="S196" s="23">
        <f t="shared" si="1597"/>
        <v>-607.02399999999989</v>
      </c>
      <c r="T196" s="23">
        <f t="shared" si="1597"/>
        <v>-332.13580000000002</v>
      </c>
      <c r="U196" s="23">
        <f t="shared" si="1597"/>
        <v>-361.08799999999974</v>
      </c>
      <c r="V196" s="23">
        <f t="shared" si="1597"/>
        <v>-30.488499999999476</v>
      </c>
      <c r="W196" s="23">
        <f t="shared" si="1597"/>
        <v>41.36909999999898</v>
      </c>
      <c r="X196" s="23">
        <f t="shared" si="1597"/>
        <v>-787.59449999999924</v>
      </c>
      <c r="Y196" s="23">
        <f t="shared" si="1597"/>
        <v>-1582.6187000000009</v>
      </c>
      <c r="Z196" s="23">
        <f t="shared" si="1597"/>
        <v>299.69000000000051</v>
      </c>
      <c r="AA196" s="23">
        <f t="shared" si="1597"/>
        <v>6164.45</v>
      </c>
      <c r="AB196" s="24">
        <f t="shared" ref="AB196" si="1598">AA148-AB148+AA163+AA164-AB163-AB164</f>
        <v>-317400.87340933632</v>
      </c>
      <c r="AC196" s="24">
        <f t="shared" ref="AC196" si="1599">AB148-AC148+AB163+AB164-AC163-AC164</f>
        <v>-59696.778449268953</v>
      </c>
      <c r="AD196" s="24">
        <f t="shared" ref="AD196" si="1600">AC148-AD148+AC163+AC164-AD163-AD164</f>
        <v>-71161.360773548717</v>
      </c>
      <c r="AE196" s="24">
        <f t="shared" ref="AE196" si="1601">AD148-AE148+AD163+AD164-AE163-AE164</f>
        <v>-84607.495915460226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>
        <f t="shared" ref="BA196" si="1617">AZ148-BA148+AZ163+AZ164-BA163-BA164</f>
        <v>0</v>
      </c>
      <c r="BB196" s="23">
        <f t="shared" ref="BB196" si="1618">BA148-BB148+BA163+BA164-BB163-BB164</f>
        <v>-6450.4699999999939</v>
      </c>
      <c r="BC196" s="23">
        <f t="shared" ref="BC196" si="1619">BB148-BC148+BB163+BB164-BC163-BC164</f>
        <v>0</v>
      </c>
      <c r="BD196" s="23">
        <f t="shared" ref="BD196" si="1620">BC148-BD148+BC163+BC164-BD163-BD164</f>
        <v>-4508.7000000000044</v>
      </c>
      <c r="BE196" s="23">
        <f t="shared" ref="BE196" si="1621">BD148-BE148+BD163+BD164-BE163-BE164</f>
        <v>0</v>
      </c>
      <c r="BF196" s="23">
        <f t="shared" ref="BF196" si="1622">BE148-BF148+BE163+BE164-BF163-BF164</f>
        <v>-6471.8000000000029</v>
      </c>
      <c r="BG196" s="23">
        <f t="shared" ref="BG196" si="1623">BF148-BG148+BF163+BF164-BG163-BG164</f>
        <v>0</v>
      </c>
      <c r="BH196" s="23">
        <f t="shared" ref="BH196" si="1624">BG148-BH148+BG163+BG164-BH163-BH164</f>
        <v>-4660.7199999999939</v>
      </c>
      <c r="BI196" s="23">
        <f t="shared" ref="BI196" si="1625">BH148-BI148+BH163+BH164-BI163-BI164</f>
        <v>0</v>
      </c>
      <c r="BJ196" s="23">
        <f t="shared" ref="BJ196" si="1626">BI148-BJ148+BI163+BI164-BJ163-BJ164</f>
        <v>-9867.1400000000067</v>
      </c>
      <c r="BK196" s="23">
        <f t="shared" ref="BK196" si="1627">BJ148-BK148+BJ163+BJ164-BK163-BK164</f>
        <v>0</v>
      </c>
      <c r="BL196" s="23">
        <f t="shared" ref="BL196" si="1628">BK148-BL148+BK163+BK164-BL163-BL164</f>
        <v>-7812.3099999999831</v>
      </c>
      <c r="BM196" s="23">
        <f t="shared" ref="BM196" si="1629">BL148-BM148+BL163+BL164-BM163-BM164</f>
        <v>0</v>
      </c>
      <c r="BN196" s="23">
        <f t="shared" ref="BN196" si="1630">BM148-BN148+BM163+BM164-BN163-BN164</f>
        <v>-1993.0900000000111</v>
      </c>
      <c r="BO196" s="23">
        <f t="shared" ref="BO196" si="1631">BN148-BO148+BN163+BN164-BO163-BO164</f>
        <v>0</v>
      </c>
      <c r="BP196" s="23">
        <f t="shared" ref="BP196" si="1632">BO148-BP148+BO163+BO164-BP163-BP164</f>
        <v>-14893.5</v>
      </c>
      <c r="BQ196" s="23">
        <f t="shared" ref="BQ196" si="1633">BP148-BQ148+BP163+BP164-BQ163-BQ164</f>
        <v>0</v>
      </c>
      <c r="BR196" s="23">
        <f t="shared" ref="BR196" si="1634">BQ148-BR148+BQ163+BQ164-BR163-BR164</f>
        <v>-22792.080000000016</v>
      </c>
      <c r="BS196" s="23">
        <f t="shared" ref="BS196" si="1635">BR148-BS148+BR163+BR164-BS163-BS164</f>
        <v>0</v>
      </c>
      <c r="BT196" s="23">
        <f t="shared" ref="BT196" si="1636">BS148-BT148+BS163+BS164-BT163-BT164</f>
        <v>-13785.289999999994</v>
      </c>
      <c r="BU196" s="23">
        <f t="shared" ref="BU196" si="1637">BT148-BU148+BT163+BT164-BU163-BU164</f>
        <v>0</v>
      </c>
      <c r="BV196" s="23">
        <f t="shared" ref="BV196" si="1638">BU148-BV148+BU163+BU164-BV163-BV164</f>
        <v>-12600.889999999985</v>
      </c>
      <c r="BW196" s="23">
        <f t="shared" ref="BW196" si="1639">BV148-BW148+BV163+BV164-BW163-BW164</f>
        <v>0</v>
      </c>
      <c r="BX196" s="23">
        <f t="shared" ref="BX196" si="1640">BW148-BX148+BW163+BW164-BX163-BX164</f>
        <v>-5944.3800000000338</v>
      </c>
      <c r="BY196" s="23">
        <f t="shared" ref="BY196" si="1641">BX148-BY148+BX163+BX164-BY163-BY164</f>
        <v>0</v>
      </c>
      <c r="BZ196" s="23">
        <f t="shared" ref="BZ196" si="1642">BY148-BZ148+BY163+BY164-BZ163-BZ164</f>
        <v>-15489.899999999994</v>
      </c>
      <c r="CA196" s="23">
        <f t="shared" ref="CA196" si="1643">BZ148-CA148+BZ163+BZ164-CA163-CA164</f>
        <v>0</v>
      </c>
      <c r="CB196" s="23">
        <f t="shared" ref="CB196" si="1644">CA148-CB148+CA163+CA164-CB163-CB164</f>
        <v>-22424.26999999999</v>
      </c>
      <c r="CC196" s="23">
        <f t="shared" ref="CC196" si="1645">CB148-CC148+CB163+CB164-CC163-CC164</f>
        <v>0</v>
      </c>
      <c r="CD196" s="23">
        <f t="shared" ref="CD196" si="1646">CC148-CD148+CC163+CC164-CD163-CD164</f>
        <v>-32136.329999999987</v>
      </c>
      <c r="CE196" s="23">
        <f t="shared" ref="CE196" si="1647">CD148-CE148+CD163+CD164-CE163-CE164</f>
        <v>0</v>
      </c>
      <c r="CF196" s="23">
        <f t="shared" ref="CF196" si="1648">CE148-CF148+CE163+CE164-CF163-CF164</f>
        <v>-35596.359999999986</v>
      </c>
      <c r="CG196" s="23">
        <f t="shared" ref="CG196" si="1649">CF148-CG148+CF163+CF164-CG163-CG164</f>
        <v>0</v>
      </c>
      <c r="CH196" s="23">
        <f t="shared" ref="CH196:CL196" si="1650">CG148-CH148+CG163+CG164-CH163-CH164</f>
        <v>252221.18</v>
      </c>
      <c r="CI196" s="23">
        <f t="shared" si="1650"/>
        <v>1895.8260324944222</v>
      </c>
      <c r="CJ196" s="23">
        <f t="shared" si="1650"/>
        <v>-267162.15603249439</v>
      </c>
      <c r="CK196" s="24">
        <f t="shared" ref="CK196" si="1651">CJ148-CK148+CJ163+CJ164-CK163-CK164</f>
        <v>-59085.729638317425</v>
      </c>
      <c r="CL196" s="23">
        <f t="shared" si="1650"/>
        <v>62394.369638317381</v>
      </c>
      <c r="CM196" s="24">
        <f t="shared" ref="CM196" si="1652">CL148-CM148+CL163+CL164-CM163-CM164</f>
        <v>71051.773770322121</v>
      </c>
      <c r="CN196" s="24">
        <f t="shared" ref="CN196" si="1653">CM148-CN148+CM163+CM164-CN163-CN164</f>
        <v>-91164.64143850308</v>
      </c>
      <c r="CO196" s="24">
        <f t="shared" ref="CO196" si="1654">CN148-CO148+CN163+CN164-CO163-CO164</f>
        <v>-60636.024748835131</v>
      </c>
      <c r="CP196" s="24">
        <f t="shared" ref="CP196" si="1655">CO148-CP148+CO163+CO164-CP163-CP164</f>
        <v>31470.159007679787</v>
      </c>
      <c r="CQ196" s="24">
        <f t="shared" ref="CQ196" si="1656">CP148-CQ148+CP163+CP164-CQ163-CQ164</f>
        <v>82936.911228898185</v>
      </c>
      <c r="CR196" s="24">
        <f t="shared" ref="CR196" si="1657">CQ148-CR148+CQ163+CQ164-CR163-CR164</f>
        <v>-108678.67989249909</v>
      </c>
      <c r="CS196" s="24">
        <f t="shared" ref="CS196" si="1658">CR148-CS148+CR163+CR164-CS163-CS164</f>
        <v>-71516.201365893416</v>
      </c>
      <c r="CT196" s="24">
        <f t="shared" ref="CT196" si="1659">CS148-CT148+CS163+CS164-CT163-CT164</f>
        <v>37561.191580225364</v>
      </c>
      <c r="CU196" s="24">
        <f t="shared" ref="CU196" si="1660">CT148-CU148+CT163+CT164-CU163-CU164</f>
        <v>98250.727276935359</v>
      </c>
      <c r="CV196" s="24">
        <f t="shared" ref="CV196" si="1661">CU148-CV148+CU163+CU164-CV163-CV164</f>
        <v>-129167.30035653908</v>
      </c>
      <c r="CW196" s="24">
        <f t="shared" ref="CW196" si="1662">CV148-CW148+CV163+CV164-CW163-CW164</f>
        <v>-84869.534250810626</v>
      </c>
      <c r="CX196" s="24">
        <f t="shared" ref="CX196" si="1663">CW148-CX148+CW163+CW164-CX163-CX164</f>
        <v>44624.746556865633</v>
      </c>
      <c r="CY196" s="24">
        <f t="shared" ref="CY196" si="1664">CX148-CY148+CX163+CX164-CY163-CY164</f>
        <v>116713.97145348659</v>
      </c>
      <c r="CZ196" s="24">
        <f t="shared" ref="CZ196" si="1665">CY148-CZ148+CY163+CY164-CZ163-CZ164</f>
        <v>-153501.57445068849</v>
      </c>
      <c r="DA196" s="24">
        <f t="shared" ref="DA196" si="1666">CZ148-DA148+CZ163+CZ164-DA163-DA164</f>
        <v>-100844.37251155509</v>
      </c>
      <c r="DB196" s="24">
        <f t="shared" ref="DB196" si="1667">DA148-DB148+DA163+DA164-DB163-DB164</f>
        <v>53024.479593296768</v>
      </c>
      <c r="DE196" s="123"/>
      <c r="DF196" s="23">
        <v>35183.967646578792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-1033.172</v>
      </c>
      <c r="K197" s="23">
        <f>J156-K156</f>
        <v>-429.48379999999997</v>
      </c>
      <c r="L197" s="23">
        <f t="shared" si="1668"/>
        <v>-306.97409999999991</v>
      </c>
      <c r="M197" s="23">
        <f t="shared" si="1668"/>
        <v>350.13579999999979</v>
      </c>
      <c r="N197" s="23">
        <f t="shared" si="1668"/>
        <v>1191.808</v>
      </c>
      <c r="O197" s="23">
        <f t="shared" si="1668"/>
        <v>-153.60919999999999</v>
      </c>
      <c r="P197" s="23">
        <f t="shared" si="1668"/>
        <v>-177.14480000000003</v>
      </c>
      <c r="Q197" s="23">
        <f t="shared" si="1668"/>
        <v>-2678.4849000000004</v>
      </c>
      <c r="R197" s="23">
        <f t="shared" si="1668"/>
        <v>-508.78039999999964</v>
      </c>
      <c r="S197" s="23">
        <f t="shared" si="1668"/>
        <v>-763.03920000000016</v>
      </c>
      <c r="T197" s="23">
        <f t="shared" si="1668"/>
        <v>-485.79460000000017</v>
      </c>
      <c r="U197" s="23">
        <f t="shared" si="1668"/>
        <v>402.20980000000054</v>
      </c>
      <c r="V197" s="23">
        <f t="shared" si="1668"/>
        <v>-1444.4592000000002</v>
      </c>
      <c r="W197" s="23">
        <f t="shared" si="1668"/>
        <v>-887.43000000000029</v>
      </c>
      <c r="X197" s="23">
        <f t="shared" si="1668"/>
        <v>-111.13600000000042</v>
      </c>
      <c r="Y197" s="23">
        <f t="shared" si="1668"/>
        <v>-737.99539999999979</v>
      </c>
      <c r="Z197" s="23">
        <f t="shared" si="1668"/>
        <v>-900.5</v>
      </c>
      <c r="AA197" s="23">
        <f t="shared" si="1668"/>
        <v>5411.7900000000009</v>
      </c>
      <c r="AB197" s="24">
        <f t="shared" ref="AB197" si="1669">AA156-AB156</f>
        <v>-565895.46658594778</v>
      </c>
      <c r="AC197" s="24">
        <f t="shared" ref="AC197" si="1670">AB156-AC156</f>
        <v>-106843.48849729204</v>
      </c>
      <c r="AD197" s="24">
        <f t="shared" ref="AD197" si="1671">AC156-AD156</f>
        <v>-127362.45118690154</v>
      </c>
      <c r="AE197" s="24">
        <f t="shared" ref="AE197" si="1672">AD156-AE156</f>
        <v>-151427.9371760448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>
        <f t="shared" ref="BA197" si="1691">AZ156-BA156</f>
        <v>0</v>
      </c>
      <c r="BB197" s="23">
        <f t="shared" ref="BB197" si="1692">BA156-BB156</f>
        <v>-11322.160000000018</v>
      </c>
      <c r="BC197" s="23">
        <f t="shared" ref="BC197" si="1693">BB156-BC156</f>
        <v>0</v>
      </c>
      <c r="BD197" s="23">
        <f t="shared" ref="BD197" si="1694">BC156-BD156</f>
        <v>-6428.539999999979</v>
      </c>
      <c r="BE197" s="23">
        <f t="shared" ref="BE197" si="1695">BD156-BE156</f>
        <v>0</v>
      </c>
      <c r="BF197" s="23">
        <f t="shared" ref="BF197" si="1696">BE156-BF156</f>
        <v>-11883.100000000006</v>
      </c>
      <c r="BG197" s="23">
        <f t="shared" ref="BG197" si="1697">BF156-BG156</f>
        <v>0</v>
      </c>
      <c r="BH197" s="23">
        <f t="shared" ref="BH197" si="1698">BG156-BH156</f>
        <v>-8477.8699999999953</v>
      </c>
      <c r="BI197" s="23">
        <f t="shared" ref="BI197" si="1699">BH156-BI156</f>
        <v>0</v>
      </c>
      <c r="BJ197" s="23">
        <f t="shared" ref="BJ197" si="1700">BI156-BJ156</f>
        <v>-15398.87000000001</v>
      </c>
      <c r="BK197" s="23">
        <f t="shared" ref="BK197" si="1701">BJ156-BK156</f>
        <v>0</v>
      </c>
      <c r="BL197" s="23">
        <f t="shared" ref="BL197" si="1702">BK156-BL156</f>
        <v>-12202.110000000015</v>
      </c>
      <c r="BM197" s="23">
        <f t="shared" ref="BM197" si="1703">BL156-BM156</f>
        <v>0</v>
      </c>
      <c r="BN197" s="23">
        <f t="shared" ref="BN197" si="1704">BM156-BN156</f>
        <v>-5045.3300000000163</v>
      </c>
      <c r="BO197" s="23">
        <f t="shared" ref="BO197" si="1705">BN156-BO156</f>
        <v>0</v>
      </c>
      <c r="BP197" s="23">
        <f t="shared" ref="BP197" si="1706">BO156-BP156</f>
        <v>-24696.689999999973</v>
      </c>
      <c r="BQ197" s="23">
        <f t="shared" ref="BQ197" si="1707">BP156-BQ156</f>
        <v>0</v>
      </c>
      <c r="BR197" s="23">
        <f t="shared" ref="BR197" si="1708">BQ156-BR156</f>
        <v>-34767.69</v>
      </c>
      <c r="BS197" s="23">
        <f t="shared" ref="BS197" si="1709">BR156-BS156</f>
        <v>0</v>
      </c>
      <c r="BT197" s="23">
        <f t="shared" ref="BT197" si="1710">BS156-BT156</f>
        <v>-22090.350000000006</v>
      </c>
      <c r="BU197" s="23">
        <f t="shared" ref="BU197" si="1711">BT156-BU156</f>
        <v>0</v>
      </c>
      <c r="BV197" s="23">
        <f t="shared" ref="BV197" si="1712">BU156-BV156</f>
        <v>-23042.999999999971</v>
      </c>
      <c r="BW197" s="23">
        <f t="shared" ref="BW197" si="1713">BV156-BW156</f>
        <v>0</v>
      </c>
      <c r="BX197" s="23">
        <f t="shared" ref="BX197" si="1714">BW156-BX156</f>
        <v>-14182.76999999996</v>
      </c>
      <c r="BY197" s="23">
        <f t="shared" ref="BY197" si="1715">BX156-BY156</f>
        <v>0</v>
      </c>
      <c r="BZ197" s="23">
        <f t="shared" ref="BZ197" si="1716">BY156-BZ156</f>
        <v>-25535.140000000014</v>
      </c>
      <c r="CA197" s="23">
        <f t="shared" ref="CA197" si="1717">BZ156-CA156</f>
        <v>0</v>
      </c>
      <c r="CB197" s="23">
        <f t="shared" ref="CB197" si="1718">CA156-CB156</f>
        <v>-36212.790000000037</v>
      </c>
      <c r="CC197" s="23">
        <f t="shared" ref="CC197" si="1719">CB156-CC156</f>
        <v>0</v>
      </c>
      <c r="CD197" s="23">
        <f t="shared" ref="CD197" si="1720">CC156-CD156</f>
        <v>-45380.390000000014</v>
      </c>
      <c r="CE197" s="23">
        <f t="shared" ref="CE197" si="1721">CD156-CE156</f>
        <v>0</v>
      </c>
      <c r="CF197" s="23">
        <f t="shared" ref="CF197" si="1722">CE156-CF156</f>
        <v>-50206.179999999993</v>
      </c>
      <c r="CG197" s="23">
        <f t="shared" ref="CG197" si="1723">CF156-CG156</f>
        <v>0</v>
      </c>
      <c r="CH197" s="23">
        <f t="shared" ref="CH197:CL197" si="1724">CG156-CH156</f>
        <v>423564.46</v>
      </c>
      <c r="CI197" s="23">
        <f t="shared" si="1724"/>
        <v>2429.118295662618</v>
      </c>
      <c r="CJ197" s="23">
        <f t="shared" si="1724"/>
        <v>-465400.1482956626</v>
      </c>
      <c r="CK197" s="24">
        <f t="shared" ref="CK197" si="1725">CJ156-CK156</f>
        <v>-102440.45304524933</v>
      </c>
      <c r="CL197" s="23">
        <f t="shared" si="1724"/>
        <v>93125.393045249337</v>
      </c>
      <c r="CM197" s="24">
        <f t="shared" ref="CM197" si="1726">CL156-CM156</f>
        <v>127166.315683063</v>
      </c>
      <c r="CN197" s="24">
        <f t="shared" ref="CN197" si="1727">CM156-CN156</f>
        <v>-163163.71790769108</v>
      </c>
      <c r="CO197" s="24">
        <f t="shared" ref="CO197" si="1728">CN156-CO156</f>
        <v>-108524.52311608824</v>
      </c>
      <c r="CP197" s="24">
        <f t="shared" ref="CP197" si="1729">CO156-CP156</f>
        <v>56324.338754768483</v>
      </c>
      <c r="CQ197" s="24">
        <f t="shared" ref="CQ197" si="1730">CP156-CQ156</f>
        <v>148437.97523204924</v>
      </c>
      <c r="CR197" s="24">
        <f t="shared" ref="CR197" si="1731">CQ156-CR156</f>
        <v>-194509.81420819543</v>
      </c>
      <c r="CS197" s="24">
        <f t="shared" ref="CS197" si="1732">CR156-CS156</f>
        <v>-127997.53414667596</v>
      </c>
      <c r="CT197" s="24">
        <f t="shared" ref="CT197" si="1733">CS156-CT156</f>
        <v>67225.884625530103</v>
      </c>
      <c r="CU197" s="24">
        <f t="shared" ref="CU197" si="1734">CT156-CU156</f>
        <v>175846.18001764838</v>
      </c>
      <c r="CV197" s="24">
        <f t="shared" ref="CV197" si="1735">CU156-CV156</f>
        <v>-231179.72742194345</v>
      </c>
      <c r="CW197" s="24">
        <f t="shared" ref="CW197" si="1736">CV156-CW156</f>
        <v>-151896.92546312045</v>
      </c>
      <c r="CX197" s="24">
        <f t="shared" ref="CX197" si="1737">CW156-CX156</f>
        <v>79868.021680513979</v>
      </c>
      <c r="CY197" s="24">
        <f t="shared" ref="CY197" si="1738">CX156-CY156</f>
        <v>208891.13601098466</v>
      </c>
      <c r="CZ197" s="24">
        <f t="shared" ref="CZ197" si="1739">CY156-CZ156</f>
        <v>-274732.4751883524</v>
      </c>
      <c r="DA197" s="24">
        <f t="shared" ref="DA197" si="1740">CZ156-DA156</f>
        <v>-180488.20781193965</v>
      </c>
      <c r="DB197" s="24">
        <f t="shared" ref="DB197" si="1741">DA156-DB156</f>
        <v>94901.609813262592</v>
      </c>
      <c r="DE197" s="123"/>
      <c r="DF197" s="23">
        <v>61000.542901099136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790.14740000000006</v>
      </c>
      <c r="K198" s="22">
        <f t="shared" si="1742"/>
        <v>357.98759999999993</v>
      </c>
      <c r="L198" s="22">
        <f t="shared" si="1742"/>
        <v>112.07949999999994</v>
      </c>
      <c r="M198" s="22">
        <f t="shared" si="1742"/>
        <v>-698.66239999999982</v>
      </c>
      <c r="N198" s="22">
        <f t="shared" si="1742"/>
        <v>-334.03890000000001</v>
      </c>
      <c r="O198" s="22">
        <f t="shared" si="1742"/>
        <v>153.14409999999998</v>
      </c>
      <c r="P198" s="22">
        <f t="shared" si="1742"/>
        <v>176.00980000000004</v>
      </c>
      <c r="Q198" s="22">
        <f t="shared" si="1742"/>
        <v>184.40680000000066</v>
      </c>
      <c r="R198" s="22">
        <f t="shared" si="1742"/>
        <v>-405.05810000000065</v>
      </c>
      <c r="S198" s="22">
        <f t="shared" si="1742"/>
        <v>156.01520000000028</v>
      </c>
      <c r="T198" s="22">
        <f t="shared" si="1742"/>
        <v>153.65880000000016</v>
      </c>
      <c r="U198" s="22">
        <f t="shared" si="1742"/>
        <v>-763.29780000000028</v>
      </c>
      <c r="V198" s="22">
        <f t="shared" si="1742"/>
        <v>1413.9707000000008</v>
      </c>
      <c r="W198" s="22">
        <f t="shared" si="1742"/>
        <v>928.79909999999927</v>
      </c>
      <c r="X198" s="22">
        <f t="shared" ref="X198:Y198" si="1743">X196-X197</f>
        <v>-676.45849999999882</v>
      </c>
      <c r="Y198" s="22">
        <f t="shared" si="1743"/>
        <v>-844.62330000000111</v>
      </c>
      <c r="Z198" s="22">
        <f t="shared" ref="Z198:AA198" si="1744">Z196-Z197</f>
        <v>1200.1900000000005</v>
      </c>
      <c r="AA198" s="22">
        <f t="shared" si="1744"/>
        <v>752.65999999999894</v>
      </c>
      <c r="AB198" s="21">
        <f t="shared" ref="AA198:AD198" si="1745">AB196-AB197</f>
        <v>248494.59317661147</v>
      </c>
      <c r="AC198" s="21">
        <f t="shared" si="1745"/>
        <v>47146.710048023087</v>
      </c>
      <c r="AD198" s="21">
        <f t="shared" si="1745"/>
        <v>56201.090413352824</v>
      </c>
      <c r="AE198" s="21">
        <f t="shared" ref="AE198" si="1746">AE196-AE197</f>
        <v>66820.441260584572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>
        <f t="shared" si="1750"/>
        <v>0</v>
      </c>
      <c r="BB198" s="22">
        <f t="shared" si="1750"/>
        <v>4871.6900000000242</v>
      </c>
      <c r="BC198" s="22">
        <f t="shared" si="1750"/>
        <v>0</v>
      </c>
      <c r="BD198" s="22">
        <f t="shared" si="1750"/>
        <v>1919.8399999999747</v>
      </c>
      <c r="BE198" s="22">
        <f t="shared" si="1750"/>
        <v>0</v>
      </c>
      <c r="BF198" s="22">
        <f t="shared" si="1750"/>
        <v>5411.3000000000029</v>
      </c>
      <c r="BG198" s="22">
        <f t="shared" si="1750"/>
        <v>0</v>
      </c>
      <c r="BH198" s="22">
        <f t="shared" si="1750"/>
        <v>3817.1500000000015</v>
      </c>
      <c r="BI198" s="22">
        <f t="shared" si="1750"/>
        <v>0</v>
      </c>
      <c r="BJ198" s="22">
        <f t="shared" si="1750"/>
        <v>5531.7300000000032</v>
      </c>
      <c r="BK198" s="22">
        <f t="shared" si="1750"/>
        <v>0</v>
      </c>
      <c r="BL198" s="22">
        <f t="shared" si="1750"/>
        <v>4389.800000000032</v>
      </c>
      <c r="BM198" s="22">
        <f t="shared" si="1750"/>
        <v>0</v>
      </c>
      <c r="BN198" s="22">
        <f t="shared" si="1750"/>
        <v>3052.2400000000052</v>
      </c>
      <c r="BO198" s="22">
        <f t="shared" si="1750"/>
        <v>0</v>
      </c>
      <c r="BP198" s="22">
        <f t="shared" si="1750"/>
        <v>9803.1899999999732</v>
      </c>
      <c r="BQ198" s="22">
        <f t="shared" si="1750"/>
        <v>0</v>
      </c>
      <c r="BR198" s="22">
        <f t="shared" si="1750"/>
        <v>11975.609999999986</v>
      </c>
      <c r="BS198" s="22">
        <f t="shared" si="1750"/>
        <v>0</v>
      </c>
      <c r="BT198" s="22">
        <f t="shared" si="1750"/>
        <v>8305.0600000000122</v>
      </c>
      <c r="BU198" s="22">
        <f t="shared" si="1750"/>
        <v>0</v>
      </c>
      <c r="BV198" s="22">
        <f t="shared" si="1750"/>
        <v>10442.109999999986</v>
      </c>
      <c r="BW198" s="22">
        <f t="shared" si="1750"/>
        <v>0</v>
      </c>
      <c r="BX198" s="22">
        <f t="shared" si="1750"/>
        <v>8238.3899999999267</v>
      </c>
      <c r="BY198" s="22">
        <f t="shared" si="1750"/>
        <v>0</v>
      </c>
      <c r="BZ198" s="22">
        <f t="shared" si="1750"/>
        <v>10045.24000000002</v>
      </c>
      <c r="CA198" s="22">
        <f t="shared" si="1750"/>
        <v>0</v>
      </c>
      <c r="CB198" s="22">
        <f t="shared" si="1750"/>
        <v>13788.520000000048</v>
      </c>
      <c r="CC198" s="22">
        <f t="shared" si="1750"/>
        <v>0</v>
      </c>
      <c r="CD198" s="22">
        <f t="shared" si="1750"/>
        <v>13244.060000000027</v>
      </c>
      <c r="CE198" s="22">
        <f t="shared" ref="CE198:CF198" si="1751">CE196-CE197</f>
        <v>0</v>
      </c>
      <c r="CF198" s="22">
        <f t="shared" si="1751"/>
        <v>14609.820000000007</v>
      </c>
      <c r="CG198" s="22">
        <f t="shared" ref="CG198:CH198" si="1752">CG196-CG197</f>
        <v>0</v>
      </c>
      <c r="CH198" s="22">
        <f t="shared" si="1752"/>
        <v>-171343.28000000003</v>
      </c>
      <c r="CI198" s="22">
        <f t="shared" ref="CI198:CJ198" si="1753">CI196-CI197</f>
        <v>-533.29226316819586</v>
      </c>
      <c r="CJ198" s="22">
        <f t="shared" si="1753"/>
        <v>198237.99226316821</v>
      </c>
      <c r="CK198" s="21">
        <f t="shared" ref="CK198:DB198" si="1754">CK196-CK197</f>
        <v>43354.723406931909</v>
      </c>
      <c r="CL198" s="22">
        <f t="shared" si="1754"/>
        <v>-30731.023406931956</v>
      </c>
      <c r="CM198" s="21">
        <f t="shared" si="1754"/>
        <v>-56114.541912740882</v>
      </c>
      <c r="CN198" s="21">
        <f t="shared" si="1754"/>
        <v>71999.076469188003</v>
      </c>
      <c r="CO198" s="21">
        <f t="shared" si="1754"/>
        <v>47888.498367253109</v>
      </c>
      <c r="CP198" s="21">
        <f t="shared" si="1754"/>
        <v>-24854.179747088696</v>
      </c>
      <c r="CQ198" s="21">
        <f t="shared" si="1754"/>
        <v>-65501.064003151056</v>
      </c>
      <c r="CR198" s="21">
        <f t="shared" si="1754"/>
        <v>85831.134315696341</v>
      </c>
      <c r="CS198" s="21">
        <f t="shared" si="1754"/>
        <v>56481.332780782541</v>
      </c>
      <c r="CT198" s="21">
        <f t="shared" si="1754"/>
        <v>-29664.693045304739</v>
      </c>
      <c r="CU198" s="21">
        <f t="shared" si="1754"/>
        <v>-77595.452740713023</v>
      </c>
      <c r="CV198" s="21">
        <f t="shared" si="1754"/>
        <v>102012.42706540436</v>
      </c>
      <c r="CW198" s="21">
        <f t="shared" si="1754"/>
        <v>67027.391212309827</v>
      </c>
      <c r="CX198" s="21">
        <f t="shared" si="1754"/>
        <v>-35243.275123648345</v>
      </c>
      <c r="CY198" s="21">
        <f t="shared" si="1754"/>
        <v>-92177.164557498065</v>
      </c>
      <c r="CZ198" s="21">
        <f t="shared" si="1754"/>
        <v>121230.90073766391</v>
      </c>
      <c r="DA198" s="21">
        <f t="shared" si="1754"/>
        <v>79643.835300384555</v>
      </c>
      <c r="DB198" s="21">
        <f t="shared" si="1754"/>
        <v>-41877.130219965824</v>
      </c>
      <c r="DE198" s="126"/>
      <c r="DF198" s="22">
        <v>-25816.575254520343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789.98770000000002</v>
      </c>
      <c r="K199" s="22">
        <f t="shared" si="1755"/>
        <v>356.56589999999994</v>
      </c>
      <c r="L199" s="22">
        <f t="shared" si="1755"/>
        <v>109.02949999999994</v>
      </c>
      <c r="M199" s="22">
        <f t="shared" si="1755"/>
        <v>-694.50719999999978</v>
      </c>
      <c r="N199" s="22">
        <f t="shared" si="1755"/>
        <v>-334.93600000000004</v>
      </c>
      <c r="O199" s="22">
        <f t="shared" si="1755"/>
        <v>157.51739999999998</v>
      </c>
      <c r="P199" s="22">
        <f t="shared" si="1755"/>
        <v>167.44080000000005</v>
      </c>
      <c r="Q199" s="22">
        <f t="shared" si="1755"/>
        <v>62.485300000000649</v>
      </c>
      <c r="R199" s="22">
        <f t="shared" si="1755"/>
        <v>-506.93490000000065</v>
      </c>
      <c r="S199" s="22">
        <f t="shared" si="1755"/>
        <v>25.680000000000291</v>
      </c>
      <c r="T199" s="22">
        <f t="shared" si="1755"/>
        <v>-7.7749999999998636</v>
      </c>
      <c r="U199" s="22">
        <f t="shared" si="1755"/>
        <v>-1272.4485000000002</v>
      </c>
      <c r="V199" s="22">
        <f t="shared" si="1755"/>
        <v>477.89050000000077</v>
      </c>
      <c r="W199" s="22">
        <f t="shared" si="1755"/>
        <v>-259.72800000000097</v>
      </c>
      <c r="X199" s="22">
        <f t="shared" ref="X199:Y199" si="1756">X195+X198</f>
        <v>-2458.2997999999989</v>
      </c>
      <c r="Y199" s="22">
        <f t="shared" si="1756"/>
        <v>-2584.0233000000007</v>
      </c>
      <c r="Z199" s="22">
        <f t="shared" ref="Z199:AA199" si="1757">Z195+Z198</f>
        <v>-265.99999999999955</v>
      </c>
      <c r="AA199" s="22">
        <f t="shared" si="1757"/>
        <v>-1218.110000000001</v>
      </c>
      <c r="AB199" s="21">
        <f t="shared" ref="AA199:AD199" si="1758">AB195+AB198</f>
        <v>227303.01134120332</v>
      </c>
      <c r="AC199" s="21">
        <f t="shared" si="1758"/>
        <v>4216.744822157998</v>
      </c>
      <c r="AD199" s="21">
        <f t="shared" si="1758"/>
        <v>4497.9748037295576</v>
      </c>
      <c r="AE199" s="21">
        <f t="shared" ref="AE199" si="1759">AE195+AE198</f>
        <v>5521.9271466087448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>
        <f t="shared" si="1763"/>
        <v>190.42999999999995</v>
      </c>
      <c r="BB199" s="22">
        <f t="shared" si="1763"/>
        <v>5207.7400000000234</v>
      </c>
      <c r="BC199" s="22">
        <f t="shared" si="1763"/>
        <v>313.45</v>
      </c>
      <c r="BD199" s="22">
        <f t="shared" si="1763"/>
        <v>2145.3099999999749</v>
      </c>
      <c r="BE199" s="22">
        <f t="shared" si="1763"/>
        <v>230.28000000000009</v>
      </c>
      <c r="BF199" s="22">
        <f t="shared" si="1763"/>
        <v>5792.4900000000025</v>
      </c>
      <c r="BG199" s="22">
        <f t="shared" si="1763"/>
        <v>354.31999999999925</v>
      </c>
      <c r="BH199" s="22">
        <f t="shared" si="1763"/>
        <v>4067.6700000000019</v>
      </c>
      <c r="BI199" s="22">
        <f t="shared" si="1763"/>
        <v>264.27999999999838</v>
      </c>
      <c r="BJ199" s="22">
        <f t="shared" si="1763"/>
        <v>5989.4100000000044</v>
      </c>
      <c r="BK199" s="22">
        <f t="shared" si="1763"/>
        <v>371.89999999999878</v>
      </c>
      <c r="BL199" s="22">
        <f t="shared" si="1763"/>
        <v>4519.6400000000313</v>
      </c>
      <c r="BM199" s="22">
        <f t="shared" si="1763"/>
        <v>389.77000000000265</v>
      </c>
      <c r="BN199" s="22">
        <f t="shared" si="1763"/>
        <v>3582.9100000000053</v>
      </c>
      <c r="BO199" s="22">
        <f t="shared" si="1763"/>
        <v>390.89</v>
      </c>
      <c r="BP199" s="22">
        <f t="shared" si="1763"/>
        <v>10102.919999999973</v>
      </c>
      <c r="BQ199" s="22">
        <f t="shared" si="1763"/>
        <v>232.84999999999658</v>
      </c>
      <c r="BR199" s="22">
        <f t="shared" si="1763"/>
        <v>12507.989999999987</v>
      </c>
      <c r="BS199" s="22">
        <f t="shared" si="1763"/>
        <v>223.15999999999883</v>
      </c>
      <c r="BT199" s="22">
        <f t="shared" si="1763"/>
        <v>8551.6800000000148</v>
      </c>
      <c r="BU199" s="22">
        <f t="shared" si="1763"/>
        <v>364.06000000000023</v>
      </c>
      <c r="BV199" s="22">
        <f t="shared" si="1763"/>
        <v>11114.259999999986</v>
      </c>
      <c r="BW199" s="22">
        <f t="shared" si="1763"/>
        <v>262.8500000000015</v>
      </c>
      <c r="BX199" s="22">
        <f t="shared" si="1763"/>
        <v>8615.1299999999246</v>
      </c>
      <c r="BY199" s="22">
        <f t="shared" si="1763"/>
        <v>304.13000000000227</v>
      </c>
      <c r="BZ199" s="22">
        <f t="shared" si="1763"/>
        <v>10822.090000000018</v>
      </c>
      <c r="CA199" s="22">
        <f t="shared" si="1763"/>
        <v>381.0399999999994</v>
      </c>
      <c r="CB199" s="22">
        <f t="shared" si="1763"/>
        <v>14168.71000000005</v>
      </c>
      <c r="CC199" s="22">
        <f t="shared" si="1763"/>
        <v>321.75000000000438</v>
      </c>
      <c r="CD199" s="22">
        <f t="shared" si="1763"/>
        <v>14054.860000000028</v>
      </c>
      <c r="CE199" s="22">
        <f t="shared" ref="CE199:CF199" si="1764">CE195+CE198</f>
        <v>519.51999999999589</v>
      </c>
      <c r="CF199" s="22">
        <f t="shared" si="1764"/>
        <v>15139.240000000005</v>
      </c>
      <c r="CG199" s="22">
        <f t="shared" ref="CG199:CH199" si="1765">CG195+CG198</f>
        <v>550.82000000000062</v>
      </c>
      <c r="CH199" s="22">
        <f t="shared" si="1765"/>
        <v>-170529.77000000002</v>
      </c>
      <c r="CI199" s="22">
        <f t="shared" ref="CI199:CJ199" si="1766">CI195+CI198</f>
        <v>61.077736831804827</v>
      </c>
      <c r="CJ199" s="22">
        <f t="shared" si="1766"/>
        <v>198732.58226316821</v>
      </c>
      <c r="CK199" s="21">
        <f t="shared" ref="CK199:DB199" si="1767">CK195+CK198</f>
        <v>43931.463406931915</v>
      </c>
      <c r="CL199" s="22">
        <f t="shared" si="1767"/>
        <v>-29926.383406931956</v>
      </c>
      <c r="CM199" s="21">
        <f t="shared" si="1767"/>
        <v>-61382.485094100426</v>
      </c>
      <c r="CN199" s="21">
        <f t="shared" si="1767"/>
        <v>98696.548719535465</v>
      </c>
      <c r="CO199" s="21">
        <f t="shared" si="1767"/>
        <v>31510.602131568325</v>
      </c>
      <c r="CP199" s="21">
        <f t="shared" si="1767"/>
        <v>-51097.394415799958</v>
      </c>
      <c r="CQ199" s="21">
        <f t="shared" si="1767"/>
        <v>-74336.67628068928</v>
      </c>
      <c r="CR199" s="21">
        <f t="shared" si="1767"/>
        <v>111320.12832368276</v>
      </c>
      <c r="CS199" s="21">
        <f t="shared" si="1767"/>
        <v>34103.862379638173</v>
      </c>
      <c r="CT199" s="21">
        <f t="shared" si="1767"/>
        <v>-66870.569600473653</v>
      </c>
      <c r="CU199" s="21">
        <f t="shared" si="1767"/>
        <v>-87001.932224330318</v>
      </c>
      <c r="CV199" s="21">
        <f t="shared" si="1767"/>
        <v>131695.16441043126</v>
      </c>
      <c r="CW199" s="21">
        <f t="shared" si="1767"/>
        <v>39894.687572593321</v>
      </c>
      <c r="CX199" s="21">
        <f t="shared" si="1767"/>
        <v>-80089.94495496474</v>
      </c>
      <c r="CY199" s="21">
        <f t="shared" si="1767"/>
        <v>-102974.92122939942</v>
      </c>
      <c r="CZ199" s="21">
        <f t="shared" si="1767"/>
        <v>156406.70000805543</v>
      </c>
      <c r="DA199" s="21">
        <f t="shared" si="1767"/>
        <v>47297.546123477281</v>
      </c>
      <c r="DB199" s="21">
        <f t="shared" si="1767"/>
        <v>-95207.397755524522</v>
      </c>
      <c r="DE199" s="126"/>
      <c r="DF199" s="22">
        <v>345310.76705906808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-69.984699999999989</v>
      </c>
      <c r="K201" s="22">
        <f t="shared" si="1768"/>
        <v>-162.71410000000003</v>
      </c>
      <c r="L201" s="22">
        <f t="shared" si="1768"/>
        <v>-50.456499999999949</v>
      </c>
      <c r="M201" s="22">
        <f t="shared" si="1768"/>
        <v>17.939699999999959</v>
      </c>
      <c r="N201" s="22">
        <f t="shared" si="1768"/>
        <v>-7.4478000000000293</v>
      </c>
      <c r="O201" s="22">
        <f t="shared" si="1768"/>
        <v>-9.7510999999999513</v>
      </c>
      <c r="P201" s="22">
        <f t="shared" si="1768"/>
        <v>17.733799999999917</v>
      </c>
      <c r="Q201" s="22">
        <f t="shared" si="1768"/>
        <v>-182.56779999999998</v>
      </c>
      <c r="R201" s="22">
        <f t="shared" si="1768"/>
        <v>-91.226400000000012</v>
      </c>
      <c r="S201" s="22">
        <f t="shared" si="1768"/>
        <v>-42.817000000000007</v>
      </c>
      <c r="T201" s="22">
        <f t="shared" si="1768"/>
        <v>-13.93139999999994</v>
      </c>
      <c r="U201" s="22">
        <f t="shared" si="1768"/>
        <v>14.038499999999999</v>
      </c>
      <c r="V201" s="22">
        <f t="shared" si="1768"/>
        <v>15.753900000000044</v>
      </c>
      <c r="W201" s="22">
        <f t="shared" si="1768"/>
        <v>38.658300000000054</v>
      </c>
      <c r="X201" s="22">
        <f t="shared" ref="X201:Y201" si="1769">X202+X203</f>
        <v>5.259900000000016</v>
      </c>
      <c r="Y201" s="22">
        <f t="shared" si="1769"/>
        <v>-35.447300000000041</v>
      </c>
      <c r="Z201" s="22">
        <f t="shared" ref="Z201:AA201" si="1770">Z202+Z203</f>
        <v>-33.379999999999995</v>
      </c>
      <c r="AA201" s="22">
        <f t="shared" si="1770"/>
        <v>-56.379999999999995</v>
      </c>
      <c r="AB201" s="21">
        <f t="shared" ref="AA201:AD201" si="1771">AB202+AB203</f>
        <v>-227464.01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-47083.15</v>
      </c>
      <c r="BA201" s="22">
        <f t="shared" si="1776"/>
        <v>0</v>
      </c>
      <c r="BB201" s="22">
        <f t="shared" si="1776"/>
        <v>-4712.5699999999988</v>
      </c>
      <c r="BC201" s="22">
        <f t="shared" si="1776"/>
        <v>0</v>
      </c>
      <c r="BD201" s="22">
        <f t="shared" si="1776"/>
        <v>-3269.3599999999979</v>
      </c>
      <c r="BE201" s="22">
        <f t="shared" si="1776"/>
        <v>0</v>
      </c>
      <c r="BF201" s="22">
        <f t="shared" si="1776"/>
        <v>-5016.2299999999987</v>
      </c>
      <c r="BG201" s="22">
        <f t="shared" si="1776"/>
        <v>0</v>
      </c>
      <c r="BH201" s="22">
        <f t="shared" si="1776"/>
        <v>-5263.4400000000041</v>
      </c>
      <c r="BI201" s="22">
        <f t="shared" si="1776"/>
        <v>0</v>
      </c>
      <c r="BJ201" s="22">
        <f t="shared" si="1776"/>
        <v>-5446.100000000004</v>
      </c>
      <c r="BK201" s="22">
        <f t="shared" si="1776"/>
        <v>0</v>
      </c>
      <c r="BL201" s="22">
        <f t="shared" si="1776"/>
        <v>-5907.45</v>
      </c>
      <c r="BM201" s="22">
        <f t="shared" si="1776"/>
        <v>0</v>
      </c>
      <c r="BN201" s="22">
        <f t="shared" si="1776"/>
        <v>-4130.769999999995</v>
      </c>
      <c r="BO201" s="22">
        <f t="shared" si="1776"/>
        <v>0</v>
      </c>
      <c r="BP201" s="22">
        <f t="shared" si="1776"/>
        <v>-10597.779999999995</v>
      </c>
      <c r="BQ201" s="22">
        <f t="shared" si="1776"/>
        <v>0</v>
      </c>
      <c r="BR201" s="22">
        <f t="shared" si="1776"/>
        <v>-11679.73</v>
      </c>
      <c r="BS201" s="22">
        <f t="shared" si="1776"/>
        <v>0</v>
      </c>
      <c r="BT201" s="22">
        <f t="shared" si="1776"/>
        <v>-9270.73</v>
      </c>
      <c r="BU201" s="22">
        <f t="shared" si="1776"/>
        <v>0</v>
      </c>
      <c r="BV201" s="22">
        <f t="shared" si="1776"/>
        <v>-10355.940000000002</v>
      </c>
      <c r="BW201" s="22">
        <f t="shared" si="1776"/>
        <v>0</v>
      </c>
      <c r="BX201" s="22">
        <f t="shared" si="1776"/>
        <v>-9060.4399999999987</v>
      </c>
      <c r="BY201" s="22">
        <f t="shared" si="1776"/>
        <v>0</v>
      </c>
      <c r="BZ201" s="22">
        <f t="shared" si="1776"/>
        <v>-9806.7600000000075</v>
      </c>
      <c r="CA201" s="22">
        <f t="shared" si="1776"/>
        <v>0</v>
      </c>
      <c r="CB201" s="22">
        <f t="shared" si="1776"/>
        <v>-15794.980000000007</v>
      </c>
      <c r="CC201" s="22">
        <f t="shared" si="1776"/>
        <v>0</v>
      </c>
      <c r="CD201" s="22">
        <f t="shared" si="1776"/>
        <v>-12741.529999999992</v>
      </c>
      <c r="CE201" s="22">
        <f t="shared" ref="CE201:CF201" si="1777">CE202+CE203</f>
        <v>0</v>
      </c>
      <c r="CF201" s="22">
        <f t="shared" si="1777"/>
        <v>-15196.079999999987</v>
      </c>
      <c r="CG201" s="22">
        <f t="shared" ref="CG201:CH201" si="1778">CG202+CG203</f>
        <v>0</v>
      </c>
      <c r="CH201" s="22">
        <f t="shared" si="1778"/>
        <v>184742.69999999998</v>
      </c>
      <c r="CI201" s="22">
        <f t="shared" ref="CI201:CJ201" si="1779">CI202+CI203</f>
        <v>0</v>
      </c>
      <c r="CJ201" s="22">
        <f t="shared" si="1779"/>
        <v>-215581.21</v>
      </c>
      <c r="CK201" s="21">
        <f t="shared" ref="CK201:DB201" si="1780">CK202+CK203</f>
        <v>0</v>
      </c>
      <c r="CL201" s="22">
        <f t="shared" si="1780"/>
        <v>-11939.180000000017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0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-227423.04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-46583.54</v>
      </c>
      <c r="BA202" s="23">
        <f t="shared" ref="BA202" si="1804">AZ140-BA140</f>
        <v>0</v>
      </c>
      <c r="BB202" s="23">
        <f t="shared" ref="BB202" si="1805">BA140-BB140</f>
        <v>-4673.7099999999991</v>
      </c>
      <c r="BC202" s="23">
        <f t="shared" ref="BC202" si="1806">BB140-BC140</f>
        <v>0</v>
      </c>
      <c r="BD202" s="23">
        <f t="shared" ref="BD202" si="1807">BC140-BD140</f>
        <v>-3247.989999999998</v>
      </c>
      <c r="BE202" s="23">
        <f t="shared" ref="BE202" si="1808">BD140-BE140</f>
        <v>0</v>
      </c>
      <c r="BF202" s="23">
        <f t="shared" ref="BF202" si="1809">BE140-BF140</f>
        <v>-4994.7799999999988</v>
      </c>
      <c r="BG202" s="23">
        <f t="shared" ref="BG202" si="1810">BF140-BG140</f>
        <v>0</v>
      </c>
      <c r="BH202" s="23">
        <f t="shared" ref="BH202" si="1811">BG140-BH140</f>
        <v>-5252.5200000000041</v>
      </c>
      <c r="BI202" s="23">
        <f t="shared" ref="BI202" si="1812">BH140-BI140</f>
        <v>0</v>
      </c>
      <c r="BJ202" s="23">
        <f t="shared" ref="BJ202" si="1813">BI140-BJ140</f>
        <v>-5443.0900000000038</v>
      </c>
      <c r="BK202" s="23">
        <f t="shared" ref="BK202" si="1814">BJ140-BK140</f>
        <v>0</v>
      </c>
      <c r="BL202" s="23">
        <f t="shared" ref="BL202" si="1815">BK140-BL140</f>
        <v>-5903.5</v>
      </c>
      <c r="BM202" s="23">
        <f t="shared" ref="BM202" si="1816">BL140-BM140</f>
        <v>0</v>
      </c>
      <c r="BN202" s="23">
        <f t="shared" ref="BN202" si="1817">BM140-BN140</f>
        <v>-4148.7599999999948</v>
      </c>
      <c r="BO202" s="23">
        <f t="shared" ref="BO202" si="1818">BN140-BO140</f>
        <v>0</v>
      </c>
      <c r="BP202" s="23">
        <f t="shared" ref="BP202" si="1819">BO140-BP140</f>
        <v>-10614.509999999995</v>
      </c>
      <c r="BQ202" s="23">
        <f t="shared" ref="BQ202" si="1820">BP140-BQ140</f>
        <v>0</v>
      </c>
      <c r="BR202" s="23">
        <f t="shared" ref="BR202" si="1821">BQ140-BR140</f>
        <v>-11678.75</v>
      </c>
      <c r="BS202" s="23">
        <f t="shared" ref="BS202" si="1822">BR140-BS140</f>
        <v>0</v>
      </c>
      <c r="BT202" s="23">
        <f t="shared" ref="BT202" si="1823">BS140-BT140</f>
        <v>-9289.2799999999988</v>
      </c>
      <c r="BU202" s="23">
        <f t="shared" ref="BU202" si="1824">BT140-BU140</f>
        <v>0</v>
      </c>
      <c r="BV202" s="23">
        <f t="shared" ref="BV202" si="1825">BU140-BV140</f>
        <v>-10376.050000000003</v>
      </c>
      <c r="BW202" s="23">
        <f t="shared" ref="BW202" si="1826">BV140-BW140</f>
        <v>0</v>
      </c>
      <c r="BX202" s="23">
        <f t="shared" ref="BX202" si="1827">BW140-BX140</f>
        <v>-9062.1699999999983</v>
      </c>
      <c r="BY202" s="23">
        <f t="shared" ref="BY202" si="1828">BX140-BY140</f>
        <v>0</v>
      </c>
      <c r="BZ202" s="23">
        <f t="shared" ref="BZ202" si="1829">BY140-BZ140</f>
        <v>-9810.2900000000081</v>
      </c>
      <c r="CA202" s="23">
        <f t="shared" ref="CA202" si="1830">BZ140-CA140</f>
        <v>0</v>
      </c>
      <c r="CB202" s="23">
        <f t="shared" ref="CB202" si="1831">CA140-CB140</f>
        <v>-15774.070000000007</v>
      </c>
      <c r="CC202" s="23">
        <f t="shared" ref="CC202" si="1832">CB140-CC140</f>
        <v>0</v>
      </c>
      <c r="CD202" s="23">
        <f t="shared" ref="CD202" si="1833">CC140-CD140</f>
        <v>-12726.989999999991</v>
      </c>
      <c r="CE202" s="23">
        <f t="shared" ref="CE202" si="1834">CD140-CE140</f>
        <v>0</v>
      </c>
      <c r="CF202" s="23">
        <f t="shared" ref="CF202" si="1835">CE140-CF140</f>
        <v>-15190.079999999987</v>
      </c>
      <c r="CG202" s="23">
        <f t="shared" ref="CG202" si="1836">CF140-CG140</f>
        <v>0</v>
      </c>
      <c r="CH202" s="23">
        <f t="shared" ref="CH202:CL202" si="1837">CG140-CH140</f>
        <v>184770.08</v>
      </c>
      <c r="CI202" s="23">
        <f t="shared" si="1837"/>
        <v>0</v>
      </c>
      <c r="CJ202" s="23">
        <f t="shared" si="1837"/>
        <v>-215539.96</v>
      </c>
      <c r="CK202" s="24">
        <f t="shared" ref="CK202" si="1838">CJ140-CK140</f>
        <v>0</v>
      </c>
      <c r="CL202" s="23">
        <f t="shared" si="1837"/>
        <v>-11883.080000000016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-69.984699999999989</v>
      </c>
      <c r="K203" s="23">
        <f t="shared" si="1855"/>
        <v>-162.71410000000003</v>
      </c>
      <c r="L203" s="23">
        <f t="shared" si="1855"/>
        <v>-50.456499999999949</v>
      </c>
      <c r="M203" s="23">
        <f t="shared" si="1855"/>
        <v>17.939699999999959</v>
      </c>
      <c r="N203" s="23">
        <f t="shared" si="1855"/>
        <v>-7.4478000000000293</v>
      </c>
      <c r="O203" s="23">
        <f t="shared" si="1855"/>
        <v>-9.7510999999999513</v>
      </c>
      <c r="P203" s="23">
        <f t="shared" si="1855"/>
        <v>17.733799999999917</v>
      </c>
      <c r="Q203" s="23">
        <f t="shared" si="1855"/>
        <v>-182.56779999999998</v>
      </c>
      <c r="R203" s="23">
        <f t="shared" si="1855"/>
        <v>-91.226400000000012</v>
      </c>
      <c r="S203" s="23">
        <f t="shared" si="1855"/>
        <v>-42.817000000000007</v>
      </c>
      <c r="T203" s="23">
        <f t="shared" si="1855"/>
        <v>-13.93139999999994</v>
      </c>
      <c r="U203" s="23">
        <f t="shared" si="1855"/>
        <v>14.038499999999999</v>
      </c>
      <c r="V203" s="23">
        <f t="shared" si="1855"/>
        <v>15.753900000000044</v>
      </c>
      <c r="W203" s="23">
        <f t="shared" si="1855"/>
        <v>38.658300000000054</v>
      </c>
      <c r="X203" s="23">
        <f t="shared" si="1855"/>
        <v>5.259900000000016</v>
      </c>
      <c r="Y203" s="23">
        <f t="shared" si="1855"/>
        <v>-35.447300000000041</v>
      </c>
      <c r="Z203" s="23">
        <f t="shared" si="1855"/>
        <v>-33.379999999999995</v>
      </c>
      <c r="AA203" s="23">
        <f t="shared" si="1855"/>
        <v>-56.379999999999995</v>
      </c>
      <c r="AB203" s="24">
        <f t="shared" si="1855"/>
        <v>-40.970000000000141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-499.61</v>
      </c>
      <c r="BA203" s="23">
        <f t="shared" si="1856"/>
        <v>0</v>
      </c>
      <c r="BB203" s="23">
        <f t="shared" si="1856"/>
        <v>-38.860000000000014</v>
      </c>
      <c r="BC203" s="23">
        <f t="shared" si="1856"/>
        <v>0</v>
      </c>
      <c r="BD203" s="23">
        <f t="shared" si="1856"/>
        <v>-21.370000000000005</v>
      </c>
      <c r="BE203" s="23">
        <f t="shared" si="1856"/>
        <v>0</v>
      </c>
      <c r="BF203" s="23">
        <f t="shared" si="1856"/>
        <v>-21.449999999999932</v>
      </c>
      <c r="BG203" s="23">
        <f t="shared" si="1856"/>
        <v>0</v>
      </c>
      <c r="BH203" s="23">
        <f t="shared" si="1856"/>
        <v>-10.920000000000073</v>
      </c>
      <c r="BI203" s="23">
        <f t="shared" si="1856"/>
        <v>0</v>
      </c>
      <c r="BJ203" s="23">
        <f t="shared" si="1856"/>
        <v>-3.0099999999999909</v>
      </c>
      <c r="BK203" s="23">
        <f t="shared" si="1856"/>
        <v>0</v>
      </c>
      <c r="BL203" s="23">
        <f t="shared" si="1856"/>
        <v>-3.9499999999999318</v>
      </c>
      <c r="BM203" s="23">
        <f t="shared" si="1856"/>
        <v>0</v>
      </c>
      <c r="BN203" s="23">
        <f t="shared" si="1856"/>
        <v>17.990000000000009</v>
      </c>
      <c r="BO203" s="23">
        <f t="shared" ref="BO203:CT203" si="1857">BN138-BO32-BO138</f>
        <v>0</v>
      </c>
      <c r="BP203" s="23">
        <f t="shared" si="1857"/>
        <v>16.729999999999905</v>
      </c>
      <c r="BQ203" s="23">
        <f t="shared" si="1857"/>
        <v>0</v>
      </c>
      <c r="BR203" s="23">
        <f t="shared" si="1857"/>
        <v>-0.9799999999999045</v>
      </c>
      <c r="BS203" s="23">
        <f t="shared" si="1857"/>
        <v>0</v>
      </c>
      <c r="BT203" s="23">
        <f t="shared" si="1857"/>
        <v>18.549999999999955</v>
      </c>
      <c r="BU203" s="23">
        <f t="shared" si="1857"/>
        <v>0</v>
      </c>
      <c r="BV203" s="23">
        <f t="shared" si="1857"/>
        <v>20.110000000000014</v>
      </c>
      <c r="BW203" s="23">
        <f t="shared" si="1857"/>
        <v>0</v>
      </c>
      <c r="BX203" s="23">
        <f t="shared" si="1857"/>
        <v>1.7300000000000182</v>
      </c>
      <c r="BY203" s="23">
        <f t="shared" si="1857"/>
        <v>0</v>
      </c>
      <c r="BZ203" s="23">
        <f t="shared" si="1857"/>
        <v>3.5299999999999727</v>
      </c>
      <c r="CA203" s="23">
        <f t="shared" si="1857"/>
        <v>0</v>
      </c>
      <c r="CB203" s="23">
        <f t="shared" si="1857"/>
        <v>-20.909999999999968</v>
      </c>
      <c r="CC203" s="23">
        <f t="shared" si="1857"/>
        <v>0</v>
      </c>
      <c r="CD203" s="23">
        <f t="shared" si="1857"/>
        <v>-14.540000000000077</v>
      </c>
      <c r="CE203" s="23">
        <f t="shared" si="1857"/>
        <v>0</v>
      </c>
      <c r="CF203" s="23">
        <f t="shared" si="1857"/>
        <v>-6</v>
      </c>
      <c r="CG203" s="23">
        <f t="shared" si="1857"/>
        <v>0</v>
      </c>
      <c r="CH203" s="23">
        <f t="shared" si="1857"/>
        <v>-27.379999999999882</v>
      </c>
      <c r="CI203" s="23">
        <f t="shared" si="1857"/>
        <v>0</v>
      </c>
      <c r="CJ203" s="23">
        <f t="shared" si="1857"/>
        <v>-41.250000000000114</v>
      </c>
      <c r="CK203" s="24">
        <f t="shared" si="1857"/>
        <v>0</v>
      </c>
      <c r="CL203" s="23">
        <f t="shared" si="1857"/>
        <v>-56.099999999999909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978.57640000000004</v>
      </c>
      <c r="K205" s="22">
        <f t="shared" si="1859"/>
        <v>277.87930000000006</v>
      </c>
      <c r="L205" s="22">
        <f t="shared" si="1859"/>
        <v>369.39400000000001</v>
      </c>
      <c r="M205" s="22">
        <f t="shared" si="1859"/>
        <v>493.55619999999954</v>
      </c>
      <c r="N205" s="22">
        <f t="shared" si="1859"/>
        <v>564.95550000000048</v>
      </c>
      <c r="O205" s="22">
        <f t="shared" si="1859"/>
        <v>618.76599999999962</v>
      </c>
      <c r="P205" s="22">
        <f t="shared" si="1859"/>
        <v>676.5014000000001</v>
      </c>
      <c r="Q205" s="22">
        <f t="shared" si="1859"/>
        <v>838.52639999999974</v>
      </c>
      <c r="R205" s="22">
        <f t="shared" si="1859"/>
        <v>875.9931000000006</v>
      </c>
      <c r="S205" s="22">
        <f t="shared" si="1859"/>
        <v>1040.0122000000001</v>
      </c>
      <c r="T205" s="22">
        <f t="shared" si="1859"/>
        <v>1247.1196</v>
      </c>
      <c r="U205" s="22">
        <f t="shared" si="1859"/>
        <v>1932.9253000000008</v>
      </c>
      <c r="V205" s="22">
        <f t="shared" si="1859"/>
        <v>2144.8744999999999</v>
      </c>
      <c r="W205" s="22">
        <f t="shared" si="1859"/>
        <v>2514.2596000000012</v>
      </c>
      <c r="X205" s="22">
        <f t="shared" ref="X205:Y205" si="1860">X206+X207</f>
        <v>3287.9485999999997</v>
      </c>
      <c r="Y205" s="22">
        <f t="shared" si="1860"/>
        <v>3406.4875000000011</v>
      </c>
      <c r="Z205" s="22">
        <f t="shared" ref="Z205:AA205" si="1861">Z206+Z207</f>
        <v>3667.4899999999961</v>
      </c>
      <c r="AA205" s="22">
        <f t="shared" si="1861"/>
        <v>4264.5800000000017</v>
      </c>
      <c r="AB205" s="21">
        <f t="shared" ref="AA205:AD205" si="1862">AB206+AB207</f>
        <v>-0.75</v>
      </c>
      <c r="AC205" s="21">
        <f t="shared" si="1862"/>
        <v>4.5474735088646412E-12</v>
      </c>
      <c r="AD205" s="21">
        <f t="shared" si="1862"/>
        <v>-2.9103830456733704E-11</v>
      </c>
      <c r="AE205" s="21">
        <f t="shared" ref="AE205" si="1863">AE206+AE207</f>
        <v>4.3655745685100555E-11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5171.07</v>
      </c>
      <c r="BA205" s="22">
        <f t="shared" si="1867"/>
        <v>0</v>
      </c>
      <c r="BB205" s="22">
        <f t="shared" si="1867"/>
        <v>-358.22999999999956</v>
      </c>
      <c r="BC205" s="22">
        <f t="shared" si="1867"/>
        <v>0</v>
      </c>
      <c r="BD205" s="22">
        <f t="shared" si="1867"/>
        <v>288.17999999999972</v>
      </c>
      <c r="BE205" s="22">
        <f t="shared" si="1867"/>
        <v>0</v>
      </c>
      <c r="BF205" s="22">
        <f t="shared" si="1867"/>
        <v>-269.34999999999934</v>
      </c>
      <c r="BG205" s="22">
        <f t="shared" si="1867"/>
        <v>0</v>
      </c>
      <c r="BH205" s="22">
        <f t="shared" si="1867"/>
        <v>180.68000000000015</v>
      </c>
      <c r="BI205" s="22">
        <f t="shared" si="1867"/>
        <v>0</v>
      </c>
      <c r="BJ205" s="22">
        <f t="shared" si="1867"/>
        <v>-370.80999999999966</v>
      </c>
      <c r="BK205" s="22">
        <f t="shared" si="1867"/>
        <v>0</v>
      </c>
      <c r="BL205" s="22">
        <f t="shared" si="1867"/>
        <v>349.33000000000175</v>
      </c>
      <c r="BM205" s="22">
        <f t="shared" si="1867"/>
        <v>9.0949470177292824E-13</v>
      </c>
      <c r="BN205" s="22">
        <f t="shared" si="1867"/>
        <v>-172.73000000000343</v>
      </c>
      <c r="BO205" s="22">
        <f t="shared" si="1867"/>
        <v>1.8189894035458565E-12</v>
      </c>
      <c r="BP205" s="22">
        <f t="shared" si="1867"/>
        <v>837.17999999999836</v>
      </c>
      <c r="BQ205" s="22">
        <f t="shared" si="1867"/>
        <v>0</v>
      </c>
      <c r="BR205" s="22">
        <f t="shared" si="1867"/>
        <v>-507.02999999999645</v>
      </c>
      <c r="BS205" s="22">
        <f t="shared" si="1867"/>
        <v>0</v>
      </c>
      <c r="BT205" s="22">
        <f t="shared" si="1867"/>
        <v>312.52999999999918</v>
      </c>
      <c r="BU205" s="22">
        <f t="shared" si="1867"/>
        <v>-1.8189894035458565E-12</v>
      </c>
      <c r="BV205" s="22">
        <f t="shared" si="1867"/>
        <v>-445.31999999999618</v>
      </c>
      <c r="BW205" s="22">
        <f t="shared" si="1867"/>
        <v>0</v>
      </c>
      <c r="BX205" s="22">
        <f t="shared" si="1867"/>
        <v>280.72999999999786</v>
      </c>
      <c r="BY205" s="22">
        <f t="shared" si="1867"/>
        <v>1.8189894035458565E-12</v>
      </c>
      <c r="BZ205" s="22">
        <f t="shared" si="1867"/>
        <v>-457.03000000000293</v>
      </c>
      <c r="CA205" s="22">
        <f t="shared" si="1867"/>
        <v>0</v>
      </c>
      <c r="CB205" s="22">
        <f t="shared" si="1867"/>
        <v>578.63999999999919</v>
      </c>
      <c r="CC205" s="22">
        <f t="shared" si="1867"/>
        <v>0</v>
      </c>
      <c r="CD205" s="22">
        <f t="shared" si="1867"/>
        <v>-387.52000000000362</v>
      </c>
      <c r="CE205" s="22">
        <f t="shared" ref="CE205:CF205" si="1868">CE206+CE207</f>
        <v>0</v>
      </c>
      <c r="CF205" s="22">
        <f t="shared" si="1868"/>
        <v>-1034.9199999999933</v>
      </c>
      <c r="CG205" s="22">
        <f t="shared" ref="CG205:CH205" si="1869">CG206+CG207</f>
        <v>-1.8189894035458565E-12</v>
      </c>
      <c r="CH205" s="22">
        <f t="shared" si="1869"/>
        <v>-830.52999999999702</v>
      </c>
      <c r="CI205" s="22">
        <f t="shared" ref="CI205:CJ205" si="1870">CI206+CI207</f>
        <v>3.637978807091713E-12</v>
      </c>
      <c r="CJ205" s="22">
        <f t="shared" si="1870"/>
        <v>414.55000000000291</v>
      </c>
      <c r="CK205" s="21">
        <f t="shared" ref="CK205:DB205" si="1871">CK206+CK207</f>
        <v>0</v>
      </c>
      <c r="CL205" s="22">
        <f t="shared" si="1871"/>
        <v>-591.83000000000538</v>
      </c>
      <c r="CM205" s="21">
        <f t="shared" si="1871"/>
        <v>0</v>
      </c>
      <c r="CN205" s="21">
        <f t="shared" si="1871"/>
        <v>-7.2759576141834259E-12</v>
      </c>
      <c r="CO205" s="21">
        <f t="shared" si="1871"/>
        <v>0</v>
      </c>
      <c r="CP205" s="21">
        <f t="shared" si="1871"/>
        <v>0</v>
      </c>
      <c r="CQ205" s="21">
        <f t="shared" si="1871"/>
        <v>9.0949470177292824E-13</v>
      </c>
      <c r="CR205" s="21">
        <f t="shared" si="1871"/>
        <v>0</v>
      </c>
      <c r="CS205" s="21">
        <f t="shared" si="1871"/>
        <v>-1.8189894035458565E-12</v>
      </c>
      <c r="CT205" s="21">
        <f t="shared" si="1871"/>
        <v>-4.5474735088646412E-12</v>
      </c>
      <c r="CU205" s="21">
        <f t="shared" si="1871"/>
        <v>0</v>
      </c>
      <c r="CV205" s="21">
        <f t="shared" si="1871"/>
        <v>7.2759576141834259E-12</v>
      </c>
      <c r="CW205" s="21">
        <f t="shared" si="1871"/>
        <v>-3.637978807091713E-12</v>
      </c>
      <c r="CX205" s="21">
        <f t="shared" si="1871"/>
        <v>0</v>
      </c>
      <c r="CY205" s="21">
        <f t="shared" si="1871"/>
        <v>0</v>
      </c>
      <c r="CZ205" s="21">
        <f t="shared" si="1871"/>
        <v>1.4551915228366852E-11</v>
      </c>
      <c r="DA205" s="21">
        <f t="shared" si="1871"/>
        <v>0</v>
      </c>
      <c r="DB205" s="21">
        <f t="shared" si="1871"/>
        <v>1.4551915228366852E-11</v>
      </c>
      <c r="DE205" s="126"/>
      <c r="DF205" s="22">
        <v>-3.637978807091713E-12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212.5</v>
      </c>
      <c r="BA206" s="23">
        <f t="shared" ref="BA206" si="1895">BA128-AZ128</f>
        <v>0</v>
      </c>
      <c r="BB206" s="23">
        <f t="shared" ref="BB206" si="1896">BB128-BA128</f>
        <v>-212.5</v>
      </c>
      <c r="BC206" s="23">
        <f t="shared" ref="BC206" si="1897">BC128-BB128</f>
        <v>0</v>
      </c>
      <c r="BD206" s="23">
        <f t="shared" ref="BD206" si="1898">BD128-BC128</f>
        <v>196.86</v>
      </c>
      <c r="BE206" s="23">
        <f t="shared" ref="BE206" si="1899">BE128-BD128</f>
        <v>0</v>
      </c>
      <c r="BF206" s="23">
        <f t="shared" ref="BF206" si="1900">BF128-BE128</f>
        <v>-3.3800000000000239</v>
      </c>
      <c r="BG206" s="23">
        <f t="shared" ref="BG206" si="1901">BG128-BF128</f>
        <v>0</v>
      </c>
      <c r="BH206" s="23">
        <f t="shared" ref="BH206" si="1902">BH128-BG128</f>
        <v>222.84</v>
      </c>
      <c r="BI206" s="23">
        <f t="shared" ref="BI206" si="1903">BI128-BH128</f>
        <v>0</v>
      </c>
      <c r="BJ206" s="23">
        <f t="shared" ref="BJ206" si="1904">BJ128-BI128</f>
        <v>-134.69999999999999</v>
      </c>
      <c r="BK206" s="23">
        <f t="shared" ref="BK206" si="1905">BK128-BJ128</f>
        <v>0</v>
      </c>
      <c r="BL206" s="23">
        <f t="shared" ref="BL206" si="1906">BL128-BK128</f>
        <v>355.96000000000004</v>
      </c>
      <c r="BM206" s="23">
        <f t="shared" ref="BM206" si="1907">BM128-BL128</f>
        <v>0</v>
      </c>
      <c r="BN206" s="23">
        <f t="shared" ref="BN206" si="1908">BN128-BM128</f>
        <v>76.089999999999918</v>
      </c>
      <c r="BO206" s="23">
        <f t="shared" ref="BO206" si="1909">BO128-BN128</f>
        <v>0</v>
      </c>
      <c r="BP206" s="23">
        <f t="shared" ref="BP206" si="1910">BP128-BO128</f>
        <v>607.34</v>
      </c>
      <c r="BQ206" s="23">
        <f t="shared" ref="BQ206" si="1911">BQ128-BP128</f>
        <v>0</v>
      </c>
      <c r="BR206" s="23">
        <f t="shared" ref="BR206" si="1912">BR128-BQ128</f>
        <v>-478.68999999999994</v>
      </c>
      <c r="BS206" s="23">
        <f t="shared" ref="BS206" si="1913">BS128-BR128</f>
        <v>0</v>
      </c>
      <c r="BT206" s="23">
        <f t="shared" ref="BT206" si="1914">BT128-BS128</f>
        <v>275.89999999999998</v>
      </c>
      <c r="BU206" s="23">
        <f t="shared" ref="BU206" si="1915">BU128-BT128</f>
        <v>0</v>
      </c>
      <c r="BV206" s="23">
        <f t="shared" ref="BV206" si="1916">BV128-BU128</f>
        <v>-124.58000000000004</v>
      </c>
      <c r="BW206" s="23">
        <f t="shared" ref="BW206" si="1917">BW128-BV128</f>
        <v>0</v>
      </c>
      <c r="BX206" s="23">
        <f t="shared" ref="BX206" si="1918">BX128-BW128</f>
        <v>326.58000000000004</v>
      </c>
      <c r="BY206" s="23">
        <f t="shared" ref="BY206" si="1919">BY128-BX128</f>
        <v>0</v>
      </c>
      <c r="BZ206" s="23">
        <f t="shared" ref="BZ206" si="1920">BZ128-BY128</f>
        <v>-177.48000000000002</v>
      </c>
      <c r="CA206" s="23">
        <f t="shared" ref="CA206" si="1921">CA128-BZ128</f>
        <v>0</v>
      </c>
      <c r="CB206" s="23">
        <f t="shared" ref="CB206" si="1922">CB128-CA128</f>
        <v>388.43000000000006</v>
      </c>
      <c r="CC206" s="23">
        <f t="shared" ref="CC206" si="1923">CC128-CB128</f>
        <v>0</v>
      </c>
      <c r="CD206" s="23">
        <f t="shared" ref="CD206" si="1924">CD128-CC128</f>
        <v>-194.61000000000013</v>
      </c>
      <c r="CE206" s="23">
        <f t="shared" ref="CE206" si="1925">CE128-CD128</f>
        <v>0</v>
      </c>
      <c r="CF206" s="23">
        <f t="shared" ref="CF206" si="1926">CF128-CE128</f>
        <v>-1336.56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978.57640000000004</v>
      </c>
      <c r="K207" s="23">
        <f t="shared" si="1946"/>
        <v>277.87930000000006</v>
      </c>
      <c r="L207" s="23">
        <f t="shared" si="1946"/>
        <v>369.39400000000001</v>
      </c>
      <c r="M207" s="23">
        <f t="shared" si="1946"/>
        <v>493.55619999999954</v>
      </c>
      <c r="N207" s="23">
        <f t="shared" si="1946"/>
        <v>564.95550000000048</v>
      </c>
      <c r="O207" s="23">
        <f t="shared" si="1946"/>
        <v>618.76599999999962</v>
      </c>
      <c r="P207" s="23">
        <f t="shared" si="1946"/>
        <v>676.5014000000001</v>
      </c>
      <c r="Q207" s="23">
        <f t="shared" si="1946"/>
        <v>838.52639999999974</v>
      </c>
      <c r="R207" s="23">
        <f t="shared" si="1946"/>
        <v>875.9931000000006</v>
      </c>
      <c r="S207" s="23">
        <f t="shared" si="1946"/>
        <v>1040.0122000000001</v>
      </c>
      <c r="T207" s="23">
        <f t="shared" si="1946"/>
        <v>1247.1196</v>
      </c>
      <c r="U207" s="23">
        <f t="shared" si="1946"/>
        <v>1932.9253000000008</v>
      </c>
      <c r="V207" s="23">
        <f t="shared" si="1946"/>
        <v>2144.8744999999999</v>
      </c>
      <c r="W207" s="23">
        <f t="shared" si="1946"/>
        <v>2514.2596000000012</v>
      </c>
      <c r="X207" s="23">
        <f t="shared" si="1946"/>
        <v>3287.9485999999997</v>
      </c>
      <c r="Y207" s="23">
        <f t="shared" si="1946"/>
        <v>3406.4875000000011</v>
      </c>
      <c r="Z207" s="23">
        <f t="shared" si="1946"/>
        <v>3667.4899999999961</v>
      </c>
      <c r="AA207" s="23">
        <f t="shared" si="1946"/>
        <v>4264.5800000000017</v>
      </c>
      <c r="AB207" s="24">
        <f t="shared" si="1946"/>
        <v>-0.75</v>
      </c>
      <c r="AC207" s="24">
        <f t="shared" si="1946"/>
        <v>4.5474735088646412E-12</v>
      </c>
      <c r="AD207" s="24">
        <f t="shared" si="1946"/>
        <v>-2.9103830456733704E-11</v>
      </c>
      <c r="AE207" s="24">
        <f t="shared" si="1946"/>
        <v>4.3655745685100555E-11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4958.57</v>
      </c>
      <c r="BA207" s="23">
        <f t="shared" si="1947"/>
        <v>0</v>
      </c>
      <c r="BB207" s="23">
        <f t="shared" si="1947"/>
        <v>-145.72999999999956</v>
      </c>
      <c r="BC207" s="23">
        <f t="shared" si="1947"/>
        <v>0</v>
      </c>
      <c r="BD207" s="23">
        <f t="shared" si="1947"/>
        <v>91.319999999999709</v>
      </c>
      <c r="BE207" s="23">
        <f t="shared" si="1947"/>
        <v>0</v>
      </c>
      <c r="BF207" s="23">
        <f t="shared" si="1947"/>
        <v>-265.96999999999935</v>
      </c>
      <c r="BG207" s="23">
        <f t="shared" si="1947"/>
        <v>0</v>
      </c>
      <c r="BH207" s="23">
        <f t="shared" si="1947"/>
        <v>-42.159999999999854</v>
      </c>
      <c r="BI207" s="23">
        <f t="shared" si="1947"/>
        <v>0</v>
      </c>
      <c r="BJ207" s="23">
        <f t="shared" si="1947"/>
        <v>-236.10999999999967</v>
      </c>
      <c r="BK207" s="23">
        <f t="shared" si="1947"/>
        <v>0</v>
      </c>
      <c r="BL207" s="23">
        <f t="shared" si="1947"/>
        <v>-6.6299999999982901</v>
      </c>
      <c r="BM207" s="23">
        <f t="shared" si="1947"/>
        <v>9.0949470177292824E-13</v>
      </c>
      <c r="BN207" s="23">
        <f t="shared" si="1947"/>
        <v>-248.82000000000335</v>
      </c>
      <c r="BO207" s="23">
        <f t="shared" ref="BO207:CT207" si="1948">BO120-BO48-BN120+BO122-BN122</f>
        <v>1.8189894035458565E-12</v>
      </c>
      <c r="BP207" s="23">
        <f t="shared" si="1948"/>
        <v>229.83999999999833</v>
      </c>
      <c r="BQ207" s="23">
        <f t="shared" si="1948"/>
        <v>0</v>
      </c>
      <c r="BR207" s="23">
        <f t="shared" si="1948"/>
        <v>-28.339999999996508</v>
      </c>
      <c r="BS207" s="23">
        <f t="shared" si="1948"/>
        <v>0</v>
      </c>
      <c r="BT207" s="23">
        <f t="shared" si="1948"/>
        <v>36.6299999999992</v>
      </c>
      <c r="BU207" s="23">
        <f t="shared" si="1948"/>
        <v>-1.8189894035458565E-12</v>
      </c>
      <c r="BV207" s="23">
        <f t="shared" si="1948"/>
        <v>-320.73999999999614</v>
      </c>
      <c r="BW207" s="23">
        <f t="shared" si="1948"/>
        <v>0</v>
      </c>
      <c r="BX207" s="23">
        <f t="shared" si="1948"/>
        <v>-45.850000000002183</v>
      </c>
      <c r="BY207" s="23">
        <f t="shared" si="1948"/>
        <v>1.8189894035458565E-12</v>
      </c>
      <c r="BZ207" s="23">
        <f t="shared" si="1948"/>
        <v>-279.55000000000291</v>
      </c>
      <c r="CA207" s="23">
        <f t="shared" si="1948"/>
        <v>0</v>
      </c>
      <c r="CB207" s="23">
        <f t="shared" si="1948"/>
        <v>190.20999999999913</v>
      </c>
      <c r="CC207" s="23">
        <f t="shared" si="1948"/>
        <v>0</v>
      </c>
      <c r="CD207" s="23">
        <f t="shared" si="1948"/>
        <v>-192.91000000000349</v>
      </c>
      <c r="CE207" s="23">
        <f t="shared" si="1948"/>
        <v>0</v>
      </c>
      <c r="CF207" s="23">
        <f t="shared" si="1948"/>
        <v>301.64000000000669</v>
      </c>
      <c r="CG207" s="23">
        <f t="shared" si="1948"/>
        <v>-1.8189894035458565E-12</v>
      </c>
      <c r="CH207" s="23">
        <f t="shared" si="1948"/>
        <v>-830.52999999999702</v>
      </c>
      <c r="CI207" s="23">
        <f t="shared" si="1948"/>
        <v>3.637978807091713E-12</v>
      </c>
      <c r="CJ207" s="23">
        <f t="shared" si="1948"/>
        <v>414.55000000000291</v>
      </c>
      <c r="CK207" s="24">
        <f t="shared" si="1948"/>
        <v>0</v>
      </c>
      <c r="CL207" s="23">
        <f t="shared" si="1948"/>
        <v>-591.83000000000538</v>
      </c>
      <c r="CM207" s="24">
        <f t="shared" si="1948"/>
        <v>0</v>
      </c>
      <c r="CN207" s="24">
        <f t="shared" si="1948"/>
        <v>-7.2759576141834259E-12</v>
      </c>
      <c r="CO207" s="24">
        <f t="shared" si="1948"/>
        <v>0</v>
      </c>
      <c r="CP207" s="24">
        <f t="shared" si="1948"/>
        <v>0</v>
      </c>
      <c r="CQ207" s="24">
        <f t="shared" si="1948"/>
        <v>9.0949470177292824E-13</v>
      </c>
      <c r="CR207" s="24">
        <f t="shared" si="1948"/>
        <v>0</v>
      </c>
      <c r="CS207" s="24">
        <f t="shared" si="1948"/>
        <v>-1.8189894035458565E-12</v>
      </c>
      <c r="CT207" s="24">
        <f t="shared" si="1948"/>
        <v>-4.5474735088646412E-12</v>
      </c>
      <c r="CU207" s="24">
        <f t="shared" ref="CU207:DB207" si="1949">CU120-CU48-CT120+CU122-CT122</f>
        <v>0</v>
      </c>
      <c r="CV207" s="24">
        <f t="shared" si="1949"/>
        <v>7.2759576141834259E-12</v>
      </c>
      <c r="CW207" s="24">
        <f t="shared" si="1949"/>
        <v>-3.637978807091713E-12</v>
      </c>
      <c r="CX207" s="24">
        <f t="shared" si="1949"/>
        <v>0</v>
      </c>
      <c r="CY207" s="24">
        <f t="shared" si="1949"/>
        <v>0</v>
      </c>
      <c r="CZ207" s="24">
        <f t="shared" si="1949"/>
        <v>1.4551915228366852E-11</v>
      </c>
      <c r="DA207" s="24">
        <f t="shared" si="1949"/>
        <v>0</v>
      </c>
      <c r="DB207" s="24">
        <f t="shared" si="1949"/>
        <v>1.4551915228366852E-11</v>
      </c>
      <c r="DE207" s="123"/>
      <c r="DF207" s="23">
        <v>-3.637978807091713E-12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128.059</v>
      </c>
      <c r="L209" s="23">
        <f t="shared" ref="L209" si="1956">K161</f>
        <v>321.89359999999999</v>
      </c>
      <c r="M209" s="23">
        <f t="shared" ref="M209" si="1957">L161</f>
        <v>803.21100000000001</v>
      </c>
      <c r="N209" s="23">
        <f t="shared" ref="N209" si="1958">M161</f>
        <v>2303.4029999999998</v>
      </c>
      <c r="O209" s="23">
        <f t="shared" ref="O209" si="1959">N161</f>
        <v>2153.1855999999998</v>
      </c>
      <c r="P209" s="23">
        <f t="shared" ref="P209" si="1960">O161</f>
        <v>2542.2912000000001</v>
      </c>
      <c r="Q209" s="23">
        <f t="shared" ref="Q209" si="1961">P161</f>
        <v>2523.7784000000001</v>
      </c>
      <c r="R209" s="23">
        <f t="shared" ref="R209" si="1962">Q161</f>
        <v>2616.7626</v>
      </c>
      <c r="S209" s="23">
        <f t="shared" ref="S209" si="1963">R161</f>
        <v>2429.8416000000002</v>
      </c>
      <c r="T209" s="23">
        <f t="shared" ref="T209" si="1964">S161</f>
        <v>2644.6284000000001</v>
      </c>
      <c r="U209" s="23">
        <f t="shared" ref="U209" si="1965">T161</f>
        <v>2420.6309000000001</v>
      </c>
      <c r="V209" s="23">
        <f t="shared" ref="V209" si="1966">U161</f>
        <v>1423.2265</v>
      </c>
      <c r="W209" s="23">
        <f t="shared" ref="W209:AA209" si="1967">V161</f>
        <v>2710.5185000000001</v>
      </c>
      <c r="X209" s="23">
        <f t="shared" si="1967"/>
        <v>3204.2193000000002</v>
      </c>
      <c r="Y209" s="23">
        <f t="shared" si="1967"/>
        <v>4164.9219999999996</v>
      </c>
      <c r="Z209" s="23">
        <f t="shared" si="1967"/>
        <v>4745.8999999999996</v>
      </c>
      <c r="AA209" s="23">
        <f t="shared" si="1967"/>
        <v>1846.63</v>
      </c>
      <c r="AB209" s="24">
        <f t="shared" ref="AB209" si="1968">AA161</f>
        <v>3207.94</v>
      </c>
      <c r="AC209" s="24">
        <f t="shared" ref="AC209" si="1969">AB161</f>
        <v>20935.211341203401</v>
      </c>
      <c r="AD209" s="24">
        <f t="shared" ref="AD209" si="1970">AC161</f>
        <v>25151.956163361407</v>
      </c>
      <c r="AE209" s="24">
        <f t="shared" ref="AE209" si="1971">AD161</f>
        <v>29649.930967090928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2102.4899999999998</v>
      </c>
      <c r="BB209" s="23">
        <f t="shared" ref="BB209" si="1991">BA161</f>
        <v>2292.9199999999996</v>
      </c>
      <c r="BC209" s="23">
        <f t="shared" ref="BC209" si="1992">BB161</f>
        <v>2429.84</v>
      </c>
      <c r="BD209" s="23">
        <f t="shared" ref="BD209" si="1993">BC161</f>
        <v>2743.29</v>
      </c>
      <c r="BE209" s="23">
        <f t="shared" ref="BE209" si="1994">BD161</f>
        <v>1907.43</v>
      </c>
      <c r="BF209" s="23">
        <f t="shared" ref="BF209" si="1995">BE161</f>
        <v>2137.71</v>
      </c>
      <c r="BG209" s="23">
        <f t="shared" ref="BG209" si="1996">BF161</f>
        <v>2644.63</v>
      </c>
      <c r="BH209" s="23">
        <f t="shared" ref="BH209" si="1997">BG161</f>
        <v>2998.9499999999994</v>
      </c>
      <c r="BI209" s="23">
        <f t="shared" ref="BI209" si="1998">BH161</f>
        <v>1983.85</v>
      </c>
      <c r="BJ209" s="23">
        <f t="shared" ref="BJ209" si="1999">BI161</f>
        <v>2248.1299999999983</v>
      </c>
      <c r="BK209" s="23">
        <f t="shared" ref="BK209" si="2000">BJ161</f>
        <v>2420.63</v>
      </c>
      <c r="BL209" s="23">
        <f t="shared" ref="BL209" si="2001">BK161</f>
        <v>2792.5299999999988</v>
      </c>
      <c r="BM209" s="23">
        <f t="shared" ref="BM209" si="2002">BL161</f>
        <v>1754.06</v>
      </c>
      <c r="BN209" s="23">
        <f t="shared" ref="BN209" si="2003">BM161</f>
        <v>2143.8300000000036</v>
      </c>
      <c r="BO209" s="23">
        <f t="shared" ref="BO209" si="2004">BN161</f>
        <v>1423.23</v>
      </c>
      <c r="BP209" s="23">
        <f t="shared" ref="BP209" si="2005">BO161</f>
        <v>1814.1200000000017</v>
      </c>
      <c r="BQ209" s="23">
        <f t="shared" ref="BQ209" si="2006">BP161</f>
        <v>2156.44</v>
      </c>
      <c r="BR209" s="23">
        <f t="shared" ref="BR209" si="2007">BQ161</f>
        <v>2389.2899999999968</v>
      </c>
      <c r="BS209" s="23">
        <f t="shared" ref="BS209" si="2008">BR161</f>
        <v>2710.52</v>
      </c>
      <c r="BT209" s="23">
        <f t="shared" ref="BT209" si="2009">BS161</f>
        <v>2933.6799999999989</v>
      </c>
      <c r="BU209" s="23">
        <f t="shared" ref="BU209" si="2010">BT161</f>
        <v>2527.16</v>
      </c>
      <c r="BV209" s="23">
        <f t="shared" ref="BV209" si="2011">BU161</f>
        <v>2891.2199999999984</v>
      </c>
      <c r="BW209" s="23">
        <f t="shared" ref="BW209" si="2012">BV161</f>
        <v>3204.22</v>
      </c>
      <c r="BX209" s="23">
        <f t="shared" ref="BX209" si="2013">BW161</f>
        <v>3467.0700000000015</v>
      </c>
      <c r="BY209" s="23">
        <f t="shared" ref="BY209" si="2014">BX161</f>
        <v>3302.49</v>
      </c>
      <c r="BZ209" s="23">
        <f t="shared" ref="BZ209" si="2015">BY161</f>
        <v>3606.620000000004</v>
      </c>
      <c r="CA209" s="23">
        <f t="shared" ref="CA209" si="2016">BZ161</f>
        <v>4164.92</v>
      </c>
      <c r="CB209" s="23">
        <f t="shared" ref="CB209" si="2017">CA161</f>
        <v>4545.9599999999991</v>
      </c>
      <c r="CC209" s="23">
        <f t="shared" ref="CC209" si="2018">CB161</f>
        <v>3498.33</v>
      </c>
      <c r="CD209" s="23">
        <f t="shared" ref="CD209" si="2019">CC161</f>
        <v>3820.0800000000045</v>
      </c>
      <c r="CE209" s="23">
        <f t="shared" ref="CE209" si="2020">CD161</f>
        <v>4745.8900000000003</v>
      </c>
      <c r="CF209" s="23">
        <f t="shared" ref="CF209" si="2021">CE161</f>
        <v>5265.4099999999962</v>
      </c>
      <c r="CG209" s="23">
        <f t="shared" ref="CG209" si="2022">CF161</f>
        <v>4173.6499999999996</v>
      </c>
      <c r="CH209" s="23">
        <f t="shared" ref="CH209:CL209" si="2023">CG161</f>
        <v>4724.4699999999984</v>
      </c>
      <c r="CI209" s="23">
        <f t="shared" si="2023"/>
        <v>1846.63</v>
      </c>
      <c r="CJ209" s="23">
        <f t="shared" si="2023"/>
        <v>1907.7077368318087</v>
      </c>
      <c r="CK209" s="24">
        <f t="shared" ref="CK209" si="2024">CJ161</f>
        <v>1733.87</v>
      </c>
      <c r="CL209" s="23">
        <f t="shared" si="2023"/>
        <v>45665.333406931917</v>
      </c>
      <c r="CM209" s="24">
        <f t="shared" ref="CM209" si="2025">CL161</f>
        <v>3207.94</v>
      </c>
      <c r="CN209" s="24">
        <f t="shared" ref="CN209" si="2026">CM161</f>
        <v>-58174.545094100424</v>
      </c>
      <c r="CO209" s="24">
        <f t="shared" ref="CO209" si="2027">CN161</f>
        <v>40522.003625435034</v>
      </c>
      <c r="CP209" s="24">
        <f t="shared" ref="CP209" si="2028">CO161</f>
        <v>72032.605757003359</v>
      </c>
      <c r="CQ209" s="24">
        <f t="shared" ref="CQ209" si="2029">CP161</f>
        <v>20935.211341203401</v>
      </c>
      <c r="CR209" s="24">
        <f t="shared" ref="CR209" si="2030">CQ161</f>
        <v>-53401.464939485879</v>
      </c>
      <c r="CS209" s="24">
        <f t="shared" ref="CS209" si="2031">CR161</f>
        <v>57918.66338419688</v>
      </c>
      <c r="CT209" s="24">
        <f t="shared" ref="CT209" si="2032">CS161</f>
        <v>92022.525763835059</v>
      </c>
      <c r="CU209" s="24">
        <f t="shared" ref="CU209" si="2033">CT161</f>
        <v>25151.956163361407</v>
      </c>
      <c r="CV209" s="24">
        <f t="shared" ref="CV209" si="2034">CU161</f>
        <v>-61849.976060968911</v>
      </c>
      <c r="CW209" s="24">
        <f t="shared" ref="CW209" si="2035">CV161</f>
        <v>69845.188349462347</v>
      </c>
      <c r="CX209" s="24">
        <f t="shared" ref="CX209" si="2036">CW161</f>
        <v>109739.87592205567</v>
      </c>
      <c r="CY209" s="24">
        <f t="shared" ref="CY209" si="2037">CX161</f>
        <v>29649.930967090928</v>
      </c>
      <c r="CZ209" s="24">
        <f t="shared" ref="CZ209" si="2038">CY161</f>
        <v>-73324.990262308493</v>
      </c>
      <c r="DA209" s="24">
        <f t="shared" ref="DA209" si="2039">CZ161</f>
        <v>83081.70974574695</v>
      </c>
      <c r="DB209" s="24">
        <f t="shared" ref="DB209" si="2040">DA161</f>
        <v>130379.25586922423</v>
      </c>
      <c r="DE209" s="123"/>
      <c r="DF209" s="23">
        <v>45665.333406931917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1698.5794000000001</v>
      </c>
      <c r="K210" s="23">
        <f>K209+K205+K201+K199</f>
        <v>599.79009999999994</v>
      </c>
      <c r="L210" s="23">
        <f>L209+L205+L201+L199</f>
        <v>749.86060000000009</v>
      </c>
      <c r="M210" s="23">
        <f>M209+M205+M201+M199</f>
        <v>620.19969999999967</v>
      </c>
      <c r="N210" s="23">
        <f t="shared" si="2041"/>
        <v>2525.9747000000002</v>
      </c>
      <c r="O210" s="23">
        <f t="shared" si="2041"/>
        <v>2919.7178999999996</v>
      </c>
      <c r="P210" s="23">
        <f t="shared" si="2041"/>
        <v>3403.9672</v>
      </c>
      <c r="Q210" s="23">
        <f t="shared" si="2041"/>
        <v>3242.2223000000008</v>
      </c>
      <c r="R210" s="23">
        <f t="shared" si="2041"/>
        <v>2894.5944</v>
      </c>
      <c r="S210" s="23">
        <f t="shared" si="2041"/>
        <v>3452.7168000000006</v>
      </c>
      <c r="T210" s="23">
        <f t="shared" si="2041"/>
        <v>3870.0416000000005</v>
      </c>
      <c r="U210" s="23">
        <f t="shared" si="2041"/>
        <v>3095.1462000000001</v>
      </c>
      <c r="V210" s="23">
        <f t="shared" si="2041"/>
        <v>4061.7454000000007</v>
      </c>
      <c r="W210" s="23">
        <f t="shared" si="2041"/>
        <v>5003.7084000000004</v>
      </c>
      <c r="X210" s="23">
        <f t="shared" ref="X210:Y210" si="2042">X209+X205+X201+X199</f>
        <v>4039.1280000000015</v>
      </c>
      <c r="Y210" s="23">
        <f t="shared" si="2042"/>
        <v>4951.9389000000001</v>
      </c>
      <c r="Z210" s="23">
        <f t="shared" ref="Z210:AA210" si="2043">Z209+Z205+Z201+Z199</f>
        <v>8114.0099999999966</v>
      </c>
      <c r="AA210" s="23">
        <f t="shared" si="2043"/>
        <v>4836.7200000000012</v>
      </c>
      <c r="AB210" s="24">
        <f t="shared" ref="AA210:AD210" si="2044">AB209+AB205+AB201+AB199</f>
        <v>3046.1913412033173</v>
      </c>
      <c r="AC210" s="24">
        <f t="shared" si="2044"/>
        <v>25151.956163361403</v>
      </c>
      <c r="AD210" s="24">
        <f t="shared" si="2044"/>
        <v>29649.930967090935</v>
      </c>
      <c r="AE210" s="24">
        <f t="shared" ref="AE210" si="2045">AE209+AE205+AE201+AE199</f>
        <v>35171.858113699716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>
        <f t="shared" si="2049"/>
        <v>2292.9199999999996</v>
      </c>
      <c r="BB210" s="23">
        <f t="shared" si="2049"/>
        <v>2429.8600000000247</v>
      </c>
      <c r="BC210" s="23">
        <f t="shared" si="2049"/>
        <v>2743.29</v>
      </c>
      <c r="BD210" s="23">
        <f t="shared" si="2049"/>
        <v>1907.4199999999769</v>
      </c>
      <c r="BE210" s="23">
        <f t="shared" si="2049"/>
        <v>2137.71</v>
      </c>
      <c r="BF210" s="23">
        <f t="shared" si="2049"/>
        <v>2644.6200000000044</v>
      </c>
      <c r="BG210" s="23">
        <f t="shared" si="2049"/>
        <v>2998.9499999999994</v>
      </c>
      <c r="BH210" s="23">
        <f t="shared" si="2049"/>
        <v>1983.8599999999974</v>
      </c>
      <c r="BI210" s="23">
        <f t="shared" si="2049"/>
        <v>2248.1299999999983</v>
      </c>
      <c r="BJ210" s="23">
        <f t="shared" si="2049"/>
        <v>2420.6299999999992</v>
      </c>
      <c r="BK210" s="23">
        <f t="shared" si="2049"/>
        <v>2792.5299999999988</v>
      </c>
      <c r="BL210" s="23">
        <f t="shared" si="2049"/>
        <v>1754.050000000032</v>
      </c>
      <c r="BM210" s="23">
        <f t="shared" si="2049"/>
        <v>2143.8300000000036</v>
      </c>
      <c r="BN210" s="23">
        <f t="shared" si="2049"/>
        <v>1423.2400000000107</v>
      </c>
      <c r="BO210" s="23">
        <f t="shared" si="2049"/>
        <v>1814.1200000000017</v>
      </c>
      <c r="BP210" s="23">
        <f t="shared" si="2049"/>
        <v>2156.4399999999778</v>
      </c>
      <c r="BQ210" s="23">
        <f t="shared" si="2049"/>
        <v>2389.2899999999968</v>
      </c>
      <c r="BR210" s="23">
        <f t="shared" si="2049"/>
        <v>2710.5199999999877</v>
      </c>
      <c r="BS210" s="23">
        <f t="shared" si="2049"/>
        <v>2933.6799999999989</v>
      </c>
      <c r="BT210" s="23">
        <f t="shared" si="2049"/>
        <v>2527.1600000000135</v>
      </c>
      <c r="BU210" s="23">
        <f t="shared" si="2049"/>
        <v>2891.2199999999984</v>
      </c>
      <c r="BV210" s="23">
        <f t="shared" si="2049"/>
        <v>3204.2199999999857</v>
      </c>
      <c r="BW210" s="23">
        <f t="shared" si="2049"/>
        <v>3467.0700000000015</v>
      </c>
      <c r="BX210" s="23">
        <f t="shared" si="2049"/>
        <v>3302.4899999999252</v>
      </c>
      <c r="BY210" s="23">
        <f t="shared" si="2049"/>
        <v>3606.620000000004</v>
      </c>
      <c r="BZ210" s="23">
        <f t="shared" si="2049"/>
        <v>4164.9200000000119</v>
      </c>
      <c r="CA210" s="23">
        <f t="shared" si="2049"/>
        <v>4545.9599999999991</v>
      </c>
      <c r="CB210" s="23">
        <f t="shared" si="2049"/>
        <v>3498.3300000000418</v>
      </c>
      <c r="CC210" s="23">
        <f t="shared" si="2049"/>
        <v>3820.0800000000045</v>
      </c>
      <c r="CD210" s="23">
        <f t="shared" si="2049"/>
        <v>4745.8900000000376</v>
      </c>
      <c r="CE210" s="23">
        <f t="shared" ref="CE210:CF210" si="2050">CE209+CE205+CE201+CE199</f>
        <v>5265.4099999999962</v>
      </c>
      <c r="CF210" s="23">
        <f t="shared" si="2050"/>
        <v>4173.6500000000215</v>
      </c>
      <c r="CG210" s="23">
        <f t="shared" ref="CG210:CH210" si="2051">CG209+CG205+CG201+CG199</f>
        <v>4724.4699999999984</v>
      </c>
      <c r="CH210" s="23">
        <f t="shared" si="2051"/>
        <v>18106.869999999966</v>
      </c>
      <c r="CI210" s="23">
        <f t="shared" ref="CI210:CJ210" si="2052">CI209+CI205+CI201+CI199</f>
        <v>1907.7077368318087</v>
      </c>
      <c r="CJ210" s="23">
        <f t="shared" si="2052"/>
        <v>-14526.369999999966</v>
      </c>
      <c r="CK210" s="24">
        <f t="shared" ref="CK210:DB210" si="2053">CK209+CK205+CK201+CK199</f>
        <v>45665.333406931917</v>
      </c>
      <c r="CL210" s="23">
        <f t="shared" si="2053"/>
        <v>3207.9399999999368</v>
      </c>
      <c r="CM210" s="24">
        <f t="shared" si="2053"/>
        <v>-58174.545094100424</v>
      </c>
      <c r="CN210" s="24">
        <f t="shared" si="2053"/>
        <v>40522.003625435034</v>
      </c>
      <c r="CO210" s="24">
        <f t="shared" si="2053"/>
        <v>72032.605757003359</v>
      </c>
      <c r="CP210" s="24">
        <f t="shared" si="2053"/>
        <v>20935.211341203401</v>
      </c>
      <c r="CQ210" s="24">
        <f t="shared" si="2053"/>
        <v>-53401.464939485879</v>
      </c>
      <c r="CR210" s="24">
        <f t="shared" si="2053"/>
        <v>57918.66338419688</v>
      </c>
      <c r="CS210" s="24">
        <f t="shared" si="2053"/>
        <v>92022.525763835059</v>
      </c>
      <c r="CT210" s="24">
        <f t="shared" si="2053"/>
        <v>25151.956163361407</v>
      </c>
      <c r="CU210" s="24">
        <f t="shared" si="2053"/>
        <v>-61849.976060968911</v>
      </c>
      <c r="CV210" s="24">
        <f t="shared" si="2053"/>
        <v>69845.188349462347</v>
      </c>
      <c r="CW210" s="24">
        <f t="shared" si="2053"/>
        <v>109739.87592205567</v>
      </c>
      <c r="CX210" s="24">
        <f t="shared" si="2053"/>
        <v>29649.930967090928</v>
      </c>
      <c r="CY210" s="24">
        <f t="shared" si="2053"/>
        <v>-73324.990262308493</v>
      </c>
      <c r="CZ210" s="24">
        <f t="shared" si="2053"/>
        <v>83081.70974574695</v>
      </c>
      <c r="DA210" s="24">
        <f t="shared" si="2053"/>
        <v>130379.25586922423</v>
      </c>
      <c r="DB210" s="24">
        <f t="shared" si="2053"/>
        <v>35171.858113699724</v>
      </c>
      <c r="DE210" s="123"/>
      <c r="DF210" s="23">
        <v>390976.10046599997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1570.5204000000001</v>
      </c>
      <c r="K211" s="28">
        <f t="shared" si="2054"/>
        <v>277.89649999999995</v>
      </c>
      <c r="L211" s="28">
        <f t="shared" si="2054"/>
        <v>-53.350399999999922</v>
      </c>
      <c r="M211" s="28">
        <f t="shared" si="2054"/>
        <v>-1683.2033000000001</v>
      </c>
      <c r="N211" s="28">
        <f t="shared" si="2054"/>
        <v>372.78910000000042</v>
      </c>
      <c r="O211" s="28">
        <f t="shared" si="2054"/>
        <v>377.42669999999953</v>
      </c>
      <c r="P211" s="28">
        <f t="shared" si="2054"/>
        <v>880.1887999999999</v>
      </c>
      <c r="Q211" s="28">
        <f t="shared" si="2054"/>
        <v>625.45970000000079</v>
      </c>
      <c r="R211" s="28">
        <f t="shared" si="2054"/>
        <v>464.75279999999975</v>
      </c>
      <c r="S211" s="28">
        <f t="shared" si="2054"/>
        <v>808.08840000000055</v>
      </c>
      <c r="T211" s="28">
        <f t="shared" si="2054"/>
        <v>1449.4107000000004</v>
      </c>
      <c r="U211" s="28">
        <f t="shared" si="2054"/>
        <v>1671.9197000000001</v>
      </c>
      <c r="V211" s="28">
        <f t="shared" si="2054"/>
        <v>1351.2269000000006</v>
      </c>
      <c r="W211" s="28">
        <f t="shared" si="2054"/>
        <v>1799.4891000000002</v>
      </c>
      <c r="X211" s="28">
        <f t="shared" ref="X211:Y211" si="2055">X210-X161</f>
        <v>-125.79399999999805</v>
      </c>
      <c r="Y211" s="28">
        <f t="shared" si="2055"/>
        <v>206.03890000000047</v>
      </c>
      <c r="Z211" s="28">
        <f t="shared" ref="Z211:AA211" si="2056">Z210-Z161</f>
        <v>6267.3799999999965</v>
      </c>
      <c r="AA211" s="28">
        <f t="shared" si="2056"/>
        <v>1628.7800000000011</v>
      </c>
      <c r="AB211" s="30">
        <f t="shared" ref="AA211:AD211" si="2057">AB210-AB161</f>
        <v>-17889.020000000084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>
        <f t="shared" si="2062"/>
        <v>0</v>
      </c>
      <c r="BB211" s="28">
        <f t="shared" si="2062"/>
        <v>2.0000000024538167E-2</v>
      </c>
      <c r="BC211" s="28">
        <f t="shared" si="2062"/>
        <v>0</v>
      </c>
      <c r="BD211" s="28">
        <f t="shared" si="2062"/>
        <v>-1.000000002318302E-2</v>
      </c>
      <c r="BE211" s="28">
        <f t="shared" si="2062"/>
        <v>0</v>
      </c>
      <c r="BF211" s="28">
        <f t="shared" si="2062"/>
        <v>-9.9999999956708052E-3</v>
      </c>
      <c r="BG211" s="28">
        <f t="shared" si="2062"/>
        <v>0</v>
      </c>
      <c r="BH211" s="28">
        <f t="shared" si="2062"/>
        <v>9.9999999974897946E-3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-9.9999999679312168E-3</v>
      </c>
      <c r="BM211" s="28">
        <f t="shared" si="2062"/>
        <v>0</v>
      </c>
      <c r="BN211" s="28">
        <f t="shared" si="2062"/>
        <v>1.0000000010677468E-2</v>
      </c>
      <c r="BO211" s="28">
        <f t="shared" si="2062"/>
        <v>0</v>
      </c>
      <c r="BP211" s="28">
        <f t="shared" si="2062"/>
        <v>-2.2282620193436742E-11</v>
      </c>
      <c r="BQ211" s="28">
        <f t="shared" si="2062"/>
        <v>0</v>
      </c>
      <c r="BR211" s="28">
        <f t="shared" si="2062"/>
        <v>-1.2278178473934531E-11</v>
      </c>
      <c r="BS211" s="28">
        <f t="shared" si="2062"/>
        <v>0</v>
      </c>
      <c r="BT211" s="28">
        <f t="shared" si="2062"/>
        <v>1.3642420526593924E-11</v>
      </c>
      <c r="BU211" s="28">
        <f t="shared" si="2062"/>
        <v>0</v>
      </c>
      <c r="BV211" s="28">
        <f t="shared" si="2062"/>
        <v>-1.4097167877480388E-11</v>
      </c>
      <c r="BW211" s="28">
        <f t="shared" si="2062"/>
        <v>0</v>
      </c>
      <c r="BX211" s="28">
        <f t="shared" si="2062"/>
        <v>-7.4578565545380116E-11</v>
      </c>
      <c r="BY211" s="28">
        <f t="shared" si="2062"/>
        <v>0</v>
      </c>
      <c r="BZ211" s="28">
        <f t="shared" si="2062"/>
        <v>1.1823431123048067E-11</v>
      </c>
      <c r="CA211" s="28">
        <f t="shared" si="2062"/>
        <v>0</v>
      </c>
      <c r="CB211" s="28">
        <f t="shared" si="2062"/>
        <v>4.1836756281554699E-11</v>
      </c>
      <c r="CC211" s="28">
        <f t="shared" si="2062"/>
        <v>0</v>
      </c>
      <c r="CD211" s="28">
        <f t="shared" si="2062"/>
        <v>3.7289282772690058E-11</v>
      </c>
      <c r="CE211" s="28">
        <f t="shared" ref="CE211:CF211" si="2063">CE210-CE161</f>
        <v>0</v>
      </c>
      <c r="CF211" s="28">
        <f t="shared" si="2063"/>
        <v>2.1827872842550278E-11</v>
      </c>
      <c r="CG211" s="28">
        <f t="shared" ref="CG211:CH211" si="2064">CG210-CG161</f>
        <v>0</v>
      </c>
      <c r="CH211" s="28">
        <f t="shared" si="2064"/>
        <v>16260.239999999965</v>
      </c>
      <c r="CI211" s="28">
        <f t="shared" ref="CI211:CJ211" si="2065">CI210-CI161</f>
        <v>0</v>
      </c>
      <c r="CJ211" s="28">
        <f t="shared" si="2065"/>
        <v>-16260.239999999965</v>
      </c>
      <c r="CK211" s="30">
        <f t="shared" ref="CK211:DB211" si="2066">CK210-CK161</f>
        <v>0</v>
      </c>
      <c r="CL211" s="28">
        <f t="shared" si="2066"/>
        <v>-6.3209881773218513E-11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720.00300000000004</v>
      </c>
      <c r="K213" s="22">
        <f t="shared" si="2067"/>
        <v>193.85179999999991</v>
      </c>
      <c r="L213" s="22">
        <f t="shared" si="2067"/>
        <v>58.572999999999993</v>
      </c>
      <c r="M213" s="22">
        <f t="shared" si="2067"/>
        <v>-676.56749999999988</v>
      </c>
      <c r="N213" s="22">
        <f t="shared" si="2067"/>
        <v>-342.38380000000006</v>
      </c>
      <c r="O213" s="22">
        <f t="shared" si="2067"/>
        <v>147.76630000000003</v>
      </c>
      <c r="P213" s="22">
        <f t="shared" si="2067"/>
        <v>185.17459999999997</v>
      </c>
      <c r="Q213" s="22">
        <f t="shared" si="2067"/>
        <v>-120.08249999999933</v>
      </c>
      <c r="R213" s="22">
        <f t="shared" si="2067"/>
        <v>-598.16130000000067</v>
      </c>
      <c r="S213" s="22">
        <f t="shared" si="2067"/>
        <v>-17.136999999999716</v>
      </c>
      <c r="T213" s="22">
        <f t="shared" si="2067"/>
        <v>-21.706399999999803</v>
      </c>
      <c r="U213" s="22">
        <f t="shared" si="2067"/>
        <v>-1258.4100000000003</v>
      </c>
      <c r="V213" s="22">
        <f t="shared" si="2067"/>
        <v>493.64440000000081</v>
      </c>
      <c r="W213" s="22">
        <f t="shared" si="2067"/>
        <v>-221.06970000000092</v>
      </c>
      <c r="X213" s="22">
        <f t="shared" ref="X213:Y213" si="2068">X199+X201</f>
        <v>-2453.0398999999989</v>
      </c>
      <c r="Y213" s="22">
        <f t="shared" si="2068"/>
        <v>-2619.4706000000006</v>
      </c>
      <c r="Z213" s="22">
        <f t="shared" ref="Z213:AA213" si="2069">Z199+Z201</f>
        <v>-299.37999999999954</v>
      </c>
      <c r="AA213" s="22">
        <f t="shared" si="2069"/>
        <v>-1274.4900000000011</v>
      </c>
      <c r="AB213" s="21">
        <f t="shared" ref="AA213:AD213" si="2070">AB199+AB201</f>
        <v>-160.99865879668505</v>
      </c>
      <c r="AC213" s="21">
        <f t="shared" si="2070"/>
        <v>4216.744822157998</v>
      </c>
      <c r="AD213" s="21">
        <f t="shared" si="2070"/>
        <v>4497.9748037295576</v>
      </c>
      <c r="AE213" s="21">
        <f t="shared" ref="AE213" si="2071">AE199+AE201</f>
        <v>5521.9271466087448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>
        <f t="shared" si="2075"/>
        <v>190.42999999999995</v>
      </c>
      <c r="BB213" s="22">
        <f t="shared" si="2075"/>
        <v>495.17000000002463</v>
      </c>
      <c r="BC213" s="22">
        <f t="shared" si="2075"/>
        <v>313.45</v>
      </c>
      <c r="BD213" s="22">
        <f t="shared" si="2075"/>
        <v>-1124.0500000000229</v>
      </c>
      <c r="BE213" s="22">
        <f t="shared" si="2075"/>
        <v>230.28000000000009</v>
      </c>
      <c r="BF213" s="22">
        <f t="shared" si="2075"/>
        <v>776.26000000000386</v>
      </c>
      <c r="BG213" s="22">
        <f t="shared" si="2075"/>
        <v>354.31999999999925</v>
      </c>
      <c r="BH213" s="22">
        <f t="shared" si="2075"/>
        <v>-1195.7700000000023</v>
      </c>
      <c r="BI213" s="22">
        <f t="shared" si="2075"/>
        <v>264.27999999999838</v>
      </c>
      <c r="BJ213" s="22">
        <f t="shared" si="2075"/>
        <v>543.3100000000004</v>
      </c>
      <c r="BK213" s="22">
        <f t="shared" si="2075"/>
        <v>371.89999999999878</v>
      </c>
      <c r="BL213" s="22">
        <f t="shared" si="2075"/>
        <v>-1387.8099999999686</v>
      </c>
      <c r="BM213" s="22">
        <f t="shared" si="2075"/>
        <v>389.77000000000265</v>
      </c>
      <c r="BN213" s="22">
        <f t="shared" si="2075"/>
        <v>-547.85999999998967</v>
      </c>
      <c r="BO213" s="22">
        <f t="shared" si="2075"/>
        <v>390.89</v>
      </c>
      <c r="BP213" s="22">
        <f t="shared" si="2075"/>
        <v>-494.86000000002241</v>
      </c>
      <c r="BQ213" s="22">
        <f t="shared" si="2075"/>
        <v>232.84999999999658</v>
      </c>
      <c r="BR213" s="22">
        <f t="shared" si="2075"/>
        <v>828.25999999998749</v>
      </c>
      <c r="BS213" s="22">
        <f t="shared" si="2075"/>
        <v>223.15999999999883</v>
      </c>
      <c r="BT213" s="22">
        <f t="shared" si="2075"/>
        <v>-719.04999999998472</v>
      </c>
      <c r="BU213" s="22">
        <f t="shared" si="2075"/>
        <v>364.06000000000023</v>
      </c>
      <c r="BV213" s="22">
        <f t="shared" si="2075"/>
        <v>758.31999999998334</v>
      </c>
      <c r="BW213" s="22">
        <f t="shared" si="2075"/>
        <v>262.8500000000015</v>
      </c>
      <c r="BX213" s="22">
        <f t="shared" si="2075"/>
        <v>-445.31000000007407</v>
      </c>
      <c r="BY213" s="22">
        <f t="shared" si="2075"/>
        <v>304.13000000000227</v>
      </c>
      <c r="BZ213" s="22">
        <f t="shared" si="2075"/>
        <v>1015.3300000000108</v>
      </c>
      <c r="CA213" s="22">
        <f t="shared" si="2075"/>
        <v>381.0399999999994</v>
      </c>
      <c r="CB213" s="22">
        <f t="shared" si="2075"/>
        <v>-1626.2699999999568</v>
      </c>
      <c r="CC213" s="22">
        <f t="shared" si="2075"/>
        <v>321.75000000000438</v>
      </c>
      <c r="CD213" s="22">
        <f t="shared" si="2075"/>
        <v>1313.3300000000363</v>
      </c>
      <c r="CE213" s="22">
        <f t="shared" ref="CE213:CF213" si="2076">CE199+CE201</f>
        <v>519.51999999999589</v>
      </c>
      <c r="CF213" s="22">
        <f t="shared" si="2076"/>
        <v>-56.839999999981956</v>
      </c>
      <c r="CG213" s="22">
        <f t="shared" ref="CG213:CH213" si="2077">CG199+CG201</f>
        <v>550.82000000000062</v>
      </c>
      <c r="CH213" s="22">
        <f t="shared" si="2077"/>
        <v>14212.929999999964</v>
      </c>
      <c r="CI213" s="22">
        <f t="shared" ref="CI213:CJ213" si="2078">CI199+CI201</f>
        <v>61.077736831804827</v>
      </c>
      <c r="CJ213" s="22">
        <f t="shared" si="2078"/>
        <v>-16848.627736831782</v>
      </c>
      <c r="CK213" s="21">
        <f t="shared" ref="CK213:DB213" si="2079">CK199+CK201</f>
        <v>43931.463406931915</v>
      </c>
      <c r="CL213" s="22">
        <f t="shared" si="2079"/>
        <v>-41865.563406931971</v>
      </c>
      <c r="CM213" s="21">
        <f t="shared" si="2079"/>
        <v>-61382.485094100426</v>
      </c>
      <c r="CN213" s="21">
        <f t="shared" si="2079"/>
        <v>98696.548719535465</v>
      </c>
      <c r="CO213" s="21">
        <f t="shared" si="2079"/>
        <v>31510.602131568325</v>
      </c>
      <c r="CP213" s="21">
        <f t="shared" si="2079"/>
        <v>-51097.394415799958</v>
      </c>
      <c r="CQ213" s="21">
        <f t="shared" si="2079"/>
        <v>-74336.67628068928</v>
      </c>
      <c r="CR213" s="21">
        <f t="shared" si="2079"/>
        <v>111320.12832368276</v>
      </c>
      <c r="CS213" s="21">
        <f t="shared" si="2079"/>
        <v>34103.862379638173</v>
      </c>
      <c r="CT213" s="21">
        <f t="shared" si="2079"/>
        <v>-66870.569600473653</v>
      </c>
      <c r="CU213" s="21">
        <f t="shared" si="2079"/>
        <v>-87001.932224330318</v>
      </c>
      <c r="CV213" s="21">
        <f t="shared" si="2079"/>
        <v>131695.16441043126</v>
      </c>
      <c r="CW213" s="21">
        <f t="shared" si="2079"/>
        <v>39894.687572593321</v>
      </c>
      <c r="CX213" s="21">
        <f t="shared" si="2079"/>
        <v>-80089.94495496474</v>
      </c>
      <c r="CY213" s="21">
        <f t="shared" si="2079"/>
        <v>-102974.92122939942</v>
      </c>
      <c r="CZ213" s="21">
        <f t="shared" si="2079"/>
        <v>156406.70000805543</v>
      </c>
      <c r="DA213" s="21">
        <f t="shared" si="2079"/>
        <v>47297.546123477281</v>
      </c>
      <c r="DB213" s="21">
        <f t="shared" si="2079"/>
        <v>-95207.397755524522</v>
      </c>
      <c r="DE213" s="126"/>
      <c r="DF213" s="22">
        <v>345310.76705906808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4921.47</v>
      </c>
      <c r="BA225" s="66">
        <f t="shared" si="2080"/>
        <v>10164.35</v>
      </c>
      <c r="BB225" s="66">
        <f t="shared" si="2080"/>
        <v>17510.400000000001</v>
      </c>
      <c r="BC225" s="66">
        <f t="shared" si="2080"/>
        <v>21272.980000000003</v>
      </c>
      <c r="BD225" s="66">
        <f t="shared" si="2080"/>
        <v>21736.080000000002</v>
      </c>
      <c r="BE225" s="66">
        <f t="shared" si="2080"/>
        <v>23269.41</v>
      </c>
      <c r="BF225" s="66">
        <f t="shared" si="2080"/>
        <v>25160.06</v>
      </c>
      <c r="BG225" s="66">
        <f t="shared" si="2080"/>
        <v>26152</v>
      </c>
      <c r="BH225" s="66">
        <f t="shared" si="2080"/>
        <v>28428.98</v>
      </c>
      <c r="BI225" s="66">
        <f t="shared" si="2080"/>
        <v>30794.03</v>
      </c>
      <c r="BJ225" s="66">
        <f t="shared" si="2080"/>
        <v>32890.350000000006</v>
      </c>
      <c r="BK225" s="66">
        <f t="shared" si="2080"/>
        <v>34790.850000000006</v>
      </c>
      <c r="BL225" s="66">
        <f t="shared" si="2080"/>
        <v>37240.81</v>
      </c>
      <c r="BM225" s="66">
        <f t="shared" si="2080"/>
        <v>39794.060000000005</v>
      </c>
      <c r="BN225" s="66">
        <f t="shared" si="2080"/>
        <v>40324.020000000004</v>
      </c>
      <c r="BO225" s="66">
        <f t="shared" si="2080"/>
        <v>41257.089999999997</v>
      </c>
      <c r="BP225" s="66">
        <f t="shared" si="2080"/>
        <v>44003.53</v>
      </c>
      <c r="BQ225" s="66">
        <f t="shared" si="2080"/>
        <v>46075.51</v>
      </c>
      <c r="BR225" s="66">
        <f t="shared" ref="BR225:CW225" si="2081">SUM(BO10:BR10)</f>
        <v>49768.27</v>
      </c>
      <c r="BS225" s="66">
        <f t="shared" si="2081"/>
        <v>50492.729999999996</v>
      </c>
      <c r="BT225" s="66">
        <f t="shared" si="2081"/>
        <v>52295.42</v>
      </c>
      <c r="BU225" s="66">
        <f t="shared" si="2081"/>
        <v>56554.270000000004</v>
      </c>
      <c r="BV225" s="66">
        <f t="shared" si="2081"/>
        <v>58432.3</v>
      </c>
      <c r="BW225" s="66">
        <f t="shared" si="2081"/>
        <v>61155.770000000004</v>
      </c>
      <c r="BX225" s="66">
        <f t="shared" si="2081"/>
        <v>62972.39</v>
      </c>
      <c r="BY225" s="66">
        <f t="shared" si="2081"/>
        <v>64117.850000000006</v>
      </c>
      <c r="BZ225" s="66">
        <f t="shared" si="2081"/>
        <v>66581</v>
      </c>
      <c r="CA225" s="66">
        <f t="shared" si="2081"/>
        <v>68649.47</v>
      </c>
      <c r="CB225" s="66">
        <f t="shared" si="2081"/>
        <v>72221.87</v>
      </c>
      <c r="CC225" s="66">
        <f t="shared" si="2081"/>
        <v>75367.539999999994</v>
      </c>
      <c r="CD225" s="66">
        <f t="shared" si="2081"/>
        <v>80587.09</v>
      </c>
      <c r="CE225" s="66">
        <f t="shared" si="2081"/>
        <v>82588.08</v>
      </c>
      <c r="CF225" s="66">
        <f t="shared" si="2081"/>
        <v>82804.51999999999</v>
      </c>
      <c r="CG225" s="66">
        <f t="shared" si="2081"/>
        <v>85315.59</v>
      </c>
      <c r="CH225" s="66">
        <f t="shared" si="2081"/>
        <v>84059.83</v>
      </c>
      <c r="CI225" s="66">
        <f t="shared" si="2081"/>
        <v>86132.85</v>
      </c>
      <c r="CJ225" s="66">
        <f t="shared" si="2081"/>
        <v>90715.06</v>
      </c>
      <c r="CK225" s="50">
        <f t="shared" si="2081"/>
        <v>96132.84</v>
      </c>
      <c r="CL225" s="66">
        <f t="shared" si="2081"/>
        <v>99955.920000000013</v>
      </c>
      <c r="CM225" s="50">
        <f t="shared" si="2081"/>
        <v>103141.58670986982</v>
      </c>
      <c r="CN225" s="50">
        <f t="shared" si="2081"/>
        <v>108049.05741190653</v>
      </c>
      <c r="CO225" s="50">
        <f t="shared" si="2081"/>
        <v>113806.13006211491</v>
      </c>
      <c r="CP225" s="50">
        <f t="shared" si="2081"/>
        <v>118882.73470730054</v>
      </c>
      <c r="CQ225" s="50">
        <f t="shared" si="2081"/>
        <v>122734.9543113835</v>
      </c>
      <c r="CR225" s="50">
        <f t="shared" si="2081"/>
        <v>128391.43800303878</v>
      </c>
      <c r="CS225" s="50">
        <f t="shared" si="2081"/>
        <v>135168.77751490747</v>
      </c>
      <c r="CT225" s="50">
        <f t="shared" si="2081"/>
        <v>141318.63003365661</v>
      </c>
      <c r="CU225" s="50">
        <f t="shared" si="2081"/>
        <v>145890.88133771517</v>
      </c>
      <c r="CV225" s="50">
        <f t="shared" si="2081"/>
        <v>152573.83270699671</v>
      </c>
      <c r="CW225" s="50">
        <f t="shared" si="2081"/>
        <v>160632.41991474797</v>
      </c>
      <c r="CX225" s="50">
        <f t="shared" ref="CX225:DB225" si="2082">SUM(CU10:CX10)</f>
        <v>167963.33265676021</v>
      </c>
      <c r="CY225" s="50">
        <f t="shared" si="2082"/>
        <v>173392.19588030575</v>
      </c>
      <c r="CZ225" s="50">
        <f t="shared" si="2082"/>
        <v>181327.93134582683</v>
      </c>
      <c r="DA225" s="50">
        <f t="shared" si="2082"/>
        <v>190909.36532082345</v>
      </c>
      <c r="DB225" s="50">
        <f t="shared" si="2082"/>
        <v>199625.47421944566</v>
      </c>
      <c r="DE225" s="138"/>
      <c r="DF225" s="66">
        <v>99303.675263009733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-2670.87</v>
      </c>
      <c r="BA226" s="66">
        <f t="shared" si="2083"/>
        <v>-3270.58</v>
      </c>
      <c r="BB226" s="66">
        <f t="shared" si="2083"/>
        <v>-6367.2400000000007</v>
      </c>
      <c r="BC226" s="66">
        <f t="shared" si="2083"/>
        <v>-8659.44</v>
      </c>
      <c r="BD226" s="66">
        <f t="shared" si="2083"/>
        <v>-8184.14</v>
      </c>
      <c r="BE226" s="66">
        <f t="shared" si="2083"/>
        <v>-10247.560000000001</v>
      </c>
      <c r="BF226" s="66">
        <f t="shared" si="2083"/>
        <v>-7565.85</v>
      </c>
      <c r="BG226" s="66">
        <f t="shared" si="2083"/>
        <v>-6994.4700000000012</v>
      </c>
      <c r="BH226" s="66">
        <f t="shared" si="2083"/>
        <v>-6603.0900000000011</v>
      </c>
      <c r="BI226" s="66">
        <f t="shared" si="2083"/>
        <v>-6767.3600000000024</v>
      </c>
      <c r="BJ226" s="66">
        <f t="shared" si="2083"/>
        <v>-10149.030000000001</v>
      </c>
      <c r="BK226" s="66">
        <f t="shared" si="2083"/>
        <v>-11211.77</v>
      </c>
      <c r="BL226" s="66">
        <f t="shared" si="2083"/>
        <v>-9443.1800000000021</v>
      </c>
      <c r="BM226" s="66">
        <f t="shared" si="2083"/>
        <v>-10406.839999999998</v>
      </c>
      <c r="BN226" s="66">
        <f t="shared" si="2083"/>
        <v>650.8700000000008</v>
      </c>
      <c r="BO226" s="66">
        <f t="shared" si="2083"/>
        <v>-4624.9699999999975</v>
      </c>
      <c r="BP226" s="66">
        <f t="shared" si="2083"/>
        <v>-10083.479999999998</v>
      </c>
      <c r="BQ226" s="66">
        <f t="shared" si="2083"/>
        <v>-18957.870000000003</v>
      </c>
      <c r="BR226" s="66">
        <f t="shared" ref="BR226:CW226" si="2084">SUM(BO28:BR28)</f>
        <v>-30462.14</v>
      </c>
      <c r="BS226" s="66">
        <f t="shared" si="2084"/>
        <v>-29842.280000000006</v>
      </c>
      <c r="BT226" s="66">
        <f t="shared" si="2084"/>
        <v>-35051.29</v>
      </c>
      <c r="BU226" s="66">
        <f t="shared" si="2084"/>
        <v>-24632.319999999996</v>
      </c>
      <c r="BV226" s="66">
        <f t="shared" si="2084"/>
        <v>-23896.39</v>
      </c>
      <c r="BW226" s="66">
        <f t="shared" si="2084"/>
        <v>-9937.2599999999984</v>
      </c>
      <c r="BX226" s="66">
        <f t="shared" si="2084"/>
        <v>-10048.390000000003</v>
      </c>
      <c r="BY226" s="66">
        <f t="shared" si="2084"/>
        <v>-15114.400000000001</v>
      </c>
      <c r="BZ226" s="66">
        <f t="shared" si="2084"/>
        <v>-13906.910000000003</v>
      </c>
      <c r="CA226" s="66">
        <f t="shared" si="2084"/>
        <v>-34793.370000000003</v>
      </c>
      <c r="CB226" s="66">
        <f t="shared" si="2084"/>
        <v>-32321.54</v>
      </c>
      <c r="CC226" s="66">
        <f t="shared" si="2084"/>
        <v>-41373.43</v>
      </c>
      <c r="CD226" s="66">
        <f t="shared" si="2084"/>
        <v>-51000.59</v>
      </c>
      <c r="CE226" s="66">
        <f t="shared" si="2084"/>
        <v>-55588.229999999996</v>
      </c>
      <c r="CF226" s="66">
        <f t="shared" si="2084"/>
        <v>-66675.88</v>
      </c>
      <c r="CG226" s="66">
        <f t="shared" si="2084"/>
        <v>-43749.64</v>
      </c>
      <c r="CH226" s="66">
        <f t="shared" si="2084"/>
        <v>-31482.110000000004</v>
      </c>
      <c r="CI226" s="66">
        <f t="shared" si="2084"/>
        <v>-33681.67</v>
      </c>
      <c r="CJ226" s="66">
        <f t="shared" si="2084"/>
        <v>-12003.080000000005</v>
      </c>
      <c r="CK226" s="50">
        <f t="shared" si="2084"/>
        <v>-33836.979999999996</v>
      </c>
      <c r="CL226" s="66">
        <f t="shared" si="2084"/>
        <v>-11610.519999999997</v>
      </c>
      <c r="CM226" s="50">
        <f t="shared" si="2084"/>
        <v>5314.4040713895811</v>
      </c>
      <c r="CN226" s="50">
        <f t="shared" si="2084"/>
        <v>4501.9557108464687</v>
      </c>
      <c r="CO226" s="50">
        <f t="shared" si="2084"/>
        <v>21131.464423418645</v>
      </c>
      <c r="CP226" s="50">
        <f t="shared" si="2084"/>
        <v>4243.9308498282371</v>
      </c>
      <c r="CQ226" s="50">
        <f t="shared" si="2084"/>
        <v>8785.8130386347329</v>
      </c>
      <c r="CR226" s="50">
        <f t="shared" si="2084"/>
        <v>9759.9627220219081</v>
      </c>
      <c r="CS226" s="50">
        <f t="shared" si="2084"/>
        <v>11525.916071424177</v>
      </c>
      <c r="CT226" s="50">
        <f t="shared" si="2084"/>
        <v>9030.7326903813628</v>
      </c>
      <c r="CU226" s="50">
        <f t="shared" si="2084"/>
        <v>10415.274839827733</v>
      </c>
      <c r="CV226" s="50">
        <f t="shared" si="2084"/>
        <v>10971.381810039195</v>
      </c>
      <c r="CW226" s="50">
        <f t="shared" si="2084"/>
        <v>11460.960218770299</v>
      </c>
      <c r="CX226" s="50">
        <f t="shared" ref="CX226:DB226" si="2085">SUM(CU28:CX28)</f>
        <v>11540.429806231368</v>
      </c>
      <c r="CY226" s="50">
        <f t="shared" si="2085"/>
        <v>12162.026325988336</v>
      </c>
      <c r="CZ226" s="50">
        <f t="shared" si="2085"/>
        <v>12696.449635468452</v>
      </c>
      <c r="DA226" s="50">
        <f t="shared" si="2085"/>
        <v>13303.640196083426</v>
      </c>
      <c r="DB226" s="50">
        <f t="shared" si="2085"/>
        <v>13861.695766126846</v>
      </c>
      <c r="DE226" s="138"/>
      <c r="DF226" s="66">
        <v>-45203.765643555227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212.76000000000002</v>
      </c>
      <c r="BA227" s="66">
        <f t="shared" si="2086"/>
        <v>403.18999999999994</v>
      </c>
      <c r="BB227" s="66">
        <f t="shared" si="2086"/>
        <v>739.23999999999933</v>
      </c>
      <c r="BC227" s="66">
        <f t="shared" si="2086"/>
        <v>1052.6899999999994</v>
      </c>
      <c r="BD227" s="66">
        <f t="shared" si="2086"/>
        <v>1065.3999999999994</v>
      </c>
      <c r="BE227" s="66">
        <f t="shared" si="2086"/>
        <v>1105.2499999999995</v>
      </c>
      <c r="BF227" s="66">
        <f t="shared" si="2086"/>
        <v>1150.3899999999994</v>
      </c>
      <c r="BG227" s="66">
        <f t="shared" si="2086"/>
        <v>1191.2599999999989</v>
      </c>
      <c r="BH227" s="66">
        <f t="shared" si="2086"/>
        <v>1216.309999999999</v>
      </c>
      <c r="BI227" s="66">
        <f t="shared" si="2086"/>
        <v>1250.3099999999974</v>
      </c>
      <c r="BJ227" s="66">
        <f t="shared" si="2086"/>
        <v>1326.7999999999988</v>
      </c>
      <c r="BK227" s="66">
        <f t="shared" si="2086"/>
        <v>1344.3799999999985</v>
      </c>
      <c r="BL227" s="66">
        <f t="shared" si="2086"/>
        <v>1223.6999999999978</v>
      </c>
      <c r="BM227" s="66">
        <f t="shared" si="2086"/>
        <v>1349.1900000000021</v>
      </c>
      <c r="BN227" s="66">
        <f t="shared" si="2086"/>
        <v>1422.1800000000012</v>
      </c>
      <c r="BO227" s="66">
        <f t="shared" si="2086"/>
        <v>1441.1700000000023</v>
      </c>
      <c r="BP227" s="66">
        <f t="shared" si="2086"/>
        <v>1611.0600000000024</v>
      </c>
      <c r="BQ227" s="66">
        <f t="shared" si="2086"/>
        <v>1454.1399999999965</v>
      </c>
      <c r="BR227" s="66">
        <f t="shared" ref="BR227:CW227" si="2087">SUM(BO41:BR41)</f>
        <v>1455.8499999999981</v>
      </c>
      <c r="BS227" s="66">
        <f t="shared" si="2087"/>
        <v>1288.1199999999967</v>
      </c>
      <c r="BT227" s="66">
        <f t="shared" si="2087"/>
        <v>1235.0099999999989</v>
      </c>
      <c r="BU227" s="66">
        <f t="shared" si="2087"/>
        <v>1366.2200000000025</v>
      </c>
      <c r="BV227" s="66">
        <f t="shared" si="2087"/>
        <v>1505.9900000000009</v>
      </c>
      <c r="BW227" s="66">
        <f t="shared" si="2087"/>
        <v>1545.6800000000037</v>
      </c>
      <c r="BX227" s="66">
        <f t="shared" si="2087"/>
        <v>1675.7999999999988</v>
      </c>
      <c r="BY227" s="66">
        <f t="shared" si="2087"/>
        <v>1615.8700000000008</v>
      </c>
      <c r="BZ227" s="66">
        <f t="shared" si="2087"/>
        <v>1720.5699999999988</v>
      </c>
      <c r="CA227" s="66">
        <f t="shared" si="2087"/>
        <v>1838.7599999999966</v>
      </c>
      <c r="CB227" s="66">
        <f t="shared" si="2087"/>
        <v>1842.2100000000014</v>
      </c>
      <c r="CC227" s="66">
        <f t="shared" si="2087"/>
        <v>1859.8300000000033</v>
      </c>
      <c r="CD227" s="66">
        <f t="shared" si="2087"/>
        <v>1893.7800000000066</v>
      </c>
      <c r="CE227" s="66">
        <f t="shared" si="2087"/>
        <v>2032.2600000000029</v>
      </c>
      <c r="CF227" s="66">
        <f t="shared" si="2087"/>
        <v>2181.4899999999998</v>
      </c>
      <c r="CG227" s="66">
        <f t="shared" si="2087"/>
        <v>2410.5599999999963</v>
      </c>
      <c r="CH227" s="66">
        <f t="shared" si="2087"/>
        <v>2413.2699999999923</v>
      </c>
      <c r="CI227" s="66">
        <f t="shared" si="2087"/>
        <v>2488.1199999999972</v>
      </c>
      <c r="CJ227" s="66">
        <f t="shared" si="2087"/>
        <v>2453.2899999999954</v>
      </c>
      <c r="CK227" s="50">
        <f t="shared" si="2087"/>
        <v>2479.21</v>
      </c>
      <c r="CL227" s="66">
        <f t="shared" si="2087"/>
        <v>2470.3400000000015</v>
      </c>
      <c r="CM227" s="50">
        <f t="shared" si="2087"/>
        <v>-3391.9731813595422</v>
      </c>
      <c r="CN227" s="50">
        <f t="shared" si="2087"/>
        <v>22810.909068987916</v>
      </c>
      <c r="CO227" s="50">
        <f t="shared" si="2087"/>
        <v>5856.2728333031282</v>
      </c>
      <c r="CP227" s="50">
        <f t="shared" si="2087"/>
        <v>-21191.581835408135</v>
      </c>
      <c r="CQ227" s="50">
        <f t="shared" si="2087"/>
        <v>-24759.250931586816</v>
      </c>
      <c r="CR227" s="50">
        <f t="shared" si="2087"/>
        <v>-25967.729173947853</v>
      </c>
      <c r="CS227" s="50">
        <f t="shared" si="2087"/>
        <v>-31967.303339407434</v>
      </c>
      <c r="CT227" s="50">
        <f t="shared" si="2087"/>
        <v>-42929.965225865075</v>
      </c>
      <c r="CU227" s="50">
        <f t="shared" si="2087"/>
        <v>-43500.832431944145</v>
      </c>
      <c r="CV227" s="50">
        <f t="shared" si="2087"/>
        <v>-39307.089094903655</v>
      </c>
      <c r="CW227" s="50">
        <f t="shared" si="2087"/>
        <v>-44062.3223334758</v>
      </c>
      <c r="CX227" s="50">
        <f t="shared" ref="CX227:DB227" si="2088">SUM(CU41:CX41)</f>
        <v>-51703.115609623295</v>
      </c>
      <c r="CY227" s="50">
        <f t="shared" si="2088"/>
        <v>-53094.392797907363</v>
      </c>
      <c r="CZ227" s="50">
        <f t="shared" si="2088"/>
        <v>-47601.330872542741</v>
      </c>
      <c r="DA227" s="50">
        <f t="shared" si="2088"/>
        <v>-52814.916409733523</v>
      </c>
      <c r="DB227" s="50">
        <f t="shared" si="2088"/>
        <v>-61298.514113975813</v>
      </c>
      <c r="DE227" s="138"/>
      <c r="DF227" s="66">
        <v>372793.04231358843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0</v>
      </c>
      <c r="O231" s="64">
        <f t="shared" si="2089"/>
        <v>0</v>
      </c>
      <c r="P231" s="64">
        <f t="shared" si="2089"/>
        <v>0</v>
      </c>
      <c r="Q231" s="64">
        <f t="shared" si="2089"/>
        <v>0</v>
      </c>
      <c r="R231" s="64">
        <f t="shared" si="2089"/>
        <v>0</v>
      </c>
      <c r="S231" s="64">
        <f t="shared" si="2089"/>
        <v>0</v>
      </c>
      <c r="T231" s="64">
        <f t="shared" si="2089"/>
        <v>0</v>
      </c>
      <c r="U231" s="64">
        <f t="shared" si="2089"/>
        <v>0</v>
      </c>
      <c r="V231" s="64">
        <f t="shared" si="2089"/>
        <v>0</v>
      </c>
      <c r="W231" s="64">
        <f t="shared" si="2089"/>
        <v>0</v>
      </c>
      <c r="X231" s="64">
        <f t="shared" si="2089"/>
        <v>0</v>
      </c>
      <c r="Y231" s="64">
        <f t="shared" si="2089"/>
        <v>0</v>
      </c>
      <c r="Z231" s="64">
        <f t="shared" si="2089"/>
        <v>0</v>
      </c>
      <c r="AA231" s="64">
        <f t="shared" ref="AA231" si="2090">AA8-AA237</f>
        <v>0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4921.47</v>
      </c>
      <c r="BA231" s="64">
        <f t="shared" si="2091"/>
        <v>5242.88</v>
      </c>
      <c r="BB231" s="64">
        <f t="shared" si="2091"/>
        <v>7346.05</v>
      </c>
      <c r="BC231" s="64">
        <f t="shared" si="2091"/>
        <v>3762.58</v>
      </c>
      <c r="BD231" s="64">
        <f t="shared" si="2091"/>
        <v>5384.57</v>
      </c>
      <c r="BE231" s="64">
        <f t="shared" si="2091"/>
        <v>6776.21</v>
      </c>
      <c r="BF231" s="64">
        <f t="shared" si="2091"/>
        <v>9236.7000000000007</v>
      </c>
      <c r="BG231" s="64">
        <f t="shared" si="2091"/>
        <v>4754.5200000000004</v>
      </c>
      <c r="BH231" s="64">
        <f t="shared" si="2091"/>
        <v>7661.55</v>
      </c>
      <c r="BI231" s="64">
        <f t="shared" si="2091"/>
        <v>9141.26</v>
      </c>
      <c r="BJ231" s="64">
        <f t="shared" si="2091"/>
        <v>11333.02</v>
      </c>
      <c r="BK231" s="64">
        <f t="shared" si="2091"/>
        <v>6655.02</v>
      </c>
      <c r="BL231" s="64">
        <f t="shared" si="2091"/>
        <v>10111.51</v>
      </c>
      <c r="BM231" s="64">
        <f t="shared" si="2091"/>
        <v>11694.51</v>
      </c>
      <c r="BN231" s="64">
        <f t="shared" si="2091"/>
        <v>11862.98</v>
      </c>
      <c r="BO231" s="64">
        <f t="shared" ref="BO231:CT231" si="2092">BO8-BO237</f>
        <v>7588.09</v>
      </c>
      <c r="BP231" s="64">
        <f t="shared" si="2092"/>
        <v>12857.95</v>
      </c>
      <c r="BQ231" s="64">
        <f t="shared" si="2092"/>
        <v>13766.49</v>
      </c>
      <c r="BR231" s="64">
        <f t="shared" si="2092"/>
        <v>15555.74</v>
      </c>
      <c r="BS231" s="64">
        <f t="shared" si="2092"/>
        <v>8312.5499999999993</v>
      </c>
      <c r="BT231" s="64">
        <f t="shared" si="2092"/>
        <v>14660.64</v>
      </c>
      <c r="BU231" s="64">
        <f t="shared" si="2092"/>
        <v>18025.34</v>
      </c>
      <c r="BV231" s="64">
        <f t="shared" si="2092"/>
        <v>17433.77</v>
      </c>
      <c r="BW231" s="64">
        <f t="shared" si="2092"/>
        <v>11036.02</v>
      </c>
      <c r="BX231" s="64">
        <f t="shared" si="2092"/>
        <v>16477.259999999998</v>
      </c>
      <c r="BY231" s="64">
        <f t="shared" si="2092"/>
        <v>19170.8</v>
      </c>
      <c r="BZ231" s="64">
        <f t="shared" si="2092"/>
        <v>19896.919999999998</v>
      </c>
      <c r="CA231" s="64">
        <f t="shared" si="2092"/>
        <v>13104.49</v>
      </c>
      <c r="CB231" s="64">
        <f t="shared" si="2092"/>
        <v>20049.66</v>
      </c>
      <c r="CC231" s="64">
        <f t="shared" si="2092"/>
        <v>22316.47</v>
      </c>
      <c r="CD231" s="64">
        <f t="shared" si="2092"/>
        <v>25116.47</v>
      </c>
      <c r="CE231" s="64">
        <f t="shared" si="2092"/>
        <v>15105.48</v>
      </c>
      <c r="CF231" s="64">
        <f t="shared" si="2092"/>
        <v>20266.099999999999</v>
      </c>
      <c r="CG231" s="64">
        <f t="shared" si="2092"/>
        <v>24827.54</v>
      </c>
      <c r="CH231" s="64">
        <f t="shared" si="2092"/>
        <v>23860.71</v>
      </c>
      <c r="CI231" s="64">
        <f t="shared" si="2092"/>
        <v>17178.5</v>
      </c>
      <c r="CJ231" s="64">
        <f t="shared" si="2092"/>
        <v>24848.31</v>
      </c>
      <c r="CK231" s="30">
        <f t="shared" si="2092"/>
        <v>30245.32</v>
      </c>
      <c r="CL231" s="64">
        <f t="shared" ref="CL231" si="2093">CL8-CL237</f>
        <v>27683.79</v>
      </c>
      <c r="CM231" s="30">
        <f t="shared" si="2092"/>
        <v>20364.166709869805</v>
      </c>
      <c r="CN231" s="30">
        <f t="shared" si="2092"/>
        <v>29755.780702036718</v>
      </c>
      <c r="CO231" s="30">
        <f t="shared" si="2092"/>
        <v>36002.392650208392</v>
      </c>
      <c r="CP231" s="30">
        <f t="shared" si="2092"/>
        <v>32760.394645185621</v>
      </c>
      <c r="CQ231" s="30">
        <f t="shared" si="2092"/>
        <v>24216.386313952771</v>
      </c>
      <c r="CR231" s="30">
        <f t="shared" si="2092"/>
        <v>35412.264393692007</v>
      </c>
      <c r="CS231" s="30">
        <f t="shared" si="2092"/>
        <v>42779.73216207706</v>
      </c>
      <c r="CT231" s="30">
        <f t="shared" si="2092"/>
        <v>38910.247163934786</v>
      </c>
      <c r="CU231" s="30">
        <f t="shared" ref="CU231:DB231" si="2094">CU8-CU237</f>
        <v>28788.637618011333</v>
      </c>
      <c r="CV231" s="30">
        <f t="shared" si="2094"/>
        <v>42095.215762973516</v>
      </c>
      <c r="CW231" s="30">
        <f t="shared" si="2094"/>
        <v>50838.319369828336</v>
      </c>
      <c r="CX231" s="30">
        <f t="shared" si="2094"/>
        <v>46241.15990594701</v>
      </c>
      <c r="CY231" s="30">
        <f t="shared" si="2094"/>
        <v>34217.500841556874</v>
      </c>
      <c r="CZ231" s="30">
        <f t="shared" si="2094"/>
        <v>50030.951228494625</v>
      </c>
      <c r="DA231" s="30">
        <f t="shared" si="2094"/>
        <v>60419.753344824931</v>
      </c>
      <c r="DB231" s="30">
        <f t="shared" si="2094"/>
        <v>54957.268804569248</v>
      </c>
      <c r="DE231" s="139"/>
      <c r="DF231" s="64">
        <v>27031.545263009728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-0.48949999999999999</v>
      </c>
      <c r="K232" s="64">
        <f t="shared" si="2095"/>
        <v>-0.38800000000000001</v>
      </c>
      <c r="L232" s="64">
        <f t="shared" si="2095"/>
        <v>-3.0182000000000002</v>
      </c>
      <c r="M232" s="64">
        <f t="shared" si="2095"/>
        <v>-2.3307000000000002</v>
      </c>
      <c r="N232" s="64">
        <f t="shared" si="2095"/>
        <v>-7.4481000000000002</v>
      </c>
      <c r="O232" s="64">
        <f t="shared" si="2095"/>
        <v>-2.9819</v>
      </c>
      <c r="P232" s="64">
        <f t="shared" si="2095"/>
        <v>-1.5983000000000001</v>
      </c>
      <c r="Q232" s="64">
        <f t="shared" si="2095"/>
        <v>-117.1054</v>
      </c>
      <c r="R232" s="64">
        <f t="shared" si="2095"/>
        <v>-90.174700000000001</v>
      </c>
      <c r="S232" s="64">
        <f t="shared" si="2095"/>
        <v>-107.73439999999999</v>
      </c>
      <c r="T232" s="64">
        <f t="shared" si="2095"/>
        <v>-128.90690000000001</v>
      </c>
      <c r="U232" s="64">
        <f t="shared" si="2095"/>
        <v>-524.57719999999995</v>
      </c>
      <c r="V232" s="64">
        <f t="shared" si="2095"/>
        <v>-855.77859999999998</v>
      </c>
      <c r="W232" s="64">
        <f t="shared" si="2095"/>
        <v>-1139.1255000000001</v>
      </c>
      <c r="X232" s="64">
        <f t="shared" si="2095"/>
        <v>-1744.7161000000001</v>
      </c>
      <c r="Y232" s="64">
        <f t="shared" si="2095"/>
        <v>-1679.03</v>
      </c>
      <c r="Z232" s="64">
        <f t="shared" si="2095"/>
        <v>-1380.1</v>
      </c>
      <c r="AA232" s="64">
        <f t="shared" ref="AA232" si="2096">AA28-AA238</f>
        <v>-1903.67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-2670.87</v>
      </c>
      <c r="BA232" s="64">
        <f t="shared" si="2097"/>
        <v>-599.71</v>
      </c>
      <c r="BB232" s="64">
        <f t="shared" si="2097"/>
        <v>-3096.6600000000008</v>
      </c>
      <c r="BC232" s="64">
        <f t="shared" si="2097"/>
        <v>-2292.1999999999998</v>
      </c>
      <c r="BD232" s="64">
        <f t="shared" si="2097"/>
        <v>-2195.5699999999997</v>
      </c>
      <c r="BE232" s="64">
        <f t="shared" si="2097"/>
        <v>-2663.13</v>
      </c>
      <c r="BF232" s="64">
        <f t="shared" si="2097"/>
        <v>-414.95000000000073</v>
      </c>
      <c r="BG232" s="64">
        <f t="shared" si="2097"/>
        <v>-1720.8200000000006</v>
      </c>
      <c r="BH232" s="64">
        <f t="shared" si="2097"/>
        <v>-1804.1899999999996</v>
      </c>
      <c r="BI232" s="64">
        <f t="shared" si="2097"/>
        <v>-2827.4000000000015</v>
      </c>
      <c r="BJ232" s="64">
        <f t="shared" si="2097"/>
        <v>-3796.619999999999</v>
      </c>
      <c r="BK232" s="64">
        <f t="shared" si="2097"/>
        <v>-2783.5600000000013</v>
      </c>
      <c r="BL232" s="64">
        <f t="shared" si="2097"/>
        <v>-35.600000000000364</v>
      </c>
      <c r="BM232" s="64">
        <f t="shared" si="2097"/>
        <v>-3791.0599999999977</v>
      </c>
      <c r="BN232" s="64">
        <f t="shared" si="2097"/>
        <v>7261.09</v>
      </c>
      <c r="BO232" s="64">
        <f t="shared" ref="BO232:CT232" si="2098">BO28-BO238</f>
        <v>-8059.4</v>
      </c>
      <c r="BP232" s="64">
        <f t="shared" si="2098"/>
        <v>-5494.1100000000006</v>
      </c>
      <c r="BQ232" s="64">
        <f t="shared" si="2098"/>
        <v>-12665.450000000003</v>
      </c>
      <c r="BR232" s="64">
        <f t="shared" si="2098"/>
        <v>-4243.1799999999985</v>
      </c>
      <c r="BS232" s="64">
        <f t="shared" si="2098"/>
        <v>-7439.5400000000009</v>
      </c>
      <c r="BT232" s="64">
        <f t="shared" si="2098"/>
        <v>-10703.119999999999</v>
      </c>
      <c r="BU232" s="64">
        <f t="shared" si="2098"/>
        <v>-2246.4799999999996</v>
      </c>
      <c r="BV232" s="64">
        <f t="shared" si="2098"/>
        <v>-3507.25</v>
      </c>
      <c r="BW232" s="64">
        <f t="shared" si="2098"/>
        <v>6519.5900000000011</v>
      </c>
      <c r="BX232" s="64">
        <f t="shared" si="2098"/>
        <v>-10814.250000000004</v>
      </c>
      <c r="BY232" s="64">
        <f t="shared" si="2098"/>
        <v>-7312.489999999998</v>
      </c>
      <c r="BZ232" s="64">
        <f t="shared" si="2098"/>
        <v>-2299.760000000002</v>
      </c>
      <c r="CA232" s="64">
        <f t="shared" si="2098"/>
        <v>-14366.87</v>
      </c>
      <c r="CB232" s="64">
        <f t="shared" si="2098"/>
        <v>-8342.4199999999983</v>
      </c>
      <c r="CC232" s="64">
        <f t="shared" si="2098"/>
        <v>-16364.379999999997</v>
      </c>
      <c r="CD232" s="64">
        <f t="shared" si="2098"/>
        <v>-11926.919999999998</v>
      </c>
      <c r="CE232" s="64">
        <f t="shared" si="2098"/>
        <v>-18954.510000000006</v>
      </c>
      <c r="CF232" s="64">
        <f t="shared" si="2098"/>
        <v>-19430.07</v>
      </c>
      <c r="CG232" s="64">
        <f t="shared" si="2098"/>
        <v>6561.8600000000006</v>
      </c>
      <c r="CH232" s="64">
        <f t="shared" si="2098"/>
        <v>340.60999999999694</v>
      </c>
      <c r="CI232" s="64">
        <f t="shared" si="2098"/>
        <v>-21154.07</v>
      </c>
      <c r="CJ232" s="64">
        <f t="shared" si="2098"/>
        <v>2248.5199999999968</v>
      </c>
      <c r="CK232" s="30">
        <f t="shared" si="2098"/>
        <v>-15272.039999999994</v>
      </c>
      <c r="CL232" s="64">
        <f t="shared" ref="CL232" si="2099">CL28-CL238</f>
        <v>22567.07</v>
      </c>
      <c r="CM232" s="30">
        <f t="shared" si="2098"/>
        <v>-4229.1459286104218</v>
      </c>
      <c r="CN232" s="30">
        <f t="shared" si="2098"/>
        <v>1436.0716394568844</v>
      </c>
      <c r="CO232" s="30">
        <f t="shared" si="2098"/>
        <v>1357.468712572183</v>
      </c>
      <c r="CP232" s="30">
        <f t="shared" si="2098"/>
        <v>5679.5364264095915</v>
      </c>
      <c r="CQ232" s="30">
        <f t="shared" si="2098"/>
        <v>312.736260196074</v>
      </c>
      <c r="CR232" s="30">
        <f t="shared" si="2098"/>
        <v>2410.2213228440596</v>
      </c>
      <c r="CS232" s="30">
        <f t="shared" si="2098"/>
        <v>3123.4220619744519</v>
      </c>
      <c r="CT232" s="30">
        <f t="shared" si="2098"/>
        <v>3184.3530453667772</v>
      </c>
      <c r="CU232" s="30">
        <f t="shared" ref="CU232:DB232" si="2100">CU28-CU238</f>
        <v>1697.2784096424439</v>
      </c>
      <c r="CV232" s="30">
        <f t="shared" si="2100"/>
        <v>2966.3282930555215</v>
      </c>
      <c r="CW232" s="30">
        <f t="shared" si="2100"/>
        <v>3613.0004707055559</v>
      </c>
      <c r="CX232" s="30">
        <f t="shared" si="2100"/>
        <v>3263.822632827847</v>
      </c>
      <c r="CY232" s="30">
        <f t="shared" si="2100"/>
        <v>2318.8749293994115</v>
      </c>
      <c r="CZ232" s="30">
        <f t="shared" si="2100"/>
        <v>3500.7516025356381</v>
      </c>
      <c r="DA232" s="30">
        <f t="shared" si="2100"/>
        <v>4220.1910313205299</v>
      </c>
      <c r="DB232" s="30">
        <f t="shared" si="2100"/>
        <v>3821.8782028712667</v>
      </c>
      <c r="DE232" s="139"/>
      <c r="DF232" s="64">
        <v>-11026.175643555231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 t="e">
        <f t="shared" ref="N233" si="2112">+N232/N231</f>
        <v>#DIV/0!</v>
      </c>
      <c r="O233" s="86" t="e">
        <f t="shared" ref="O233" si="2113">+O232/O231</f>
        <v>#DIV/0!</v>
      </c>
      <c r="P233" s="86" t="e">
        <f t="shared" ref="P233" si="2114">+P232/P231</f>
        <v>#DIV/0!</v>
      </c>
      <c r="Q233" s="86" t="e">
        <f t="shared" ref="Q233" si="2115">+Q232/Q231</f>
        <v>#DIV/0!</v>
      </c>
      <c r="R233" s="86" t="e">
        <f t="shared" ref="R233" si="2116">+R232/R231</f>
        <v>#DIV/0!</v>
      </c>
      <c r="S233" s="86" t="e">
        <f t="shared" ref="S233" si="2117">+S232/S231</f>
        <v>#DIV/0!</v>
      </c>
      <c r="T233" s="86" t="e">
        <f t="shared" ref="T233" si="2118">+T232/T231</f>
        <v>#DIV/0!</v>
      </c>
      <c r="U233" s="86" t="e">
        <f t="shared" ref="U233" si="2119">+U232/U231</f>
        <v>#DIV/0!</v>
      </c>
      <c r="V233" s="86" t="e">
        <f t="shared" ref="V233" si="2120">+V232/V231</f>
        <v>#DIV/0!</v>
      </c>
      <c r="W233" s="86" t="e">
        <f t="shared" ref="W233" si="2121">+W232/W231</f>
        <v>#DIV/0!</v>
      </c>
      <c r="X233" s="86" t="e">
        <f t="shared" ref="X233:Y233" si="2122">+X232/X231</f>
        <v>#DIV/0!</v>
      </c>
      <c r="Y233" s="86" t="e">
        <f t="shared" si="2122"/>
        <v>#DIV/0!</v>
      </c>
      <c r="Z233" s="86" t="e">
        <f t="shared" ref="Z233:AA233" si="2123">+Z232/Z231</f>
        <v>#DIV/0!</v>
      </c>
      <c r="AA233" s="86" t="e">
        <f t="shared" si="2123"/>
        <v>#DIV/0!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>
        <f t="shared" ref="AZ233" si="2141">+AZ232/AZ231</f>
        <v>-0.54269760864132055</v>
      </c>
      <c r="BA233" s="86">
        <f t="shared" ref="BA233" si="2142">+BA232/BA231</f>
        <v>-0.11438560485839844</v>
      </c>
      <c r="BB233" s="86">
        <f t="shared" ref="BB233" si="2143">+BB232/BB231</f>
        <v>-0.42154082806406173</v>
      </c>
      <c r="BC233" s="86">
        <f t="shared" ref="BC233" si="2144">+BC232/BC231</f>
        <v>-0.60920963806749617</v>
      </c>
      <c r="BD233" s="86">
        <f t="shared" ref="BD233" si="2145">+BD232/BD231</f>
        <v>-0.40775215105384455</v>
      </c>
      <c r="BE233" s="86">
        <f t="shared" ref="BE233" si="2146">+BE232/BE231</f>
        <v>-0.39301172779474075</v>
      </c>
      <c r="BF233" s="86">
        <f t="shared" ref="BF233" si="2147">+BF232/BF231</f>
        <v>-4.4924052962638246E-2</v>
      </c>
      <c r="BG233" s="86">
        <f t="shared" ref="BG233" si="2148">+BG232/BG231</f>
        <v>-0.36193348645078799</v>
      </c>
      <c r="BH233" s="86">
        <f t="shared" ref="BH233" si="2149">+BH232/BH231</f>
        <v>-0.2354862919383153</v>
      </c>
      <c r="BI233" s="86">
        <f t="shared" ref="BI233" si="2150">+BI232/BI231</f>
        <v>-0.30930090600201737</v>
      </c>
      <c r="BJ233" s="86">
        <f t="shared" ref="BJ233" si="2151">+BJ232/BJ231</f>
        <v>-0.3350051442598706</v>
      </c>
      <c r="BK233" s="86">
        <f t="shared" ref="BK233" si="2152">+BK232/BK231</f>
        <v>-0.41826470844565472</v>
      </c>
      <c r="BL233" s="86">
        <f t="shared" ref="BL233" si="2153">+BL232/BL231</f>
        <v>-3.5207402257427787E-3</v>
      </c>
      <c r="BM233" s="86">
        <f t="shared" ref="BM233" si="2154">+BM232/BM231</f>
        <v>-0.32417433479470259</v>
      </c>
      <c r="BN233" s="86">
        <f t="shared" ref="BN233" si="2155">+BN232/BN231</f>
        <v>0.61207976410648934</v>
      </c>
      <c r="BO233" s="86">
        <f t="shared" ref="BO233" si="2156">+BO232/BO231</f>
        <v>-1.0621118094276689</v>
      </c>
      <c r="BP233" s="86">
        <f t="shared" ref="BP233" si="2157">+BP232/BP231</f>
        <v>-0.42729284217157482</v>
      </c>
      <c r="BQ233" s="86">
        <f t="shared" ref="BQ233" si="2158">+BQ232/BQ231</f>
        <v>-0.92002028113193723</v>
      </c>
      <c r="BR233" s="86">
        <f t="shared" ref="BR233" si="2159">+BR232/BR231</f>
        <v>-0.27277262283890052</v>
      </c>
      <c r="BS233" s="86">
        <f t="shared" ref="BS233" si="2160">+BS232/BS231</f>
        <v>-0.89497687231956513</v>
      </c>
      <c r="BT233" s="86">
        <f t="shared" ref="BT233" si="2161">+BT232/BT231</f>
        <v>-0.73005816935686296</v>
      </c>
      <c r="BU233" s="86">
        <f t="shared" ref="BU233" si="2162">+BU232/BU231</f>
        <v>-0.12462899451549871</v>
      </c>
      <c r="BV233" s="86">
        <f t="shared" ref="BV233" si="2163">+BV232/BV231</f>
        <v>-0.20117564932886001</v>
      </c>
      <c r="BW233" s="86">
        <f t="shared" ref="BW233" si="2164">+BW232/BW231</f>
        <v>0.59075554411826015</v>
      </c>
      <c r="BX233" s="86">
        <f t="shared" ref="BX233" si="2165">+BX232/BX231</f>
        <v>-0.65631361039396141</v>
      </c>
      <c r="BY233" s="86">
        <f t="shared" ref="BY233" si="2166">+BY232/BY231</f>
        <v>-0.38143895925052673</v>
      </c>
      <c r="BZ233" s="86">
        <f t="shared" ref="BZ233" si="2167">+BZ232/BZ231</f>
        <v>-0.11558371848507218</v>
      </c>
      <c r="CA233" s="86">
        <f t="shared" ref="CA233" si="2168">+CA232/CA231</f>
        <v>-1.0963318679322889</v>
      </c>
      <c r="CB233" s="86">
        <f t="shared" ref="CB233:CC233" si="2169">+CB232/CB231</f>
        <v>-0.41608785385886837</v>
      </c>
      <c r="CC233" s="86">
        <f t="shared" si="2169"/>
        <v>-0.73328711933383717</v>
      </c>
      <c r="CD233" s="86">
        <f t="shared" ref="CD233" si="2170">+CD232/CD231</f>
        <v>-0.47486450126152274</v>
      </c>
      <c r="CE233" s="86">
        <f t="shared" ref="CE233:CF233" si="2171">+CE232/CE231</f>
        <v>-1.2548101748504521</v>
      </c>
      <c r="CF233" s="86">
        <f t="shared" si="2171"/>
        <v>-0.95874736629149171</v>
      </c>
      <c r="CG233" s="86">
        <f t="shared" ref="CG233:CH233" si="2172">+CG232/CG231</f>
        <v>0.26429763077614621</v>
      </c>
      <c r="CH233" s="86">
        <f t="shared" si="2172"/>
        <v>1.4274931466833844E-2</v>
      </c>
      <c r="CI233" s="86">
        <f t="shared" ref="CI233:CJ233" si="2173">+CI232/CI231</f>
        <v>-1.2314270745408504</v>
      </c>
      <c r="CJ233" s="86">
        <f t="shared" si="2173"/>
        <v>9.0489856251793246E-2</v>
      </c>
      <c r="CK233" s="47">
        <f t="shared" ref="CK233:DB233" si="2174">+CK232/CK231</f>
        <v>-0.50493894592617949</v>
      </c>
      <c r="CL233" s="86">
        <f t="shared" si="2174"/>
        <v>0.81517270576030232</v>
      </c>
      <c r="CM233" s="47">
        <f t="shared" si="2174"/>
        <v>-0.20767586461373358</v>
      </c>
      <c r="CN233" s="47">
        <f t="shared" si="2174"/>
        <v>4.8261937868045536E-2</v>
      </c>
      <c r="CO233" s="47">
        <f t="shared" si="2174"/>
        <v>3.770495827210877E-2</v>
      </c>
      <c r="CP233" s="47">
        <f t="shared" si="2174"/>
        <v>0.17336593432168074</v>
      </c>
      <c r="CQ233" s="47">
        <f t="shared" si="2174"/>
        <v>1.2914241462025428E-2</v>
      </c>
      <c r="CR233" s="47">
        <f t="shared" si="2174"/>
        <v>6.8061767980965165E-2</v>
      </c>
      <c r="CS233" s="47">
        <f t="shared" si="2174"/>
        <v>7.3011725509195005E-2</v>
      </c>
      <c r="CT233" s="47">
        <f t="shared" si="2174"/>
        <v>8.1838417318466625E-2</v>
      </c>
      <c r="CU233" s="47">
        <f t="shared" si="2174"/>
        <v>5.8956538067663128E-2</v>
      </c>
      <c r="CV233" s="47">
        <f t="shared" si="2174"/>
        <v>7.0467112219072439E-2</v>
      </c>
      <c r="CW233" s="47">
        <f t="shared" si="2174"/>
        <v>7.1068448278599261E-2</v>
      </c>
      <c r="CX233" s="47">
        <f t="shared" si="2174"/>
        <v>7.0582628970950426E-2</v>
      </c>
      <c r="CY233" s="47">
        <f t="shared" si="2174"/>
        <v>6.7768681884071355E-2</v>
      </c>
      <c r="CZ233" s="47">
        <f t="shared" si="2174"/>
        <v>6.9971717838173353E-2</v>
      </c>
      <c r="DA233" s="47">
        <f t="shared" si="2174"/>
        <v>6.984786924294846E-2</v>
      </c>
      <c r="DB233" s="47">
        <f t="shared" si="2174"/>
        <v>6.954272448403602E-2</v>
      </c>
      <c r="DE233" s="130"/>
      <c r="DF233" s="89">
        <v>-0.40790030818710071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-0.15970000000000001</v>
      </c>
      <c r="K234" s="64">
        <f t="shared" si="2175"/>
        <v>-1.4217</v>
      </c>
      <c r="L234" s="64">
        <f t="shared" si="2175"/>
        <v>-3.0500000000000007</v>
      </c>
      <c r="M234" s="64">
        <f t="shared" si="2175"/>
        <v>4.1551999999999998</v>
      </c>
      <c r="N234" s="64">
        <f t="shared" si="2175"/>
        <v>-0.89710000000000001</v>
      </c>
      <c r="O234" s="64">
        <f t="shared" si="2175"/>
        <v>4.3733000000000004</v>
      </c>
      <c r="P234" s="64">
        <f t="shared" si="2175"/>
        <v>-8.5690000000000008</v>
      </c>
      <c r="Q234" s="64">
        <f t="shared" si="2175"/>
        <v>-121.92150000000001</v>
      </c>
      <c r="R234" s="64">
        <f t="shared" si="2175"/>
        <v>-101.8768</v>
      </c>
      <c r="S234" s="64">
        <f t="shared" si="2175"/>
        <v>-130.33519999999999</v>
      </c>
      <c r="T234" s="64">
        <f t="shared" si="2175"/>
        <v>-161.43380000000002</v>
      </c>
      <c r="U234" s="64">
        <f t="shared" si="2175"/>
        <v>-509.15069999999992</v>
      </c>
      <c r="V234" s="64">
        <f t="shared" si="2175"/>
        <v>-936.08019999999999</v>
      </c>
      <c r="W234" s="64">
        <f t="shared" si="2175"/>
        <v>-1188.5271000000002</v>
      </c>
      <c r="X234" s="64">
        <f t="shared" si="2175"/>
        <v>-1781.8413000000003</v>
      </c>
      <c r="Y234" s="64">
        <f t="shared" si="2175"/>
        <v>-1739.3999999999999</v>
      </c>
      <c r="Z234" s="64">
        <f t="shared" si="2175"/>
        <v>-1466.19</v>
      </c>
      <c r="AA234" s="64">
        <f t="shared" ref="AA234" si="2176">AA41-AA240</f>
        <v>-1970.77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212.76000000000002</v>
      </c>
      <c r="BA234" s="64">
        <f t="shared" si="2177"/>
        <v>190.42999999999995</v>
      </c>
      <c r="BB234" s="64">
        <f t="shared" si="2177"/>
        <v>336.04999999999939</v>
      </c>
      <c r="BC234" s="64">
        <f t="shared" si="2177"/>
        <v>313.45</v>
      </c>
      <c r="BD234" s="64">
        <f t="shared" si="2177"/>
        <v>225.47000000000008</v>
      </c>
      <c r="BE234" s="64">
        <f t="shared" si="2177"/>
        <v>230.28000000000009</v>
      </c>
      <c r="BF234" s="64">
        <f t="shared" si="2177"/>
        <v>381.18999999999932</v>
      </c>
      <c r="BG234" s="64">
        <f t="shared" si="2177"/>
        <v>354.31999999999925</v>
      </c>
      <c r="BH234" s="64">
        <f t="shared" si="2177"/>
        <v>250.52000000000049</v>
      </c>
      <c r="BI234" s="64">
        <f t="shared" si="2177"/>
        <v>264.27999999999838</v>
      </c>
      <c r="BJ234" s="64">
        <f t="shared" si="2177"/>
        <v>457.68000000000086</v>
      </c>
      <c r="BK234" s="64">
        <f t="shared" si="2177"/>
        <v>371.89999999999878</v>
      </c>
      <c r="BL234" s="64">
        <f t="shared" si="2177"/>
        <v>129.83999999999963</v>
      </c>
      <c r="BM234" s="64">
        <f t="shared" si="2177"/>
        <v>389.77000000000265</v>
      </c>
      <c r="BN234" s="64">
        <f t="shared" si="2177"/>
        <v>530.67000000000019</v>
      </c>
      <c r="BO234" s="64">
        <f t="shared" ref="BO234:CT234" si="2178">BO41-BO240</f>
        <v>390.89</v>
      </c>
      <c r="BP234" s="64">
        <f t="shared" si="2178"/>
        <v>299.72999999999973</v>
      </c>
      <c r="BQ234" s="64">
        <f t="shared" si="2178"/>
        <v>232.84999999999658</v>
      </c>
      <c r="BR234" s="64">
        <f t="shared" si="2178"/>
        <v>532.3800000000017</v>
      </c>
      <c r="BS234" s="64">
        <f t="shared" si="2178"/>
        <v>223.15999999999883</v>
      </c>
      <c r="BT234" s="64">
        <f t="shared" si="2178"/>
        <v>246.62000000000182</v>
      </c>
      <c r="BU234" s="64">
        <f t="shared" si="2178"/>
        <v>364.06000000000023</v>
      </c>
      <c r="BV234" s="64">
        <f t="shared" si="2178"/>
        <v>672.15000000000009</v>
      </c>
      <c r="BW234" s="64">
        <f t="shared" si="2178"/>
        <v>262.8500000000015</v>
      </c>
      <c r="BX234" s="64">
        <f t="shared" si="2178"/>
        <v>376.73999999999711</v>
      </c>
      <c r="BY234" s="64">
        <f t="shared" si="2178"/>
        <v>304.13000000000227</v>
      </c>
      <c r="BZ234" s="64">
        <f t="shared" si="2178"/>
        <v>776.84999999999786</v>
      </c>
      <c r="CA234" s="64">
        <f t="shared" si="2178"/>
        <v>381.0399999999994</v>
      </c>
      <c r="CB234" s="64">
        <f t="shared" si="2178"/>
        <v>380.19000000000176</v>
      </c>
      <c r="CC234" s="64">
        <f t="shared" si="2178"/>
        <v>321.75000000000438</v>
      </c>
      <c r="CD234" s="64">
        <f t="shared" si="2178"/>
        <v>810.80000000000098</v>
      </c>
      <c r="CE234" s="64">
        <f t="shared" si="2178"/>
        <v>519.51999999999589</v>
      </c>
      <c r="CF234" s="64">
        <f t="shared" si="2178"/>
        <v>529.41999999999871</v>
      </c>
      <c r="CG234" s="64">
        <f t="shared" si="2178"/>
        <v>550.82000000000062</v>
      </c>
      <c r="CH234" s="64">
        <f t="shared" si="2178"/>
        <v>813.50999999999692</v>
      </c>
      <c r="CI234" s="64">
        <f t="shared" si="2178"/>
        <v>594.37000000000069</v>
      </c>
      <c r="CJ234" s="64">
        <f t="shared" si="2178"/>
        <v>494.58999999999679</v>
      </c>
      <c r="CK234" s="30">
        <f t="shared" si="2178"/>
        <v>576.74000000000592</v>
      </c>
      <c r="CL234" s="64">
        <f t="shared" ref="CL234" si="2179">CL41-CL240</f>
        <v>804.63999999999794</v>
      </c>
      <c r="CM234" s="30">
        <f t="shared" si="2178"/>
        <v>-5267.9431813595429</v>
      </c>
      <c r="CN234" s="30">
        <f t="shared" si="2178"/>
        <v>26697.472250347455</v>
      </c>
      <c r="CO234" s="30">
        <f t="shared" si="2178"/>
        <v>-16377.896235684782</v>
      </c>
      <c r="CP234" s="30">
        <f t="shared" si="2178"/>
        <v>-26243.214668711262</v>
      </c>
      <c r="CQ234" s="30">
        <f t="shared" si="2178"/>
        <v>-8835.6122775382264</v>
      </c>
      <c r="CR234" s="30">
        <f t="shared" si="2178"/>
        <v>25488.994007986417</v>
      </c>
      <c r="CS234" s="30">
        <f t="shared" si="2178"/>
        <v>-22377.470401144365</v>
      </c>
      <c r="CT234" s="30">
        <f t="shared" si="2178"/>
        <v>-37205.876555168907</v>
      </c>
      <c r="CU234" s="30">
        <f t="shared" ref="CU234:DB234" si="2180">CU41-CU240</f>
        <v>-9406.479483617295</v>
      </c>
      <c r="CV234" s="30">
        <f t="shared" si="2180"/>
        <v>29682.737345026904</v>
      </c>
      <c r="CW234" s="30">
        <f t="shared" si="2180"/>
        <v>-27132.703639716503</v>
      </c>
      <c r="CX234" s="30">
        <f t="shared" si="2180"/>
        <v>-44846.669831316402</v>
      </c>
      <c r="CY234" s="30">
        <f t="shared" si="2180"/>
        <v>-10797.756671901361</v>
      </c>
      <c r="CZ234" s="30">
        <f t="shared" si="2180"/>
        <v>35175.799270391515</v>
      </c>
      <c r="DA234" s="30">
        <f t="shared" si="2180"/>
        <v>-32346.289176907274</v>
      </c>
      <c r="DB234" s="30">
        <f t="shared" si="2180"/>
        <v>-53330.267535558691</v>
      </c>
      <c r="DE234" s="139"/>
      <c r="DF234" s="64">
        <v>371127.34231358842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>
        <f t="shared" si="2235"/>
        <v>0</v>
      </c>
      <c r="K244" s="84">
        <f t="shared" si="2235"/>
        <v>0</v>
      </c>
      <c r="L244" s="84">
        <f t="shared" si="2235"/>
        <v>0</v>
      </c>
      <c r="M244" s="84">
        <f t="shared" si="2235"/>
        <v>0</v>
      </c>
      <c r="N244" s="84">
        <f t="shared" si="2235"/>
        <v>0</v>
      </c>
      <c r="O244" s="84">
        <f t="shared" si="2235"/>
        <v>0</v>
      </c>
      <c r="P244" s="84">
        <f t="shared" si="2235"/>
        <v>0</v>
      </c>
      <c r="Q244" s="84">
        <f t="shared" si="2235"/>
        <v>0</v>
      </c>
      <c r="R244" s="84">
        <f t="shared" si="2235"/>
        <v>0</v>
      </c>
      <c r="S244" s="84">
        <f t="shared" si="2235"/>
        <v>0</v>
      </c>
      <c r="T244" s="84">
        <f t="shared" si="2235"/>
        <v>0</v>
      </c>
      <c r="U244" s="84">
        <f t="shared" si="2235"/>
        <v>0</v>
      </c>
      <c r="V244" s="84">
        <f t="shared" si="2235"/>
        <v>0</v>
      </c>
      <c r="W244" s="84">
        <f t="shared" si="2235"/>
        <v>0</v>
      </c>
      <c r="X244" s="84">
        <f t="shared" si="2235"/>
        <v>0</v>
      </c>
      <c r="Y244" s="84">
        <f t="shared" si="2235"/>
        <v>0</v>
      </c>
      <c r="Z244" s="84">
        <f>Z10/(Z161+Z148+Z138)</f>
        <v>0</v>
      </c>
      <c r="AA244" s="84">
        <f>AA10/(AA161+AA148+AA138)</f>
        <v>0</v>
      </c>
      <c r="AB244" s="50">
        <f t="shared" ref="AA244:AE244" si="2236">AB10/(AB161+AB148+AB138)</f>
        <v>0.35003715244619976</v>
      </c>
      <c r="AC244" s="50">
        <f t="shared" si="2236"/>
        <v>0.35019522166815131</v>
      </c>
      <c r="AD244" s="50">
        <f t="shared" si="2236"/>
        <v>0.35050649938180833</v>
      </c>
      <c r="AE244" s="50">
        <f t="shared" si="2236"/>
        <v>0.35063154609550612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>
        <f t="shared" si="2237"/>
        <v>0.11143212493515887</v>
      </c>
      <c r="BA244" s="84">
        <f t="shared" si="2237"/>
        <v>0.22915358126939139</v>
      </c>
      <c r="BB244" s="84">
        <f t="shared" si="2237"/>
        <v>0.34346031005656674</v>
      </c>
      <c r="BC244" s="84">
        <f t="shared" si="2237"/>
        <v>0.4147122491215649</v>
      </c>
      <c r="BD244" s="84">
        <f t="shared" si="2237"/>
        <v>0.39527353806521454</v>
      </c>
      <c r="BE244" s="84">
        <f t="shared" si="2237"/>
        <v>0.42139269561438064</v>
      </c>
      <c r="BF244" s="84">
        <f t="shared" si="2237"/>
        <v>0.40436981942584127</v>
      </c>
      <c r="BG244" s="84">
        <f t="shared" si="2237"/>
        <v>0.417932219934114</v>
      </c>
      <c r="BH244" s="84">
        <f t="shared" si="2237"/>
        <v>0.42923796731695357</v>
      </c>
      <c r="BI244" s="84">
        <f t="shared" si="2237"/>
        <v>0.4630990399960539</v>
      </c>
      <c r="BJ244" s="84">
        <f t="shared" si="2237"/>
        <v>0.42972457808981951</v>
      </c>
      <c r="BK244" s="84">
        <f t="shared" si="2237"/>
        <v>0.45235730387071355</v>
      </c>
      <c r="BL244" s="84">
        <f t="shared" si="2237"/>
        <v>0.44499634953201128</v>
      </c>
      <c r="BM244" s="84">
        <f t="shared" si="2237"/>
        <v>0.47330117497309349</v>
      </c>
      <c r="BN244" s="84">
        <f t="shared" si="2237"/>
        <v>0.47255355160896545</v>
      </c>
      <c r="BO244" s="84">
        <f t="shared" si="2237"/>
        <v>0.48128344928424166</v>
      </c>
      <c r="BP244" s="84">
        <f t="shared" si="2237"/>
        <v>0.4359282024407049</v>
      </c>
      <c r="BQ244" s="84">
        <f t="shared" si="2237"/>
        <v>0.45540410180380536</v>
      </c>
      <c r="BR244" s="84">
        <f t="shared" si="2237"/>
        <v>0.40042283611081853</v>
      </c>
      <c r="BS244" s="84">
        <f t="shared" si="2237"/>
        <v>0.40552354403113905</v>
      </c>
      <c r="BT244" s="84">
        <f t="shared" si="2237"/>
        <v>0.37930229392090536</v>
      </c>
      <c r="BU244" s="84">
        <f t="shared" si="2237"/>
        <v>0.40911174620522345</v>
      </c>
      <c r="BV244" s="84">
        <f t="shared" si="2237"/>
        <v>0.38663470400516753</v>
      </c>
      <c r="BW244" s="84">
        <f t="shared" si="2237"/>
        <v>0.40395278894662229</v>
      </c>
      <c r="BX244" s="84">
        <f t="shared" si="2237"/>
        <v>0.40066053989583217</v>
      </c>
      <c r="BY244" s="84">
        <f t="shared" si="2237"/>
        <v>0.40716064130840363</v>
      </c>
      <c r="BZ244" s="84">
        <f t="shared" si="2237"/>
        <v>0.38370742131911645</v>
      </c>
      <c r="CA244" s="84">
        <f t="shared" si="2237"/>
        <v>0.39476117684476941</v>
      </c>
      <c r="CB244" s="84">
        <f t="shared" si="2237"/>
        <v>0.36980187591507208</v>
      </c>
      <c r="CC244" s="84">
        <f t="shared" si="2237"/>
        <v>0.38527410486535224</v>
      </c>
      <c r="CD244" s="84">
        <f t="shared" si="2237"/>
        <v>0.35237454757326553</v>
      </c>
      <c r="CE244" s="84">
        <f t="shared" si="2237"/>
        <v>0.36030557450050449</v>
      </c>
      <c r="CF244" s="84">
        <f t="shared" si="2237"/>
        <v>0.31397772631638493</v>
      </c>
      <c r="CG244" s="84">
        <f t="shared" si="2237"/>
        <v>0.32282493685914831</v>
      </c>
      <c r="CH244" s="84">
        <f t="shared" si="2237"/>
        <v>9.1304375689047479</v>
      </c>
      <c r="CI244" s="84">
        <f t="shared" si="2237"/>
        <v>11.684097518429118</v>
      </c>
      <c r="CJ244" s="84">
        <f t="shared" si="2237"/>
        <v>0.33059259142911712</v>
      </c>
      <c r="CK244" s="50">
        <f t="shared" ref="CK244" si="2238">SUM(CH10:CK10)/(CK161+CK148+CK138)</f>
        <v>0.25471147795259469</v>
      </c>
      <c r="CL244" s="84">
        <f t="shared" si="2237"/>
        <v>0.36664535517742641</v>
      </c>
      <c r="CM244" s="50">
        <f t="shared" ref="CM244:DB244" si="2239">SUM(CJ10:CM10)/(CM161+CM148+CM138)</f>
        <v>0.73573426402015585</v>
      </c>
      <c r="CN244" s="50">
        <f t="shared" si="2239"/>
        <v>0.32737195164867355</v>
      </c>
      <c r="CO244" s="50">
        <f t="shared" si="2239"/>
        <v>0.2695572827738093</v>
      </c>
      <c r="CP244" s="50">
        <f t="shared" si="2239"/>
        <v>0.35003715244619976</v>
      </c>
      <c r="CQ244" s="50">
        <f t="shared" si="2239"/>
        <v>0.67305388276235256</v>
      </c>
      <c r="CR244" s="50">
        <f t="shared" si="2239"/>
        <v>0.31910058796381674</v>
      </c>
      <c r="CS244" s="50">
        <f t="shared" si="2239"/>
        <v>0.26609379056655058</v>
      </c>
      <c r="CT244" s="50">
        <f t="shared" si="2239"/>
        <v>0.35019522166815131</v>
      </c>
      <c r="CU244" s="50">
        <f t="shared" si="2239"/>
        <v>0.66833586533342237</v>
      </c>
      <c r="CV244" s="50">
        <f t="shared" si="2239"/>
        <v>0.31842454674607579</v>
      </c>
      <c r="CW244" s="50">
        <f t="shared" si="2239"/>
        <v>0.26598450589527933</v>
      </c>
      <c r="CX244" s="50">
        <f t="shared" si="2239"/>
        <v>0.35050649938180833</v>
      </c>
      <c r="CY244" s="50">
        <f t="shared" si="2239"/>
        <v>0.66814487955084945</v>
      </c>
      <c r="CZ244" s="50">
        <f t="shared" si="2239"/>
        <v>0.31844256719054248</v>
      </c>
      <c r="DA244" s="50">
        <f t="shared" si="2239"/>
        <v>0.26605238604941206</v>
      </c>
      <c r="DB244" s="50">
        <f t="shared" si="2239"/>
        <v>0.35063154609550612</v>
      </c>
      <c r="DE244" s="138"/>
      <c r="DF244" s="84">
        <v>0.14443217958453416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 t="e">
        <f t="shared" si="2240"/>
        <v>#DIV/0!</v>
      </c>
      <c r="O245" s="181" t="e">
        <f t="shared" si="2240"/>
        <v>#DIV/0!</v>
      </c>
      <c r="P245" s="181" t="e">
        <f t="shared" si="2240"/>
        <v>#DIV/0!</v>
      </c>
      <c r="Q245" s="181" t="e">
        <f t="shared" si="2240"/>
        <v>#DIV/0!</v>
      </c>
      <c r="R245" s="181" t="e">
        <f t="shared" si="2240"/>
        <v>#DIV/0!</v>
      </c>
      <c r="S245" s="181" t="e">
        <f t="shared" si="2240"/>
        <v>#DIV/0!</v>
      </c>
      <c r="T245" s="181" t="e">
        <f t="shared" si="2240"/>
        <v>#DIV/0!</v>
      </c>
      <c r="U245" s="181" t="e">
        <f t="shared" si="2240"/>
        <v>#DIV/0!</v>
      </c>
      <c r="V245" s="181" t="e">
        <f t="shared" si="2240"/>
        <v>#DIV/0!</v>
      </c>
      <c r="W245" s="181" t="e">
        <f t="shared" si="2240"/>
        <v>#DIV/0!</v>
      </c>
      <c r="X245" s="181" t="e">
        <f t="shared" si="2240"/>
        <v>#DIV/0!</v>
      </c>
      <c r="Y245" s="181" t="e">
        <f t="shared" si="2240"/>
        <v>#DIV/0!</v>
      </c>
      <c r="Z245" s="181" t="e">
        <f t="shared" si="2240"/>
        <v>#DIV/0!</v>
      </c>
      <c r="AA245" s="181" t="e">
        <f t="shared" ref="AA245" si="2241">+AA42</f>
        <v>#DIV/0!</v>
      </c>
      <c r="AB245" s="182">
        <f t="shared" si="2240"/>
        <v>-0.17825617729591792</v>
      </c>
      <c r="AC245" s="182">
        <f t="shared" si="2240"/>
        <v>-0.30378135717591404</v>
      </c>
      <c r="AD245" s="182">
        <f t="shared" si="2240"/>
        <v>-0.30782382554459464</v>
      </c>
      <c r="AE245" s="182">
        <f t="shared" si="2240"/>
        <v>-0.3070675942219237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>
        <f t="shared" si="2242"/>
        <v>4.3230985863979665E-2</v>
      </c>
      <c r="BA245" s="181">
        <f t="shared" si="2242"/>
        <v>3.6321640014648431E-2</v>
      </c>
      <c r="BB245" s="181">
        <f t="shared" si="2242"/>
        <v>4.5745672844589864E-2</v>
      </c>
      <c r="BC245" s="181">
        <f t="shared" si="2242"/>
        <v>8.3307198783813236E-2</v>
      </c>
      <c r="BD245" s="181">
        <f t="shared" si="2242"/>
        <v>4.1873352932546161E-2</v>
      </c>
      <c r="BE245" s="181">
        <f t="shared" si="2242"/>
        <v>3.3983598501227098E-2</v>
      </c>
      <c r="BF245" s="181">
        <f t="shared" si="2242"/>
        <v>4.1269067957170773E-2</v>
      </c>
      <c r="BG245" s="181">
        <f t="shared" si="2242"/>
        <v>7.4522769911578718E-2</v>
      </c>
      <c r="BH245" s="181">
        <f t="shared" si="2242"/>
        <v>3.269834432980278E-2</v>
      </c>
      <c r="BI245" s="181">
        <f t="shared" si="2242"/>
        <v>2.8910675333597161E-2</v>
      </c>
      <c r="BJ245" s="181">
        <f t="shared" si="2242"/>
        <v>4.038464592844633E-2</v>
      </c>
      <c r="BK245" s="181">
        <f t="shared" si="2242"/>
        <v>5.5882626949280208E-2</v>
      </c>
      <c r="BL245" s="181">
        <f t="shared" si="2242"/>
        <v>1.2840812104225743E-2</v>
      </c>
      <c r="BM245" s="181">
        <f t="shared" si="2242"/>
        <v>3.332931435348746E-2</v>
      </c>
      <c r="BN245" s="181">
        <f t="shared" si="2242"/>
        <v>4.473327949638288E-2</v>
      </c>
      <c r="BO245" s="181">
        <f t="shared" si="2242"/>
        <v>5.151362200501048E-2</v>
      </c>
      <c r="BP245" s="181">
        <f t="shared" si="2242"/>
        <v>2.3310869928721119E-2</v>
      </c>
      <c r="BQ245" s="181">
        <f t="shared" si="2242"/>
        <v>1.691426064305401E-2</v>
      </c>
      <c r="BR245" s="181">
        <f t="shared" si="2242"/>
        <v>3.4224022772301521E-2</v>
      </c>
      <c r="BS245" s="181">
        <f t="shared" si="2242"/>
        <v>2.6846154308846123E-2</v>
      </c>
      <c r="BT245" s="181">
        <f t="shared" si="2242"/>
        <v>1.6821912276681089E-2</v>
      </c>
      <c r="BU245" s="181">
        <f t="shared" si="2242"/>
        <v>2.0197122495331586E-2</v>
      </c>
      <c r="BV245" s="181">
        <f t="shared" si="2242"/>
        <v>3.8554483625744748E-2</v>
      </c>
      <c r="BW245" s="181">
        <f t="shared" si="2242"/>
        <v>2.3817463179660919E-2</v>
      </c>
      <c r="BX245" s="181">
        <f t="shared" si="2242"/>
        <v>2.2864238350308069E-2</v>
      </c>
      <c r="BY245" s="181">
        <f t="shared" si="2242"/>
        <v>1.5864231018006672E-2</v>
      </c>
      <c r="BZ245" s="181">
        <f t="shared" si="2242"/>
        <v>3.904373139159216E-2</v>
      </c>
      <c r="CA245" s="181">
        <f t="shared" si="2242"/>
        <v>2.907705679503738E-2</v>
      </c>
      <c r="CB245" s="181">
        <f t="shared" si="2242"/>
        <v>1.8962416320276839E-2</v>
      </c>
      <c r="CC245" s="181">
        <f t="shared" si="2242"/>
        <v>1.4417602783953034E-2</v>
      </c>
      <c r="CD245" s="181">
        <f t="shared" si="2242"/>
        <v>3.2281606451862101E-2</v>
      </c>
      <c r="CE245" s="181">
        <f t="shared" si="2242"/>
        <v>3.4392816381869092E-2</v>
      </c>
      <c r="CF245" s="181">
        <f t="shared" si="2242"/>
        <v>2.6123427793211262E-2</v>
      </c>
      <c r="CG245" s="181">
        <f t="shared" si="2242"/>
        <v>2.2185846845881655E-2</v>
      </c>
      <c r="CH245" s="181">
        <f t="shared" si="2242"/>
        <v>3.4094123770834858E-2</v>
      </c>
      <c r="CI245" s="181">
        <f t="shared" si="2242"/>
        <v>3.459964490496846E-2</v>
      </c>
      <c r="CJ245" s="181">
        <f t="shared" si="2242"/>
        <v>1.990437176612803E-2</v>
      </c>
      <c r="CK245" s="182">
        <f t="shared" si="2242"/>
        <v>1.9068735262182907E-2</v>
      </c>
      <c r="CL245" s="181">
        <f t="shared" ref="CL245" si="2243">+CL42</f>
        <v>2.9065384472284968E-2</v>
      </c>
      <c r="CM245" s="182">
        <f t="shared" si="2242"/>
        <v>-0.25868690118345739</v>
      </c>
      <c r="CN245" s="182">
        <f t="shared" si="2242"/>
        <v>0.89721968708151123</v>
      </c>
      <c r="CO245" s="182">
        <f t="shared" si="2242"/>
        <v>-0.45491132755561409</v>
      </c>
      <c r="CP245" s="182">
        <f t="shared" si="2242"/>
        <v>-0.80106527875932942</v>
      </c>
      <c r="CQ245" s="182">
        <f t="shared" si="2242"/>
        <v>-0.36486089059652166</v>
      </c>
      <c r="CR245" s="182">
        <f t="shared" si="2242"/>
        <v>0.71977871069229837</v>
      </c>
      <c r="CS245" s="182">
        <f t="shared" si="2242"/>
        <v>-0.52308579951749479</v>
      </c>
      <c r="CT245" s="182">
        <f t="shared" si="2242"/>
        <v>-0.95619738415988187</v>
      </c>
      <c r="CU245" s="182">
        <f t="shared" si="2242"/>
        <v>-0.32674277985743311</v>
      </c>
      <c r="CV245" s="182">
        <f t="shared" si="2242"/>
        <v>0.70513327481588794</v>
      </c>
      <c r="CW245" s="182">
        <f t="shared" si="2242"/>
        <v>-0.53370575534444775</v>
      </c>
      <c r="CX245" s="182">
        <f t="shared" ref="CX245:DB245" si="2244">+CX42</f>
        <v>-0.96984309914658384</v>
      </c>
      <c r="CY245" s="182">
        <f t="shared" si="2244"/>
        <v>-0.31556239954227089</v>
      </c>
      <c r="CZ245" s="182">
        <f t="shared" si="2244"/>
        <v>0.70308076114206464</v>
      </c>
      <c r="DA245" s="182">
        <f t="shared" si="2244"/>
        <v>-0.53535950390763709</v>
      </c>
      <c r="DB245" s="182">
        <f t="shared" si="2244"/>
        <v>-0.97039515783078201</v>
      </c>
      <c r="DE245" s="138"/>
      <c r="DF245" s="84">
        <v>13.729416454095329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>
        <f t="shared" si="2245"/>
        <v>0.45079800866031822</v>
      </c>
      <c r="K246" s="84">
        <f t="shared" si="2245"/>
        <v>0.69258984744527807</v>
      </c>
      <c r="L246" s="84">
        <f t="shared" si="2245"/>
        <v>0.98431019437666101</v>
      </c>
      <c r="M246" s="84">
        <f t="shared" si="2245"/>
        <v>1.6171185858596442</v>
      </c>
      <c r="N246" s="84">
        <f t="shared" si="2245"/>
        <v>0.90422387635636536</v>
      </c>
      <c r="O246" s="84">
        <f t="shared" si="2245"/>
        <v>0.8545779875270384</v>
      </c>
      <c r="P246" s="84">
        <f t="shared" si="2245"/>
        <v>0.70211125157200704</v>
      </c>
      <c r="Q246" s="84">
        <f t="shared" si="2245"/>
        <v>1.1853036948047044</v>
      </c>
      <c r="R246" s="84">
        <f t="shared" si="2245"/>
        <v>1.1671110150617199</v>
      </c>
      <c r="S246" s="84">
        <f t="shared" si="2245"/>
        <v>1.1361960342353814</v>
      </c>
      <c r="T246" s="84">
        <f t="shared" si="2245"/>
        <v>0.98720665411302122</v>
      </c>
      <c r="U246" s="84">
        <f t="shared" si="2245"/>
        <v>0.75578684964058196</v>
      </c>
      <c r="V246" s="84">
        <f t="shared" si="2245"/>
        <v>0.79427360495459265</v>
      </c>
      <c r="W246" s="84">
        <f t="shared" si="2245"/>
        <v>0.73828341357718308</v>
      </c>
      <c r="X246" s="84">
        <f t="shared" si="2245"/>
        <v>0.78711320952891783</v>
      </c>
      <c r="Y246" s="84">
        <f t="shared" si="2245"/>
        <v>0.84789166947649464</v>
      </c>
      <c r="Z246" s="84">
        <f t="shared" si="2245"/>
        <v>0.54823931961883987</v>
      </c>
      <c r="AA246" s="84">
        <f t="shared" ref="AA246" si="2246">(AA161+AA148+AA138+AA140)/AA120</f>
        <v>0.23365895189070951</v>
      </c>
      <c r="AB246" s="50">
        <f t="shared" si="2245"/>
        <v>-269.30890797726897</v>
      </c>
      <c r="AC246" s="50">
        <f t="shared" si="2245"/>
        <v>-14.01038755371407</v>
      </c>
      <c r="AD246" s="50">
        <f t="shared" si="2245"/>
        <v>-7.3044714914363853</v>
      </c>
      <c r="AE246" s="50">
        <f t="shared" si="2245"/>
        <v>-5.0415620100952161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>
        <f t="shared" si="2247"/>
        <v>17.548516532497441</v>
      </c>
      <c r="BA246" s="84">
        <f t="shared" si="2247"/>
        <v>16.960774074184595</v>
      </c>
      <c r="BB246" s="84">
        <f t="shared" si="2247"/>
        <v>18.414640999409229</v>
      </c>
      <c r="BC246" s="84">
        <f t="shared" si="2247"/>
        <v>17.484014232302965</v>
      </c>
      <c r="BD246" s="84">
        <f t="shared" si="2247"/>
        <v>17.711022722861319</v>
      </c>
      <c r="BE246" s="84">
        <f t="shared" si="2247"/>
        <v>17.110920687396689</v>
      </c>
      <c r="BF246" s="84">
        <f t="shared" si="2247"/>
        <v>18.646414882763313</v>
      </c>
      <c r="BG246" s="84">
        <f t="shared" si="2247"/>
        <v>17.737907104476225</v>
      </c>
      <c r="BH246" s="84">
        <f t="shared" si="2247"/>
        <v>18.473142937733588</v>
      </c>
      <c r="BI246" s="84">
        <f t="shared" si="2247"/>
        <v>17.845278852664528</v>
      </c>
      <c r="BJ246" s="84">
        <f t="shared" si="2247"/>
        <v>19.367352353045995</v>
      </c>
      <c r="BK246" s="84">
        <f t="shared" si="2247"/>
        <v>18.507940741672694</v>
      </c>
      <c r="BL246" s="84">
        <f t="shared" si="2247"/>
        <v>19.796546101944379</v>
      </c>
      <c r="BM246" s="84">
        <f t="shared" si="2247"/>
        <v>18.930675563718268</v>
      </c>
      <c r="BN246" s="84">
        <f t="shared" si="2247"/>
        <v>18.938413007773004</v>
      </c>
      <c r="BO246" s="84">
        <f t="shared" si="2247"/>
        <v>18.170735178679145</v>
      </c>
      <c r="BP246" s="84">
        <f t="shared" si="2247"/>
        <v>19.848269888674338</v>
      </c>
      <c r="BQ246" s="84">
        <f t="shared" si="2247"/>
        <v>19.40479306090403</v>
      </c>
      <c r="BR246" s="84">
        <f t="shared" si="2247"/>
        <v>21.809717482834845</v>
      </c>
      <c r="BS246" s="84">
        <f t="shared" si="2247"/>
        <v>21.372586856232218</v>
      </c>
      <c r="BT246" s="84">
        <f t="shared" si="2247"/>
        <v>22.894174664705819</v>
      </c>
      <c r="BU246" s="84">
        <f t="shared" si="2247"/>
        <v>22.186973533613113</v>
      </c>
      <c r="BV246" s="84">
        <f t="shared" si="2247"/>
        <v>23.518301439214749</v>
      </c>
      <c r="BW246" s="84">
        <f t="shared" si="2247"/>
        <v>23.020290850102135</v>
      </c>
      <c r="BX246" s="84">
        <f t="shared" si="2247"/>
        <v>23.611566750299815</v>
      </c>
      <c r="BY246" s="84">
        <f t="shared" si="2247"/>
        <v>23.062305014784126</v>
      </c>
      <c r="BZ246" s="84">
        <f t="shared" si="2247"/>
        <v>24.167440241890141</v>
      </c>
      <c r="CA246" s="84">
        <f t="shared" si="2247"/>
        <v>23.508582291178431</v>
      </c>
      <c r="CB246" s="84">
        <f t="shared" si="2247"/>
        <v>25.209667604940112</v>
      </c>
      <c r="CC246" s="84">
        <f t="shared" si="2247"/>
        <v>24.664594452184534</v>
      </c>
      <c r="CD246" s="84">
        <f t="shared" si="2247"/>
        <v>26.714669290662542</v>
      </c>
      <c r="CE246" s="84">
        <f t="shared" si="2247"/>
        <v>25.848762127238135</v>
      </c>
      <c r="CF246" s="84">
        <f t="shared" si="2247"/>
        <v>27.584327953384982</v>
      </c>
      <c r="CG246" s="84">
        <f t="shared" si="2247"/>
        <v>26.713226563299379</v>
      </c>
      <c r="CH246" s="84">
        <f t="shared" si="2247"/>
        <v>0.54823931961883987</v>
      </c>
      <c r="CI246" s="84">
        <f t="shared" si="2247"/>
        <v>0.42397597468138465</v>
      </c>
      <c r="CJ246" s="84">
        <f t="shared" si="2247"/>
        <v>26.77794490187987</v>
      </c>
      <c r="CK246" s="50">
        <f t="shared" si="2247"/>
        <v>31.418033890680331</v>
      </c>
      <c r="CL246" s="84">
        <f t="shared" ref="CL246" si="2248">(CL161+CL148+CL138+CL140)/CL120</f>
        <v>26.199619616472809</v>
      </c>
      <c r="CM246" s="50">
        <f t="shared" si="2247"/>
        <v>26.603717582031656</v>
      </c>
      <c r="CN246" s="50">
        <f t="shared" si="2247"/>
        <v>13.759486401976336</v>
      </c>
      <c r="CO246" s="50">
        <f t="shared" si="2247"/>
        <v>26.913140267745224</v>
      </c>
      <c r="CP246" s="50">
        <f t="shared" si="2247"/>
        <v>-269.30890797726897</v>
      </c>
      <c r="CQ246" s="50">
        <f t="shared" si="2247"/>
        <v>-37.45280021639271</v>
      </c>
      <c r="CR246" s="50">
        <f t="shared" si="2247"/>
        <v>43.290199892827182</v>
      </c>
      <c r="CS246" s="50">
        <f t="shared" si="2247"/>
        <v>-93.924415929038361</v>
      </c>
      <c r="CT246" s="50">
        <f t="shared" si="2247"/>
        <v>-14.01038755371407</v>
      </c>
      <c r="CU246" s="50">
        <f t="shared" si="2247"/>
        <v>-8.1869253737861083</v>
      </c>
      <c r="CV246" s="50">
        <f t="shared" si="2247"/>
        <v>-28.537785054490321</v>
      </c>
      <c r="CW246" s="50">
        <f t="shared" si="2247"/>
        <v>-16.020573688142864</v>
      </c>
      <c r="CX246" s="50">
        <f t="shared" ref="CX246:DB246" si="2249">(CX161+CX148+CX138+CX140)/CX120</f>
        <v>-7.3044714914363853</v>
      </c>
      <c r="CY246" s="50">
        <f t="shared" si="2249"/>
        <v>-4.5281023293525804</v>
      </c>
      <c r="CZ246" s="50">
        <f t="shared" si="2249"/>
        <v>-11.012124890275333</v>
      </c>
      <c r="DA246" s="50">
        <f t="shared" si="2249"/>
        <v>-9.0250596716599176</v>
      </c>
      <c r="DB246" s="50">
        <f t="shared" si="2249"/>
        <v>-5.0415620100952161</v>
      </c>
      <c r="DE246" s="138"/>
      <c r="DF246" s="84">
        <v>2.3156002303391552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>
        <f t="shared" si="2250"/>
        <v>0.13088390662179009</v>
      </c>
      <c r="K248" s="88">
        <f t="shared" si="2250"/>
        <v>0.25651461664327657</v>
      </c>
      <c r="L248" s="88">
        <f t="shared" si="2250"/>
        <v>0.49543667253200879</v>
      </c>
      <c r="M248" s="88">
        <f t="shared" si="2250"/>
        <v>1.0870596603558864</v>
      </c>
      <c r="N248" s="88">
        <f t="shared" si="2250"/>
        <v>0.80253266870620854</v>
      </c>
      <c r="O248" s="88">
        <f t="shared" si="2250"/>
        <v>0.76896347067569149</v>
      </c>
      <c r="P248" s="88">
        <f t="shared" si="2250"/>
        <v>0.6350630154080722</v>
      </c>
      <c r="Q248" s="88">
        <f t="shared" si="2250"/>
        <v>0.55786605254474919</v>
      </c>
      <c r="R248" s="88">
        <f t="shared" si="2250"/>
        <v>0.44463659202445627</v>
      </c>
      <c r="S248" s="88">
        <f t="shared" si="2250"/>
        <v>0.41487894343330839</v>
      </c>
      <c r="T248" s="88">
        <f t="shared" si="2250"/>
        <v>0.324475099260151</v>
      </c>
      <c r="U248" s="88">
        <f t="shared" si="2250"/>
        <v>0.16020256331935689</v>
      </c>
      <c r="V248" s="88">
        <f t="shared" si="2250"/>
        <v>0.26856193974490128</v>
      </c>
      <c r="W248" s="88">
        <f t="shared" si="2250"/>
        <v>0.28061782877409613</v>
      </c>
      <c r="X248" s="88">
        <f t="shared" si="2250"/>
        <v>0.32224883608155869</v>
      </c>
      <c r="Y248" s="88">
        <f t="shared" si="2250"/>
        <v>0.32524788166374713</v>
      </c>
      <c r="Z248" s="88">
        <f t="shared" si="2250"/>
        <v>0.10996466372177834</v>
      </c>
      <c r="AA248" s="88">
        <f t="shared" ref="AA248" si="2251">AA161/AA120</f>
        <v>0.16807156797254641</v>
      </c>
      <c r="AB248" s="42">
        <f t="shared" si="2250"/>
        <v>-9.9427203394093606</v>
      </c>
      <c r="AC248" s="42">
        <f t="shared" si="2250"/>
        <v>-0.55849118761987837</v>
      </c>
      <c r="AD248" s="42">
        <f t="shared" si="2250"/>
        <v>-0.30649515042356484</v>
      </c>
      <c r="AE248" s="42">
        <f t="shared" si="2250"/>
        <v>-0.22255433075457506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>
        <f t="shared" si="2252"/>
        <v>0.40656658925266803</v>
      </c>
      <c r="BA248" s="88">
        <f t="shared" si="2252"/>
        <v>0.42764316194682334</v>
      </c>
      <c r="BB248" s="88">
        <f t="shared" si="2252"/>
        <v>0.43764499070618584</v>
      </c>
      <c r="BC248" s="88">
        <f t="shared" si="2252"/>
        <v>0.46769686626783941</v>
      </c>
      <c r="BD248" s="88">
        <f t="shared" si="2252"/>
        <v>0.30852980758032583</v>
      </c>
      <c r="BE248" s="88">
        <f t="shared" si="2252"/>
        <v>0.33336088326107977</v>
      </c>
      <c r="BF248" s="88">
        <f t="shared" si="2252"/>
        <v>0.40513218808116647</v>
      </c>
      <c r="BG248" s="88">
        <f t="shared" si="2252"/>
        <v>0.43575835423284032</v>
      </c>
      <c r="BH248" s="88">
        <f t="shared" si="2252"/>
        <v>0.27978985967139131</v>
      </c>
      <c r="BI248" s="88">
        <f t="shared" si="2252"/>
        <v>0.30566923823690151</v>
      </c>
      <c r="BJ248" s="88">
        <f t="shared" si="2252"/>
        <v>0.31949817524269603</v>
      </c>
      <c r="BK248" s="88">
        <f t="shared" si="2252"/>
        <v>0.35133897398798469</v>
      </c>
      <c r="BL248" s="88">
        <f t="shared" si="2252"/>
        <v>0.2173163219541446</v>
      </c>
      <c r="BM248" s="88">
        <f t="shared" si="2252"/>
        <v>0.25337096379604418</v>
      </c>
      <c r="BN248" s="88">
        <f t="shared" si="2252"/>
        <v>0.16278359571226617</v>
      </c>
      <c r="BO248" s="88">
        <f t="shared" si="2252"/>
        <v>0.19861243249101995</v>
      </c>
      <c r="BP248" s="88">
        <f t="shared" si="2252"/>
        <v>0.22315217818728958</v>
      </c>
      <c r="BQ248" s="88">
        <f t="shared" si="2252"/>
        <v>0.24143046100648799</v>
      </c>
      <c r="BR248" s="88">
        <f t="shared" si="2252"/>
        <v>0.26061614760158952</v>
      </c>
      <c r="BS248" s="88">
        <f t="shared" si="2252"/>
        <v>0.27614770524841409</v>
      </c>
      <c r="BT248" s="88">
        <f t="shared" si="2252"/>
        <v>0.23170414162122116</v>
      </c>
      <c r="BU248" s="88">
        <f t="shared" si="2252"/>
        <v>0.25652077473848572</v>
      </c>
      <c r="BV248" s="88">
        <f t="shared" si="2252"/>
        <v>0.27569562333133424</v>
      </c>
      <c r="BW248" s="88">
        <f t="shared" si="2252"/>
        <v>0.29171420494128819</v>
      </c>
      <c r="BX248" s="88">
        <f t="shared" si="2252"/>
        <v>0.270340249098522</v>
      </c>
      <c r="BY248" s="88">
        <f t="shared" si="2252"/>
        <v>0.2880645485927521</v>
      </c>
      <c r="BZ248" s="88">
        <f t="shared" si="2252"/>
        <v>0.31994825419359202</v>
      </c>
      <c r="CA248" s="88">
        <f t="shared" si="2252"/>
        <v>0.33928821989294339</v>
      </c>
      <c r="CB248" s="88">
        <f t="shared" si="2252"/>
        <v>0.25043668372358063</v>
      </c>
      <c r="CC248" s="88">
        <f t="shared" si="2252"/>
        <v>0.26731286916568664</v>
      </c>
      <c r="CD248" s="88">
        <f t="shared" si="2252"/>
        <v>0.31833322601243846</v>
      </c>
      <c r="CE248" s="88">
        <f t="shared" si="2252"/>
        <v>0.34128744471120176</v>
      </c>
      <c r="CF248" s="88">
        <f t="shared" si="2252"/>
        <v>0.25669561858745293</v>
      </c>
      <c r="CG248" s="88">
        <f t="shared" si="2252"/>
        <v>0.28105182879673707</v>
      </c>
      <c r="CH248" s="88">
        <f t="shared" si="2252"/>
        <v>0.10996466372177834</v>
      </c>
      <c r="CI248" s="88">
        <f t="shared" si="2252"/>
        <v>0.10971839444007202</v>
      </c>
      <c r="CJ248" s="88">
        <f t="shared" si="2252"/>
        <v>9.4765377983160662E-2</v>
      </c>
      <c r="CK248" s="42">
        <f t="shared" si="2252"/>
        <v>2.4195874363015424</v>
      </c>
      <c r="CL248" s="88">
        <f t="shared" ref="CL248" si="2253">CL161/CL120</f>
        <v>0.16807817248244786</v>
      </c>
      <c r="CM248" s="42">
        <f t="shared" si="2252"/>
        <v>-4.2100380580012811</v>
      </c>
      <c r="CN248" s="42">
        <f t="shared" si="2252"/>
        <v>1.0001598043169104</v>
      </c>
      <c r="CO248" s="42">
        <f t="shared" si="2252"/>
        <v>2.9842448202964911</v>
      </c>
      <c r="CP248" s="42">
        <f t="shared" si="2252"/>
        <v>-9.9427203394093606</v>
      </c>
      <c r="CQ248" s="42">
        <f t="shared" si="2252"/>
        <v>4.8807711834942804</v>
      </c>
      <c r="CR248" s="42">
        <f t="shared" si="2252"/>
        <v>3.9812661572244852</v>
      </c>
      <c r="CS248" s="42">
        <f t="shared" si="2252"/>
        <v>-11.753052148502386</v>
      </c>
      <c r="CT248" s="42">
        <f t="shared" si="2252"/>
        <v>-0.55849118761987837</v>
      </c>
      <c r="CU248" s="42">
        <f t="shared" si="2252"/>
        <v>1.1360704218086026</v>
      </c>
      <c r="CV248" s="42">
        <f t="shared" si="2252"/>
        <v>-2.8209690425946112</v>
      </c>
      <c r="CW248" s="42">
        <f t="shared" si="2252"/>
        <v>-2.1147747449458643</v>
      </c>
      <c r="CX248" s="42">
        <f t="shared" ref="CX248:DB248" si="2254">CX161/CX120</f>
        <v>-0.30649515042356484</v>
      </c>
      <c r="CY248" s="42">
        <f t="shared" si="2254"/>
        <v>0.68186192836277792</v>
      </c>
      <c r="CZ248" s="42">
        <f t="shared" si="2254"/>
        <v>-1.1481619375651111</v>
      </c>
      <c r="DA248" s="42">
        <f t="shared" si="2254"/>
        <v>-1.2451829282705993</v>
      </c>
      <c r="DB248" s="42">
        <f t="shared" si="2254"/>
        <v>-0.22255433075457506</v>
      </c>
      <c r="DE248" s="125"/>
      <c r="DF248" s="88">
        <v>1.0025014533868049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>
        <f t="shared" si="2256"/>
        <v>0</v>
      </c>
      <c r="BB249" s="89">
        <f t="shared" si="2256"/>
        <v>-1</v>
      </c>
      <c r="BC249" s="89" t="e">
        <f t="shared" si="2256"/>
        <v>#DIV/0!</v>
      </c>
      <c r="BD249" s="89" t="e">
        <f t="shared" si="2256"/>
        <v>#DIV/0!</v>
      </c>
      <c r="BE249" s="89">
        <f t="shared" si="2256"/>
        <v>0</v>
      </c>
      <c r="BF249" s="89">
        <f t="shared" si="2256"/>
        <v>-1.7169562125368354E-2</v>
      </c>
      <c r="BG249" s="89">
        <f t="shared" si="2256"/>
        <v>0</v>
      </c>
      <c r="BH249" s="89">
        <f t="shared" si="2256"/>
        <v>1.1517469505892084</v>
      </c>
      <c r="BI249" s="89">
        <f t="shared" si="2256"/>
        <v>0</v>
      </c>
      <c r="BJ249" s="89">
        <f t="shared" si="2256"/>
        <v>-0.32354919292851647</v>
      </c>
      <c r="BK249" s="89">
        <f t="shared" si="2256"/>
        <v>0</v>
      </c>
      <c r="BL249" s="89">
        <f t="shared" si="2256"/>
        <v>1.2639727292095735</v>
      </c>
      <c r="BM249" s="89">
        <f t="shared" si="2256"/>
        <v>0</v>
      </c>
      <c r="BN249" s="89">
        <f t="shared" si="2256"/>
        <v>0.11934188650835953</v>
      </c>
      <c r="BO249" s="89">
        <f t="shared" si="2256"/>
        <v>0</v>
      </c>
      <c r="BP249" s="89">
        <f t="shared" si="2256"/>
        <v>0.85100957024955526</v>
      </c>
      <c r="BQ249" s="89">
        <f t="shared" si="2256"/>
        <v>0</v>
      </c>
      <c r="BR249" s="89">
        <f t="shared" si="2256"/>
        <v>-0.36236667398429989</v>
      </c>
      <c r="BS249" s="89">
        <f t="shared" si="2256"/>
        <v>0</v>
      </c>
      <c r="BT249" s="89">
        <f t="shared" si="2256"/>
        <v>0.32754772533004073</v>
      </c>
      <c r="BU249" s="89">
        <f t="shared" si="2256"/>
        <v>0</v>
      </c>
      <c r="BV249" s="89">
        <f t="shared" si="2256"/>
        <v>-0.11140920391336229</v>
      </c>
      <c r="BW249" s="89">
        <f t="shared" si="2256"/>
        <v>0</v>
      </c>
      <c r="BX249" s="89">
        <f t="shared" si="2256"/>
        <v>0.32867034338392176</v>
      </c>
      <c r="BY249" s="89">
        <f t="shared" si="2256"/>
        <v>0</v>
      </c>
      <c r="BZ249" s="89">
        <f t="shared" si="2256"/>
        <v>-0.13443214009786253</v>
      </c>
      <c r="CA249" s="89">
        <f t="shared" si="2256"/>
        <v>0</v>
      </c>
      <c r="CB249" s="89">
        <f t="shared" si="2256"/>
        <v>0.33991109088681593</v>
      </c>
      <c r="CC249" s="89">
        <f t="shared" si="2256"/>
        <v>0</v>
      </c>
      <c r="CD249" s="89">
        <f t="shared" si="2256"/>
        <v>-0.12709888516624546</v>
      </c>
      <c r="CE249" s="89">
        <f t="shared" si="2256"/>
        <v>0</v>
      </c>
      <c r="CF249" s="89">
        <f t="shared" si="2256"/>
        <v>-1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>
        <f t="shared" si="2258"/>
        <v>-0.20735444330949948</v>
      </c>
      <c r="L250" s="89">
        <f t="shared" si="2258"/>
        <v>6.7788659793814432</v>
      </c>
      <c r="M250" s="89">
        <f t="shared" si="2258"/>
        <v>-0.22778477238088923</v>
      </c>
      <c r="N250" s="89">
        <f t="shared" si="2258"/>
        <v>2.195649375724031</v>
      </c>
      <c r="O250" s="89">
        <f t="shared" si="2258"/>
        <v>-0.59964286193794392</v>
      </c>
      <c r="P250" s="89">
        <f t="shared" si="2258"/>
        <v>-0.46399946342935705</v>
      </c>
      <c r="Q250" s="89">
        <f t="shared" si="2258"/>
        <v>72.268723018206842</v>
      </c>
      <c r="R250" s="89">
        <f t="shared" si="2258"/>
        <v>-0.22996975374320916</v>
      </c>
      <c r="S250" s="89">
        <f t="shared" si="2258"/>
        <v>0.19472978562723231</v>
      </c>
      <c r="T250" s="89">
        <f t="shared" si="2258"/>
        <v>0.19652497252502465</v>
      </c>
      <c r="U250" s="89">
        <f t="shared" si="2258"/>
        <v>3.0694268499203679</v>
      </c>
      <c r="V250" s="89">
        <f t="shared" si="2258"/>
        <v>0.63136827143840812</v>
      </c>
      <c r="W250" s="89">
        <f t="shared" si="2258"/>
        <v>0.3310983705364916</v>
      </c>
      <c r="X250" s="89">
        <f t="shared" si="2258"/>
        <v>0.53162763892126019</v>
      </c>
      <c r="Y250" s="89">
        <f t="shared" si="2258"/>
        <v>-3.7648589360756213E-2</v>
      </c>
      <c r="Z250" s="89">
        <f t="shared" si="2258"/>
        <v>-0.17803731916642351</v>
      </c>
      <c r="AA250" s="89">
        <f t="shared" si="2258"/>
        <v>0.37937106006811105</v>
      </c>
      <c r="AB250" s="47">
        <f t="shared" si="2258"/>
        <v>-3.2293416662700118</v>
      </c>
      <c r="AC250" s="47">
        <f t="shared" si="2258"/>
        <v>1.127917020784365</v>
      </c>
      <c r="AD250" s="47">
        <f t="shared" si="2258"/>
        <v>0.27790625654584322</v>
      </c>
      <c r="AE250" s="47">
        <f t="shared" si="2258"/>
        <v>0.20114207173133369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>
        <f t="shared" si="2259"/>
        <v>-0.7754626769554489</v>
      </c>
      <c r="BB250" s="89">
        <f t="shared" si="2259"/>
        <v>4.163595737940005</v>
      </c>
      <c r="BC250" s="89">
        <f t="shared" si="2259"/>
        <v>-0.25978312116926006</v>
      </c>
      <c r="BD250" s="89">
        <f t="shared" si="2259"/>
        <v>-4.2156007329203438E-2</v>
      </c>
      <c r="BE250" s="89">
        <f t="shared" si="2259"/>
        <v>0.21295608885164241</v>
      </c>
      <c r="BF250" s="89">
        <f t="shared" si="2259"/>
        <v>-0.84418710314554657</v>
      </c>
      <c r="BG250" s="89">
        <f t="shared" si="2259"/>
        <v>3.1470538619110675</v>
      </c>
      <c r="BH250" s="89">
        <f t="shared" si="2259"/>
        <v>4.8447833009843455E-2</v>
      </c>
      <c r="BI250" s="89">
        <f t="shared" si="2259"/>
        <v>0.56712984774330977</v>
      </c>
      <c r="BJ250" s="89">
        <f t="shared" si="2259"/>
        <v>0.34279550116714907</v>
      </c>
      <c r="BK250" s="89">
        <f t="shared" si="2259"/>
        <v>-0.26683207695265732</v>
      </c>
      <c r="BL250" s="89">
        <f t="shared" si="2259"/>
        <v>-0.98721062236847767</v>
      </c>
      <c r="BM250" s="89">
        <f t="shared" si="2259"/>
        <v>105.4904494382011</v>
      </c>
      <c r="BN250" s="89">
        <f t="shared" si="2259"/>
        <v>-2.9153191983244806</v>
      </c>
      <c r="BO250" s="89">
        <f t="shared" si="2259"/>
        <v>-2.1099435484204161</v>
      </c>
      <c r="BP250" s="89">
        <f t="shared" si="2259"/>
        <v>-0.3182978881802615</v>
      </c>
      <c r="BQ250" s="89">
        <f t="shared" si="2259"/>
        <v>1.3052778338984843</v>
      </c>
      <c r="BR250" s="89">
        <f t="shared" si="2259"/>
        <v>-0.66497992570339015</v>
      </c>
      <c r="BS250" s="89">
        <f t="shared" si="2259"/>
        <v>0.75329352042571918</v>
      </c>
      <c r="BT250" s="89">
        <f t="shared" si="2259"/>
        <v>0.43868034851617144</v>
      </c>
      <c r="BU250" s="89">
        <f t="shared" si="2259"/>
        <v>-0.7901097997593225</v>
      </c>
      <c r="BV250" s="89">
        <f t="shared" si="2259"/>
        <v>0.56122022007763284</v>
      </c>
      <c r="BW250" s="89">
        <f t="shared" si="2259"/>
        <v>-2.8588894432960297</v>
      </c>
      <c r="BX250" s="89">
        <f t="shared" si="2259"/>
        <v>-2.6587316073556773</v>
      </c>
      <c r="BY250" s="89">
        <f t="shared" si="2259"/>
        <v>-0.32380978801118931</v>
      </c>
      <c r="BZ250" s="89">
        <f t="shared" si="2259"/>
        <v>-0.68550247590082136</v>
      </c>
      <c r="CA250" s="89">
        <f t="shared" si="2259"/>
        <v>5.2471170904790014</v>
      </c>
      <c r="CB250" s="89">
        <f t="shared" si="2259"/>
        <v>-0.41932933199785349</v>
      </c>
      <c r="CC250" s="89">
        <f t="shared" si="2259"/>
        <v>0.96158668587771912</v>
      </c>
      <c r="CD250" s="89">
        <f t="shared" si="2259"/>
        <v>-0.27116578813251713</v>
      </c>
      <c r="CE250" s="89">
        <f t="shared" si="2259"/>
        <v>0.58922085500699328</v>
      </c>
      <c r="CF250" s="89">
        <f t="shared" si="2259"/>
        <v>2.508954333295832E-2</v>
      </c>
      <c r="CG250" s="89">
        <f t="shared" si="2259"/>
        <v>-1.3377167452304599</v>
      </c>
      <c r="CH250" s="89">
        <f t="shared" si="2259"/>
        <v>-0.94809246158863536</v>
      </c>
      <c r="CI250" s="89">
        <f t="shared" si="2259"/>
        <v>-63.106426705029769</v>
      </c>
      <c r="CJ250" s="89">
        <f t="shared" si="2259"/>
        <v>-1.1062925479588559</v>
      </c>
      <c r="CK250" s="47">
        <f t="shared" si="2259"/>
        <v>-7.7920409869603189</v>
      </c>
      <c r="CL250" s="89">
        <f t="shared" si="2259"/>
        <v>-2.4776722690616322</v>
      </c>
      <c r="CM250" s="47">
        <f t="shared" si="2259"/>
        <v>-1.1874034125214492</v>
      </c>
      <c r="CN250" s="47">
        <f t="shared" si="2259"/>
        <v>-1.3395654024945736</v>
      </c>
      <c r="CO250" s="47">
        <f t="shared" si="2259"/>
        <v>-5.4734683650203397E-2</v>
      </c>
      <c r="CP250" s="47">
        <f t="shared" si="2259"/>
        <v>3.1839170021442271</v>
      </c>
      <c r="CQ250" s="47">
        <f t="shared" si="2259"/>
        <v>-0.9449363052340215</v>
      </c>
      <c r="CR250" s="47">
        <f t="shared" si="2259"/>
        <v>6.7068815791713456</v>
      </c>
      <c r="CS250" s="47">
        <f t="shared" si="2259"/>
        <v>0.29590674199530187</v>
      </c>
      <c r="CT250" s="47">
        <f t="shared" si="2259"/>
        <v>1.9507764939653338E-2</v>
      </c>
      <c r="CU250" s="47">
        <f t="shared" si="2259"/>
        <v>-0.46699427310298458</v>
      </c>
      <c r="CV250" s="47">
        <f t="shared" si="2259"/>
        <v>0.74769694600688474</v>
      </c>
      <c r="CW250" s="47">
        <f t="shared" si="2259"/>
        <v>0.21800425096708276</v>
      </c>
      <c r="CX250" s="47">
        <f t="shared" ref="CX250:DB250" si="2260">CX28/CW28-1</f>
        <v>-9.6644835977428123E-2</v>
      </c>
      <c r="CY250" s="47">
        <f t="shared" si="2260"/>
        <v>-0.28952176932779961</v>
      </c>
      <c r="CZ250" s="47">
        <f t="shared" si="2260"/>
        <v>0.50967676529338846</v>
      </c>
      <c r="DA250" s="47">
        <f t="shared" si="2260"/>
        <v>0.2055099905585398</v>
      </c>
      <c r="DB250" s="47">
        <f t="shared" si="2260"/>
        <v>-9.4382653650782244E-2</v>
      </c>
      <c r="DE250" s="130"/>
      <c r="DF250" s="89">
        <v>-0.27801553403767698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str">
        <f t="shared" si="2264"/>
        <v>RF</v>
      </c>
      <c r="BB251" s="103">
        <f t="shared" si="2264"/>
        <v>0</v>
      </c>
      <c r="BC251" s="103" t="e">
        <f t="shared" si="2264"/>
        <v>#DIV/0!</v>
      </c>
      <c r="BD251" s="103" t="e">
        <f t="shared" si="2264"/>
        <v>#DIV/0!</v>
      </c>
      <c r="BE251" s="103">
        <f t="shared" si="2264"/>
        <v>0</v>
      </c>
      <c r="BF251" s="103" t="str">
        <f t="shared" si="2264"/>
        <v>RF</v>
      </c>
      <c r="BG251" s="103">
        <f t="shared" si="2264"/>
        <v>0</v>
      </c>
      <c r="BH251" s="103" t="str">
        <f t="shared" si="2264"/>
        <v>RF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 t="str">
        <f t="shared" si="2264"/>
        <v>RF</v>
      </c>
      <c r="BM251" s="103">
        <f t="shared" si="2264"/>
        <v>0</v>
      </c>
      <c r="BN251" s="103" t="str">
        <f t="shared" si="2264"/>
        <v>RF</v>
      </c>
      <c r="BO251" s="103" t="str">
        <f t="shared" si="2264"/>
        <v>RF</v>
      </c>
      <c r="BP251" s="103" t="str">
        <f t="shared" si="2264"/>
        <v>RF</v>
      </c>
      <c r="BQ251" s="103">
        <f t="shared" si="2264"/>
        <v>0</v>
      </c>
      <c r="BR251" s="103" t="str">
        <f t="shared" si="2264"/>
        <v>RF</v>
      </c>
      <c r="BS251" s="103">
        <f t="shared" si="2264"/>
        <v>0</v>
      </c>
      <c r="BT251" s="103">
        <f t="shared" si="2264"/>
        <v>0</v>
      </c>
      <c r="BU251" s="103" t="str">
        <f t="shared" si="2264"/>
        <v>RF</v>
      </c>
      <c r="BV251" s="103">
        <f t="shared" si="2264"/>
        <v>0</v>
      </c>
      <c r="BW251" s="103" t="str">
        <f t="shared" si="2264"/>
        <v>RF</v>
      </c>
      <c r="BX251" s="103" t="str">
        <f t="shared" si="2264"/>
        <v>RF</v>
      </c>
      <c r="BY251" s="103" t="str">
        <f t="shared" si="2264"/>
        <v>RF</v>
      </c>
      <c r="BZ251" s="103" t="str">
        <f t="shared" si="2264"/>
        <v>RF</v>
      </c>
      <c r="CA251" s="103">
        <f t="shared" si="2264"/>
        <v>0</v>
      </c>
      <c r="CB251" s="103" t="str">
        <f t="shared" si="2264"/>
        <v>RF</v>
      </c>
      <c r="CC251" s="103">
        <f t="shared" si="2264"/>
        <v>0</v>
      </c>
      <c r="CD251" s="103" t="str">
        <f t="shared" si="2264"/>
        <v>RF</v>
      </c>
      <c r="CE251" s="103">
        <f t="shared" si="2264"/>
        <v>0</v>
      </c>
      <c r="CF251" s="103">
        <f t="shared" si="2264"/>
        <v>0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 t="e">
        <f t="shared" si="2267"/>
        <v>#DIV/0!</v>
      </c>
      <c r="O252" s="86" t="e">
        <f t="shared" si="2267"/>
        <v>#DIV/0!</v>
      </c>
      <c r="P252" s="86" t="e">
        <f t="shared" si="2267"/>
        <v>#DIV/0!</v>
      </c>
      <c r="Q252" s="86" t="e">
        <f t="shared" si="2267"/>
        <v>#DIV/0!</v>
      </c>
      <c r="R252" s="86" t="e">
        <f t="shared" si="2267"/>
        <v>#DIV/0!</v>
      </c>
      <c r="S252" s="86" t="e">
        <f t="shared" si="2267"/>
        <v>#DIV/0!</v>
      </c>
      <c r="T252" s="86" t="e">
        <f t="shared" si="2267"/>
        <v>#DIV/0!</v>
      </c>
      <c r="U252" s="86" t="e">
        <f t="shared" si="2267"/>
        <v>#DIV/0!</v>
      </c>
      <c r="V252" s="86" t="e">
        <f t="shared" si="2267"/>
        <v>#DIV/0!</v>
      </c>
      <c r="W252" s="86" t="e">
        <f t="shared" si="2267"/>
        <v>#DIV/0!</v>
      </c>
      <c r="X252" s="86" t="e">
        <f t="shared" si="2267"/>
        <v>#DIV/0!</v>
      </c>
      <c r="Y252" s="86" t="e">
        <f t="shared" si="2267"/>
        <v>#DIV/0!</v>
      </c>
      <c r="Z252" s="86" t="e">
        <f t="shared" si="2267"/>
        <v>#DIV/0!</v>
      </c>
      <c r="AA252" s="86" t="e">
        <f t="shared" ref="AA252" si="2268">AA36/AA8</f>
        <v>#DIV/0!</v>
      </c>
      <c r="AB252" s="87">
        <f t="shared" si="2267"/>
        <v>0.2301907901352184</v>
      </c>
      <c r="AC252" s="87">
        <f t="shared" si="2267"/>
        <v>0.39502128632535705</v>
      </c>
      <c r="AD252" s="87">
        <f t="shared" si="2267"/>
        <v>0.4042528327881838</v>
      </c>
      <c r="AE252" s="87">
        <f t="shared" si="2267"/>
        <v>0.40416656055160022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>
        <f t="shared" si="2269"/>
        <v>0</v>
      </c>
      <c r="BA252" s="86">
        <f t="shared" si="2269"/>
        <v>0</v>
      </c>
      <c r="BB252" s="86">
        <f t="shared" si="2269"/>
        <v>0</v>
      </c>
      <c r="BC252" s="86">
        <f t="shared" si="2269"/>
        <v>0</v>
      </c>
      <c r="BD252" s="86">
        <f t="shared" si="2269"/>
        <v>0</v>
      </c>
      <c r="BE252" s="86">
        <f t="shared" si="2269"/>
        <v>0</v>
      </c>
      <c r="BF252" s="86">
        <f t="shared" si="2269"/>
        <v>0</v>
      </c>
      <c r="BG252" s="86">
        <f t="shared" si="2269"/>
        <v>0</v>
      </c>
      <c r="BH252" s="86">
        <f t="shared" si="2269"/>
        <v>0</v>
      </c>
      <c r="BI252" s="86">
        <f t="shared" si="2269"/>
        <v>0</v>
      </c>
      <c r="BJ252" s="86">
        <f t="shared" si="2269"/>
        <v>0</v>
      </c>
      <c r="BK252" s="86">
        <f t="shared" si="2269"/>
        <v>0</v>
      </c>
      <c r="BL252" s="86">
        <f t="shared" si="2269"/>
        <v>0</v>
      </c>
      <c r="BM252" s="86">
        <f t="shared" si="2269"/>
        <v>0</v>
      </c>
      <c r="BN252" s="86">
        <f t="shared" si="2269"/>
        <v>0</v>
      </c>
      <c r="BO252" s="86">
        <f t="shared" si="2269"/>
        <v>0</v>
      </c>
      <c r="BP252" s="86">
        <f t="shared" si="2269"/>
        <v>0</v>
      </c>
      <c r="BQ252" s="86">
        <f t="shared" si="2269"/>
        <v>0</v>
      </c>
      <c r="BR252" s="86">
        <f t="shared" si="2269"/>
        <v>0</v>
      </c>
      <c r="BS252" s="86">
        <f t="shared" si="2269"/>
        <v>0</v>
      </c>
      <c r="BT252" s="86">
        <f t="shared" si="2269"/>
        <v>0</v>
      </c>
      <c r="BU252" s="86">
        <f t="shared" si="2269"/>
        <v>0</v>
      </c>
      <c r="BV252" s="86">
        <f t="shared" si="2269"/>
        <v>0</v>
      </c>
      <c r="BW252" s="86">
        <f t="shared" si="2269"/>
        <v>0</v>
      </c>
      <c r="BX252" s="86">
        <f t="shared" si="2269"/>
        <v>0</v>
      </c>
      <c r="BY252" s="86">
        <f t="shared" si="2269"/>
        <v>0</v>
      </c>
      <c r="BZ252" s="86">
        <f t="shared" si="2269"/>
        <v>0</v>
      </c>
      <c r="CA252" s="86">
        <f t="shared" si="2269"/>
        <v>0</v>
      </c>
      <c r="CB252" s="86">
        <f t="shared" si="2269"/>
        <v>0</v>
      </c>
      <c r="CC252" s="86">
        <f t="shared" si="2269"/>
        <v>0</v>
      </c>
      <c r="CD252" s="86">
        <f t="shared" si="2269"/>
        <v>0</v>
      </c>
      <c r="CE252" s="86">
        <f t="shared" si="2269"/>
        <v>0</v>
      </c>
      <c r="CF252" s="86">
        <f t="shared" si="2269"/>
        <v>0</v>
      </c>
      <c r="CG252" s="86">
        <f t="shared" si="2269"/>
        <v>0</v>
      </c>
      <c r="CH252" s="86">
        <f t="shared" si="2269"/>
        <v>0</v>
      </c>
      <c r="CI252" s="86">
        <f t="shared" si="2269"/>
        <v>0</v>
      </c>
      <c r="CJ252" s="86">
        <f t="shared" si="2269"/>
        <v>0</v>
      </c>
      <c r="CK252" s="87">
        <f t="shared" si="2269"/>
        <v>0</v>
      </c>
      <c r="CL252" s="86">
        <f t="shared" ref="CL252" si="2270">CL36/CL8</f>
        <v>0</v>
      </c>
      <c r="CM252" s="87">
        <f t="shared" si="2269"/>
        <v>7.4857323540681128E-2</v>
      </c>
      <c r="CN252" s="87">
        <f t="shared" si="2269"/>
        <v>-0.92904414080842723</v>
      </c>
      <c r="CO252" s="87">
        <f t="shared" si="2269"/>
        <v>0.53485276965263784</v>
      </c>
      <c r="CP252" s="87">
        <f t="shared" si="2269"/>
        <v>1.0448518182922513</v>
      </c>
      <c r="CQ252" s="87">
        <f t="shared" si="2269"/>
        <v>0.41081161633141972</v>
      </c>
      <c r="CR252" s="87">
        <f t="shared" si="2269"/>
        <v>-0.71659566243108352</v>
      </c>
      <c r="CS252" s="87">
        <f t="shared" si="2269"/>
        <v>0.64336165331559791</v>
      </c>
      <c r="CT252" s="87">
        <f t="shared" si="2269"/>
        <v>1.1238409737991299</v>
      </c>
      <c r="CU252" s="87">
        <f t="shared" si="2269"/>
        <v>0.41516941926880957</v>
      </c>
      <c r="CV252" s="87">
        <f t="shared" si="2269"/>
        <v>-0.69820265848095608</v>
      </c>
      <c r="CW252" s="87">
        <f t="shared" si="2269"/>
        <v>0.65285992362985734</v>
      </c>
      <c r="CX252" s="87">
        <f t="shared" ref="CX252:DB252" si="2271">CX36/CX8</f>
        <v>1.1277437985871939</v>
      </c>
      <c r="CY252" s="87">
        <f t="shared" si="2271"/>
        <v>0.41176563828122087</v>
      </c>
      <c r="CZ252" s="87">
        <f t="shared" si="2271"/>
        <v>-0.6964468139845198</v>
      </c>
      <c r="DA252" s="87">
        <f t="shared" si="2271"/>
        <v>0.65343317423806901</v>
      </c>
      <c r="DB252" s="87">
        <f t="shared" si="2271"/>
        <v>1.1273481553199443</v>
      </c>
      <c r="DE252" s="141"/>
      <c r="DF252" s="86">
        <v>-15.505223667939328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 t="e">
        <f t="shared" si="2272"/>
        <v>#DIV/0!</v>
      </c>
      <c r="O253" s="86" t="e">
        <f t="shared" si="2272"/>
        <v>#DIV/0!</v>
      </c>
      <c r="P253" s="86" t="e">
        <f t="shared" si="2272"/>
        <v>#DIV/0!</v>
      </c>
      <c r="Q253" s="86" t="e">
        <f t="shared" si="2272"/>
        <v>#DIV/0!</v>
      </c>
      <c r="R253" s="86" t="e">
        <f t="shared" si="2272"/>
        <v>#DIV/0!</v>
      </c>
      <c r="S253" s="86" t="e">
        <f t="shared" si="2272"/>
        <v>#DIV/0!</v>
      </c>
      <c r="T253" s="86" t="e">
        <f t="shared" si="2272"/>
        <v>#DIV/0!</v>
      </c>
      <c r="U253" s="86" t="e">
        <f t="shared" si="2272"/>
        <v>#DIV/0!</v>
      </c>
      <c r="V253" s="86" t="e">
        <f t="shared" si="2272"/>
        <v>#DIV/0!</v>
      </c>
      <c r="W253" s="86" t="e">
        <f t="shared" si="2272"/>
        <v>#DIV/0!</v>
      </c>
      <c r="X253" s="86" t="e">
        <f t="shared" si="2272"/>
        <v>#DIV/0!</v>
      </c>
      <c r="Y253" s="86" t="e">
        <f t="shared" si="2272"/>
        <v>#DIV/0!</v>
      </c>
      <c r="Z253" s="86" t="e">
        <f t="shared" si="2272"/>
        <v>#DIV/0!</v>
      </c>
      <c r="AA253" s="86" t="e">
        <f t="shared" ref="AA253" si="2273">AA32/AA8</f>
        <v>#DIV/0!</v>
      </c>
      <c r="AB253" s="87">
        <f t="shared" si="2272"/>
        <v>0</v>
      </c>
      <c r="AC253" s="87">
        <f t="shared" si="2272"/>
        <v>0</v>
      </c>
      <c r="AD253" s="87">
        <f t="shared" si="2272"/>
        <v>0</v>
      </c>
      <c r="AE253" s="87">
        <f t="shared" si="2272"/>
        <v>0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>
        <f t="shared" si="2274"/>
        <v>0</v>
      </c>
      <c r="BA253" s="86">
        <f t="shared" si="2274"/>
        <v>0</v>
      </c>
      <c r="BB253" s="86">
        <f t="shared" si="2274"/>
        <v>0</v>
      </c>
      <c r="BC253" s="86">
        <f t="shared" si="2274"/>
        <v>0</v>
      </c>
      <c r="BD253" s="86">
        <f t="shared" si="2274"/>
        <v>0</v>
      </c>
      <c r="BE253" s="86">
        <f t="shared" si="2274"/>
        <v>0</v>
      </c>
      <c r="BF253" s="86">
        <f t="shared" si="2274"/>
        <v>0</v>
      </c>
      <c r="BG253" s="86">
        <f t="shared" si="2274"/>
        <v>0</v>
      </c>
      <c r="BH253" s="86">
        <f t="shared" si="2274"/>
        <v>0</v>
      </c>
      <c r="BI253" s="86">
        <f t="shared" si="2274"/>
        <v>0</v>
      </c>
      <c r="BJ253" s="86">
        <f t="shared" si="2274"/>
        <v>0</v>
      </c>
      <c r="BK253" s="86">
        <f t="shared" si="2274"/>
        <v>0</v>
      </c>
      <c r="BL253" s="86">
        <f t="shared" si="2274"/>
        <v>0</v>
      </c>
      <c r="BM253" s="86">
        <f t="shared" si="2274"/>
        <v>0</v>
      </c>
      <c r="BN253" s="86">
        <f t="shared" si="2274"/>
        <v>0</v>
      </c>
      <c r="BO253" s="86">
        <f t="shared" si="2274"/>
        <v>0</v>
      </c>
      <c r="BP253" s="86">
        <f t="shared" si="2274"/>
        <v>0</v>
      </c>
      <c r="BQ253" s="86">
        <f t="shared" si="2274"/>
        <v>0</v>
      </c>
      <c r="BR253" s="86">
        <f t="shared" si="2274"/>
        <v>0</v>
      </c>
      <c r="BS253" s="86">
        <f t="shared" si="2274"/>
        <v>0</v>
      </c>
      <c r="BT253" s="86">
        <f t="shared" si="2274"/>
        <v>0</v>
      </c>
      <c r="BU253" s="86">
        <f t="shared" si="2274"/>
        <v>0</v>
      </c>
      <c r="BV253" s="86">
        <f t="shared" si="2274"/>
        <v>0</v>
      </c>
      <c r="BW253" s="86">
        <f t="shared" si="2274"/>
        <v>0</v>
      </c>
      <c r="BX253" s="86">
        <f t="shared" si="2274"/>
        <v>0</v>
      </c>
      <c r="BY253" s="86">
        <f t="shared" si="2274"/>
        <v>0</v>
      </c>
      <c r="BZ253" s="86">
        <f t="shared" si="2274"/>
        <v>0</v>
      </c>
      <c r="CA253" s="86">
        <f t="shared" si="2274"/>
        <v>0</v>
      </c>
      <c r="CB253" s="86">
        <f t="shared" si="2274"/>
        <v>0</v>
      </c>
      <c r="CC253" s="86">
        <f t="shared" si="2274"/>
        <v>0</v>
      </c>
      <c r="CD253" s="86">
        <f t="shared" si="2274"/>
        <v>0</v>
      </c>
      <c r="CE253" s="86">
        <f t="shared" si="2274"/>
        <v>0</v>
      </c>
      <c r="CF253" s="86">
        <f t="shared" si="2274"/>
        <v>0</v>
      </c>
      <c r="CG253" s="86">
        <f t="shared" si="2274"/>
        <v>0</v>
      </c>
      <c r="CH253" s="86">
        <f t="shared" si="2274"/>
        <v>0</v>
      </c>
      <c r="CI253" s="86">
        <f t="shared" si="2274"/>
        <v>0</v>
      </c>
      <c r="CJ253" s="86">
        <f t="shared" si="2274"/>
        <v>0</v>
      </c>
      <c r="CK253" s="87">
        <f t="shared" si="2274"/>
        <v>0</v>
      </c>
      <c r="CL253" s="86">
        <f t="shared" ref="CL253" si="2275">CL32/CL8</f>
        <v>0</v>
      </c>
      <c r="CM253" s="87">
        <f t="shared" si="2274"/>
        <v>0</v>
      </c>
      <c r="CN253" s="87">
        <f t="shared" si="2274"/>
        <v>0</v>
      </c>
      <c r="CO253" s="87">
        <f t="shared" si="2274"/>
        <v>0</v>
      </c>
      <c r="CP253" s="87">
        <f t="shared" si="2274"/>
        <v>0</v>
      </c>
      <c r="CQ253" s="87">
        <f t="shared" si="2274"/>
        <v>0</v>
      </c>
      <c r="CR253" s="87">
        <f t="shared" si="2274"/>
        <v>0</v>
      </c>
      <c r="CS253" s="87">
        <f t="shared" si="2274"/>
        <v>0</v>
      </c>
      <c r="CT253" s="87">
        <f t="shared" si="2274"/>
        <v>0</v>
      </c>
      <c r="CU253" s="87">
        <f t="shared" si="2274"/>
        <v>0</v>
      </c>
      <c r="CV253" s="87">
        <f t="shared" si="2274"/>
        <v>0</v>
      </c>
      <c r="CW253" s="87">
        <f t="shared" si="2274"/>
        <v>0</v>
      </c>
      <c r="CX253" s="87">
        <f t="shared" ref="CX253:DB253" si="2276">CX32/CX8</f>
        <v>0</v>
      </c>
      <c r="CY253" s="87">
        <f t="shared" si="2276"/>
        <v>0</v>
      </c>
      <c r="CZ253" s="87">
        <f t="shared" si="2276"/>
        <v>0</v>
      </c>
      <c r="DA253" s="87">
        <f t="shared" si="2276"/>
        <v>0</v>
      </c>
      <c r="DB253" s="87">
        <f t="shared" si="2276"/>
        <v>0</v>
      </c>
      <c r="DE253" s="141"/>
      <c r="DF253" s="86">
        <v>0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211385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SBI Life Insurance Company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4921.47</v>
      </c>
      <c r="U6">
        <f>_xll.EQNXTDZ($A$1,$B6,U$1,$B$1)</f>
        <v>5242.88</v>
      </c>
      <c r="V6">
        <f>_xll.EQNXTDZ($A$1,$B6,V$1,$B$1)</f>
        <v>7346.05</v>
      </c>
      <c r="W6">
        <f>_xll.EQNXTDZ($A$1,$B6,W$1,$B$1)</f>
        <v>3762.58</v>
      </c>
      <c r="X6">
        <f>_xll.EQNXTDZ($A$1,$B6,X$1,$B$1)</f>
        <v>5384.57</v>
      </c>
      <c r="Y6">
        <f>_xll.EQNXTDZ($A$1,$B6,Y$1,$B$1)</f>
        <v>6776.21</v>
      </c>
      <c r="Z6">
        <f>_xll.EQNXTDZ($A$1,$B6,Z$1,$B$1)</f>
        <v>9236.7000000000007</v>
      </c>
      <c r="AA6">
        <f>_xll.EQNXTDZ($A$1,$B6,AA$1,$B$1)</f>
        <v>4754.5200000000004</v>
      </c>
      <c r="AB6">
        <f>_xll.EQNXTDZ($A$1,$B6,AB$1,$B$1)</f>
        <v>7661.55</v>
      </c>
      <c r="AC6">
        <f>_xll.EQNXTDZ($A$1,$B6,AC$1,$B$1)</f>
        <v>9141.26</v>
      </c>
      <c r="AD6">
        <f>_xll.EQNXTDZ($A$1,$B6,AD$1,$B$1)</f>
        <v>11333.02</v>
      </c>
      <c r="AE6">
        <f>_xll.EQNXTDZ($A$1,$B6,AE$1,$B$1)</f>
        <v>6655.02</v>
      </c>
      <c r="AF6">
        <f>_xll.EQNXTDZ($A$1,$B6,AF$1,$B$1)</f>
        <v>10111.51</v>
      </c>
      <c r="AG6">
        <f>_xll.EQNXTDZ($A$1,$B6,AG$1,$B$1)</f>
        <v>11694.51</v>
      </c>
      <c r="AH6">
        <f>_xll.EQNXTDZ($A$1,$B6,AH$1,$B$1)</f>
        <v>11862.98</v>
      </c>
      <c r="AI6">
        <f>_xll.EQNXTDZ($A$1,$B6,AI$1,$B$1)</f>
        <v>7588.09</v>
      </c>
      <c r="AJ6">
        <f>_xll.EQNXTDZ($A$1,$B6,AJ$1,$B$1)</f>
        <v>12857.95</v>
      </c>
      <c r="AK6">
        <f>_xll.EQNXTDZ($A$1,$B6,AK$1,$B$1)</f>
        <v>13766.49</v>
      </c>
      <c r="AL6">
        <f>_xll.EQNXTDZ($A$1,$B6,AL$1,$B$1)</f>
        <v>15555.74</v>
      </c>
      <c r="AM6">
        <f>_xll.EQNXTDZ($A$1,$B6,AM$1,$B$1)</f>
        <v>8312.5499999999993</v>
      </c>
      <c r="AN6">
        <f>_xll.EQNXTDZ($A$1,$B6,AN$1,$B$1)</f>
        <v>14660.64</v>
      </c>
      <c r="AO6">
        <f>_xll.EQNXTDZ($A$1,$B6,AO$1,$B$1)</f>
        <v>18025.34</v>
      </c>
      <c r="AP6">
        <f>_xll.EQNXTDZ($A$1,$B6,AP$1,$B$1)</f>
        <v>17433.77</v>
      </c>
      <c r="AQ6">
        <f>_xll.EQNXTDZ($A$1,$B6,AQ$1,$B$1)</f>
        <v>11036.02</v>
      </c>
      <c r="AR6">
        <f>_xll.EQNXTDZ($A$1,$B6,AR$1,$B$1)</f>
        <v>16477.259999999998</v>
      </c>
      <c r="AS6">
        <f>_xll.EQNXTDZ($A$1,$B6,AS$1,$B$1)</f>
        <v>19170.8</v>
      </c>
      <c r="AT6">
        <f>_xll.EQNXTDZ($A$1,$B6,AT$1,$B$1)</f>
        <v>19896.919999999998</v>
      </c>
      <c r="AU6">
        <f>_xll.EQNXTDZ($A$1,$B6,AU$1,$B$1)</f>
        <v>13104.49</v>
      </c>
      <c r="AV6">
        <f>_xll.EQNXTDZ($A$1,$B6,AV$1,$B$1)</f>
        <v>20049.66</v>
      </c>
      <c r="AW6">
        <f>_xll.EQNXTDZ($A$1,$B6,AW$1,$B$1)</f>
        <v>22316.47</v>
      </c>
      <c r="AX6">
        <f>_xll.EQNXTDZ($A$1,$B6,AX$1,$B$1)</f>
        <v>25116.47</v>
      </c>
      <c r="AY6">
        <f>_xll.EQNXTDZ($A$1,$B6,AY$1,$B$1)</f>
        <v>15105.48</v>
      </c>
      <c r="AZ6">
        <f>_xll.EQNXTDZ($A$1,$B6,AZ$1,$B$1)</f>
        <v>20266.099999999999</v>
      </c>
      <c r="BA6">
        <f>_xll.EQNXTDZ($A$1,$B6,BA$1,$B$1)</f>
        <v>24827.54</v>
      </c>
      <c r="BB6">
        <f>_xll.EQNXTDZ($A$1,$B6,BB$1,$B$1)</f>
        <v>23860.71</v>
      </c>
      <c r="BC6">
        <f>_xll.EQNXTDZ($A$1,$B6,BC$1,$B$1)</f>
        <v>17178.5</v>
      </c>
      <c r="BD6">
        <f>_xll.EQNXTDZ($A$1,$B6,BD$1,$B$1)</f>
        <v>24848.31</v>
      </c>
      <c r="BE6">
        <f>_xll.EQNXTDZ($A$1,$B6,BE$1,$B$1)</f>
        <v>30245.32</v>
      </c>
      <c r="BF6">
        <f>_xll.EQNXTDZ($A$1,$B6,BF$1,$B$1)</f>
        <v>27683.79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4921.47</v>
      </c>
      <c r="U9">
        <f>_xll.EQNXTDZ($A$1,$B9,U$1,$B$1)</f>
        <v>5242.88</v>
      </c>
      <c r="V9">
        <f>_xll.EQNXTDZ($A$1,$B9,V$1,$B$1)</f>
        <v>7346.05</v>
      </c>
      <c r="W9">
        <f>_xll.EQNXTDZ($A$1,$B9,W$1,$B$1)</f>
        <v>3762.58</v>
      </c>
      <c r="X9">
        <f>_xll.EQNXTDZ($A$1,$B9,X$1,$B$1)</f>
        <v>5384.57</v>
      </c>
      <c r="Y9">
        <f>_xll.EQNXTDZ($A$1,$B9,Y$1,$B$1)</f>
        <v>6776.21</v>
      </c>
      <c r="Z9">
        <f>_xll.EQNXTDZ($A$1,$B9,Z$1,$B$1)</f>
        <v>9236.7000000000007</v>
      </c>
      <c r="AA9">
        <f>_xll.EQNXTDZ($A$1,$B9,AA$1,$B$1)</f>
        <v>4754.5200000000004</v>
      </c>
      <c r="AB9">
        <f>_xll.EQNXTDZ($A$1,$B9,AB$1,$B$1)</f>
        <v>7661.55</v>
      </c>
      <c r="AC9">
        <f>_xll.EQNXTDZ($A$1,$B9,AC$1,$B$1)</f>
        <v>9141.26</v>
      </c>
      <c r="AD9">
        <f>_xll.EQNXTDZ($A$1,$B9,AD$1,$B$1)</f>
        <v>11333.02</v>
      </c>
      <c r="AE9">
        <f>_xll.EQNXTDZ($A$1,$B9,AE$1,$B$1)</f>
        <v>6655.02</v>
      </c>
      <c r="AF9">
        <f>_xll.EQNXTDZ($A$1,$B9,AF$1,$B$1)</f>
        <v>10111.51</v>
      </c>
      <c r="AG9">
        <f>_xll.EQNXTDZ($A$1,$B9,AG$1,$B$1)</f>
        <v>11694.51</v>
      </c>
      <c r="AH9">
        <f>_xll.EQNXTDZ($A$1,$B9,AH$1,$B$1)</f>
        <v>11862.98</v>
      </c>
      <c r="AI9">
        <f>_xll.EQNXTDZ($A$1,$B9,AI$1,$B$1)</f>
        <v>7588.09</v>
      </c>
      <c r="AJ9">
        <f>_xll.EQNXTDZ($A$1,$B9,AJ$1,$B$1)</f>
        <v>12857.95</v>
      </c>
      <c r="AK9">
        <f>_xll.EQNXTDZ($A$1,$B9,AK$1,$B$1)</f>
        <v>13766.49</v>
      </c>
      <c r="AL9">
        <f>_xll.EQNXTDZ($A$1,$B9,AL$1,$B$1)</f>
        <v>15555.74</v>
      </c>
      <c r="AM9">
        <f>_xll.EQNXTDZ($A$1,$B9,AM$1,$B$1)</f>
        <v>8312.5499999999993</v>
      </c>
      <c r="AN9">
        <f>_xll.EQNXTDZ($A$1,$B9,AN$1,$B$1)</f>
        <v>14660.64</v>
      </c>
      <c r="AO9">
        <f>_xll.EQNXTDZ($A$1,$B9,AO$1,$B$1)</f>
        <v>18025.34</v>
      </c>
      <c r="AP9">
        <f>_xll.EQNXTDZ($A$1,$B9,AP$1,$B$1)</f>
        <v>17433.77</v>
      </c>
      <c r="AQ9">
        <f>_xll.EQNXTDZ($A$1,$B9,AQ$1,$B$1)</f>
        <v>11036.02</v>
      </c>
      <c r="AR9">
        <f>_xll.EQNXTDZ($A$1,$B9,AR$1,$B$1)</f>
        <v>16477.259999999998</v>
      </c>
      <c r="AS9">
        <f>_xll.EQNXTDZ($A$1,$B9,AS$1,$B$1)</f>
        <v>19170.8</v>
      </c>
      <c r="AT9">
        <f>_xll.EQNXTDZ($A$1,$B9,AT$1,$B$1)</f>
        <v>19896.919999999998</v>
      </c>
      <c r="AU9">
        <f>_xll.EQNXTDZ($A$1,$B9,AU$1,$B$1)</f>
        <v>13104.49</v>
      </c>
      <c r="AV9">
        <f>_xll.EQNXTDZ($A$1,$B9,AV$1,$B$1)</f>
        <v>20049.66</v>
      </c>
      <c r="AW9">
        <f>_xll.EQNXTDZ($A$1,$B9,AW$1,$B$1)</f>
        <v>22316.47</v>
      </c>
      <c r="AX9">
        <f>_xll.EQNXTDZ($A$1,$B9,AX$1,$B$1)</f>
        <v>25116.47</v>
      </c>
      <c r="AY9">
        <f>_xll.EQNXTDZ($A$1,$B9,AY$1,$B$1)</f>
        <v>15105.48</v>
      </c>
      <c r="AZ9">
        <f>_xll.EQNXTDZ($A$1,$B9,AZ$1,$B$1)</f>
        <v>20266.099999999999</v>
      </c>
      <c r="BA9">
        <f>_xll.EQNXTDZ($A$1,$B9,BA$1,$B$1)</f>
        <v>24827.54</v>
      </c>
      <c r="BB9">
        <f>_xll.EQNXTDZ($A$1,$B9,BB$1,$B$1)</f>
        <v>23860.71</v>
      </c>
      <c r="BC9">
        <f>_xll.EQNXTDZ($A$1,$B9,BC$1,$B$1)</f>
        <v>17178.5</v>
      </c>
      <c r="BD9">
        <f>_xll.EQNXTDZ($A$1,$B9,BD$1,$B$1)</f>
        <v>24848.31</v>
      </c>
      <c r="BE9">
        <f>_xll.EQNXTDZ($A$1,$B9,BE$1,$B$1)</f>
        <v>30245.32</v>
      </c>
      <c r="BF9">
        <f>_xll.EQNXTDZ($A$1,$B9,BF$1,$B$1)</f>
        <v>27683.79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7133.38</v>
      </c>
      <c r="U14">
        <f>_xll.EQNXTDZ($A$1,$B14,U$1,$B$1)</f>
        <v>5380.18</v>
      </c>
      <c r="V14">
        <f>_xll.EQNXTDZ($A$1,$B14,V$1,$B$1)</f>
        <v>9894.66</v>
      </c>
      <c r="W14">
        <f>_xll.EQNXTDZ($A$1,$B14,W$1,$B$1)</f>
        <v>5606.28</v>
      </c>
      <c r="X14">
        <f>_xll.EQNXTDZ($A$1,$B14,X$1,$B$1)</f>
        <v>6971.99</v>
      </c>
      <c r="Y14">
        <f>_xll.EQNXTDZ($A$1,$B14,Y$1,$B$1)</f>
        <v>8801.51</v>
      </c>
      <c r="Z14">
        <f>_xll.EQNXTDZ($A$1,$B14,Z$1,$B$1)</f>
        <v>8913.67</v>
      </c>
      <c r="AA14">
        <f>_xll.EQNXTDZ($A$1,$B14,AA$1,$B$1)</f>
        <v>5904.35</v>
      </c>
      <c r="AB14">
        <f>_xll.EQNXTDZ($A$1,$B14,AB$1,$B$1)</f>
        <v>8733.34</v>
      </c>
      <c r="AC14">
        <f>_xll.EQNXTDZ($A$1,$B14,AC$1,$B$1)</f>
        <v>11079.28</v>
      </c>
      <c r="AD14">
        <f>_xll.EQNXTDZ($A$1,$B14,AD$1,$B$1)</f>
        <v>14172.5</v>
      </c>
      <c r="AE14">
        <f>_xll.EQNXTDZ($A$1,$B14,AE$1,$B$1)</f>
        <v>8584.68</v>
      </c>
      <c r="AF14">
        <f>_xll.EQNXTDZ($A$1,$B14,AF$1,$B$1)</f>
        <v>9168.52</v>
      </c>
      <c r="AG14">
        <f>_xll.EQNXTDZ($A$1,$B14,AG$1,$B$1)</f>
        <v>14457.38</v>
      </c>
      <c r="AH14">
        <f>_xll.EQNXTDZ($A$1,$B14,AH$1,$B$1)</f>
        <v>3671.41</v>
      </c>
      <c r="AI14">
        <f>_xll.EQNXTDZ($A$1,$B14,AI$1,$B$1)</f>
        <v>15055.75</v>
      </c>
      <c r="AJ14">
        <f>_xll.EQNXTDZ($A$1,$B14,AJ$1,$B$1)</f>
        <v>17408.22</v>
      </c>
      <c r="AK14">
        <f>_xll.EQNXTDZ($A$1,$B14,AK$1,$B$1)</f>
        <v>25379.040000000001</v>
      </c>
      <c r="AL14">
        <f>_xll.EQNXTDZ($A$1,$B14,AL$1,$B$1)</f>
        <v>18687.939999999999</v>
      </c>
      <c r="AM14">
        <f>_xll.EQNXTDZ($A$1,$B14,AM$1,$B$1)</f>
        <v>14958.14</v>
      </c>
      <c r="AN14">
        <f>_xll.EQNXTDZ($A$1,$B14,AN$1,$B$1)</f>
        <v>24210.880000000001</v>
      </c>
      <c r="AO14">
        <f>_xll.EQNXTDZ($A$1,$B14,AO$1,$B$1)</f>
        <v>18970.68</v>
      </c>
      <c r="AP14">
        <f>_xll.EQNXTDZ($A$1,$B14,AP$1,$B$1)</f>
        <v>19484.75</v>
      </c>
      <c r="AQ14">
        <f>_xll.EQNXTDZ($A$1,$B14,AQ$1,$B$1)</f>
        <v>3368.99</v>
      </c>
      <c r="AR14">
        <f>_xll.EQNXTDZ($A$1,$B14,AR$1,$B$1)</f>
        <v>25887.29</v>
      </c>
      <c r="AS14">
        <f>_xll.EQNXTDZ($A$1,$B14,AS$1,$B$1)</f>
        <v>24866.639999999999</v>
      </c>
      <c r="AT14">
        <f>_xll.EQNXTDZ($A$1,$B14,AT$1,$B$1)</f>
        <v>20551.14</v>
      </c>
      <c r="AU14">
        <f>_xll.EQNXTDZ($A$1,$B14,AU$1,$B$1)</f>
        <v>26212.959999999999</v>
      </c>
      <c r="AV14">
        <f>_xll.EQNXTDZ($A$1,$B14,AV$1,$B$1)</f>
        <v>26750.959999999999</v>
      </c>
      <c r="AW14">
        <f>_xll.EQNXTDZ($A$1,$B14,AW$1,$B$1)</f>
        <v>36862.839999999997</v>
      </c>
      <c r="AX14">
        <f>_xll.EQNXTDZ($A$1,$B14,AX$1,$B$1)</f>
        <v>35318.68</v>
      </c>
      <c r="AY14">
        <f>_xll.EQNXTDZ($A$1,$B14,AY$1,$B$1)</f>
        <v>32659.34</v>
      </c>
      <c r="AZ14">
        <f>_xll.EQNXTDZ($A$1,$B14,AZ$1,$B$1)</f>
        <v>37741.74</v>
      </c>
      <c r="BA14">
        <f>_xll.EQNXTDZ($A$1,$B14,BA$1,$B$1)</f>
        <v>15954.98</v>
      </c>
      <c r="BB14">
        <f>_xll.EQNXTDZ($A$1,$B14,BB$1,$B$1)</f>
        <v>21762.59</v>
      </c>
      <c r="BC14">
        <f>_xll.EQNXTDZ($A$1,$B14,BC$1,$B$1)</f>
        <v>36712.44</v>
      </c>
      <c r="BD14">
        <f>_xll.EQNXTDZ($A$1,$B14,BD$1,$B$1)</f>
        <v>20221.400000000001</v>
      </c>
      <c r="BE14">
        <f>_xll.EQNXTDZ($A$1,$B14,BE$1,$B$1)</f>
        <v>42880.06</v>
      </c>
      <c r="BF14">
        <f>_xll.EQNXTDZ($A$1,$B14,BF$1,$B$1)</f>
        <v>3574.41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231.11</v>
      </c>
      <c r="U16">
        <f>_xll.EQNXTDZ($A$1,$B16,U$1,$B$1)</f>
        <v>194.29</v>
      </c>
      <c r="V16">
        <f>_xll.EQNXTDZ($A$1,$B16,V$1,$B$1)</f>
        <v>192.85</v>
      </c>
      <c r="W16">
        <f>_xll.EQNXTDZ($A$1,$B16,W$1,$B$1)</f>
        <v>225.82</v>
      </c>
      <c r="X16">
        <f>_xll.EQNXTDZ($A$1,$B16,X$1,$B$1)</f>
        <v>246.48</v>
      </c>
      <c r="Y16">
        <f>_xll.EQNXTDZ($A$1,$B16,Y$1,$B$1)</f>
        <v>241.3</v>
      </c>
      <c r="Z16">
        <f>_xll.EQNXTDZ($A$1,$B16,Z$1,$B$1)</f>
        <v>244.6</v>
      </c>
      <c r="AA16">
        <f>_xll.EQNXTDZ($A$1,$B16,AA$1,$B$1)</f>
        <v>292.64999999999998</v>
      </c>
      <c r="AB16">
        <f>_xll.EQNXTDZ($A$1,$B16,AB$1,$B$1)</f>
        <v>297.88</v>
      </c>
      <c r="AC16">
        <f>_xll.EQNXTDZ($A$1,$B16,AC$1,$B$1)</f>
        <v>299.81</v>
      </c>
      <c r="AD16">
        <f>_xll.EQNXTDZ($A$1,$B16,AD$1,$B$1)</f>
        <v>346.85</v>
      </c>
      <c r="AE16">
        <f>_xll.EQNXTDZ($A$1,$B16,AE$1,$B$1)</f>
        <v>294.60000000000002</v>
      </c>
      <c r="AF16">
        <f>_xll.EQNXTDZ($A$1,$B16,AF$1,$B$1)</f>
        <v>333.72</v>
      </c>
      <c r="AG16">
        <f>_xll.EQNXTDZ($A$1,$B16,AG$1,$B$1)</f>
        <v>363.61</v>
      </c>
      <c r="AH16">
        <f>_xll.EQNXTDZ($A$1,$B16,AH$1,$B$1)</f>
        <v>369.46</v>
      </c>
      <c r="AI16">
        <f>_xll.EQNXTDZ($A$1,$B16,AI$1,$B$1)</f>
        <v>353.69</v>
      </c>
      <c r="AJ16">
        <f>_xll.EQNXTDZ($A$1,$B16,AJ$1,$B$1)</f>
        <v>367.62</v>
      </c>
      <c r="AK16">
        <f>_xll.EQNXTDZ($A$1,$B16,AK$1,$B$1)</f>
        <v>398.44</v>
      </c>
      <c r="AL16">
        <f>_xll.EQNXTDZ($A$1,$B16,AL$1,$B$1)</f>
        <v>371.23</v>
      </c>
      <c r="AM16">
        <f>_xll.EQNXTDZ($A$1,$B16,AM$1,$B$1)</f>
        <v>387.15</v>
      </c>
      <c r="AN16">
        <f>_xll.EQNXTDZ($A$1,$B16,AN$1,$B$1)</f>
        <v>464.11</v>
      </c>
      <c r="AO16">
        <f>_xll.EQNXTDZ($A$1,$B16,AO$1,$B$1)</f>
        <v>482.94</v>
      </c>
      <c r="AP16">
        <f>_xll.EQNXTDZ($A$1,$B16,AP$1,$B$1)</f>
        <v>482.17</v>
      </c>
      <c r="AQ16">
        <f>_xll.EQNXTDZ($A$1,$B16,AQ$1,$B$1)</f>
        <v>477.76</v>
      </c>
      <c r="AR16">
        <f>_xll.EQNXTDZ($A$1,$B16,AR$1,$B$1)</f>
        <v>499.48</v>
      </c>
      <c r="AS16">
        <f>_xll.EQNXTDZ($A$1,$B16,AS$1,$B$1)</f>
        <v>532.19000000000005</v>
      </c>
      <c r="AT16">
        <f>_xll.EQNXTDZ($A$1,$B16,AT$1,$B$1)</f>
        <v>536.91999999999996</v>
      </c>
      <c r="AU16">
        <f>_xll.EQNXTDZ($A$1,$B16,AU$1,$B$1)</f>
        <v>548.88</v>
      </c>
      <c r="AV16">
        <f>_xll.EQNXTDZ($A$1,$B16,AV$1,$B$1)</f>
        <v>603.01</v>
      </c>
      <c r="AW16">
        <f>_xll.EQNXTDZ($A$1,$B16,AW$1,$B$1)</f>
        <v>647.82000000000005</v>
      </c>
      <c r="AX16">
        <f>_xll.EQNXTDZ($A$1,$B16,AX$1,$B$1)</f>
        <v>598.58000000000004</v>
      </c>
      <c r="AY16">
        <f>_xll.EQNXTDZ($A$1,$B16,AY$1,$B$1)</f>
        <v>625.21</v>
      </c>
      <c r="AZ16">
        <f>_xll.EQNXTDZ($A$1,$B16,AZ$1,$B$1)</f>
        <v>683.87</v>
      </c>
      <c r="BA16">
        <f>_xll.EQNXTDZ($A$1,$B16,BA$1,$B$1)</f>
        <v>737.82</v>
      </c>
      <c r="BB16">
        <f>_xll.EQNXTDZ($A$1,$B16,BB$1,$B$1)</f>
        <v>681.9</v>
      </c>
      <c r="BC16">
        <f>_xll.EQNXTDZ($A$1,$B16,BC$1,$B$1)</f>
        <v>709.16</v>
      </c>
      <c r="BD16">
        <f>_xll.EQNXTDZ($A$1,$B16,BD$1,$B$1)</f>
        <v>827.85</v>
      </c>
      <c r="BE16">
        <f>_xll.EQNXTDZ($A$1,$B16,BE$1,$B$1)</f>
        <v>1007.85</v>
      </c>
      <c r="BF16">
        <f>_xll.EQNXTDZ($A$1,$B16,BF$1,$B$1)</f>
        <v>706.9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51.29</v>
      </c>
      <c r="U17">
        <f>_xll.EQNXTDZ($A$1,$B17,U$1,$B$1)</f>
        <v>59.93</v>
      </c>
      <c r="V17">
        <f>_xll.EQNXTDZ($A$1,$B17,V$1,$B$1)</f>
        <v>74.03</v>
      </c>
      <c r="W17">
        <f>_xll.EQNXTDZ($A$1,$B17,W$1,$B$1)</f>
        <v>56.3</v>
      </c>
      <c r="X17">
        <f>_xll.EQNXTDZ($A$1,$B17,X$1,$B$1)</f>
        <v>82.17</v>
      </c>
      <c r="Y17">
        <f>_xll.EQNXTDZ($A$1,$B17,Y$1,$B$1)</f>
        <v>95.27</v>
      </c>
      <c r="Z17">
        <f>_xll.EQNXTDZ($A$1,$B17,Z$1,$B$1)</f>
        <v>113.39</v>
      </c>
      <c r="AA17">
        <f>_xll.EQNXTDZ($A$1,$B17,AA$1,$B$1)</f>
        <v>86.68</v>
      </c>
      <c r="AB17">
        <f>_xll.EQNXTDZ($A$1,$B17,AB$1,$B$1)</f>
        <v>105.77</v>
      </c>
      <c r="AC17">
        <f>_xll.EQNXTDZ($A$1,$B17,AC$1,$B$1)</f>
        <v>121.43</v>
      </c>
      <c r="AD17">
        <f>_xll.EQNXTDZ($A$1,$B17,AD$1,$B$1)</f>
        <v>139.44999999999999</v>
      </c>
      <c r="AE17">
        <f>_xll.EQNXTDZ($A$1,$B17,AE$1,$B$1)</f>
        <v>111.35</v>
      </c>
      <c r="AF17">
        <f>_xll.EQNXTDZ($A$1,$B17,AF$1,$B$1)</f>
        <v>131.97999999999999</v>
      </c>
      <c r="AG17">
        <f>_xll.EQNXTDZ($A$1,$B17,AG$1,$B$1)</f>
        <v>153.38999999999999</v>
      </c>
      <c r="AH17">
        <f>_xll.EQNXTDZ($A$1,$B17,AH$1,$B$1)</f>
        <v>156.46</v>
      </c>
      <c r="AI17">
        <f>_xll.EQNXTDZ($A$1,$B17,AI$1,$B$1)</f>
        <v>126.08</v>
      </c>
      <c r="AJ17">
        <f>_xll.EQNXTDZ($A$1,$B17,AJ$1,$B$1)</f>
        <v>155.54</v>
      </c>
      <c r="AK17">
        <f>_xll.EQNXTDZ($A$1,$B17,AK$1,$B$1)</f>
        <v>175.77</v>
      </c>
      <c r="AL17">
        <f>_xll.EQNXTDZ($A$1,$B17,AL$1,$B$1)</f>
        <v>186.08</v>
      </c>
      <c r="AM17">
        <f>_xll.EQNXTDZ($A$1,$B17,AM$1,$B$1)</f>
        <v>144.59</v>
      </c>
      <c r="AN17">
        <f>_xll.EQNXTDZ($A$1,$B17,AN$1,$B$1)</f>
        <v>183.2</v>
      </c>
      <c r="AO17">
        <f>_xll.EQNXTDZ($A$1,$B17,AO$1,$B$1)</f>
        <v>202.84</v>
      </c>
      <c r="AP17">
        <f>_xll.EQNXTDZ($A$1,$B17,AP$1,$B$1)</f>
        <v>211.34</v>
      </c>
      <c r="AQ17">
        <f>_xll.EQNXTDZ($A$1,$B17,AQ$1,$B$1)</f>
        <v>163.27000000000001</v>
      </c>
      <c r="AR17">
        <f>_xll.EQNXTDZ($A$1,$B17,AR$1,$B$1)</f>
        <v>197.81</v>
      </c>
      <c r="AS17">
        <f>_xll.EQNXTDZ($A$1,$B17,AS$1,$B$1)</f>
        <v>231.69</v>
      </c>
      <c r="AT17">
        <f>_xll.EQNXTDZ($A$1,$B17,AT$1,$B$1)</f>
        <v>226.65</v>
      </c>
      <c r="AU17">
        <f>_xll.EQNXTDZ($A$1,$B17,AU$1,$B$1)</f>
        <v>187.43</v>
      </c>
      <c r="AV17">
        <f>_xll.EQNXTDZ($A$1,$B17,AV$1,$B$1)</f>
        <v>230.31</v>
      </c>
      <c r="AW17">
        <f>_xll.EQNXTDZ($A$1,$B17,AW$1,$B$1)</f>
        <v>266.44</v>
      </c>
      <c r="AX17">
        <f>_xll.EQNXTDZ($A$1,$B17,AX$1,$B$1)</f>
        <v>263.41000000000003</v>
      </c>
      <c r="AY17">
        <f>_xll.EQNXTDZ($A$1,$B17,AY$1,$B$1)</f>
        <v>227.07</v>
      </c>
      <c r="AZ17">
        <f>_xll.EQNXTDZ($A$1,$B17,AZ$1,$B$1)</f>
        <v>276.36</v>
      </c>
      <c r="BA17">
        <f>_xll.EQNXTDZ($A$1,$B17,BA$1,$B$1)</f>
        <v>312.23</v>
      </c>
      <c r="BB17">
        <f>_xll.EQNXTDZ($A$1,$B17,BB$1,$B$1)</f>
        <v>290.17</v>
      </c>
      <c r="BC17">
        <f>_xll.EQNXTDZ($A$1,$B17,BC$1,$B$1)</f>
        <v>261.08999999999997</v>
      </c>
      <c r="BD17">
        <f>_xll.EQNXTDZ($A$1,$B17,BD$1,$B$1)</f>
        <v>267.74</v>
      </c>
      <c r="BE17">
        <f>_xll.EQNXTDZ($A$1,$B17,BE$1,$B$1)</f>
        <v>-3.41</v>
      </c>
      <c r="BF17">
        <f>_xll.EQNXTDZ($A$1,$B17,BF$1,$B$1)</f>
        <v>-0.12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176.58</v>
      </c>
      <c r="U18">
        <f>_xll.EQNXTDZ($A$1,$B18,U$1,$B$1)</f>
        <v>210.45</v>
      </c>
      <c r="V18">
        <f>_xll.EQNXTDZ($A$1,$B18,V$1,$B$1)</f>
        <v>283.19</v>
      </c>
      <c r="W18">
        <f>_xll.EQNXTDZ($A$1,$B18,W$1,$B$1)</f>
        <v>165.13</v>
      </c>
      <c r="X18">
        <f>_xll.EQNXTDZ($A$1,$B18,X$1,$B$1)</f>
        <v>267.41000000000003</v>
      </c>
      <c r="Y18">
        <f>_xll.EQNXTDZ($A$1,$B18,Y$1,$B$1)</f>
        <v>312.38</v>
      </c>
      <c r="Z18">
        <f>_xll.EQNXTDZ($A$1,$B18,Z$1,$B$1)</f>
        <v>375.94</v>
      </c>
      <c r="AA18">
        <f>_xll.EQNXTDZ($A$1,$B18,AA$1,$B$1)</f>
        <v>195.89</v>
      </c>
      <c r="AB18">
        <f>_xll.EQNXTDZ($A$1,$B18,AB$1,$B$1)</f>
        <v>319.24</v>
      </c>
      <c r="AC18">
        <f>_xll.EQNXTDZ($A$1,$B18,AC$1,$B$1)</f>
        <v>379.17</v>
      </c>
      <c r="AD18">
        <f>_xll.EQNXTDZ($A$1,$B18,AD$1,$B$1)</f>
        <v>452.05</v>
      </c>
      <c r="AE18">
        <f>_xll.EQNXTDZ($A$1,$B18,AE$1,$B$1)</f>
        <v>249.37</v>
      </c>
      <c r="AF18">
        <f>_xll.EQNXTDZ($A$1,$B18,AF$1,$B$1)</f>
        <v>408.23</v>
      </c>
      <c r="AG18">
        <f>_xll.EQNXTDZ($A$1,$B18,AG$1,$B$1)</f>
        <v>455.22</v>
      </c>
      <c r="AH18">
        <f>_xll.EQNXTDZ($A$1,$B18,AH$1,$B$1)</f>
        <v>453.4</v>
      </c>
      <c r="AI18">
        <f>_xll.EQNXTDZ($A$1,$B18,AI$1,$B$1)</f>
        <v>225.34</v>
      </c>
      <c r="AJ18">
        <f>_xll.EQNXTDZ($A$1,$B18,AJ$1,$B$1)</f>
        <v>414.49</v>
      </c>
      <c r="AK18">
        <f>_xll.EQNXTDZ($A$1,$B18,AK$1,$B$1)</f>
        <v>517.15</v>
      </c>
      <c r="AL18">
        <f>_xll.EQNXTDZ($A$1,$B18,AL$1,$B$1)</f>
        <v>585.54999999999995</v>
      </c>
      <c r="AM18">
        <f>_xll.EQNXTDZ($A$1,$B18,AM$1,$B$1)</f>
        <v>261.69</v>
      </c>
      <c r="AN18">
        <f>_xll.EQNXTDZ($A$1,$B18,AN$1,$B$1)</f>
        <v>529.94000000000005</v>
      </c>
      <c r="AO18">
        <f>_xll.EQNXTDZ($A$1,$B18,AO$1,$B$1)</f>
        <v>614.54999999999995</v>
      </c>
      <c r="AP18">
        <f>_xll.EQNXTDZ($A$1,$B18,AP$1,$B$1)</f>
        <v>677.86</v>
      </c>
      <c r="AQ18">
        <f>_xll.EQNXTDZ($A$1,$B18,AQ$1,$B$1)</f>
        <v>507.57</v>
      </c>
      <c r="AR18">
        <f>_xll.EQNXTDZ($A$1,$B18,AR$1,$B$1)</f>
        <v>711.77</v>
      </c>
      <c r="AS18">
        <f>_xll.EQNXTDZ($A$1,$B18,AS$1,$B$1)</f>
        <v>845.21</v>
      </c>
      <c r="AT18">
        <f>_xll.EQNXTDZ($A$1,$B18,AT$1,$B$1)</f>
        <v>871.4</v>
      </c>
      <c r="AU18">
        <f>_xll.EQNXTDZ($A$1,$B18,AU$1,$B$1)</f>
        <v>521.15</v>
      </c>
      <c r="AV18">
        <f>_xll.EQNXTDZ($A$1,$B18,AV$1,$B$1)</f>
        <v>795.92</v>
      </c>
      <c r="AW18">
        <f>_xll.EQNXTDZ($A$1,$B18,AW$1,$B$1)</f>
        <v>936.64</v>
      </c>
      <c r="AX18">
        <f>_xll.EQNXTDZ($A$1,$B18,AX$1,$B$1)</f>
        <v>851.39</v>
      </c>
      <c r="AY18">
        <f>_xll.EQNXTDZ($A$1,$B18,AY$1,$B$1)</f>
        <v>568.91</v>
      </c>
      <c r="AZ18">
        <f>_xll.EQNXTDZ($A$1,$B18,AZ$1,$B$1)</f>
        <v>1014.82</v>
      </c>
      <c r="BA18">
        <f>_xll.EQNXTDZ($A$1,$B18,BA$1,$B$1)</f>
        <v>1258.46</v>
      </c>
      <c r="BB18">
        <f>_xll.EQNXTDZ($A$1,$B18,BB$1,$B$1)</f>
        <v>776.77</v>
      </c>
      <c r="BC18">
        <f>_xll.EQNXTDZ($A$1,$B18,BC$1,$B$1)</f>
        <v>666.03</v>
      </c>
      <c r="BD18">
        <f>_xll.EQNXTDZ($A$1,$B18,BD$1,$B$1)</f>
        <v>1240.31</v>
      </c>
      <c r="BE18">
        <f>_xll.EQNXTDZ($A$1,$B18,BE$1,$B$1)</f>
        <v>1610.24</v>
      </c>
      <c r="BF18">
        <f>_xll.EQNXTDZ($A$1,$B18,BF$1,$B$1)</f>
        <v>859.11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-0.02</v>
      </c>
      <c r="U21">
        <f>_xll.EQNXTDZ($A$1,$B21,U$1,$B$1)</f>
        <v>-2.2599999999999998</v>
      </c>
      <c r="V21">
        <f>_xll.EQNXTDZ($A$1,$B21,V$1,$B$1)</f>
        <v>-2.02</v>
      </c>
      <c r="W21">
        <f>_xll.EQNXTDZ($A$1,$B21,W$1,$B$1)</f>
        <v>1.25</v>
      </c>
      <c r="X21">
        <f>_xll.EQNXTDZ($A$1,$B21,X$1,$B$1)</f>
        <v>12.09</v>
      </c>
      <c r="Y21">
        <f>_xll.EQNXTDZ($A$1,$B21,Y$1,$B$1)</f>
        <v>-11.12</v>
      </c>
      <c r="Z21">
        <f>_xll.EQNXTDZ($A$1,$B21,Z$1,$B$1)</f>
        <v>4.05</v>
      </c>
      <c r="AA21">
        <f>_xll.EQNXTDZ($A$1,$B21,AA$1,$B$1)</f>
        <v>-4.2300000000000004</v>
      </c>
      <c r="AB21">
        <f>_xll.EQNXTDZ($A$1,$B21,AB$1,$B$1)</f>
        <v>9.51</v>
      </c>
      <c r="AC21">
        <f>_xll.EQNXTDZ($A$1,$B21,AC$1,$B$1)</f>
        <v>88.97</v>
      </c>
      <c r="AD21">
        <f>_xll.EQNXTDZ($A$1,$B21,AD$1,$B$1)</f>
        <v>18.79</v>
      </c>
      <c r="AE21">
        <f>_xll.EQNXTDZ($A$1,$B21,AE$1,$B$1)</f>
        <v>198.58</v>
      </c>
      <c r="AF21">
        <f>_xll.EQNXTDZ($A$1,$B21,AF$1,$B$1)</f>
        <v>104.66</v>
      </c>
      <c r="AG21">
        <f>_xll.EQNXTDZ($A$1,$B21,AG$1,$B$1)</f>
        <v>55.97</v>
      </c>
      <c r="AH21">
        <f>_xll.EQNXTDZ($A$1,$B21,AH$1,$B$1)</f>
        <v>-48.84</v>
      </c>
      <c r="AI21">
        <f>_xll.EQNXTDZ($A$1,$B21,AI$1,$B$1)</f>
        <v>-113.37</v>
      </c>
      <c r="AJ21">
        <f>_xll.EQNXTDZ($A$1,$B21,AJ$1,$B$1)</f>
        <v>6.19</v>
      </c>
      <c r="AK21">
        <f>_xll.EQNXTDZ($A$1,$B21,AK$1,$B$1)</f>
        <v>-38.46</v>
      </c>
      <c r="AL21">
        <f>_xll.EQNXTDZ($A$1,$B21,AL$1,$B$1)</f>
        <v>-31.88</v>
      </c>
      <c r="AM21">
        <f>_xll.EQNXTDZ($A$1,$B21,AM$1,$B$1)</f>
        <v>0.52</v>
      </c>
      <c r="AN21">
        <f>_xll.EQNXTDZ($A$1,$B21,AN$1,$B$1)</f>
        <v>-24.37</v>
      </c>
      <c r="AO21">
        <f>_xll.EQNXTDZ($A$1,$B21,AO$1,$B$1)</f>
        <v>0.81</v>
      </c>
      <c r="AP21">
        <f>_xll.EQNXTDZ($A$1,$B21,AP$1,$B$1)</f>
        <v>84.9</v>
      </c>
      <c r="AQ21">
        <f>_xll.EQNXTDZ($A$1,$B21,AQ$1,$B$1)</f>
        <v>-1.1599999999999999</v>
      </c>
      <c r="AR21">
        <f>_xll.EQNXTDZ($A$1,$B21,AR$1,$B$1)</f>
        <v>-4.84</v>
      </c>
      <c r="AS21">
        <f>_xll.EQNXTDZ($A$1,$B21,AS$1,$B$1)</f>
        <v>7.56</v>
      </c>
      <c r="AT21">
        <f>_xll.EQNXTDZ($A$1,$B21,AT$1,$B$1)</f>
        <v>10.57</v>
      </c>
      <c r="AU21">
        <f>_xll.EQNXTDZ($A$1,$B21,AU$1,$B$1)</f>
        <v>0.94</v>
      </c>
      <c r="AV21">
        <f>_xll.EQNXTDZ($A$1,$B21,AV$1,$B$1)</f>
        <v>11.88</v>
      </c>
      <c r="AW21">
        <f>_xll.EQNXTDZ($A$1,$B21,AW$1,$B$1)</f>
        <v>-32.89</v>
      </c>
      <c r="AX21">
        <f>_xll.EQNXTDZ($A$1,$B21,AX$1,$B$1)</f>
        <v>11.33</v>
      </c>
      <c r="AY21">
        <f>_xll.EQNXTDZ($A$1,$B21,AY$1,$B$1)</f>
        <v>-20.54</v>
      </c>
      <c r="AZ21">
        <f>_xll.EQNXTDZ($A$1,$B21,AZ$1,$B$1)</f>
        <v>-20.62</v>
      </c>
      <c r="BA21">
        <f>_xll.EQNXTDZ($A$1,$B21,BA$1,$B$1)</f>
        <v>2.19</v>
      </c>
      <c r="BB21">
        <f>_xll.EQNXTDZ($A$1,$B21,BB$1,$B$1)</f>
        <v>8.67</v>
      </c>
      <c r="BC21">
        <f>_xll.EQNXTDZ($A$1,$B21,BC$1,$B$1)</f>
        <v>-16.149999999999999</v>
      </c>
      <c r="BD21">
        <f>_xll.EQNXTDZ($A$1,$B21,BD$1,$B$1)</f>
        <v>42.49</v>
      </c>
      <c r="BE21">
        <f>_xll.EQNXTDZ($A$1,$B21,BE$1,$B$1)</f>
        <v>22.62</v>
      </c>
      <c r="BF21">
        <f>_xll.EQNXTDZ($A$1,$B21,BF$1,$B$1)</f>
        <v>-23.58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-2670.87</v>
      </c>
      <c r="U22">
        <f>_xll.EQNXTDZ($A$1,$B22,U$1,$B$1)</f>
        <v>-599.71</v>
      </c>
      <c r="V22">
        <f>_xll.EQNXTDZ($A$1,$B22,V$1,$B$1)</f>
        <v>-3096.66</v>
      </c>
      <c r="W22">
        <f>_xll.EQNXTDZ($A$1,$B22,W$1,$B$1)</f>
        <v>-2292.1999999999998</v>
      </c>
      <c r="X22">
        <f>_xll.EQNXTDZ($A$1,$B22,X$1,$B$1)</f>
        <v>-2195.5700000000002</v>
      </c>
      <c r="Y22">
        <f>_xll.EQNXTDZ($A$1,$B22,Y$1,$B$1)</f>
        <v>-2663.13</v>
      </c>
      <c r="Z22">
        <f>_xll.EQNXTDZ($A$1,$B22,Z$1,$B$1)</f>
        <v>-414.93</v>
      </c>
      <c r="AA22">
        <f>_xll.EQNXTDZ($A$1,$B22,AA$1,$B$1)</f>
        <v>-1720.83</v>
      </c>
      <c r="AB22">
        <f>_xll.EQNXTDZ($A$1,$B22,AB$1,$B$1)</f>
        <v>-1804.18</v>
      </c>
      <c r="AC22">
        <f>_xll.EQNXTDZ($A$1,$B22,AC$1,$B$1)</f>
        <v>-2827.4</v>
      </c>
      <c r="AD22">
        <f>_xll.EQNXTDZ($A$1,$B22,AD$1,$B$1)</f>
        <v>-3796.62</v>
      </c>
      <c r="AE22">
        <f>_xll.EQNXTDZ($A$1,$B22,AE$1,$B$1)</f>
        <v>-2783.56</v>
      </c>
      <c r="AF22">
        <f>_xll.EQNXTDZ($A$1,$B22,AF$1,$B$1)</f>
        <v>-35.6</v>
      </c>
      <c r="AG22">
        <f>_xll.EQNXTDZ($A$1,$B22,AG$1,$B$1)</f>
        <v>-3791.06</v>
      </c>
      <c r="AH22">
        <f>_xll.EQNXTDZ($A$1,$B22,AH$1,$B$1)</f>
        <v>7261.09</v>
      </c>
      <c r="AI22">
        <f>_xll.EQNXTDZ($A$1,$B22,AI$1,$B$1)</f>
        <v>-8059.4</v>
      </c>
      <c r="AJ22">
        <f>_xll.EQNXTDZ($A$1,$B22,AJ$1,$B$1)</f>
        <v>-5494.11</v>
      </c>
      <c r="AK22">
        <f>_xll.EQNXTDZ($A$1,$B22,AK$1,$B$1)</f>
        <v>-12665.45</v>
      </c>
      <c r="AL22">
        <f>_xll.EQNXTDZ($A$1,$B22,AL$1,$B$1)</f>
        <v>-4243.18</v>
      </c>
      <c r="AM22">
        <f>_xll.EQNXTDZ($A$1,$B22,AM$1,$B$1)</f>
        <v>-7439.54</v>
      </c>
      <c r="AN22">
        <f>_xll.EQNXTDZ($A$1,$B22,AN$1,$B$1)</f>
        <v>-10703.12</v>
      </c>
      <c r="AO22">
        <f>_xll.EQNXTDZ($A$1,$B22,AO$1,$B$1)</f>
        <v>-2246.48</v>
      </c>
      <c r="AP22">
        <f>_xll.EQNXTDZ($A$1,$B22,AP$1,$B$1)</f>
        <v>-3507.25</v>
      </c>
      <c r="AQ22">
        <f>_xll.EQNXTDZ($A$1,$B22,AQ$1,$B$1)</f>
        <v>6519.59</v>
      </c>
      <c r="AR22">
        <f>_xll.EQNXTDZ($A$1,$B22,AR$1,$B$1)</f>
        <v>-10814.25</v>
      </c>
      <c r="AS22">
        <f>_xll.EQNXTDZ($A$1,$B22,AS$1,$B$1)</f>
        <v>-7312.49</v>
      </c>
      <c r="AT22">
        <f>_xll.EQNXTDZ($A$1,$B22,AT$1,$B$1)</f>
        <v>-2299.7600000000002</v>
      </c>
      <c r="AU22">
        <f>_xll.EQNXTDZ($A$1,$B22,AU$1,$B$1)</f>
        <v>-14366.87</v>
      </c>
      <c r="AV22">
        <f>_xll.EQNXTDZ($A$1,$B22,AV$1,$B$1)</f>
        <v>-8342.4199999999892</v>
      </c>
      <c r="AW22">
        <f>_xll.EQNXTDZ($A$1,$B22,AW$1,$B$1)</f>
        <v>-16364.38</v>
      </c>
      <c r="AX22">
        <f>_xll.EQNXTDZ($A$1,$B22,AX$1,$B$1)</f>
        <v>-11926.92</v>
      </c>
      <c r="AY22">
        <f>_xll.EQNXTDZ($A$1,$B22,AY$1,$B$1)</f>
        <v>-18954.509999999998</v>
      </c>
      <c r="AZ22">
        <f>_xll.EQNXTDZ($A$1,$B22,AZ$1,$B$1)</f>
        <v>-19430.07</v>
      </c>
      <c r="BA22">
        <f>_xll.EQNXTDZ($A$1,$B22,BA$1,$B$1)</f>
        <v>6561.86</v>
      </c>
      <c r="BB22">
        <f>_xll.EQNXTDZ($A$1,$B22,BB$1,$B$1)</f>
        <v>340.60999999999802</v>
      </c>
      <c r="BC22">
        <f>_xll.EQNXTDZ($A$1,$B22,BC$1,$B$1)</f>
        <v>-21154.07</v>
      </c>
      <c r="BD22">
        <f>_xll.EQNXTDZ($A$1,$B22,BD$1,$B$1)</f>
        <v>2248.52</v>
      </c>
      <c r="BE22">
        <f>_xll.EQNXTDZ($A$1,$B22,BE$1,$B$1)</f>
        <v>-15272.04</v>
      </c>
      <c r="BF22">
        <f>_xll.EQNXTDZ($A$1,$B22,BF$1,$B$1)</f>
        <v>22567.07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2930.85</v>
      </c>
      <c r="U23">
        <f>_xll.EQNXTDZ($A$1,$B23,U$1,$B$1)</f>
        <v>819.4</v>
      </c>
      <c r="V23">
        <f>_xll.EQNXTDZ($A$1,$B23,V$1,$B$1)</f>
        <v>3458.09</v>
      </c>
      <c r="W23">
        <f>_xll.EQNXTDZ($A$1,$B23,W$1,$B$1)</f>
        <v>2735.95</v>
      </c>
      <c r="X23">
        <f>_xll.EQNXTDZ($A$1,$B23,X$1,$B$1)</f>
        <v>2464.9899999999998</v>
      </c>
      <c r="Y23">
        <f>_xll.EQNXTDZ($A$1,$B23,Y$1,$B$1)</f>
        <v>2930.78</v>
      </c>
      <c r="Z23">
        <f>_xll.EQNXTDZ($A$1,$B23,Z$1,$B$1)</f>
        <v>856.58</v>
      </c>
      <c r="AA23">
        <f>_xll.EQNXTDZ($A$1,$B23,AA$1,$B$1)</f>
        <v>2238.87</v>
      </c>
      <c r="AB23">
        <f>_xll.EQNXTDZ($A$1,$B23,AB$1,$B$1)</f>
        <v>2099.63</v>
      </c>
      <c r="AC23">
        <f>_xll.EQNXTDZ($A$1,$B23,AC$1,$B$1)</f>
        <v>3144.18</v>
      </c>
      <c r="AD23">
        <f>_xll.EQNXTDZ($A$1,$B23,AD$1,$B$1)</f>
        <v>4307.91</v>
      </c>
      <c r="AE23">
        <f>_xll.EQNXTDZ($A$1,$B23,AE$1,$B$1)</f>
        <v>3161.4</v>
      </c>
      <c r="AF23">
        <f>_xll.EQNXTDZ($A$1,$B23,AF$1,$B$1)</f>
        <v>154.81</v>
      </c>
      <c r="AG23">
        <f>_xll.EQNXTDZ($A$1,$B23,AG$1,$B$1)</f>
        <v>4260.1400000000003</v>
      </c>
      <c r="AH23">
        <f>_xll.EQNXTDZ($A$1,$B23,AH$1,$B$1)</f>
        <v>-6673.75</v>
      </c>
      <c r="AI23">
        <f>_xll.EQNXTDZ($A$1,$B23,AI$1,$B$1)</f>
        <v>8686.4</v>
      </c>
      <c r="AJ23">
        <f>_xll.EQNXTDZ($A$1,$B23,AJ$1,$B$1)</f>
        <v>5793.68</v>
      </c>
      <c r="AK23">
        <f>_xll.EQNXTDZ($A$1,$B23,AK$1,$B$1)</f>
        <v>12961.46</v>
      </c>
      <c r="AL23">
        <f>_xll.EQNXTDZ($A$1,$B23,AL$1,$B$1)</f>
        <v>4745.09</v>
      </c>
      <c r="AM23">
        <f>_xll.EQNXTDZ($A$1,$B23,AM$1,$B$1)</f>
        <v>7709.07</v>
      </c>
      <c r="AN23">
        <f>_xll.EQNXTDZ($A$1,$B23,AN$1,$B$1)</f>
        <v>10985.62</v>
      </c>
      <c r="AO23">
        <f>_xll.EQNXTDZ($A$1,$B23,AO$1,$B$1)</f>
        <v>2656.24</v>
      </c>
      <c r="AP23">
        <f>_xll.EQNXTDZ($A$1,$B23,AP$1,$B$1)</f>
        <v>4232.38</v>
      </c>
      <c r="AQ23">
        <f>_xll.EQNXTDZ($A$1,$B23,AQ$1,$B$1)</f>
        <v>-6218.73</v>
      </c>
      <c r="AR23">
        <f>_xll.EQNXTDZ($A$1,$B23,AR$1,$B$1)</f>
        <v>11251.2</v>
      </c>
      <c r="AS23">
        <f>_xll.EQNXTDZ($A$1,$B23,AS$1,$B$1)</f>
        <v>7658.97</v>
      </c>
      <c r="AT23">
        <f>_xll.EQNXTDZ($A$1,$B23,AT$1,$B$1)</f>
        <v>3121.31</v>
      </c>
      <c r="AU23">
        <f>_xll.EQNXTDZ($A$1,$B23,AU$1,$B$1)</f>
        <v>14799.51</v>
      </c>
      <c r="AV23">
        <f>_xll.EQNXTDZ($A$1,$B23,AV$1,$B$1)</f>
        <v>8766.5</v>
      </c>
      <c r="AW23">
        <f>_xll.EQNXTDZ($A$1,$B23,AW$1,$B$1)</f>
        <v>16734.330000000002</v>
      </c>
      <c r="AX23">
        <f>_xll.EQNXTDZ($A$1,$B23,AX$1,$B$1)</f>
        <v>12778.05</v>
      </c>
      <c r="AY23">
        <f>_xll.EQNXTDZ($A$1,$B23,AY$1,$B$1)</f>
        <v>19551.490000000002</v>
      </c>
      <c r="AZ23">
        <f>_xll.EQNXTDZ($A$1,$B23,AZ$1,$B$1)</f>
        <v>20031.509999999998</v>
      </c>
      <c r="BA23">
        <f>_xll.EQNXTDZ($A$1,$B23,BA$1,$B$1)</f>
        <v>-5968.33</v>
      </c>
      <c r="BB23">
        <f>_xll.EQNXTDZ($A$1,$B23,BB$1,$B$1)</f>
        <v>560.02</v>
      </c>
      <c r="BC23">
        <f>_xll.EQNXTDZ($A$1,$B23,BC$1,$B$1)</f>
        <v>21810.27</v>
      </c>
      <c r="BD23">
        <f>_xll.EQNXTDZ($A$1,$B23,BD$1,$B$1)</f>
        <v>-1716.76</v>
      </c>
      <c r="BE23">
        <f>_xll.EQNXTDZ($A$1,$B23,BE$1,$B$1)</f>
        <v>15913.98</v>
      </c>
      <c r="BF23">
        <f>_xll.EQNXTDZ($A$1,$B23,BF$1,$B$1)</f>
        <v>-21700.080000000002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259.98</v>
      </c>
      <c r="U24">
        <f>_xll.EQNXTDZ($A$1,$B24,U$1,$B$1)</f>
        <v>219.69</v>
      </c>
      <c r="V24">
        <f>_xll.EQNXTDZ($A$1,$B24,V$1,$B$1)</f>
        <v>361.43</v>
      </c>
      <c r="W24">
        <f>_xll.EQNXTDZ($A$1,$B24,W$1,$B$1)</f>
        <v>443.75</v>
      </c>
      <c r="X24">
        <f>_xll.EQNXTDZ($A$1,$B24,X$1,$B$1)</f>
        <v>269.42</v>
      </c>
      <c r="Y24">
        <f>_xll.EQNXTDZ($A$1,$B24,Y$1,$B$1)</f>
        <v>267.64999999999998</v>
      </c>
      <c r="Z24">
        <f>_xll.EQNXTDZ($A$1,$B24,Z$1,$B$1)</f>
        <v>441.65</v>
      </c>
      <c r="AA24">
        <f>_xll.EQNXTDZ($A$1,$B24,AA$1,$B$1)</f>
        <v>518.04</v>
      </c>
      <c r="AB24">
        <f>_xll.EQNXTDZ($A$1,$B24,AB$1,$B$1)</f>
        <v>295.45</v>
      </c>
      <c r="AC24">
        <f>_xll.EQNXTDZ($A$1,$B24,AC$1,$B$1)</f>
        <v>316.77999999999901</v>
      </c>
      <c r="AD24">
        <f>_xll.EQNXTDZ($A$1,$B24,AD$1,$B$1)</f>
        <v>511.289999999999</v>
      </c>
      <c r="AE24">
        <f>_xll.EQNXTDZ($A$1,$B24,AE$1,$B$1)</f>
        <v>377.83999999999901</v>
      </c>
      <c r="AF24">
        <f>_xll.EQNXTDZ($A$1,$B24,AF$1,$B$1)</f>
        <v>119.209999999999</v>
      </c>
      <c r="AG24">
        <f>_xll.EQNXTDZ($A$1,$B24,AG$1,$B$1)</f>
        <v>469.07999999999902</v>
      </c>
      <c r="AH24">
        <f>_xll.EQNXTDZ($A$1,$B24,AH$1,$B$1)</f>
        <v>587.34000000000106</v>
      </c>
      <c r="AI24">
        <f>_xll.EQNXTDZ($A$1,$B24,AI$1,$B$1)</f>
        <v>627.00000000000296</v>
      </c>
      <c r="AJ24">
        <f>_xll.EQNXTDZ($A$1,$B24,AJ$1,$B$1)</f>
        <v>299.569999999998</v>
      </c>
      <c r="AK24">
        <f>_xll.EQNXTDZ($A$1,$B24,AK$1,$B$1)</f>
        <v>296.009999999998</v>
      </c>
      <c r="AL24">
        <f>_xll.EQNXTDZ($A$1,$B24,AL$1,$B$1)</f>
        <v>501.91000000000099</v>
      </c>
      <c r="AM24">
        <f>_xll.EQNXTDZ($A$1,$B24,AM$1,$B$1)</f>
        <v>269.53000000000202</v>
      </c>
      <c r="AN24">
        <f>_xll.EQNXTDZ($A$1,$B24,AN$1,$B$1)</f>
        <v>282.50000000000301</v>
      </c>
      <c r="AO24">
        <f>_xll.EQNXTDZ($A$1,$B24,AO$1,$B$1)</f>
        <v>409.76000000000101</v>
      </c>
      <c r="AP24">
        <f>_xll.EQNXTDZ($A$1,$B24,AP$1,$B$1)</f>
        <v>725.12999999999897</v>
      </c>
      <c r="AQ24">
        <f>_xll.EQNXTDZ($A$1,$B24,AQ$1,$B$1)</f>
        <v>300.86000000000098</v>
      </c>
      <c r="AR24">
        <f>_xll.EQNXTDZ($A$1,$B24,AR$1,$B$1)</f>
        <v>436.95</v>
      </c>
      <c r="AS24">
        <f>_xll.EQNXTDZ($A$1,$B24,AS$1,$B$1)</f>
        <v>346.48000000000502</v>
      </c>
      <c r="AT24">
        <f>_xll.EQNXTDZ($A$1,$B24,AT$1,$B$1)</f>
        <v>821.549999999997</v>
      </c>
      <c r="AU24">
        <f>_xll.EQNXTDZ($A$1,$B24,AU$1,$B$1)</f>
        <v>432.63999999999697</v>
      </c>
      <c r="AV24">
        <f>_xll.EQNXTDZ($A$1,$B24,AV$1,$B$1)</f>
        <v>424.08000000000499</v>
      </c>
      <c r="AW24">
        <f>_xll.EQNXTDZ($A$1,$B24,AW$1,$B$1)</f>
        <v>369.94999999999402</v>
      </c>
      <c r="AX24">
        <f>_xll.EQNXTDZ($A$1,$B24,AX$1,$B$1)</f>
        <v>851.130000000005</v>
      </c>
      <c r="AY24">
        <f>_xll.EQNXTDZ($A$1,$B24,AY$1,$B$1)</f>
        <v>596.98000000000502</v>
      </c>
      <c r="AZ24">
        <f>_xll.EQNXTDZ($A$1,$B24,AZ$1,$B$1)</f>
        <v>601.43999999999699</v>
      </c>
      <c r="BA24">
        <f>_xll.EQNXTDZ($A$1,$B24,BA$1,$B$1)</f>
        <v>593.53000000000202</v>
      </c>
      <c r="BB24">
        <f>_xll.EQNXTDZ($A$1,$B24,BB$1,$B$1)</f>
        <v>900.62999999999602</v>
      </c>
      <c r="BC24">
        <f>_xll.EQNXTDZ($A$1,$B24,BC$1,$B$1)</f>
        <v>656.2</v>
      </c>
      <c r="BD24">
        <f>_xll.EQNXTDZ($A$1,$B24,BD$1,$B$1)</f>
        <v>531.76000000000101</v>
      </c>
      <c r="BE24">
        <f>_xll.EQNXTDZ($A$1,$B24,BE$1,$B$1)</f>
        <v>641.93999999999699</v>
      </c>
      <c r="BF24">
        <f>_xll.EQNXTDZ($A$1,$B24,BF$1,$B$1)</f>
        <v>866.99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259.98</v>
      </c>
      <c r="U27">
        <f>_xll.EQNXTDZ($A$1,$B27,U$1,$B$1)</f>
        <v>219.69</v>
      </c>
      <c r="V27">
        <f>_xll.EQNXTDZ($A$1,$B27,V$1,$B$1)</f>
        <v>361.43</v>
      </c>
      <c r="W27">
        <f>_xll.EQNXTDZ($A$1,$B27,W$1,$B$1)</f>
        <v>443.75</v>
      </c>
      <c r="X27">
        <f>_xll.EQNXTDZ($A$1,$B27,X$1,$B$1)</f>
        <v>269.42</v>
      </c>
      <c r="Y27">
        <f>_xll.EQNXTDZ($A$1,$B27,Y$1,$B$1)</f>
        <v>267.64999999999998</v>
      </c>
      <c r="Z27">
        <f>_xll.EQNXTDZ($A$1,$B27,Z$1,$B$1)</f>
        <v>441.65</v>
      </c>
      <c r="AA27">
        <f>_xll.EQNXTDZ($A$1,$B27,AA$1,$B$1)</f>
        <v>518.04</v>
      </c>
      <c r="AB27">
        <f>_xll.EQNXTDZ($A$1,$B27,AB$1,$B$1)</f>
        <v>295.45</v>
      </c>
      <c r="AC27">
        <f>_xll.EQNXTDZ($A$1,$B27,AC$1,$B$1)</f>
        <v>316.77999999999901</v>
      </c>
      <c r="AD27">
        <f>_xll.EQNXTDZ($A$1,$B27,AD$1,$B$1)</f>
        <v>511.289999999999</v>
      </c>
      <c r="AE27">
        <f>_xll.EQNXTDZ($A$1,$B27,AE$1,$B$1)</f>
        <v>377.83999999999901</v>
      </c>
      <c r="AF27">
        <f>_xll.EQNXTDZ($A$1,$B27,AF$1,$B$1)</f>
        <v>119.209999999999</v>
      </c>
      <c r="AG27">
        <f>_xll.EQNXTDZ($A$1,$B27,AG$1,$B$1)</f>
        <v>469.07999999999902</v>
      </c>
      <c r="AH27">
        <f>_xll.EQNXTDZ($A$1,$B27,AH$1,$B$1)</f>
        <v>587.34000000000106</v>
      </c>
      <c r="AI27">
        <f>_xll.EQNXTDZ($A$1,$B27,AI$1,$B$1)</f>
        <v>627.00000000000296</v>
      </c>
      <c r="AJ27">
        <f>_xll.EQNXTDZ($A$1,$B27,AJ$1,$B$1)</f>
        <v>299.569999999998</v>
      </c>
      <c r="AK27">
        <f>_xll.EQNXTDZ($A$1,$B27,AK$1,$B$1)</f>
        <v>296.009999999998</v>
      </c>
      <c r="AL27">
        <f>_xll.EQNXTDZ($A$1,$B27,AL$1,$B$1)</f>
        <v>501.91000000000099</v>
      </c>
      <c r="AM27">
        <f>_xll.EQNXTDZ($A$1,$B27,AM$1,$B$1)</f>
        <v>269.53000000000202</v>
      </c>
      <c r="AN27">
        <f>_xll.EQNXTDZ($A$1,$B27,AN$1,$B$1)</f>
        <v>282.50000000000301</v>
      </c>
      <c r="AO27">
        <f>_xll.EQNXTDZ($A$1,$B27,AO$1,$B$1)</f>
        <v>409.76000000000101</v>
      </c>
      <c r="AP27">
        <f>_xll.EQNXTDZ($A$1,$B27,AP$1,$B$1)</f>
        <v>725.12999999999897</v>
      </c>
      <c r="AQ27">
        <f>_xll.EQNXTDZ($A$1,$B27,AQ$1,$B$1)</f>
        <v>300.86000000000098</v>
      </c>
      <c r="AR27">
        <f>_xll.EQNXTDZ($A$1,$B27,AR$1,$B$1)</f>
        <v>436.95</v>
      </c>
      <c r="AS27">
        <f>_xll.EQNXTDZ($A$1,$B27,AS$1,$B$1)</f>
        <v>346.48000000000502</v>
      </c>
      <c r="AT27">
        <f>_xll.EQNXTDZ($A$1,$B27,AT$1,$B$1)</f>
        <v>821.549999999997</v>
      </c>
      <c r="AU27">
        <f>_xll.EQNXTDZ($A$1,$B27,AU$1,$B$1)</f>
        <v>432.63999999999697</v>
      </c>
      <c r="AV27">
        <f>_xll.EQNXTDZ($A$1,$B27,AV$1,$B$1)</f>
        <v>424.08000000000499</v>
      </c>
      <c r="AW27">
        <f>_xll.EQNXTDZ($A$1,$B27,AW$1,$B$1)</f>
        <v>369.94999999999402</v>
      </c>
      <c r="AX27">
        <f>_xll.EQNXTDZ($A$1,$B27,AX$1,$B$1)</f>
        <v>851.130000000005</v>
      </c>
      <c r="AY27">
        <f>_xll.EQNXTDZ($A$1,$B27,AY$1,$B$1)</f>
        <v>596.98000000000502</v>
      </c>
      <c r="AZ27">
        <f>_xll.EQNXTDZ($A$1,$B27,AZ$1,$B$1)</f>
        <v>601.43999999999699</v>
      </c>
      <c r="BA27">
        <f>_xll.EQNXTDZ($A$1,$B27,BA$1,$B$1)</f>
        <v>593.53000000000202</v>
      </c>
      <c r="BB27">
        <f>_xll.EQNXTDZ($A$1,$B27,BB$1,$B$1)</f>
        <v>900.62999999999602</v>
      </c>
      <c r="BC27">
        <f>_xll.EQNXTDZ($A$1,$B27,BC$1,$B$1)</f>
        <v>656.2</v>
      </c>
      <c r="BD27">
        <f>_xll.EQNXTDZ($A$1,$B27,BD$1,$B$1)</f>
        <v>531.76000000000101</v>
      </c>
      <c r="BE27">
        <f>_xll.EQNXTDZ($A$1,$B27,BE$1,$B$1)</f>
        <v>641.93999999999699</v>
      </c>
      <c r="BF27">
        <f>_xll.EQNXTDZ($A$1,$B27,BF$1,$B$1)</f>
        <v>866.99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0</v>
      </c>
      <c r="BB28">
        <f>_xll.EQNXTDZ($A$1,$B28,BB$1,$B$1)</f>
        <v>0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0</v>
      </c>
      <c r="BF28">
        <f>_xll.EQNXTDZ($A$1,$B28,BF$1,$B$1)</f>
        <v>0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47.22</v>
      </c>
      <c r="U29">
        <f>_xll.EQNXTDZ($A$1,$B29,U$1,$B$1)</f>
        <v>29.26</v>
      </c>
      <c r="V29">
        <f>_xll.EQNXTDZ($A$1,$B29,V$1,$B$1)</f>
        <v>25.38</v>
      </c>
      <c r="W29">
        <f>_xll.EQNXTDZ($A$1,$B29,W$1,$B$1)</f>
        <v>130.30000000000001</v>
      </c>
      <c r="X29">
        <f>_xll.EQNXTDZ($A$1,$B29,X$1,$B$1)</f>
        <v>43.95</v>
      </c>
      <c r="Y29">
        <f>_xll.EQNXTDZ($A$1,$B29,Y$1,$B$1)</f>
        <v>37.369999999999997</v>
      </c>
      <c r="Z29">
        <f>_xll.EQNXTDZ($A$1,$B29,Z$1,$B$1)</f>
        <v>60.44</v>
      </c>
      <c r="AA29">
        <f>_xll.EQNXTDZ($A$1,$B29,AA$1,$B$1)</f>
        <v>163.72999999999999</v>
      </c>
      <c r="AB29">
        <f>_xll.EQNXTDZ($A$1,$B29,AB$1,$B$1)</f>
        <v>44.92</v>
      </c>
      <c r="AC29">
        <f>_xll.EQNXTDZ($A$1,$B29,AC$1,$B$1)</f>
        <v>52.5</v>
      </c>
      <c r="AD29">
        <f>_xll.EQNXTDZ($A$1,$B29,AD$1,$B$1)</f>
        <v>53.61</v>
      </c>
      <c r="AE29">
        <f>_xll.EQNXTDZ($A$1,$B29,AE$1,$B$1)</f>
        <v>5.94</v>
      </c>
      <c r="AF29">
        <f>_xll.EQNXTDZ($A$1,$B29,AF$1,$B$1)</f>
        <v>-10.63</v>
      </c>
      <c r="AG29">
        <f>_xll.EQNXTDZ($A$1,$B29,AG$1,$B$1)</f>
        <v>79.31</v>
      </c>
      <c r="AH29">
        <f>_xll.EQNXTDZ($A$1,$B29,AH$1,$B$1)</f>
        <v>56.67</v>
      </c>
      <c r="AI29">
        <f>_xll.EQNXTDZ($A$1,$B29,AI$1,$B$1)</f>
        <v>236.11</v>
      </c>
      <c r="AJ29">
        <f>_xll.EQNXTDZ($A$1,$B29,AJ$1,$B$1)</f>
        <v>-0.16</v>
      </c>
      <c r="AK29">
        <f>_xll.EQNXTDZ($A$1,$B29,AK$1,$B$1)</f>
        <v>63.16</v>
      </c>
      <c r="AL29">
        <f>_xll.EQNXTDZ($A$1,$B29,AL$1,$B$1)</f>
        <v>-30.47</v>
      </c>
      <c r="AM29">
        <f>_xll.EQNXTDZ($A$1,$B29,AM$1,$B$1)</f>
        <v>46.37</v>
      </c>
      <c r="AN29">
        <f>_xll.EQNXTDZ($A$1,$B29,AN$1,$B$1)</f>
        <v>35.880000000000003</v>
      </c>
      <c r="AO29">
        <f>_xll.EQNXTDZ($A$1,$B29,AO$1,$B$1)</f>
        <v>45.7</v>
      </c>
      <c r="AP29">
        <f>_xll.EQNXTDZ($A$1,$B29,AP$1,$B$1)</f>
        <v>52.98</v>
      </c>
      <c r="AQ29">
        <f>_xll.EQNXTDZ($A$1,$B29,AQ$1,$B$1)</f>
        <v>38.01</v>
      </c>
      <c r="AR29">
        <f>_xll.EQNXTDZ($A$1,$B29,AR$1,$B$1)</f>
        <v>60.21</v>
      </c>
      <c r="AS29">
        <f>_xll.EQNXTDZ($A$1,$B29,AS$1,$B$1)</f>
        <v>42.35</v>
      </c>
      <c r="AT29">
        <f>_xll.EQNXTDZ($A$1,$B29,AT$1,$B$1)</f>
        <v>44.7</v>
      </c>
      <c r="AU29">
        <f>_xll.EQNXTDZ($A$1,$B29,AU$1,$B$1)</f>
        <v>51.6</v>
      </c>
      <c r="AV29">
        <f>_xll.EQNXTDZ($A$1,$B29,AV$1,$B$1)</f>
        <v>43.89</v>
      </c>
      <c r="AW29">
        <f>_xll.EQNXTDZ($A$1,$B29,AW$1,$B$1)</f>
        <v>48.2</v>
      </c>
      <c r="AX29">
        <f>_xll.EQNXTDZ($A$1,$B29,AX$1,$B$1)</f>
        <v>40.33</v>
      </c>
      <c r="AY29">
        <f>_xll.EQNXTDZ($A$1,$B29,AY$1,$B$1)</f>
        <v>77.459999999999994</v>
      </c>
      <c r="AZ29">
        <f>_xll.EQNXTDZ($A$1,$B29,AZ$1,$B$1)</f>
        <v>72.02</v>
      </c>
      <c r="BA29">
        <f>_xll.EQNXTDZ($A$1,$B29,BA$1,$B$1)</f>
        <v>42.71</v>
      </c>
      <c r="BB29">
        <f>_xll.EQNXTDZ($A$1,$B29,BB$1,$B$1)</f>
        <v>87.12</v>
      </c>
      <c r="BC29">
        <f>_xll.EQNXTDZ($A$1,$B29,BC$1,$B$1)</f>
        <v>61.83</v>
      </c>
      <c r="BD29">
        <f>_xll.EQNXTDZ($A$1,$B29,BD$1,$B$1)</f>
        <v>37.17</v>
      </c>
      <c r="BE29">
        <f>_xll.EQNXTDZ($A$1,$B29,BE$1,$B$1)</f>
        <v>65.2</v>
      </c>
      <c r="BF29">
        <f>_xll.EQNXTDZ($A$1,$B29,BF$1,$B$1)</f>
        <v>62.35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212.76</v>
      </c>
      <c r="U30">
        <f>_xll.EQNXTDZ($A$1,$B30,U$1,$B$1)</f>
        <v>190.43</v>
      </c>
      <c r="V30">
        <f>_xll.EQNXTDZ($A$1,$B30,V$1,$B$1)</f>
        <v>336.05</v>
      </c>
      <c r="W30">
        <f>_xll.EQNXTDZ($A$1,$B30,W$1,$B$1)</f>
        <v>313.45</v>
      </c>
      <c r="X30">
        <f>_xll.EQNXTDZ($A$1,$B30,X$1,$B$1)</f>
        <v>225.47</v>
      </c>
      <c r="Y30">
        <f>_xll.EQNXTDZ($A$1,$B30,Y$1,$B$1)</f>
        <v>230.28</v>
      </c>
      <c r="Z30">
        <f>_xll.EQNXTDZ($A$1,$B30,Z$1,$B$1)</f>
        <v>381.21</v>
      </c>
      <c r="AA30">
        <f>_xll.EQNXTDZ($A$1,$B30,AA$1,$B$1)</f>
        <v>354.31</v>
      </c>
      <c r="AB30">
        <f>_xll.EQNXTDZ($A$1,$B30,AB$1,$B$1)</f>
        <v>250.53</v>
      </c>
      <c r="AC30">
        <f>_xll.EQNXTDZ($A$1,$B30,AC$1,$B$1)</f>
        <v>264.27999999999901</v>
      </c>
      <c r="AD30">
        <f>_xll.EQNXTDZ($A$1,$B30,AD$1,$B$1)</f>
        <v>457.67999999999898</v>
      </c>
      <c r="AE30">
        <f>_xll.EQNXTDZ($A$1,$B30,AE$1,$B$1)</f>
        <v>371.89999999999901</v>
      </c>
      <c r="AF30">
        <f>_xll.EQNXTDZ($A$1,$B30,AF$1,$B$1)</f>
        <v>129.83999999999901</v>
      </c>
      <c r="AG30">
        <f>_xll.EQNXTDZ($A$1,$B30,AG$1,$B$1)</f>
        <v>389.76999999999902</v>
      </c>
      <c r="AH30">
        <f>_xll.EQNXTDZ($A$1,$B30,AH$1,$B$1)</f>
        <v>530.67000000000098</v>
      </c>
      <c r="AI30">
        <f>_xll.EQNXTDZ($A$1,$B30,AI$1,$B$1)</f>
        <v>390.890000000003</v>
      </c>
      <c r="AJ30">
        <f>_xll.EQNXTDZ($A$1,$B30,AJ$1,$B$1)</f>
        <v>299.72999999999797</v>
      </c>
      <c r="AK30">
        <f>_xll.EQNXTDZ($A$1,$B30,AK$1,$B$1)</f>
        <v>232.849999999998</v>
      </c>
      <c r="AL30">
        <f>_xll.EQNXTDZ($A$1,$B30,AL$1,$B$1)</f>
        <v>532.38000000000102</v>
      </c>
      <c r="AM30">
        <f>_xll.EQNXTDZ($A$1,$B30,AM$1,$B$1)</f>
        <v>223.16000000000199</v>
      </c>
      <c r="AN30">
        <f>_xll.EQNXTDZ($A$1,$B30,AN$1,$B$1)</f>
        <v>246.62000000000299</v>
      </c>
      <c r="AO30">
        <f>_xll.EQNXTDZ($A$1,$B30,AO$1,$B$1)</f>
        <v>364.06000000000103</v>
      </c>
      <c r="AP30">
        <f>_xll.EQNXTDZ($A$1,$B30,AP$1,$B$1)</f>
        <v>672.14999999999895</v>
      </c>
      <c r="AQ30">
        <f>_xll.EQNXTDZ($A$1,$B30,AQ$1,$B$1)</f>
        <v>262.85000000000099</v>
      </c>
      <c r="AR30">
        <f>_xll.EQNXTDZ($A$1,$B30,AR$1,$B$1)</f>
        <v>376.74</v>
      </c>
      <c r="AS30">
        <f>_xll.EQNXTDZ($A$1,$B30,AS$1,$B$1)</f>
        <v>304.130000000005</v>
      </c>
      <c r="AT30">
        <f>_xll.EQNXTDZ($A$1,$B30,AT$1,$B$1)</f>
        <v>776.84999999999695</v>
      </c>
      <c r="AU30">
        <f>_xll.EQNXTDZ($A$1,$B30,AU$1,$B$1)</f>
        <v>381.03999999999701</v>
      </c>
      <c r="AV30">
        <f>_xll.EQNXTDZ($A$1,$B30,AV$1,$B$1)</f>
        <v>380.190000000005</v>
      </c>
      <c r="AW30">
        <f>_xll.EQNXTDZ($A$1,$B30,AW$1,$B$1)</f>
        <v>321.74999999999397</v>
      </c>
      <c r="AX30">
        <f>_xll.EQNXTDZ($A$1,$B30,AX$1,$B$1)</f>
        <v>810.80000000000496</v>
      </c>
      <c r="AY30">
        <f>_xll.EQNXTDZ($A$1,$B30,AY$1,$B$1)</f>
        <v>519.52000000000498</v>
      </c>
      <c r="AZ30">
        <f>_xll.EQNXTDZ($A$1,$B30,AZ$1,$B$1)</f>
        <v>529.419999999997</v>
      </c>
      <c r="BA30">
        <f>_xll.EQNXTDZ($A$1,$B30,BA$1,$B$1)</f>
        <v>550.82000000000198</v>
      </c>
      <c r="BB30">
        <f>_xll.EQNXTDZ($A$1,$B30,BB$1,$B$1)</f>
        <v>813.50999999999601</v>
      </c>
      <c r="BC30">
        <f>_xll.EQNXTDZ($A$1,$B30,BC$1,$B$1)</f>
        <v>594.37</v>
      </c>
      <c r="BD30">
        <f>_xll.EQNXTDZ($A$1,$B30,BD$1,$B$1)</f>
        <v>494.590000000001</v>
      </c>
      <c r="BE30">
        <f>_xll.EQNXTDZ($A$1,$B30,BE$1,$B$1)</f>
        <v>576.73999999999705</v>
      </c>
      <c r="BF30">
        <f>_xll.EQNXTDZ($A$1,$B30,BF$1,$B$1)</f>
        <v>804.64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212.76</v>
      </c>
      <c r="U38">
        <f>_xll.EQNXTDZ($A$1,$B38,U$1,$B$1)</f>
        <v>190.43</v>
      </c>
      <c r="V38">
        <f>_xll.EQNXTDZ($A$1,$B38,V$1,$B$1)</f>
        <v>336.05</v>
      </c>
      <c r="W38">
        <f>_xll.EQNXTDZ($A$1,$B38,W$1,$B$1)</f>
        <v>313.45</v>
      </c>
      <c r="X38">
        <f>_xll.EQNXTDZ($A$1,$B38,X$1,$B$1)</f>
        <v>225.47</v>
      </c>
      <c r="Y38">
        <f>_xll.EQNXTDZ($A$1,$B38,Y$1,$B$1)</f>
        <v>230.28</v>
      </c>
      <c r="Z38">
        <f>_xll.EQNXTDZ($A$1,$B38,Z$1,$B$1)</f>
        <v>381.21</v>
      </c>
      <c r="AA38">
        <f>_xll.EQNXTDZ($A$1,$B38,AA$1,$B$1)</f>
        <v>354.31</v>
      </c>
      <c r="AB38">
        <f>_xll.EQNXTDZ($A$1,$B38,AB$1,$B$1)</f>
        <v>250.53</v>
      </c>
      <c r="AC38">
        <f>_xll.EQNXTDZ($A$1,$B38,AC$1,$B$1)</f>
        <v>264.27999999999901</v>
      </c>
      <c r="AD38">
        <f>_xll.EQNXTDZ($A$1,$B38,AD$1,$B$1)</f>
        <v>457.67999999999898</v>
      </c>
      <c r="AE38">
        <f>_xll.EQNXTDZ($A$1,$B38,AE$1,$B$1)</f>
        <v>371.89999999999901</v>
      </c>
      <c r="AF38">
        <f>_xll.EQNXTDZ($A$1,$B38,AF$1,$B$1)</f>
        <v>129.83999999999901</v>
      </c>
      <c r="AG38">
        <f>_xll.EQNXTDZ($A$1,$B38,AG$1,$B$1)</f>
        <v>389.76999999999902</v>
      </c>
      <c r="AH38">
        <f>_xll.EQNXTDZ($A$1,$B38,AH$1,$B$1)</f>
        <v>530.67000000000098</v>
      </c>
      <c r="AI38">
        <f>_xll.EQNXTDZ($A$1,$B38,AI$1,$B$1)</f>
        <v>390.890000000003</v>
      </c>
      <c r="AJ38">
        <f>_xll.EQNXTDZ($A$1,$B38,AJ$1,$B$1)</f>
        <v>299.72999999999797</v>
      </c>
      <c r="AK38">
        <f>_xll.EQNXTDZ($A$1,$B38,AK$1,$B$1)</f>
        <v>232.849999999998</v>
      </c>
      <c r="AL38">
        <f>_xll.EQNXTDZ($A$1,$B38,AL$1,$B$1)</f>
        <v>532.38000000000102</v>
      </c>
      <c r="AM38">
        <f>_xll.EQNXTDZ($A$1,$B38,AM$1,$B$1)</f>
        <v>223.16000000000199</v>
      </c>
      <c r="AN38">
        <f>_xll.EQNXTDZ($A$1,$B38,AN$1,$B$1)</f>
        <v>246.62000000000299</v>
      </c>
      <c r="AO38">
        <f>_xll.EQNXTDZ($A$1,$B38,AO$1,$B$1)</f>
        <v>364.06000000000103</v>
      </c>
      <c r="AP38">
        <f>_xll.EQNXTDZ($A$1,$B38,AP$1,$B$1)</f>
        <v>672.14999999999895</v>
      </c>
      <c r="AQ38">
        <f>_xll.EQNXTDZ($A$1,$B38,AQ$1,$B$1)</f>
        <v>262.85000000000099</v>
      </c>
      <c r="AR38">
        <f>_xll.EQNXTDZ($A$1,$B38,AR$1,$B$1)</f>
        <v>376.74</v>
      </c>
      <c r="AS38">
        <f>_xll.EQNXTDZ($A$1,$B38,AS$1,$B$1)</f>
        <v>304.130000000005</v>
      </c>
      <c r="AT38">
        <f>_xll.EQNXTDZ($A$1,$B38,AT$1,$B$1)</f>
        <v>776.84999999999695</v>
      </c>
      <c r="AU38">
        <f>_xll.EQNXTDZ($A$1,$B38,AU$1,$B$1)</f>
        <v>381.03999999999701</v>
      </c>
      <c r="AV38">
        <f>_xll.EQNXTDZ($A$1,$B38,AV$1,$B$1)</f>
        <v>380.190000000005</v>
      </c>
      <c r="AW38">
        <f>_xll.EQNXTDZ($A$1,$B38,AW$1,$B$1)</f>
        <v>321.74999999999397</v>
      </c>
      <c r="AX38">
        <f>_xll.EQNXTDZ($A$1,$B38,AX$1,$B$1)</f>
        <v>810.80000000000496</v>
      </c>
      <c r="AY38">
        <f>_xll.EQNXTDZ($A$1,$B38,AY$1,$B$1)</f>
        <v>519.52000000000498</v>
      </c>
      <c r="AZ38">
        <f>_xll.EQNXTDZ($A$1,$B38,AZ$1,$B$1)</f>
        <v>529.419999999997</v>
      </c>
      <c r="BA38">
        <f>_xll.EQNXTDZ($A$1,$B38,BA$1,$B$1)</f>
        <v>550.82000000000198</v>
      </c>
      <c r="BB38">
        <f>_xll.EQNXTDZ($A$1,$B38,BB$1,$B$1)</f>
        <v>813.50999999999601</v>
      </c>
      <c r="BC38">
        <f>_xll.EQNXTDZ($A$1,$B38,BC$1,$B$1)</f>
        <v>594.37</v>
      </c>
      <c r="BD38">
        <f>_xll.EQNXTDZ($A$1,$B38,BD$1,$B$1)</f>
        <v>494.590000000001</v>
      </c>
      <c r="BE38">
        <f>_xll.EQNXTDZ($A$1,$B38,BE$1,$B$1)</f>
        <v>576.73999999999705</v>
      </c>
      <c r="BF38">
        <f>_xll.EQNXTDZ($A$1,$B38,BF$1,$B$1)</f>
        <v>804.64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212.76</v>
      </c>
      <c r="U41">
        <f>_xll.EQNXTDZ($A$1,$B41,U$1,$B$1)</f>
        <v>190.43</v>
      </c>
      <c r="V41">
        <f>_xll.EQNXTDZ($A$1,$B41,V$1,$B$1)</f>
        <v>336.05</v>
      </c>
      <c r="W41">
        <f>_xll.EQNXTDZ($A$1,$B41,W$1,$B$1)</f>
        <v>313.45</v>
      </c>
      <c r="X41">
        <f>_xll.EQNXTDZ($A$1,$B41,X$1,$B$1)</f>
        <v>225.47</v>
      </c>
      <c r="Y41">
        <f>_xll.EQNXTDZ($A$1,$B41,Y$1,$B$1)</f>
        <v>230.28</v>
      </c>
      <c r="Z41">
        <f>_xll.EQNXTDZ($A$1,$B41,Z$1,$B$1)</f>
        <v>381.21</v>
      </c>
      <c r="AA41">
        <f>_xll.EQNXTDZ($A$1,$B41,AA$1,$B$1)</f>
        <v>354.31</v>
      </c>
      <c r="AB41">
        <f>_xll.EQNXTDZ($A$1,$B41,AB$1,$B$1)</f>
        <v>250.53</v>
      </c>
      <c r="AC41">
        <f>_xll.EQNXTDZ($A$1,$B41,AC$1,$B$1)</f>
        <v>264.27999999999997</v>
      </c>
      <c r="AD41">
        <f>_xll.EQNXTDZ($A$1,$B41,AD$1,$B$1)</f>
        <v>457.68</v>
      </c>
      <c r="AE41">
        <f>_xll.EQNXTDZ($A$1,$B41,AE$1,$B$1)</f>
        <v>371.9</v>
      </c>
      <c r="AF41">
        <f>_xll.EQNXTDZ($A$1,$B41,AF$1,$B$1)</f>
        <v>129.84</v>
      </c>
      <c r="AG41">
        <f>_xll.EQNXTDZ($A$1,$B41,AG$1,$B$1)</f>
        <v>389.77</v>
      </c>
      <c r="AH41">
        <f>_xll.EQNXTDZ($A$1,$B41,AH$1,$B$1)</f>
        <v>530.66999999999996</v>
      </c>
      <c r="AI41">
        <f>_xll.EQNXTDZ($A$1,$B41,AI$1,$B$1)</f>
        <v>390.89</v>
      </c>
      <c r="AJ41">
        <f>_xll.EQNXTDZ($A$1,$B41,AJ$1,$B$1)</f>
        <v>299.73</v>
      </c>
      <c r="AK41">
        <f>_xll.EQNXTDZ($A$1,$B41,AK$1,$B$1)</f>
        <v>232.85</v>
      </c>
      <c r="AL41">
        <f>_xll.EQNXTDZ($A$1,$B41,AL$1,$B$1)</f>
        <v>532.38</v>
      </c>
      <c r="AM41">
        <f>_xll.EQNXTDZ($A$1,$B41,AM$1,$B$1)</f>
        <v>223.16</v>
      </c>
      <c r="AN41">
        <f>_xll.EQNXTDZ($A$1,$B41,AN$1,$B$1)</f>
        <v>246.62</v>
      </c>
      <c r="AO41">
        <f>_xll.EQNXTDZ($A$1,$B41,AO$1,$B$1)</f>
        <v>364.06</v>
      </c>
      <c r="AP41">
        <f>_xll.EQNXTDZ($A$1,$B41,AP$1,$B$1)</f>
        <v>672.15</v>
      </c>
      <c r="AQ41">
        <f>_xll.EQNXTDZ($A$1,$B41,AQ$1,$B$1)</f>
        <v>262.85000000000002</v>
      </c>
      <c r="AR41">
        <f>_xll.EQNXTDZ($A$1,$B41,AR$1,$B$1)</f>
        <v>376.74</v>
      </c>
      <c r="AS41">
        <f>_xll.EQNXTDZ($A$1,$B41,AS$1,$B$1)</f>
        <v>304.13</v>
      </c>
      <c r="AT41">
        <f>_xll.EQNXTDZ($A$1,$B41,AT$1,$B$1)</f>
        <v>776.85</v>
      </c>
      <c r="AU41">
        <f>_xll.EQNXTDZ($A$1,$B41,AU$1,$B$1)</f>
        <v>381.04</v>
      </c>
      <c r="AV41">
        <f>_xll.EQNXTDZ($A$1,$B41,AV$1,$B$1)</f>
        <v>380.19</v>
      </c>
      <c r="AW41">
        <f>_xll.EQNXTDZ($A$1,$B41,AW$1,$B$1)</f>
        <v>321.75</v>
      </c>
      <c r="AX41">
        <f>_xll.EQNXTDZ($A$1,$B41,AX$1,$B$1)</f>
        <v>810.8</v>
      </c>
      <c r="AY41">
        <f>_xll.EQNXTDZ($A$1,$B41,AY$1,$B$1)</f>
        <v>519.52</v>
      </c>
      <c r="AZ41">
        <f>_xll.EQNXTDZ($A$1,$B41,AZ$1,$B$1)</f>
        <v>529.41999999999996</v>
      </c>
      <c r="BA41">
        <f>_xll.EQNXTDZ($A$1,$B41,BA$1,$B$1)</f>
        <v>550.82000000000005</v>
      </c>
      <c r="BB41">
        <f>_xll.EQNXTDZ($A$1,$B41,BB$1,$B$1)</f>
        <v>813.51</v>
      </c>
      <c r="BC41">
        <f>_xll.EQNXTDZ($A$1,$B41,BC$1,$B$1)</f>
        <v>594.37</v>
      </c>
      <c r="BD41">
        <f>_xll.EQNXTDZ($A$1,$B41,BD$1,$B$1)</f>
        <v>494.59</v>
      </c>
      <c r="BE41">
        <f>_xll.EQNXTDZ($A$1,$B41,BE$1,$B$1)</f>
        <v>576.74</v>
      </c>
      <c r="BF41">
        <f>_xll.EQNXTDZ($A$1,$B41,BF$1,$B$1)</f>
        <v>804.64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212.76</v>
      </c>
      <c r="U42">
        <f>_xll.EQNXTDZ($A$1,$B42,U$1,$B$1)</f>
        <v>190.43</v>
      </c>
      <c r="V42">
        <f>_xll.EQNXTDZ($A$1,$B42,V$1,$B$1)</f>
        <v>336.05</v>
      </c>
      <c r="W42">
        <f>_xll.EQNXTDZ($A$1,$B42,W$1,$B$1)</f>
        <v>313.45</v>
      </c>
      <c r="X42">
        <f>_xll.EQNXTDZ($A$1,$B42,X$1,$B$1)</f>
        <v>225.47</v>
      </c>
      <c r="Y42">
        <f>_xll.EQNXTDZ($A$1,$B42,Y$1,$B$1)</f>
        <v>230.28</v>
      </c>
      <c r="Z42">
        <f>_xll.EQNXTDZ($A$1,$B42,Z$1,$B$1)</f>
        <v>381.21</v>
      </c>
      <c r="AA42">
        <f>_xll.EQNXTDZ($A$1,$B42,AA$1,$B$1)</f>
        <v>354.31</v>
      </c>
      <c r="AB42">
        <f>_xll.EQNXTDZ($A$1,$B42,AB$1,$B$1)</f>
        <v>250.53</v>
      </c>
      <c r="AC42">
        <f>_xll.EQNXTDZ($A$1,$B42,AC$1,$B$1)</f>
        <v>264.27999999999901</v>
      </c>
      <c r="AD42">
        <f>_xll.EQNXTDZ($A$1,$B42,AD$1,$B$1)</f>
        <v>457.67999999999898</v>
      </c>
      <c r="AE42">
        <f>_xll.EQNXTDZ($A$1,$B42,AE$1,$B$1)</f>
        <v>371.89999999999901</v>
      </c>
      <c r="AF42">
        <f>_xll.EQNXTDZ($A$1,$B42,AF$1,$B$1)</f>
        <v>129.83999999999901</v>
      </c>
      <c r="AG42">
        <f>_xll.EQNXTDZ($A$1,$B42,AG$1,$B$1)</f>
        <v>389.76999999999902</v>
      </c>
      <c r="AH42">
        <f>_xll.EQNXTDZ($A$1,$B42,AH$1,$B$1)</f>
        <v>530.67000000000098</v>
      </c>
      <c r="AI42">
        <f>_xll.EQNXTDZ($A$1,$B42,AI$1,$B$1)</f>
        <v>390.890000000003</v>
      </c>
      <c r="AJ42">
        <f>_xll.EQNXTDZ($A$1,$B42,AJ$1,$B$1)</f>
        <v>299.72999999999797</v>
      </c>
      <c r="AK42">
        <f>_xll.EQNXTDZ($A$1,$B42,AK$1,$B$1)</f>
        <v>232.849999999998</v>
      </c>
      <c r="AL42">
        <f>_xll.EQNXTDZ($A$1,$B42,AL$1,$B$1)</f>
        <v>532.38000000000102</v>
      </c>
      <c r="AM42">
        <f>_xll.EQNXTDZ($A$1,$B42,AM$1,$B$1)</f>
        <v>223.16000000000199</v>
      </c>
      <c r="AN42">
        <f>_xll.EQNXTDZ($A$1,$B42,AN$1,$B$1)</f>
        <v>246.62000000000299</v>
      </c>
      <c r="AO42">
        <f>_xll.EQNXTDZ($A$1,$B42,AO$1,$B$1)</f>
        <v>364.06000000000103</v>
      </c>
      <c r="AP42">
        <f>_xll.EQNXTDZ($A$1,$B42,AP$1,$B$1)</f>
        <v>672.14999999999895</v>
      </c>
      <c r="AQ42">
        <f>_xll.EQNXTDZ($A$1,$B42,AQ$1,$B$1)</f>
        <v>262.85000000000099</v>
      </c>
      <c r="AR42">
        <f>_xll.EQNXTDZ($A$1,$B42,AR$1,$B$1)</f>
        <v>376.74</v>
      </c>
      <c r="AS42">
        <f>_xll.EQNXTDZ($A$1,$B42,AS$1,$B$1)</f>
        <v>304.130000000005</v>
      </c>
      <c r="AT42">
        <f>_xll.EQNXTDZ($A$1,$B42,AT$1,$B$1)</f>
        <v>776.84999999999695</v>
      </c>
      <c r="AU42">
        <f>_xll.EQNXTDZ($A$1,$B42,AU$1,$B$1)</f>
        <v>381.03999999999701</v>
      </c>
      <c r="AV42">
        <f>_xll.EQNXTDZ($A$1,$B42,AV$1,$B$1)</f>
        <v>380.190000000005</v>
      </c>
      <c r="AW42">
        <f>_xll.EQNXTDZ($A$1,$B42,AW$1,$B$1)</f>
        <v>321.74999999999397</v>
      </c>
      <c r="AX42">
        <f>_xll.EQNXTDZ($A$1,$B42,AX$1,$B$1)</f>
        <v>810.80000000000496</v>
      </c>
      <c r="AY42">
        <f>_xll.EQNXTDZ($A$1,$B42,AY$1,$B$1)</f>
        <v>519.52000000000498</v>
      </c>
      <c r="AZ42">
        <f>_xll.EQNXTDZ($A$1,$B42,AZ$1,$B$1)</f>
        <v>529.419999999997</v>
      </c>
      <c r="BA42">
        <f>_xll.EQNXTDZ($A$1,$B42,BA$1,$B$1)</f>
        <v>550.82000000000198</v>
      </c>
      <c r="BB42">
        <f>_xll.EQNXTDZ($A$1,$B42,BB$1,$B$1)</f>
        <v>813.50999999999601</v>
      </c>
      <c r="BC42">
        <f>_xll.EQNXTDZ($A$1,$B42,BC$1,$B$1)</f>
        <v>594.37</v>
      </c>
      <c r="BD42">
        <f>_xll.EQNXTDZ($A$1,$B42,BD$1,$B$1)</f>
        <v>494.590000000001</v>
      </c>
      <c r="BE42">
        <f>_xll.EQNXTDZ($A$1,$B42,BE$1,$B$1)</f>
        <v>576.73999999999705</v>
      </c>
      <c r="BF42">
        <f>_xll.EQNXTDZ($A$1,$B42,BF$1,$B$1)</f>
        <v>804.64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1000</v>
      </c>
      <c r="U45">
        <f>_xll.EQNXTDZ($A$1,$B45,U$1,$B$1)</f>
        <v>1000</v>
      </c>
      <c r="V45">
        <f>_xll.EQNXTDZ($A$1,$B45,V$1,$B$1)</f>
        <v>1000</v>
      </c>
      <c r="W45">
        <f>_xll.EQNXTDZ($A$1,$B45,W$1,$B$1)</f>
        <v>1000</v>
      </c>
      <c r="X45">
        <f>_xll.EQNXTDZ($A$1,$B45,X$1,$B$1)</f>
        <v>1000</v>
      </c>
      <c r="Y45">
        <f>_xll.EQNXTDZ($A$1,$B45,Y$1,$B$1)</f>
        <v>1000</v>
      </c>
      <c r="Z45">
        <f>_xll.EQNXTDZ($A$1,$B45,Z$1,$B$1)</f>
        <v>1000</v>
      </c>
      <c r="AA45">
        <f>_xll.EQNXTDZ($A$1,$B45,AA$1,$B$1)</f>
        <v>1000</v>
      </c>
      <c r="AB45">
        <f>_xll.EQNXTDZ($A$1,$B45,AB$1,$B$1)</f>
        <v>1000</v>
      </c>
      <c r="AC45">
        <f>_xll.EQNXTDZ($A$1,$B45,AC$1,$B$1)</f>
        <v>1000</v>
      </c>
      <c r="AD45">
        <f>_xll.EQNXTDZ($A$1,$B45,AD$1,$B$1)</f>
        <v>1000</v>
      </c>
      <c r="AE45">
        <f>_xll.EQNXTDZ($A$1,$B45,AE$1,$B$1)</f>
        <v>1000</v>
      </c>
      <c r="AF45">
        <f>_xll.EQNXTDZ($A$1,$B45,AF$1,$B$1)</f>
        <v>1000</v>
      </c>
      <c r="AG45">
        <f>_xll.EQNXTDZ($A$1,$B45,AG$1,$B$1)</f>
        <v>1000</v>
      </c>
      <c r="AH45">
        <f>_xll.EQNXTDZ($A$1,$B45,AH$1,$B$1)</f>
        <v>1000.03</v>
      </c>
      <c r="AI45">
        <f>_xll.EQNXTDZ($A$1,$B45,AI$1,$B$1)</f>
        <v>1000.04</v>
      </c>
      <c r="AJ45">
        <f>_xll.EQNXTDZ($A$1,$B45,AJ$1,$B$1)</f>
        <v>1000.05</v>
      </c>
      <c r="AK45">
        <f>_xll.EQNXTDZ($A$1,$B45,AK$1,$B$1)</f>
        <v>1000.06</v>
      </c>
      <c r="AL45">
        <f>_xll.EQNXTDZ($A$1,$B45,AL$1,$B$1)</f>
        <v>1000.07</v>
      </c>
      <c r="AM45">
        <f>_xll.EQNXTDZ($A$1,$B45,AM$1,$B$1)</f>
        <v>1000.15</v>
      </c>
      <c r="AN45">
        <f>_xll.EQNXTDZ($A$1,$B45,AN$1,$B$1)</f>
        <v>1000.21</v>
      </c>
      <c r="AO45">
        <f>_xll.EQNXTDZ($A$1,$B45,AO$1,$B$1)</f>
        <v>1000.28</v>
      </c>
      <c r="AP45">
        <f>_xll.EQNXTDZ($A$1,$B45,AP$1,$B$1)</f>
        <v>1000.37</v>
      </c>
      <c r="AQ45">
        <f>_xll.EQNXTDZ($A$1,$B45,AQ$1,$B$1)</f>
        <v>1000.48</v>
      </c>
      <c r="AR45">
        <f>_xll.EQNXTDZ($A$1,$B45,AR$1,$B$1)</f>
        <v>1000.71</v>
      </c>
      <c r="AS45">
        <f>_xll.EQNXTDZ($A$1,$B45,AS$1,$B$1)</f>
        <v>1000.83</v>
      </c>
      <c r="AT45">
        <f>_xll.EQNXTDZ($A$1,$B45,AT$1,$B$1)</f>
        <v>1000.89</v>
      </c>
      <c r="AU45">
        <f>_xll.EQNXTDZ($A$1,$B45,AU$1,$B$1)</f>
        <v>1000.97</v>
      </c>
      <c r="AV45">
        <f>_xll.EQNXTDZ($A$1,$B45,AV$1,$B$1)</f>
        <v>1001.09</v>
      </c>
      <c r="AW45">
        <f>_xll.EQNXTDZ($A$1,$B45,AW$1,$B$1)</f>
        <v>1001.24</v>
      </c>
      <c r="AX45">
        <f>_xll.EQNXTDZ($A$1,$B45,AX$1,$B$1)</f>
        <v>1001.47</v>
      </c>
      <c r="AY45">
        <f>_xll.EQNXTDZ($A$1,$B45,AY$1,$B$1)</f>
        <v>1001.58</v>
      </c>
      <c r="AZ45">
        <f>_xll.EQNXTDZ($A$1,$B45,AZ$1,$B$1)</f>
        <v>1001.92</v>
      </c>
      <c r="BA45">
        <f>_xll.EQNXTDZ($A$1,$B45,BA$1,$B$1)</f>
        <v>1002.09</v>
      </c>
      <c r="BB45">
        <f>_xll.EQNXTDZ($A$1,$B45,BB$1,$B$1)</f>
        <v>1002.14</v>
      </c>
      <c r="BC45">
        <f>_xll.EQNXTDZ($A$1,$B45,BC$1,$B$1)</f>
        <v>1002.35</v>
      </c>
      <c r="BD45">
        <f>_xll.EQNXTDZ($A$1,$B45,BD$1,$B$1)</f>
        <v>1002.57</v>
      </c>
      <c r="BE45">
        <f>_xll.EQNXTDZ($A$1,$B45,BE$1,$B$1)</f>
        <v>1002.83</v>
      </c>
      <c r="BF45">
        <f>_xll.EQNXTDZ($A$1,$B45,BF$1,$B$1)</f>
        <v>1003.09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693.6</v>
      </c>
      <c r="Z48" s="55">
        <f>_xll.EQNXTDZ($A$1,$B48,Z$5)</f>
        <v>673.45</v>
      </c>
      <c r="AA48" s="55">
        <f>_xll.EQNXTDZ($A$1,$B48,AA$5)</f>
        <v>671.75</v>
      </c>
      <c r="AB48" s="55">
        <f>_xll.EQNXTDZ($A$1,$B48,AB$5)</f>
        <v>509.3</v>
      </c>
      <c r="AC48" s="55">
        <f>_xll.EQNXTDZ($A$1,$B48,AC$5)</f>
        <v>596.45000000000005</v>
      </c>
      <c r="AD48" s="55">
        <f>_xll.EQNXTDZ($A$1,$B48,AD$5)</f>
        <v>579.54999999999995</v>
      </c>
      <c r="AE48" s="55">
        <f>_xll.EQNXTDZ($A$1,$B48,AE$5)</f>
        <v>723.35</v>
      </c>
      <c r="AF48" s="55">
        <f>_xll.EQNXTDZ($A$1,$B48,AF$5)</f>
        <v>846.15</v>
      </c>
      <c r="AG48" s="55">
        <f>_xll.EQNXTDZ($A$1,$B48,AG$5)</f>
        <v>961.8</v>
      </c>
      <c r="AH48" s="55">
        <f>_xll.EQNXTDZ($A$1,$B48,AH$5)</f>
        <v>640.95000000000005</v>
      </c>
      <c r="AI48" s="55">
        <f>_xll.EQNXTDZ($A$1,$B48,AI$5)</f>
        <v>806.65</v>
      </c>
      <c r="AJ48" s="55">
        <f>_xll.EQNXTDZ($A$1,$B48,AJ$5)</f>
        <v>811.25</v>
      </c>
      <c r="AK48" s="55">
        <f>_xll.EQNXTDZ($A$1,$B48,AK$5)</f>
        <v>904.25</v>
      </c>
      <c r="AL48" s="55">
        <f>_xll.EQNXTDZ($A$1,$B48,AL$5)</f>
        <v>880.5</v>
      </c>
      <c r="AM48" s="55">
        <f>_xll.EQNXTDZ($A$1,$B48,AM$5)</f>
        <v>1007.65</v>
      </c>
      <c r="AN48" s="55">
        <f>_xll.EQNXTDZ($A$1,$B48,AN$5)</f>
        <v>1214.75</v>
      </c>
      <c r="AO48" s="55">
        <f>_xll.EQNXTDZ($A$1,$B48,AO$5)</f>
        <v>1196.25</v>
      </c>
      <c r="AP48" s="55">
        <f>_xll.EQNXTDZ($A$1,$B48,AP$5)</f>
        <v>1120.2</v>
      </c>
      <c r="AQ48" s="55">
        <f>_xll.EQNXTDZ($A$1,$B48,AQ$5)</f>
        <v>1082.9000000000001</v>
      </c>
      <c r="AR48" s="55">
        <f>_xll.EQNXTDZ($A$1,$B48,AR$5)</f>
        <v>1250.5</v>
      </c>
      <c r="AS48" s="55">
        <f>_xll.EQNXTDZ($A$1,$B48,AS$5)</f>
        <v>1231.5999999999999</v>
      </c>
      <c r="AT48" s="55">
        <f>_xll.EQNXTDZ($A$1,$B48,AT$5)</f>
        <v>1099.6500000000001</v>
      </c>
      <c r="AU48" s="55">
        <f>_xll.EQNXTDZ($A$1,$B48,AU$5)</f>
        <v>1306.9000000000001</v>
      </c>
      <c r="AV48" s="55">
        <f>_xll.EQNXTDZ($A$1,$B48,AV$5)</f>
        <v>1306.5999999999999</v>
      </c>
      <c r="AW48" s="55">
        <f>_xll.EQNXTDZ($A$1,$B48,AW$5)</f>
        <v>1432.15</v>
      </c>
      <c r="AX48" s="55">
        <f>_xll.EQNXTDZ($A$1,$B48,AX$5)</f>
        <v>1497.95</v>
      </c>
      <c r="AY48" s="55">
        <f>_xll.EQNXTDZ($A$1,$B48,AY$5)</f>
        <v>1491.1</v>
      </c>
      <c r="AZ48" s="55">
        <f>_xll.EQNXTDZ($A$1,$B48,AZ$5)</f>
        <v>1843.3</v>
      </c>
      <c r="BA48" s="55">
        <f>_xll.EQNXTDZ($A$1,$B48,BA$5)</f>
        <v>1390.5</v>
      </c>
      <c r="BB48" s="55">
        <f>_xll.EQNXTDZ($A$1,$B48,BB$5)</f>
        <v>1548.05</v>
      </c>
      <c r="BC48" s="55">
        <f>_xll.EQNXTDZ($A$1,$B48,BC$5)</f>
        <v>1838.1</v>
      </c>
      <c r="BD48" s="55">
        <f>_xll.EQNXTDZ($A$1,$B48,BD$5)</f>
        <v>1790.9</v>
      </c>
      <c r="BE48" s="55">
        <f>_xll.EQNXTDZ($A$1,$B48,BE$5)</f>
        <v>2034.7</v>
      </c>
      <c r="BF48" s="55">
        <f>_xll.EQNXTDZ($A$1,$B48,BF$5)</f>
        <v>1777.65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100</v>
      </c>
      <c r="U49" s="55">
        <f>_xll.EQNXTDZ($A$1,$B49,U$5)</f>
        <v>0</v>
      </c>
      <c r="V49" s="55">
        <f>_xll.EQNXTDZ($A$1,$B49,V$5)</f>
        <v>96.1</v>
      </c>
      <c r="W49" s="55">
        <f>_xll.EQNXTDZ($A$1,$B49,W$5)</f>
        <v>0</v>
      </c>
      <c r="X49" s="55">
        <f>_xll.EQNXTDZ($A$1,$B49,X$5)</f>
        <v>84.1</v>
      </c>
      <c r="Y49" s="55">
        <f>_xll.EQNXTDZ($A$1,$B49,Y$5)</f>
        <v>84.1</v>
      </c>
      <c r="Z49" s="55">
        <f>_xll.EQNXTDZ($A$1,$B49,Z$5)</f>
        <v>84.1</v>
      </c>
      <c r="AA49" s="55">
        <f>_xll.EQNXTDZ($A$1,$B49,AA$5)</f>
        <v>84.1</v>
      </c>
      <c r="AB49" s="55">
        <f>_xll.EQNXTDZ($A$1,$B49,AB$5)</f>
        <v>84.1</v>
      </c>
      <c r="AC49" s="55">
        <f>_xll.EQNXTDZ($A$1,$B49,AC$5)</f>
        <v>84.1</v>
      </c>
      <c r="AD49" s="55">
        <f>_xll.EQNXTDZ($A$1,$B49,AD$5)</f>
        <v>69.8</v>
      </c>
      <c r="AE49" s="55">
        <f>_xll.EQNXTDZ($A$1,$B49,AE$5)</f>
        <v>67.3</v>
      </c>
      <c r="AF49" s="55">
        <f>_xll.EQNXTDZ($A$1,$B49,AF$5)</f>
        <v>62.8</v>
      </c>
      <c r="AG49" s="55">
        <f>_xll.EQNXTDZ($A$1,$B49,AG$5)</f>
        <v>62.8</v>
      </c>
      <c r="AH49" s="55">
        <f>_xll.EQNXTDZ($A$1,$B49,AH$5)</f>
        <v>62.8</v>
      </c>
      <c r="AI49" s="55">
        <f>_xll.EQNXTDZ($A$1,$B49,AI$5)</f>
        <v>60.7</v>
      </c>
      <c r="AJ49" s="55">
        <f>_xll.EQNXTDZ($A$1,$B49,AJ$5)</f>
        <v>60.7</v>
      </c>
      <c r="AK49" s="55">
        <f>_xll.EQNXTDZ($A$1,$B49,AK$5)</f>
        <v>60.7</v>
      </c>
      <c r="AL49" s="55">
        <f>_xll.EQNXTDZ($A$1,$B49,AL$5)</f>
        <v>55.7</v>
      </c>
      <c r="AM49" s="55">
        <f>_xll.EQNXTDZ($A$1,$B49,AM$5)</f>
        <v>55.7</v>
      </c>
      <c r="AN49" s="55">
        <f>_xll.EQNXTDZ($A$1,$B49,AN$5)</f>
        <v>55.69</v>
      </c>
      <c r="AO49" s="55">
        <f>_xll.EQNXTDZ($A$1,$B49,AO$5)</f>
        <v>55.69</v>
      </c>
      <c r="AP49" s="55">
        <f>_xll.EQNXTDZ($A$1,$B49,AP$5)</f>
        <v>55.48</v>
      </c>
      <c r="AQ49" s="55">
        <f>_xll.EQNXTDZ($A$1,$B49,AQ$5)</f>
        <v>55.48</v>
      </c>
      <c r="AR49" s="55">
        <f>_xll.EQNXTDZ($A$1,$B49,AR$5)</f>
        <v>55.46</v>
      </c>
      <c r="AS49" s="55">
        <f>_xll.EQNXTDZ($A$1,$B49,AS$5)</f>
        <v>55.45</v>
      </c>
      <c r="AT49" s="55">
        <f>_xll.EQNXTDZ($A$1,$B49,AT$5)</f>
        <v>55.45</v>
      </c>
      <c r="AU49" s="55">
        <f>_xll.EQNXTDZ($A$1,$B49,AU$5)</f>
        <v>55.45</v>
      </c>
      <c r="AV49" s="55">
        <f>_xll.EQNXTDZ($A$1,$B49,AV$5)</f>
        <v>55.44</v>
      </c>
      <c r="AW49" s="55">
        <f>_xll.EQNXTDZ($A$1,$B49,AW$5)</f>
        <v>55.43</v>
      </c>
      <c r="AX49" s="55">
        <f>_xll.EQNXTDZ($A$1,$B49,AX$5)</f>
        <v>55.42</v>
      </c>
      <c r="AY49" s="55">
        <f>_xll.EQNXTDZ($A$1,$B49,AY$5)</f>
        <v>55.41</v>
      </c>
      <c r="AZ49" s="55">
        <f>_xll.EQNXTDZ($A$1,$B49,AZ$5)</f>
        <v>55.39</v>
      </c>
      <c r="BA49" s="55">
        <f>_xll.EQNXTDZ($A$1,$B49,BA$5)</f>
        <v>55.38</v>
      </c>
      <c r="BB49" s="55">
        <f>_xll.EQNXTDZ($A$1,$B49,BB$5)</f>
        <v>55.38</v>
      </c>
      <c r="BC49" s="55">
        <f>_xll.EQNXTDZ($A$1,$B49,BC$5)</f>
        <v>55.37</v>
      </c>
      <c r="BD49" s="55">
        <f>_xll.EQNXTDZ($A$1,$B49,BD$5)</f>
        <v>55.36</v>
      </c>
      <c r="BE49" s="55">
        <f>_xll.EQNXTDZ($A$1,$B49,BE$5)</f>
        <v>55.34</v>
      </c>
      <c r="BF49" s="55">
        <f>_xll.EQNXTDZ($A$1,$B49,BF$5)</f>
        <v>55.33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201612</v>
      </c>
      <c r="V55" s="56">
        <f>_xll.EQNXTDZ($A$1,$B55,V$5,$B$1)</f>
        <v>201703</v>
      </c>
      <c r="W55" s="56">
        <f>_xll.EQNXTDZ($A$1,$B55,W$5,$B$1)</f>
        <v>201706</v>
      </c>
      <c r="X55" s="56">
        <f>_xll.EQNXTDZ($A$1,$B55,X$5,$B$1)</f>
        <v>201709</v>
      </c>
      <c r="Y55" s="56">
        <f>_xll.EQNXTDZ($A$1,$B55,Y$5,$B$1)</f>
        <v>201712</v>
      </c>
      <c r="Z55" s="56">
        <f>_xll.EQNXTDZ($A$1,$B55,Z$5,$B$1)</f>
        <v>201803</v>
      </c>
      <c r="AA55" s="56">
        <f>_xll.EQNXTDZ($A$1,$B55,AA$5,$B$1)</f>
        <v>201806</v>
      </c>
      <c r="AB55" s="56">
        <f>_xll.EQNXTDZ($A$1,$B55,AB$5,$B$1)</f>
        <v>201809</v>
      </c>
      <c r="AC55" s="56">
        <f>_xll.EQNXTDZ($A$1,$B55,AC$5,$B$1)</f>
        <v>201812</v>
      </c>
      <c r="AD55" s="56">
        <f>_xll.EQNXTDZ($A$1,$B55,AD$5,$B$1)</f>
        <v>201903</v>
      </c>
      <c r="AE55" s="56">
        <f>_xll.EQNXTDZ($A$1,$B55,AE$5,$B$1)</f>
        <v>201906</v>
      </c>
      <c r="AF55" s="56">
        <f>_xll.EQNXTDZ($A$1,$B55,AF$5,$B$1)</f>
        <v>201909</v>
      </c>
      <c r="AG55" s="56">
        <f>_xll.EQNXTDZ($A$1,$B55,AG$5,$B$1)</f>
        <v>201912</v>
      </c>
      <c r="AH55" s="56">
        <f>_xll.EQNXTDZ($A$1,$B55,AH$5,$B$1)</f>
        <v>202003</v>
      </c>
      <c r="AI55" s="56">
        <f>_xll.EQNXTDZ($A$1,$B55,AI$5,$B$1)</f>
        <v>202006</v>
      </c>
      <c r="AJ55" s="56">
        <f>_xll.EQNXTDZ($A$1,$B55,AJ$5,$B$1)</f>
        <v>202009</v>
      </c>
      <c r="AK55" s="56">
        <f>_xll.EQNXTDZ($A$1,$B55,AK$5,$B$1)</f>
        <v>202012</v>
      </c>
      <c r="AL55" s="56">
        <f>_xll.EQNXTDZ($A$1,$B55,AL$5,$B$1)</f>
        <v>202103</v>
      </c>
      <c r="AM55" s="56">
        <f>_xll.EQNXTDZ($A$1,$B55,AM$5,$B$1)</f>
        <v>202106</v>
      </c>
      <c r="AN55" s="56">
        <f>_xll.EQNXTDZ($A$1,$B55,AN$5,$B$1)</f>
        <v>202109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202206</v>
      </c>
      <c r="AR55" s="56">
        <f>_xll.EQNXTDZ($A$1,$B55,AR$5,$B$1)</f>
        <v>202209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202306</v>
      </c>
      <c r="AV55" s="56">
        <f>_xll.EQNXTDZ($A$1,$B55,AV$5,$B$1)</f>
        <v>202309</v>
      </c>
      <c r="AW55" s="56">
        <f>_xll.EQNXTDZ($A$1,$B55,AW$5,$B$1)</f>
        <v>202312</v>
      </c>
      <c r="AX55" s="56">
        <f>_xll.EQNXTDZ($A$1,$B55,AX$5,$B$1)</f>
        <v>202403</v>
      </c>
      <c r="AY55" s="56">
        <f>_xll.EQNXTDZ($A$1,$B55,AY$5,$B$1)</f>
        <v>202406</v>
      </c>
      <c r="AZ55" s="56">
        <f>_xll.EQNXTDZ($A$1,$B55,AZ$5,$B$1)</f>
        <v>202409</v>
      </c>
      <c r="BA55" s="56">
        <f>_xll.EQNXTDZ($A$1,$B55,BA$5,$B$1)</f>
        <v>202412</v>
      </c>
      <c r="BB55" s="56">
        <f>_xll.EQNXTDZ($A$1,$B55,BB$5,$B$1)</f>
        <v>202503</v>
      </c>
      <c r="BC55" s="56">
        <f>_xll.EQNXTDZ($A$1,$B55,BC$5,$B$1)</f>
        <v>202506</v>
      </c>
      <c r="BD55" s="56">
        <f>_xll.EQNXTDZ($A$1,$B55,BD$5,$B$1)</f>
        <v>202509</v>
      </c>
      <c r="BE55" s="56">
        <f>_xll.EQNXTDZ($A$1,$B55,BE$5,$B$1)</f>
        <v>202512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1000</v>
      </c>
      <c r="U56" s="55">
        <f>_xll.EQNXTDZ($A$1,$B56,U$5,$B$1)</f>
        <v>1000</v>
      </c>
      <c r="V56" s="55">
        <f>_xll.EQNXTDZ($A$1,$B56,V$5,$B$1)</f>
        <v>1000</v>
      </c>
      <c r="W56" s="55">
        <f>_xll.EQNXTDZ($A$1,$B56,W$5,$B$1)</f>
        <v>1000</v>
      </c>
      <c r="X56" s="55">
        <f>_xll.EQNXTDZ($A$1,$B56,X$5,$B$1)</f>
        <v>1000</v>
      </c>
      <c r="Y56" s="55">
        <f>_xll.EQNXTDZ($A$1,$B56,Y$5,$B$1)</f>
        <v>1000</v>
      </c>
      <c r="Z56" s="55">
        <f>_xll.EQNXTDZ($A$1,$B56,Z$5,$B$1)</f>
        <v>1000</v>
      </c>
      <c r="AA56" s="55">
        <f>_xll.EQNXTDZ($A$1,$B56,AA$5,$B$1)</f>
        <v>1000</v>
      </c>
      <c r="AB56" s="55">
        <f>_xll.EQNXTDZ($A$1,$B56,AB$5,$B$1)</f>
        <v>1000</v>
      </c>
      <c r="AC56" s="55">
        <f>_xll.EQNXTDZ($A$1,$B56,AC$5,$B$1)</f>
        <v>1000</v>
      </c>
      <c r="AD56" s="55">
        <f>_xll.EQNXTDZ($A$1,$B56,AD$5,$B$1)</f>
        <v>1000</v>
      </c>
      <c r="AE56" s="55">
        <f>_xll.EQNXTDZ($A$1,$B56,AE$5,$B$1)</f>
        <v>1000</v>
      </c>
      <c r="AF56" s="55">
        <f>_xll.EQNXTDZ($A$1,$B56,AF$5,$B$1)</f>
        <v>1000</v>
      </c>
      <c r="AG56" s="55">
        <f>_xll.EQNXTDZ($A$1,$B56,AG$5,$B$1)</f>
        <v>1000</v>
      </c>
      <c r="AH56" s="55">
        <f>_xll.EQNXTDZ($A$1,$B56,AH$5,$B$1)</f>
        <v>1000.03</v>
      </c>
      <c r="AI56" s="55">
        <f>_xll.EQNXTDZ($A$1,$B56,AI$5,$B$1)</f>
        <v>1000.04</v>
      </c>
      <c r="AJ56" s="55">
        <f>_xll.EQNXTDZ($A$1,$B56,AJ$5,$B$1)</f>
        <v>1000.05</v>
      </c>
      <c r="AK56" s="55">
        <f>_xll.EQNXTDZ($A$1,$B56,AK$5,$B$1)</f>
        <v>1000.06</v>
      </c>
      <c r="AL56" s="55">
        <f>_xll.EQNXTDZ($A$1,$B56,AL$5,$B$1)</f>
        <v>1000.07</v>
      </c>
      <c r="AM56" s="55">
        <f>_xll.EQNXTDZ($A$1,$B56,AM$5,$B$1)</f>
        <v>1000.15</v>
      </c>
      <c r="AN56" s="55">
        <f>_xll.EQNXTDZ($A$1,$B56,AN$5,$B$1)</f>
        <v>1000.21</v>
      </c>
      <c r="AO56" s="55">
        <f>_xll.EQNXTDZ($A$1,$B56,AO$5,$B$1)</f>
        <v>1000.28</v>
      </c>
      <c r="AP56" s="55">
        <f>_xll.EQNXTDZ($A$1,$B56,AP$5,$B$1)</f>
        <v>1000.37</v>
      </c>
      <c r="AQ56" s="55">
        <f>_xll.EQNXTDZ($A$1,$B56,AQ$5,$B$1)</f>
        <v>1000.48</v>
      </c>
      <c r="AR56" s="55">
        <f>_xll.EQNXTDZ($A$1,$B56,AR$5,$B$1)</f>
        <v>1000.71</v>
      </c>
      <c r="AS56" s="55">
        <f>_xll.EQNXTDZ($A$1,$B56,AS$5,$B$1)</f>
        <v>1000.83</v>
      </c>
      <c r="AT56" s="55">
        <f>_xll.EQNXTDZ($A$1,$B56,AT$5,$B$1)</f>
        <v>1000.89</v>
      </c>
      <c r="AU56" s="55">
        <f>_xll.EQNXTDZ($A$1,$B56,AU$5,$B$1)</f>
        <v>1000.97</v>
      </c>
      <c r="AV56" s="55">
        <f>_xll.EQNXTDZ($A$1,$B56,AV$5,$B$1)</f>
        <v>1001.09</v>
      </c>
      <c r="AW56" s="55">
        <f>_xll.EQNXTDZ($A$1,$B56,AW$5,$B$1)</f>
        <v>1001.24</v>
      </c>
      <c r="AX56" s="55">
        <f>_xll.EQNXTDZ($A$1,$B56,AX$5,$B$1)</f>
        <v>1001.47</v>
      </c>
      <c r="AY56" s="55">
        <f>_xll.EQNXTDZ($A$1,$B56,AY$5,$B$1)</f>
        <v>1001.58</v>
      </c>
      <c r="AZ56" s="55">
        <f>_xll.EQNXTDZ($A$1,$B56,AZ$5,$B$1)</f>
        <v>1001.92</v>
      </c>
      <c r="BA56" s="55">
        <f>_xll.EQNXTDZ($A$1,$B56,BA$5,$B$1)</f>
        <v>1002.09</v>
      </c>
      <c r="BB56" s="55">
        <f>_xll.EQNXTDZ($A$1,$B56,BB$5,$B$1)</f>
        <v>1002.14</v>
      </c>
      <c r="BC56" s="55">
        <f>_xll.EQNXTDZ($A$1,$B56,BC$5,$B$1)</f>
        <v>1002.35</v>
      </c>
      <c r="BD56" s="55">
        <f>_xll.EQNXTDZ($A$1,$B56,BD$5,$B$1)</f>
        <v>1002.57</v>
      </c>
      <c r="BE56" s="55">
        <f>_xll.EQNXTDZ($A$1,$B56,BE$5,$B$1)</f>
        <v>1002.83</v>
      </c>
      <c r="BF56" s="55">
        <f>_xll.EQNXTDZ($A$1,$B56,BF$5,$B$1)</f>
        <v>1003.09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0.15</v>
      </c>
      <c r="AY57" s="55">
        <f>_xll.EQNXTDZ($A$1,$B57,AY$5,$B$1)</f>
        <v>0.5</v>
      </c>
      <c r="AZ57" s="55">
        <f>_xll.EQNXTDZ($A$1,$B57,AZ$5,$B$1)</f>
        <v>0.11</v>
      </c>
      <c r="BA57" s="55">
        <f>_xll.EQNXTDZ($A$1,$B57,BA$5,$B$1)</f>
        <v>0.65</v>
      </c>
      <c r="BB57" s="55">
        <f>_xll.EQNXTDZ($A$1,$B57,BB$5,$B$1)</f>
        <v>0.11</v>
      </c>
      <c r="BC57" s="55">
        <f>_xll.EQNXTDZ($A$1,$B57,BC$5,$B$1)</f>
        <v>0.18</v>
      </c>
      <c r="BD57" s="55">
        <f>_xll.EQNXTDZ($A$1,$B57,BD$5,$B$1)</f>
        <v>0.05</v>
      </c>
      <c r="BE57" s="55">
        <f>_xll.EQNXTDZ($A$1,$B57,BE$5,$B$1)</f>
        <v>0.13</v>
      </c>
      <c r="BF57" s="55">
        <f>_xll.EQNXTDZ($A$1,$B57,BF$5,$B$1)</f>
        <v>0.61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4171.33</v>
      </c>
      <c r="U58" s="55">
        <f>_xll.EQNXTDZ($A$1,$B58,U$5,$B$1)</f>
        <v>4337.68</v>
      </c>
      <c r="V58" s="55">
        <f>_xll.EQNXTDZ($A$1,$B58,V$5,$B$1)</f>
        <v>4552.08</v>
      </c>
      <c r="W58" s="55">
        <f>_xll.EQNXTDZ($A$1,$B58,W$5,$B$1)</f>
        <v>4878.8</v>
      </c>
      <c r="X58" s="55">
        <f>_xll.EQNXTDZ($A$1,$B58,X$5,$B$1)</f>
        <v>5182.32</v>
      </c>
      <c r="Y58" s="55">
        <f>_xll.EQNXTDZ($A$1,$B58,Y$5,$B$1)</f>
        <v>5435.09</v>
      </c>
      <c r="Z58" s="55">
        <f>_xll.EQNXTDZ($A$1,$B58,Z$5,$B$1)</f>
        <v>5527.82</v>
      </c>
      <c r="AA58" s="55">
        <f>_xll.EQNXTDZ($A$1,$B58,AA$5,$B$1)</f>
        <v>5823.47</v>
      </c>
      <c r="AB58" s="55">
        <f>_xll.EQNXTDZ($A$1,$B58,AB$5,$B$1)</f>
        <v>6090.5</v>
      </c>
      <c r="AC58" s="55">
        <f>_xll.EQNXTDZ($A$1,$B58,AC$5,$B$1)</f>
        <v>6333.02</v>
      </c>
      <c r="AD58" s="55">
        <f>_xll.EQNXTDZ($A$1,$B58,AD$5,$B$1)</f>
        <v>6576.35</v>
      </c>
      <c r="AE58" s="55">
        <f>_xll.EQNXTDZ($A$1,$B58,AE$5,$B$1)</f>
        <v>6941.4</v>
      </c>
      <c r="AF58" s="55">
        <f>_xll.EQNXTDZ($A$1,$B58,AF$5,$B$1)</f>
        <v>7071.46</v>
      </c>
      <c r="AG58" s="55">
        <f>_xll.EQNXTDZ($A$1,$B58,AG$5,$B$1)</f>
        <v>7485.05</v>
      </c>
      <c r="AH58" s="55">
        <f>_xll.EQNXTDZ($A$1,$B58,AH$5,$B$1)</f>
        <v>7743.05</v>
      </c>
      <c r="AI58" s="55">
        <f>_xll.EQNXTDZ($A$1,$B58,AI$5,$B$1)</f>
        <v>8311.69</v>
      </c>
      <c r="AJ58" s="55">
        <f>_xll.EQNXTDZ($A$1,$B58,AJ$5,$B$1)</f>
        <v>8663.49</v>
      </c>
      <c r="AK58" s="55">
        <f>_xll.EQNXTDZ($A$1,$B58,AK$5,$B$1)</f>
        <v>9133.17</v>
      </c>
      <c r="AL58" s="55">
        <f>_xll.EQNXTDZ($A$1,$B58,AL$5,$B$1)</f>
        <v>9400.36</v>
      </c>
      <c r="AM58" s="55">
        <f>_xll.EQNXTDZ($A$1,$B58,AM$5,$B$1)</f>
        <v>9577.52</v>
      </c>
      <c r="AN58" s="55">
        <f>_xll.EQNXTDZ($A$1,$B58,AN$5,$B$1)</f>
        <v>9906.6299999999992</v>
      </c>
      <c r="AO58" s="55">
        <f>_xll.EQNXTDZ($A$1,$B58,AO$5,$B$1)</f>
        <v>10198.459999999999</v>
      </c>
      <c r="AP58" s="55">
        <f>_xll.EQNXTDZ($A$1,$B58,AP$5,$B$1)</f>
        <v>10621.94</v>
      </c>
      <c r="AQ58" s="55">
        <f>_xll.EQNXTDZ($A$1,$B58,AQ$5,$B$1)</f>
        <v>10759.36</v>
      </c>
      <c r="AR58" s="55">
        <f>_xll.EQNXTDZ($A$1,$B58,AR$5,$B$1)</f>
        <v>11215.34</v>
      </c>
      <c r="AS58" s="55">
        <f>_xll.EQNXTDZ($A$1,$B58,AS$5,$B$1)</f>
        <v>11578.51</v>
      </c>
      <c r="AT58" s="55">
        <f>_xll.EQNXTDZ($A$1,$B58,AT$5,$B$1)</f>
        <v>12016.59</v>
      </c>
      <c r="AU58" s="55">
        <f>_xll.EQNXTDZ($A$1,$B58,AU$5,$B$1)</f>
        <v>12534.95</v>
      </c>
      <c r="AV58" s="55">
        <f>_xll.EQNXTDZ($A$1,$B58,AV$5,$B$1)</f>
        <v>12967.83</v>
      </c>
      <c r="AW58" s="55">
        <f>_xll.EQNXTDZ($A$1,$B58,AW$5,$B$1)</f>
        <v>13425.81</v>
      </c>
      <c r="AX58" s="55">
        <f>_xll.EQNXTDZ($A$1,$B58,AX$5,$B$1)</f>
        <v>13906.94</v>
      </c>
      <c r="AY58" s="55">
        <f>_xll.EQNXTDZ($A$1,$B58,AY$5,$B$1)</f>
        <v>14569.43</v>
      </c>
      <c r="AZ58" s="55">
        <f>_xll.EQNXTDZ($A$1,$B58,AZ$5,$B$1)</f>
        <v>15257.11</v>
      </c>
      <c r="BA58" s="55">
        <f>_xll.EQNXTDZ($A$1,$B58,BA$5,$B$1)</f>
        <v>15595.77</v>
      </c>
      <c r="BB58" s="55">
        <f>_xll.EQNXTDZ($A$1,$B58,BB$5,$B$1)</f>
        <v>15983.1</v>
      </c>
      <c r="BC58" s="55">
        <f>_xll.EQNXTDZ($A$1,$B58,BC$5,$B$1)</f>
        <v>16835.810000000001</v>
      </c>
      <c r="BD58" s="55">
        <f>_xll.EQNXTDZ($A$1,$B58,BD$5,$B$1)</f>
        <v>17293.830000000002</v>
      </c>
      <c r="BE58" s="55">
        <f>_xll.EQNXTDZ($A$1,$B58,BE$5,$B$1)</f>
        <v>18016.63</v>
      </c>
      <c r="BF58" s="55">
        <f>_xll.EQNXTDZ($A$1,$B58,BF$5,$B$1)</f>
        <v>18082.3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5171.33</v>
      </c>
      <c r="U59" s="55">
        <f>_xll.EQNXTDZ($A$1,$B59,U$5,$B$1)</f>
        <v>5337.68</v>
      </c>
      <c r="V59" s="55">
        <f>_xll.EQNXTDZ($A$1,$B59,V$5,$B$1)</f>
        <v>5552.08</v>
      </c>
      <c r="W59" s="55">
        <f>_xll.EQNXTDZ($A$1,$B59,W$5,$B$1)</f>
        <v>5878.8</v>
      </c>
      <c r="X59" s="55">
        <f>_xll.EQNXTDZ($A$1,$B59,X$5,$B$1)</f>
        <v>6182.32</v>
      </c>
      <c r="Y59" s="55">
        <f>_xll.EQNXTDZ($A$1,$B59,Y$5,$B$1)</f>
        <v>6435.09</v>
      </c>
      <c r="Z59" s="55">
        <f>_xll.EQNXTDZ($A$1,$B59,Z$5,$B$1)</f>
        <v>6527.82</v>
      </c>
      <c r="AA59" s="55">
        <f>_xll.EQNXTDZ($A$1,$B59,AA$5,$B$1)</f>
        <v>6823.47</v>
      </c>
      <c r="AB59" s="55">
        <f>_xll.EQNXTDZ($A$1,$B59,AB$5,$B$1)</f>
        <v>7090.5</v>
      </c>
      <c r="AC59" s="55">
        <f>_xll.EQNXTDZ($A$1,$B59,AC$5,$B$1)</f>
        <v>7333.02</v>
      </c>
      <c r="AD59" s="55">
        <f>_xll.EQNXTDZ($A$1,$B59,AD$5,$B$1)</f>
        <v>7576.35</v>
      </c>
      <c r="AE59" s="55">
        <f>_xll.EQNXTDZ($A$1,$B59,AE$5,$B$1)</f>
        <v>7941.4</v>
      </c>
      <c r="AF59" s="55">
        <f>_xll.EQNXTDZ($A$1,$B59,AF$5,$B$1)</f>
        <v>8071.46</v>
      </c>
      <c r="AG59" s="55">
        <f>_xll.EQNXTDZ($A$1,$B59,AG$5,$B$1)</f>
        <v>8485.0499999999993</v>
      </c>
      <c r="AH59" s="55">
        <f>_xll.EQNXTDZ($A$1,$B59,AH$5,$B$1)</f>
        <v>8743.08</v>
      </c>
      <c r="AI59" s="55">
        <f>_xll.EQNXTDZ($A$1,$B59,AI$5,$B$1)</f>
        <v>9311.73</v>
      </c>
      <c r="AJ59" s="55">
        <f>_xll.EQNXTDZ($A$1,$B59,AJ$5,$B$1)</f>
        <v>9663.5400000000009</v>
      </c>
      <c r="AK59" s="55">
        <f>_xll.EQNXTDZ($A$1,$B59,AK$5,$B$1)</f>
        <v>10133.23</v>
      </c>
      <c r="AL59" s="55">
        <f>_xll.EQNXTDZ($A$1,$B59,AL$5,$B$1)</f>
        <v>10400.43</v>
      </c>
      <c r="AM59" s="55">
        <f>_xll.EQNXTDZ($A$1,$B59,AM$5,$B$1)</f>
        <v>10577.67</v>
      </c>
      <c r="AN59" s="55">
        <f>_xll.EQNXTDZ($A$1,$B59,AN$5,$B$1)</f>
        <v>10906.84</v>
      </c>
      <c r="AO59" s="55">
        <f>_xll.EQNXTDZ($A$1,$B59,AO$5,$B$1)</f>
        <v>11198.74</v>
      </c>
      <c r="AP59" s="55">
        <f>_xll.EQNXTDZ($A$1,$B59,AP$5,$B$1)</f>
        <v>11622.31</v>
      </c>
      <c r="AQ59" s="55">
        <f>_xll.EQNXTDZ($A$1,$B59,AQ$5,$B$1)</f>
        <v>11759.84</v>
      </c>
      <c r="AR59" s="55">
        <f>_xll.EQNXTDZ($A$1,$B59,AR$5,$B$1)</f>
        <v>12216.05</v>
      </c>
      <c r="AS59" s="55">
        <f>_xll.EQNXTDZ($A$1,$B59,AS$5,$B$1)</f>
        <v>12579.34</v>
      </c>
      <c r="AT59" s="55">
        <f>_xll.EQNXTDZ($A$1,$B59,AT$5,$B$1)</f>
        <v>13017.48</v>
      </c>
      <c r="AU59" s="55">
        <f>_xll.EQNXTDZ($A$1,$B59,AU$5,$B$1)</f>
        <v>13535.92</v>
      </c>
      <c r="AV59" s="55">
        <f>_xll.EQNXTDZ($A$1,$B59,AV$5,$B$1)</f>
        <v>13968.92</v>
      </c>
      <c r="AW59" s="55">
        <f>_xll.EQNXTDZ($A$1,$B59,AW$5,$B$1)</f>
        <v>14427.05</v>
      </c>
      <c r="AX59" s="55">
        <f>_xll.EQNXTDZ($A$1,$B59,AX$5,$B$1)</f>
        <v>14908.56</v>
      </c>
      <c r="AY59" s="55">
        <f>_xll.EQNXTDZ($A$1,$B59,AY$5,$B$1)</f>
        <v>15571.51</v>
      </c>
      <c r="AZ59" s="55">
        <f>_xll.EQNXTDZ($A$1,$B59,AZ$5,$B$1)</f>
        <v>16259.14</v>
      </c>
      <c r="BA59" s="55">
        <f>_xll.EQNXTDZ($A$1,$B59,BA$5,$B$1)</f>
        <v>16598.509999999998</v>
      </c>
      <c r="BB59" s="55">
        <f>_xll.EQNXTDZ($A$1,$B59,BB$5,$B$1)</f>
        <v>16985.349999999999</v>
      </c>
      <c r="BC59" s="55">
        <f>_xll.EQNXTDZ($A$1,$B59,BC$5,$B$1)</f>
        <v>17838.34</v>
      </c>
      <c r="BD59" s="55">
        <f>_xll.EQNXTDZ($A$1,$B59,BD$5,$B$1)</f>
        <v>18296.45</v>
      </c>
      <c r="BE59" s="55">
        <f>_xll.EQNXTDZ($A$1,$B59,BE$5,$B$1)</f>
        <v>19019.59</v>
      </c>
      <c r="BF59" s="55">
        <f>_xll.EQNXTDZ($A$1,$B59,BF$5,$B$1)</f>
        <v>19086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212.5</v>
      </c>
      <c r="U61" s="55">
        <f>_xll.EQNXTDZ($A$1,$B61,U$5,$B$1)</f>
        <v>255.66</v>
      </c>
      <c r="V61" s="55">
        <f>_xll.EQNXTDZ($A$1,$B61,V$5,$B$1)</f>
        <v>0</v>
      </c>
      <c r="W61" s="55">
        <f>_xll.EQNXTDZ($A$1,$B61,W$5,$B$1)</f>
        <v>41.5</v>
      </c>
      <c r="X61" s="55">
        <f>_xll.EQNXTDZ($A$1,$B61,X$5,$B$1)</f>
        <v>196.86</v>
      </c>
      <c r="Y61" s="55">
        <f>_xll.EQNXTDZ($A$1,$B61,Y$5,$B$1)</f>
        <v>286.27999999999997</v>
      </c>
      <c r="Z61" s="55">
        <f>_xll.EQNXTDZ($A$1,$B61,Z$5,$B$1)</f>
        <v>193.48</v>
      </c>
      <c r="AA61" s="55">
        <f>_xll.EQNXTDZ($A$1,$B61,AA$5,$B$1)</f>
        <v>267.43</v>
      </c>
      <c r="AB61" s="55">
        <f>_xll.EQNXTDZ($A$1,$B61,AB$5,$B$1)</f>
        <v>416.32</v>
      </c>
      <c r="AC61" s="55">
        <f>_xll.EQNXTDZ($A$1,$B61,AC$5,$B$1)</f>
        <v>616.39</v>
      </c>
      <c r="AD61" s="55">
        <f>_xll.EQNXTDZ($A$1,$B61,AD$5,$B$1)</f>
        <v>281.62</v>
      </c>
      <c r="AE61" s="55">
        <f>_xll.EQNXTDZ($A$1,$B61,AE$5,$B$1)</f>
        <v>344.16</v>
      </c>
      <c r="AF61" s="55">
        <f>_xll.EQNXTDZ($A$1,$B61,AF$5,$B$1)</f>
        <v>637.58000000000004</v>
      </c>
      <c r="AG61" s="55">
        <f>_xll.EQNXTDZ($A$1,$B61,AG$5,$B$1)</f>
        <v>975.02</v>
      </c>
      <c r="AH61" s="55">
        <f>_xll.EQNXTDZ($A$1,$B61,AH$5,$B$1)</f>
        <v>713.67</v>
      </c>
      <c r="AI61" s="55">
        <f>_xll.EQNXTDZ($A$1,$B61,AI$5,$B$1)</f>
        <v>1041.26</v>
      </c>
      <c r="AJ61" s="55">
        <f>_xll.EQNXTDZ($A$1,$B61,AJ$5,$B$1)</f>
        <v>1321.01</v>
      </c>
      <c r="AK61" s="55">
        <f>_xll.EQNXTDZ($A$1,$B61,AK$5,$B$1)</f>
        <v>1552.1</v>
      </c>
      <c r="AL61" s="55">
        <f>_xll.EQNXTDZ($A$1,$B61,AL$5,$B$1)</f>
        <v>842.32</v>
      </c>
      <c r="AM61" s="55">
        <f>_xll.EQNXTDZ($A$1,$B61,AM$5,$B$1)</f>
        <v>995.47</v>
      </c>
      <c r="AN61" s="55">
        <f>_xll.EQNXTDZ($A$1,$B61,AN$5,$B$1)</f>
        <v>1118.22</v>
      </c>
      <c r="AO61" s="55">
        <f>_xll.EQNXTDZ($A$1,$B61,AO$5,$B$1)</f>
        <v>1186.43</v>
      </c>
      <c r="AP61" s="55">
        <f>_xll.EQNXTDZ($A$1,$B61,AP$5,$B$1)</f>
        <v>993.64</v>
      </c>
      <c r="AQ61" s="55">
        <f>_xll.EQNXTDZ($A$1,$B61,AQ$5,$B$1)</f>
        <v>1165.8699999999999</v>
      </c>
      <c r="AR61" s="55">
        <f>_xll.EQNXTDZ($A$1,$B61,AR$5,$B$1)</f>
        <v>1320.22</v>
      </c>
      <c r="AS61" s="55">
        <f>_xll.EQNXTDZ($A$1,$B61,AS$5,$B$1)</f>
        <v>1503.26</v>
      </c>
      <c r="AT61" s="55">
        <f>_xll.EQNXTDZ($A$1,$B61,AT$5,$B$1)</f>
        <v>1142.74</v>
      </c>
      <c r="AU61" s="55">
        <f>_xll.EQNXTDZ($A$1,$B61,AU$5,$B$1)</f>
        <v>1333.79</v>
      </c>
      <c r="AV61" s="55">
        <f>_xll.EQNXTDZ($A$1,$B61,AV$5,$B$1)</f>
        <v>1531.17</v>
      </c>
      <c r="AW61" s="55">
        <f>_xll.EQNXTDZ($A$1,$B61,AW$5,$B$1)</f>
        <v>1783.89</v>
      </c>
      <c r="AX61" s="55">
        <f>_xll.EQNXTDZ($A$1,$B61,AX$5,$B$1)</f>
        <v>1336.56</v>
      </c>
      <c r="AY61" s="55">
        <f>_xll.EQNXTDZ($A$1,$B61,AY$5,$B$1)</f>
        <v>1679.51</v>
      </c>
      <c r="AZ61" s="55">
        <f>_xll.EQNXTDZ($A$1,$B61,AZ$5,$B$1)</f>
        <v>0</v>
      </c>
      <c r="BA61" s="55">
        <f>_xll.EQNXTDZ($A$1,$B61,BA$5,$B$1)</f>
        <v>1975.81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1890.47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212.5</v>
      </c>
      <c r="U63" s="55">
        <f>_xll.EQNXTDZ($A$1,$B63,U$5,$B$1)</f>
        <v>255.66</v>
      </c>
      <c r="V63" s="55">
        <f>_xll.EQNXTDZ($A$1,$B63,V$5,$B$1)</f>
        <v>0</v>
      </c>
      <c r="W63" s="55">
        <f>_xll.EQNXTDZ($A$1,$B63,W$5,$B$1)</f>
        <v>41.5</v>
      </c>
      <c r="X63" s="55">
        <f>_xll.EQNXTDZ($A$1,$B63,X$5,$B$1)</f>
        <v>196.86</v>
      </c>
      <c r="Y63" s="55">
        <f>_xll.EQNXTDZ($A$1,$B63,Y$5,$B$1)</f>
        <v>286.27999999999997</v>
      </c>
      <c r="Z63" s="55">
        <f>_xll.EQNXTDZ($A$1,$B63,Z$5,$B$1)</f>
        <v>193.48</v>
      </c>
      <c r="AA63" s="55">
        <f>_xll.EQNXTDZ($A$1,$B63,AA$5,$B$1)</f>
        <v>267.43</v>
      </c>
      <c r="AB63" s="55">
        <f>_xll.EQNXTDZ($A$1,$B63,AB$5,$B$1)</f>
        <v>416.32</v>
      </c>
      <c r="AC63" s="55">
        <f>_xll.EQNXTDZ($A$1,$B63,AC$5,$B$1)</f>
        <v>616.39</v>
      </c>
      <c r="AD63" s="55">
        <f>_xll.EQNXTDZ($A$1,$B63,AD$5,$B$1)</f>
        <v>281.62</v>
      </c>
      <c r="AE63" s="55">
        <f>_xll.EQNXTDZ($A$1,$B63,AE$5,$B$1)</f>
        <v>344.16</v>
      </c>
      <c r="AF63" s="55">
        <f>_xll.EQNXTDZ($A$1,$B63,AF$5,$B$1)</f>
        <v>637.58000000000004</v>
      </c>
      <c r="AG63" s="55">
        <f>_xll.EQNXTDZ($A$1,$B63,AG$5,$B$1)</f>
        <v>975.02</v>
      </c>
      <c r="AH63" s="55">
        <f>_xll.EQNXTDZ($A$1,$B63,AH$5,$B$1)</f>
        <v>713.67</v>
      </c>
      <c r="AI63" s="55">
        <f>_xll.EQNXTDZ($A$1,$B63,AI$5,$B$1)</f>
        <v>1041.26</v>
      </c>
      <c r="AJ63" s="55">
        <f>_xll.EQNXTDZ($A$1,$B63,AJ$5,$B$1)</f>
        <v>1321.01</v>
      </c>
      <c r="AK63" s="55">
        <f>_xll.EQNXTDZ($A$1,$B63,AK$5,$B$1)</f>
        <v>1552.1</v>
      </c>
      <c r="AL63" s="55">
        <f>_xll.EQNXTDZ($A$1,$B63,AL$5,$B$1)</f>
        <v>842.32</v>
      </c>
      <c r="AM63" s="55">
        <f>_xll.EQNXTDZ($A$1,$B63,AM$5,$B$1)</f>
        <v>995.47</v>
      </c>
      <c r="AN63" s="55">
        <f>_xll.EQNXTDZ($A$1,$B63,AN$5,$B$1)</f>
        <v>1118.22</v>
      </c>
      <c r="AO63" s="55">
        <f>_xll.EQNXTDZ($A$1,$B63,AO$5,$B$1)</f>
        <v>1186.43</v>
      </c>
      <c r="AP63" s="55">
        <f>_xll.EQNXTDZ($A$1,$B63,AP$5,$B$1)</f>
        <v>993.64</v>
      </c>
      <c r="AQ63" s="55">
        <f>_xll.EQNXTDZ($A$1,$B63,AQ$5,$B$1)</f>
        <v>1165.8699999999999</v>
      </c>
      <c r="AR63" s="55">
        <f>_xll.EQNXTDZ($A$1,$B63,AR$5,$B$1)</f>
        <v>1320.22</v>
      </c>
      <c r="AS63" s="55">
        <f>_xll.EQNXTDZ($A$1,$B63,AS$5,$B$1)</f>
        <v>1503.26</v>
      </c>
      <c r="AT63" s="55">
        <f>_xll.EQNXTDZ($A$1,$B63,AT$5,$B$1)</f>
        <v>1142.74</v>
      </c>
      <c r="AU63" s="55">
        <f>_xll.EQNXTDZ($A$1,$B63,AU$5,$B$1)</f>
        <v>1333.79</v>
      </c>
      <c r="AV63" s="55">
        <f>_xll.EQNXTDZ($A$1,$B63,AV$5,$B$1)</f>
        <v>1531.17</v>
      </c>
      <c r="AW63" s="55">
        <f>_xll.EQNXTDZ($A$1,$B63,AW$5,$B$1)</f>
        <v>1783.89</v>
      </c>
      <c r="AX63" s="55">
        <f>_xll.EQNXTDZ($A$1,$B63,AX$5,$B$1)</f>
        <v>1336.56</v>
      </c>
      <c r="AY63" s="55">
        <f>_xll.EQNXTDZ($A$1,$B63,AY$5,$B$1)</f>
        <v>1679.51</v>
      </c>
      <c r="AZ63" s="55">
        <f>_xll.EQNXTDZ($A$1,$B63,AZ$5,$B$1)</f>
        <v>0</v>
      </c>
      <c r="BA63" s="55">
        <f>_xll.EQNXTDZ($A$1,$B63,BA$5,$B$1)</f>
        <v>1975.81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1890.47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43998.95</v>
      </c>
      <c r="U64" s="55">
        <f>_xll.EQNXTDZ($A$1,$B64,U$5,$B$1)</f>
        <v>45808.23</v>
      </c>
      <c r="V64" s="55">
        <f>_xll.EQNXTDZ($A$1,$B64,V$5,$B$1)</f>
        <v>49100.14</v>
      </c>
      <c r="W64" s="55">
        <f>_xll.EQNXTDZ($A$1,$B64,W$5,$B$1)</f>
        <v>50304.88</v>
      </c>
      <c r="X64" s="55">
        <f>_xll.EQNXTDZ($A$1,$B64,X$5,$B$1)</f>
        <v>51798.03</v>
      </c>
      <c r="Y64" s="55">
        <f>_xll.EQNXTDZ($A$1,$B64,Y$5,$B$1)</f>
        <v>54017.53</v>
      </c>
      <c r="Z64" s="55">
        <f>_xll.EQNXTDZ($A$1,$B64,Z$5,$B$1)</f>
        <v>56498.61</v>
      </c>
      <c r="AA64" s="55">
        <f>_xll.EQNXTDZ($A$1,$B64,AA$5,$B$1)</f>
        <v>58286.35</v>
      </c>
      <c r="AB64" s="55">
        <f>_xll.EQNXTDZ($A$1,$B64,AB$5,$B$1)</f>
        <v>60684.67</v>
      </c>
      <c r="AC64" s="55">
        <f>_xll.EQNXTDZ($A$1,$B64,AC$5,$B$1)</f>
        <v>62974.44</v>
      </c>
      <c r="AD64" s="55">
        <f>_xll.EQNXTDZ($A$1,$B64,AD$5,$B$1)</f>
        <v>66010.78</v>
      </c>
      <c r="AE64" s="55">
        <f>_xll.EQNXTDZ($A$1,$B64,AE$5,$B$1)</f>
        <v>68170.75</v>
      </c>
      <c r="AF64" s="55">
        <f>_xll.EQNXTDZ($A$1,$B64,AF$5,$B$1)</f>
        <v>71410.240000000005</v>
      </c>
      <c r="AG64" s="55">
        <f>_xll.EQNXTDZ($A$1,$B64,AG$5,$B$1)</f>
        <v>74275.27</v>
      </c>
      <c r="AH64" s="55">
        <f>_xll.EQNXTDZ($A$1,$B64,AH$5,$B$1)</f>
        <v>74535.8</v>
      </c>
      <c r="AI64" s="55">
        <f>_xll.EQNXTDZ($A$1,$B64,AI$5,$B$1)</f>
        <v>78369.78</v>
      </c>
      <c r="AJ64" s="55">
        <f>_xll.EQNXTDZ($A$1,$B64,AJ$5,$B$1)</f>
        <v>83786.37</v>
      </c>
      <c r="AK64" s="55">
        <f>_xll.EQNXTDZ($A$1,$B64,AK$5,$B$1)</f>
        <v>90108.37</v>
      </c>
      <c r="AL64" s="55">
        <f>_xll.EQNXTDZ($A$1,$B64,AL$5,$B$1)</f>
        <v>95134.29</v>
      </c>
      <c r="AM64" s="55">
        <f>_xll.EQNXTDZ($A$1,$B64,AM$5,$B$1)</f>
        <v>98590.71</v>
      </c>
      <c r="AN64" s="55">
        <f>_xll.EQNXTDZ($A$1,$B64,AN$5,$B$1)</f>
        <v>131738.99</v>
      </c>
      <c r="AO64" s="55">
        <f>_xll.EQNXTDZ($A$1,$B64,AO$5,$B$1)</f>
        <v>108744.27</v>
      </c>
      <c r="AP64" s="55">
        <f>_xll.EQNXTDZ($A$1,$B64,AP$5,$B$1)</f>
        <v>112965.94</v>
      </c>
      <c r="AQ64" s="55">
        <f>_xll.EQNXTDZ($A$1,$B64,AQ$5,$B$1)</f>
        <v>116478.2</v>
      </c>
      <c r="AR64" s="55">
        <f>_xll.EQNXTDZ($A$1,$B64,AR$5,$B$1)</f>
        <v>144565.25</v>
      </c>
      <c r="AS64" s="55">
        <f>_xll.EQNXTDZ($A$1,$B64,AS$5,$B$1)</f>
        <v>127044.84</v>
      </c>
      <c r="AT64" s="55">
        <f>_xll.EQNXTDZ($A$1,$B64,AT$5,$B$1)</f>
        <v>132170.79999999999</v>
      </c>
      <c r="AU64" s="55">
        <f>_xll.EQNXTDZ($A$1,$B64,AU$5,$B$1)</f>
        <v>138841.10999999999</v>
      </c>
      <c r="AV64" s="55">
        <f>_xll.EQNXTDZ($A$1,$B64,AV$5,$B$1)</f>
        <v>180165.73</v>
      </c>
      <c r="AW64" s="55">
        <f>_xll.EQNXTDZ($A$1,$B64,AW$5,$B$1)</f>
        <v>151353.68</v>
      </c>
      <c r="AX64" s="55">
        <f>_xll.EQNXTDZ($A$1,$B64,AX$5,$B$1)</f>
        <v>160527.6</v>
      </c>
      <c r="AY64" s="55">
        <f>_xll.EQNXTDZ($A$1,$B64,AY$5,$B$1)</f>
        <v>167663.16</v>
      </c>
      <c r="AZ64" s="55">
        <f>_xll.EQNXTDZ($A$1,$B64,AZ$5,$B$1)</f>
        <v>245900.52</v>
      </c>
      <c r="BA64" s="55">
        <f>_xll.EQNXTDZ($A$1,$B64,BA$5,$B$1)</f>
        <v>177434.48</v>
      </c>
      <c r="BB64" s="55">
        <f>_xll.EQNXTDZ($A$1,$B64,BB$5,$B$1)</f>
        <v>186302.17</v>
      </c>
      <c r="BC64" s="55">
        <f>_xll.EQNXTDZ($A$1,$B64,BC$5,$B$1)</f>
        <v>193548.93</v>
      </c>
      <c r="BD64" s="55">
        <f>_xll.EQNXTDZ($A$1,$B64,BD$5,$B$1)</f>
        <v>258175.37</v>
      </c>
      <c r="BE64" s="55">
        <f>_xll.EQNXTDZ($A$1,$B64,BE$5,$B$1)</f>
        <v>207599.37</v>
      </c>
      <c r="BF64" s="55">
        <f>_xll.EQNXTDZ($A$1,$B64,BF$5,$B$1)</f>
        <v>214022.92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39071.26</v>
      </c>
      <c r="U66" s="55">
        <f>_xll.EQNXTDZ($A$1,$B66,U$5,$B$1)</f>
        <v>40191.82</v>
      </c>
      <c r="V66" s="55">
        <f>_xll.EQNXTDZ($A$1,$B66,V$5,$B$1)</f>
        <v>44573.03</v>
      </c>
      <c r="W66" s="55">
        <f>_xll.EQNXTDZ($A$1,$B66,W$5,$B$1)</f>
        <v>46185.32</v>
      </c>
      <c r="X66" s="55">
        <f>_xll.EQNXTDZ($A$1,$B66,X$5,$B$1)</f>
        <v>48823.46</v>
      </c>
      <c r="Y66" s="55">
        <f>_xll.EQNXTDZ($A$1,$B66,Y$5,$B$1)</f>
        <v>52436.13</v>
      </c>
      <c r="Z66" s="55">
        <f>_xll.EQNXTDZ($A$1,$B66,Z$5,$B$1)</f>
        <v>54935.85</v>
      </c>
      <c r="AA66" s="55">
        <f>_xll.EQNXTDZ($A$1,$B66,AA$5,$B$1)</f>
        <v>56569.19</v>
      </c>
      <c r="AB66" s="55">
        <f>_xll.EQNXTDZ($A$1,$B66,AB$5,$B$1)</f>
        <v>59749.13</v>
      </c>
      <c r="AC66" s="55">
        <f>_xll.EQNXTDZ($A$1,$B66,AC$5,$B$1)</f>
        <v>64809.98</v>
      </c>
      <c r="AD66" s="55">
        <f>_xll.EQNXTDZ($A$1,$B66,AD$5,$B$1)</f>
        <v>69129.08</v>
      </c>
      <c r="AE66" s="55">
        <f>_xll.EQNXTDZ($A$1,$B66,AE$5,$B$1)</f>
        <v>72311.25</v>
      </c>
      <c r="AF66" s="55">
        <f>_xll.EQNXTDZ($A$1,$B66,AF$5,$B$1)</f>
        <v>76931.98</v>
      </c>
      <c r="AG66" s="55">
        <f>_xll.EQNXTDZ($A$1,$B66,AG$5,$B$1)</f>
        <v>82064.490000000005</v>
      </c>
      <c r="AH66" s="55">
        <f>_xll.EQNXTDZ($A$1,$B66,AH$5,$B$1)</f>
        <v>78565.34</v>
      </c>
      <c r="AI66" s="55">
        <f>_xll.EQNXTDZ($A$1,$B66,AI$5,$B$1)</f>
        <v>87868.23</v>
      </c>
      <c r="AJ66" s="55">
        <f>_xll.EQNXTDZ($A$1,$B66,AJ$5,$B$1)</f>
        <v>93475.7</v>
      </c>
      <c r="AK66" s="55">
        <f>_xll.EQNXTDZ($A$1,$B66,AK$5,$B$1)</f>
        <v>109448.49</v>
      </c>
      <c r="AL66" s="55">
        <f>_xll.EQNXTDZ($A$1,$B66,AL$5,$B$1)</f>
        <v>116215.03</v>
      </c>
      <c r="AM66" s="55">
        <f>_xll.EQNXTDZ($A$1,$B66,AM$5,$B$1)</f>
        <v>122651.21</v>
      </c>
      <c r="AN66" s="55">
        <f>_xll.EQNXTDZ($A$1,$B66,AN$5,$B$1)</f>
        <v>101357.32</v>
      </c>
      <c r="AO66" s="55">
        <f>_xll.EQNXTDZ($A$1,$B66,AO$5,$B$1)</f>
        <v>136158.39000000001</v>
      </c>
      <c r="AP66" s="55">
        <f>_xll.EQNXTDZ($A$1,$B66,AP$5,$B$1)</f>
        <v>142625.31</v>
      </c>
      <c r="AQ66" s="55">
        <f>_xll.EQNXTDZ($A$1,$B66,AQ$5,$B$1)</f>
        <v>135659.28</v>
      </c>
      <c r="AR66" s="55">
        <f>_xll.EQNXTDZ($A$1,$B66,AR$5,$B$1)</f>
        <v>125905.23</v>
      </c>
      <c r="AS66" s="55">
        <f>_xll.EQNXTDZ($A$1,$B66,AS$5,$B$1)</f>
        <v>159629.06</v>
      </c>
      <c r="AT66" s="55">
        <f>_xll.EQNXTDZ($A$1,$B66,AT$5,$B$1)</f>
        <v>163255.54</v>
      </c>
      <c r="AU66" s="55">
        <f>_xll.EQNXTDZ($A$1,$B66,AU$5,$B$1)</f>
        <v>176081.61</v>
      </c>
      <c r="AV66" s="55">
        <f>_xll.EQNXTDZ($A$1,$B66,AV$5,$B$1)</f>
        <v>150770.14000000001</v>
      </c>
      <c r="AW66" s="55">
        <f>_xll.EQNXTDZ($A$1,$B66,AW$5,$B$1)</f>
        <v>205126.83</v>
      </c>
      <c r="AX66" s="55">
        <f>_xll.EQNXTDZ($A$1,$B66,AX$5,$B$1)</f>
        <v>216010.27</v>
      </c>
      <c r="AY66" s="55">
        <f>_xll.EQNXTDZ($A$1,$B66,AY$5,$B$1)</f>
        <v>231909.48</v>
      </c>
      <c r="AZ66" s="55">
        <f>_xll.EQNXTDZ($A$1,$B66,AZ$5,$B$1)</f>
        <v>179994.72</v>
      </c>
      <c r="BA66" s="55">
        <f>_xll.EQNXTDZ($A$1,$B66,BA$5,$B$1)</f>
        <v>247518.68</v>
      </c>
      <c r="BB66" s="55">
        <f>_xll.EQNXTDZ($A$1,$B66,BB$5,$B$1)</f>
        <v>247635.67</v>
      </c>
      <c r="BC66" s="55">
        <f>_xll.EQNXTDZ($A$1,$B66,BC$5,$B$1)</f>
        <v>266794.23</v>
      </c>
      <c r="BD66" s="55">
        <f>_xll.EQNXTDZ($A$1,$B66,BD$5,$B$1)</f>
        <v>206592.71</v>
      </c>
      <c r="BE66" s="55">
        <f>_xll.EQNXTDZ($A$1,$B66,BE$5,$B$1)</f>
        <v>283418.68</v>
      </c>
      <c r="BF66" s="55">
        <f>_xll.EQNXTDZ($A$1,$B66,BF$5,$B$1)</f>
        <v>258944.45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88454.04</v>
      </c>
      <c r="U67" s="55">
        <f>_xll.EQNXTDZ($A$1,$B67,U$5,$B$1)</f>
        <v>91593.39</v>
      </c>
      <c r="V67" s="55">
        <f>_xll.EQNXTDZ($A$1,$B67,V$5,$B$1)</f>
        <v>99225.25</v>
      </c>
      <c r="W67" s="55">
        <f>_xll.EQNXTDZ($A$1,$B67,W$5,$B$1)</f>
        <v>102410.5</v>
      </c>
      <c r="X67" s="55">
        <f>_xll.EQNXTDZ($A$1,$B67,X$5,$B$1)</f>
        <v>107000.67</v>
      </c>
      <c r="Y67" s="55">
        <f>_xll.EQNXTDZ($A$1,$B67,Y$5,$B$1)</f>
        <v>113175.03</v>
      </c>
      <c r="Z67" s="55">
        <f>_xll.EQNXTDZ($A$1,$B67,Z$5,$B$1)</f>
        <v>118155.76</v>
      </c>
      <c r="AA67" s="55">
        <f>_xll.EQNXTDZ($A$1,$B67,AA$5,$B$1)</f>
        <v>121946.44</v>
      </c>
      <c r="AB67" s="55">
        <f>_xll.EQNXTDZ($A$1,$B67,AB$5,$B$1)</f>
        <v>127940.62</v>
      </c>
      <c r="AC67" s="55">
        <f>_xll.EQNXTDZ($A$1,$B67,AC$5,$B$1)</f>
        <v>135733.82999999999</v>
      </c>
      <c r="AD67" s="55">
        <f>_xll.EQNXTDZ($A$1,$B67,AD$5,$B$1)</f>
        <v>142997.82999999999</v>
      </c>
      <c r="AE67" s="55">
        <f>_xll.EQNXTDZ($A$1,$B67,AE$5,$B$1)</f>
        <v>148767.56</v>
      </c>
      <c r="AF67" s="55">
        <f>_xll.EQNXTDZ($A$1,$B67,AF$5,$B$1)</f>
        <v>157051.26</v>
      </c>
      <c r="AG67" s="55">
        <f>_xll.EQNXTDZ($A$1,$B67,AG$5,$B$1)</f>
        <v>165799.82999999999</v>
      </c>
      <c r="AH67" s="55">
        <f>_xll.EQNXTDZ($A$1,$B67,AH$5,$B$1)</f>
        <v>162557.89000000001</v>
      </c>
      <c r="AI67" s="55">
        <f>_xll.EQNXTDZ($A$1,$B67,AI$5,$B$1)</f>
        <v>176591</v>
      </c>
      <c r="AJ67" s="55">
        <f>_xll.EQNXTDZ($A$1,$B67,AJ$5,$B$1)</f>
        <v>188246.62</v>
      </c>
      <c r="AK67" s="55">
        <f>_xll.EQNXTDZ($A$1,$B67,AK$5,$B$1)</f>
        <v>211242.19</v>
      </c>
      <c r="AL67" s="55">
        <f>_xll.EQNXTDZ($A$1,$B67,AL$5,$B$1)</f>
        <v>222592.07</v>
      </c>
      <c r="AM67" s="55">
        <f>_xll.EQNXTDZ($A$1,$B67,AM$5,$B$1)</f>
        <v>232815.06</v>
      </c>
      <c r="AN67" s="55">
        <f>_xll.EQNXTDZ($A$1,$B67,AN$5,$B$1)</f>
        <v>245121.37</v>
      </c>
      <c r="AO67" s="55">
        <f>_xll.EQNXTDZ($A$1,$B67,AO$5,$B$1)</f>
        <v>257287.83</v>
      </c>
      <c r="AP67" s="55">
        <f>_xll.EQNXTDZ($A$1,$B67,AP$5,$B$1)</f>
        <v>268207.2</v>
      </c>
      <c r="AQ67" s="55">
        <f>_xll.EQNXTDZ($A$1,$B67,AQ$5,$B$1)</f>
        <v>265063.19</v>
      </c>
      <c r="AR67" s="55">
        <f>_xll.EQNXTDZ($A$1,$B67,AR$5,$B$1)</f>
        <v>284006.75</v>
      </c>
      <c r="AS67" s="55">
        <f>_xll.EQNXTDZ($A$1,$B67,AS$5,$B$1)</f>
        <v>300756.5</v>
      </c>
      <c r="AT67" s="55">
        <f>_xll.EQNXTDZ($A$1,$B67,AT$5,$B$1)</f>
        <v>309586.56</v>
      </c>
      <c r="AU67" s="55">
        <f>_xll.EQNXTDZ($A$1,$B67,AU$5,$B$1)</f>
        <v>329792.43</v>
      </c>
      <c r="AV67" s="55">
        <f>_xll.EQNXTDZ($A$1,$B67,AV$5,$B$1)</f>
        <v>346435.96</v>
      </c>
      <c r="AW67" s="55">
        <f>_xll.EQNXTDZ($A$1,$B67,AW$5,$B$1)</f>
        <v>372691.45</v>
      </c>
      <c r="AX67" s="55">
        <f>_xll.EQNXTDZ($A$1,$B67,AX$5,$B$1)</f>
        <v>392782.99</v>
      </c>
      <c r="AY67" s="55">
        <f>_xll.EQNXTDZ($A$1,$B67,AY$5,$B$1)</f>
        <v>416823.66</v>
      </c>
      <c r="AZ67" s="55">
        <f>_xll.EQNXTDZ($A$1,$B67,AZ$5,$B$1)</f>
        <v>442154.38</v>
      </c>
      <c r="BA67" s="55">
        <f>_xll.EQNXTDZ($A$1,$B67,BA$5,$B$1)</f>
        <v>443527.48</v>
      </c>
      <c r="BB67" s="55">
        <f>_xll.EQNXTDZ($A$1,$B67,BB$5,$B$1)</f>
        <v>450923.19</v>
      </c>
      <c r="BC67" s="55">
        <f>_xll.EQNXTDZ($A$1,$B67,BC$5,$B$1)</f>
        <v>478181.5</v>
      </c>
      <c r="BD67" s="55">
        <f>_xll.EQNXTDZ($A$1,$B67,BD$5,$B$1)</f>
        <v>483064.53</v>
      </c>
      <c r="BE67" s="55">
        <f>_xll.EQNXTDZ($A$1,$B67,BE$5,$B$1)</f>
        <v>511928.11</v>
      </c>
      <c r="BF67" s="55">
        <f>_xll.EQNXTDZ($A$1,$B67,BF$5,$B$1)</f>
        <v>492053.37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499.61</v>
      </c>
      <c r="U68" s="55">
        <f>_xll.EQNXTDZ($A$1,$B68,U$5,$B$1)</f>
        <v>528.96</v>
      </c>
      <c r="V68" s="55">
        <f>_xll.EQNXTDZ($A$1,$B68,V$5,$B$1)</f>
        <v>538.47</v>
      </c>
      <c r="W68" s="55">
        <f>_xll.EQNXTDZ($A$1,$B68,W$5,$B$1)</f>
        <v>558.36</v>
      </c>
      <c r="X68" s="55">
        <f>_xll.EQNXTDZ($A$1,$B68,X$5,$B$1)</f>
        <v>559.84</v>
      </c>
      <c r="Y68" s="55">
        <f>_xll.EQNXTDZ($A$1,$B68,Y$5,$B$1)</f>
        <v>554.94000000000005</v>
      </c>
      <c r="Z68" s="55">
        <f>_xll.EQNXTDZ($A$1,$B68,Z$5,$B$1)</f>
        <v>581.29</v>
      </c>
      <c r="AA68" s="55">
        <f>_xll.EQNXTDZ($A$1,$B68,AA$5,$B$1)</f>
        <v>585.53</v>
      </c>
      <c r="AB68" s="55">
        <f>_xll.EQNXTDZ($A$1,$B68,AB$5,$B$1)</f>
        <v>592.21</v>
      </c>
      <c r="AC68" s="55">
        <f>_xll.EQNXTDZ($A$1,$B68,AC$5,$B$1)</f>
        <v>598.99</v>
      </c>
      <c r="AD68" s="55">
        <f>_xll.EQNXTDZ($A$1,$B68,AD$5,$B$1)</f>
        <v>595.22</v>
      </c>
      <c r="AE68" s="55">
        <f>_xll.EQNXTDZ($A$1,$B68,AE$5,$B$1)</f>
        <v>600.45000000000005</v>
      </c>
      <c r="AF68" s="55">
        <f>_xll.EQNXTDZ($A$1,$B68,AF$5,$B$1)</f>
        <v>599.16999999999996</v>
      </c>
      <c r="AG68" s="55">
        <f>_xll.EQNXTDZ($A$1,$B68,AG$5,$B$1)</f>
        <v>586.75</v>
      </c>
      <c r="AH68" s="55">
        <f>_xll.EQNXTDZ($A$1,$B68,AH$5,$B$1)</f>
        <v>581.17999999999995</v>
      </c>
      <c r="AI68" s="55">
        <f>_xll.EQNXTDZ($A$1,$B68,AI$5,$B$1)</f>
        <v>570.12</v>
      </c>
      <c r="AJ68" s="55">
        <f>_xll.EQNXTDZ($A$1,$B68,AJ$5,$B$1)</f>
        <v>564.45000000000005</v>
      </c>
      <c r="AK68" s="55">
        <f>_xll.EQNXTDZ($A$1,$B68,AK$5,$B$1)</f>
        <v>564.09</v>
      </c>
      <c r="AL68" s="55">
        <f>_xll.EQNXTDZ($A$1,$B68,AL$5,$B$1)</f>
        <v>565.42999999999995</v>
      </c>
      <c r="AM68" s="55">
        <f>_xll.EQNXTDZ($A$1,$B68,AM$5,$B$1)</f>
        <v>559.54</v>
      </c>
      <c r="AN68" s="55">
        <f>_xll.EQNXTDZ($A$1,$B68,AN$5,$B$1)</f>
        <v>546.88</v>
      </c>
      <c r="AO68" s="55">
        <f>_xll.EQNXTDZ($A$1,$B68,AO$5,$B$1)</f>
        <v>534.62</v>
      </c>
      <c r="AP68" s="55">
        <f>_xll.EQNXTDZ($A$1,$B68,AP$5,$B$1)</f>
        <v>526.77</v>
      </c>
      <c r="AQ68" s="55">
        <f>_xll.EQNXTDZ($A$1,$B68,AQ$5,$B$1)</f>
        <v>532.46</v>
      </c>
      <c r="AR68" s="55">
        <f>_xll.EQNXTDZ($A$1,$B68,AR$5,$B$1)</f>
        <v>525.04</v>
      </c>
      <c r="AS68" s="55">
        <f>_xll.EQNXTDZ($A$1,$B68,AS$5,$B$1)</f>
        <v>515.29999999999995</v>
      </c>
      <c r="AT68" s="55">
        <f>_xll.EQNXTDZ($A$1,$B68,AT$5,$B$1)</f>
        <v>521.51</v>
      </c>
      <c r="AU68" s="55">
        <f>_xll.EQNXTDZ($A$1,$B68,AU$5,$B$1)</f>
        <v>528.92999999999995</v>
      </c>
      <c r="AV68" s="55">
        <f>_xll.EQNXTDZ($A$1,$B68,AV$5,$B$1)</f>
        <v>542.41999999999996</v>
      </c>
      <c r="AW68" s="55">
        <f>_xll.EQNXTDZ($A$1,$B68,AW$5,$B$1)</f>
        <v>552.6</v>
      </c>
      <c r="AX68" s="55">
        <f>_xll.EQNXTDZ($A$1,$B68,AX$5,$B$1)</f>
        <v>556.96</v>
      </c>
      <c r="AY68" s="55">
        <f>_xll.EQNXTDZ($A$1,$B68,AY$5,$B$1)</f>
        <v>557.17999999999995</v>
      </c>
      <c r="AZ68" s="55">
        <f>_xll.EQNXTDZ($A$1,$B68,AZ$5,$B$1)</f>
        <v>562.96</v>
      </c>
      <c r="BA68" s="55">
        <f>_xll.EQNXTDZ($A$1,$B68,BA$5,$B$1)</f>
        <v>564.52</v>
      </c>
      <c r="BB68" s="55">
        <f>_xll.EQNXTDZ($A$1,$B68,BB$5,$B$1)</f>
        <v>590.34</v>
      </c>
      <c r="BC68" s="55">
        <f>_xll.EQNXTDZ($A$1,$B68,BC$5,$B$1)</f>
        <v>618.6</v>
      </c>
      <c r="BD68" s="55">
        <f>_xll.EQNXTDZ($A$1,$B68,BD$5,$B$1)</f>
        <v>631.59</v>
      </c>
      <c r="BE68" s="55">
        <f>_xll.EQNXTDZ($A$1,$B68,BE$5,$B$1)</f>
        <v>637.11</v>
      </c>
      <c r="BF68" s="55">
        <f>_xll.EQNXTDZ($A$1,$B68,BF$5,$B$1)</f>
        <v>687.69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499.61</v>
      </c>
      <c r="U71" s="55">
        <f>_xll.EQNXTDZ($A$1,$B71,U$5,$B$1)</f>
        <v>528.96</v>
      </c>
      <c r="V71" s="55">
        <f>_xll.EQNXTDZ($A$1,$B71,V$5,$B$1)</f>
        <v>538.47</v>
      </c>
      <c r="W71" s="55">
        <f>_xll.EQNXTDZ($A$1,$B71,W$5,$B$1)</f>
        <v>558.36</v>
      </c>
      <c r="X71" s="55">
        <f>_xll.EQNXTDZ($A$1,$B71,X$5,$B$1)</f>
        <v>559.84</v>
      </c>
      <c r="Y71" s="55">
        <f>_xll.EQNXTDZ($A$1,$B71,Y$5,$B$1)</f>
        <v>554.94000000000005</v>
      </c>
      <c r="Z71" s="55">
        <f>_xll.EQNXTDZ($A$1,$B71,Z$5,$B$1)</f>
        <v>581.29</v>
      </c>
      <c r="AA71" s="55">
        <f>_xll.EQNXTDZ($A$1,$B71,AA$5,$B$1)</f>
        <v>585.53</v>
      </c>
      <c r="AB71" s="55">
        <f>_xll.EQNXTDZ($A$1,$B71,AB$5,$B$1)</f>
        <v>592.21</v>
      </c>
      <c r="AC71" s="55">
        <f>_xll.EQNXTDZ($A$1,$B71,AC$5,$B$1)</f>
        <v>598.99</v>
      </c>
      <c r="AD71" s="55">
        <f>_xll.EQNXTDZ($A$1,$B71,AD$5,$B$1)</f>
        <v>595.22</v>
      </c>
      <c r="AE71" s="55">
        <f>_xll.EQNXTDZ($A$1,$B71,AE$5,$B$1)</f>
        <v>600.45000000000005</v>
      </c>
      <c r="AF71" s="55">
        <f>_xll.EQNXTDZ($A$1,$B71,AF$5,$B$1)</f>
        <v>599.16999999999996</v>
      </c>
      <c r="AG71" s="55">
        <f>_xll.EQNXTDZ($A$1,$B71,AG$5,$B$1)</f>
        <v>586.75</v>
      </c>
      <c r="AH71" s="55">
        <f>_xll.EQNXTDZ($A$1,$B71,AH$5,$B$1)</f>
        <v>581.17999999999995</v>
      </c>
      <c r="AI71" s="55">
        <f>_xll.EQNXTDZ($A$1,$B71,AI$5,$B$1)</f>
        <v>570.12</v>
      </c>
      <c r="AJ71" s="55">
        <f>_xll.EQNXTDZ($A$1,$B71,AJ$5,$B$1)</f>
        <v>564.45000000000005</v>
      </c>
      <c r="AK71" s="55">
        <f>_xll.EQNXTDZ($A$1,$B71,AK$5,$B$1)</f>
        <v>564.09</v>
      </c>
      <c r="AL71" s="55">
        <f>_xll.EQNXTDZ($A$1,$B71,AL$5,$B$1)</f>
        <v>565.42999999999995</v>
      </c>
      <c r="AM71" s="55">
        <f>_xll.EQNXTDZ($A$1,$B71,AM$5,$B$1)</f>
        <v>559.54</v>
      </c>
      <c r="AN71" s="55">
        <f>_xll.EQNXTDZ($A$1,$B71,AN$5,$B$1)</f>
        <v>546.88</v>
      </c>
      <c r="AO71" s="55">
        <f>_xll.EQNXTDZ($A$1,$B71,AO$5,$B$1)</f>
        <v>534.62</v>
      </c>
      <c r="AP71" s="55">
        <f>_xll.EQNXTDZ($A$1,$B71,AP$5,$B$1)</f>
        <v>526.77</v>
      </c>
      <c r="AQ71" s="55">
        <f>_xll.EQNXTDZ($A$1,$B71,AQ$5,$B$1)</f>
        <v>532.46</v>
      </c>
      <c r="AR71" s="55">
        <f>_xll.EQNXTDZ($A$1,$B71,AR$5,$B$1)</f>
        <v>525.04</v>
      </c>
      <c r="AS71" s="55">
        <f>_xll.EQNXTDZ($A$1,$B71,AS$5,$B$1)</f>
        <v>515.29999999999995</v>
      </c>
      <c r="AT71" s="55">
        <f>_xll.EQNXTDZ($A$1,$B71,AT$5,$B$1)</f>
        <v>521.51</v>
      </c>
      <c r="AU71" s="55">
        <f>_xll.EQNXTDZ($A$1,$B71,AU$5,$B$1)</f>
        <v>528.92999999999995</v>
      </c>
      <c r="AV71" s="55">
        <f>_xll.EQNXTDZ($A$1,$B71,AV$5,$B$1)</f>
        <v>542.41999999999996</v>
      </c>
      <c r="AW71" s="55">
        <f>_xll.EQNXTDZ($A$1,$B71,AW$5,$B$1)</f>
        <v>552.6</v>
      </c>
      <c r="AX71" s="55">
        <f>_xll.EQNXTDZ($A$1,$B71,AX$5,$B$1)</f>
        <v>556.96</v>
      </c>
      <c r="AY71" s="55">
        <f>_xll.EQNXTDZ($A$1,$B71,AY$5,$B$1)</f>
        <v>557.17999999999995</v>
      </c>
      <c r="AZ71" s="55">
        <f>_xll.EQNXTDZ($A$1,$B71,AZ$5,$B$1)</f>
        <v>562.96</v>
      </c>
      <c r="BA71" s="55">
        <f>_xll.EQNXTDZ($A$1,$B71,BA$5,$B$1)</f>
        <v>564.52</v>
      </c>
      <c r="BB71" s="55">
        <f>_xll.EQNXTDZ($A$1,$B71,BB$5,$B$1)</f>
        <v>590.34</v>
      </c>
      <c r="BC71" s="55">
        <f>_xll.EQNXTDZ($A$1,$B71,BC$5,$B$1)</f>
        <v>618.6</v>
      </c>
      <c r="BD71" s="55">
        <f>_xll.EQNXTDZ($A$1,$B71,BD$5,$B$1)</f>
        <v>631.59</v>
      </c>
      <c r="BE71" s="55">
        <f>_xll.EQNXTDZ($A$1,$B71,BE$5,$B$1)</f>
        <v>637.11</v>
      </c>
      <c r="BF71" s="55">
        <f>_xll.EQNXTDZ($A$1,$B71,BF$5,$B$1)</f>
        <v>687.69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46583.54</v>
      </c>
      <c r="U77" s="55">
        <f>_xll.EQNXTDZ($A$1,$B77,U$5,$B$1)</f>
        <v>48416.51</v>
      </c>
      <c r="V77" s="55">
        <f>_xll.EQNXTDZ($A$1,$B77,V$5,$B$1)</f>
        <v>51257.25</v>
      </c>
      <c r="W77" s="55">
        <f>_xll.EQNXTDZ($A$1,$B77,W$5,$B$1)</f>
        <v>53258.61</v>
      </c>
      <c r="X77" s="55">
        <f>_xll.EQNXTDZ($A$1,$B77,X$5,$B$1)</f>
        <v>54505.24</v>
      </c>
      <c r="Y77" s="55">
        <f>_xll.EQNXTDZ($A$1,$B77,Y$5,$B$1)</f>
        <v>57371.51</v>
      </c>
      <c r="Z77" s="55">
        <f>_xll.EQNXTDZ($A$1,$B77,Z$5,$B$1)</f>
        <v>59500.02</v>
      </c>
      <c r="AA77" s="55">
        <f>_xll.EQNXTDZ($A$1,$B77,AA$5,$B$1)</f>
        <v>62001.97</v>
      </c>
      <c r="AB77" s="55">
        <f>_xll.EQNXTDZ($A$1,$B77,AB$5,$B$1)</f>
        <v>64752.54</v>
      </c>
      <c r="AC77" s="55">
        <f>_xll.EQNXTDZ($A$1,$B77,AC$5,$B$1)</f>
        <v>67595.8</v>
      </c>
      <c r="AD77" s="55">
        <f>_xll.EQNXTDZ($A$1,$B77,AD$5,$B$1)</f>
        <v>70195.63</v>
      </c>
      <c r="AE77" s="55">
        <f>_xll.EQNXTDZ($A$1,$B77,AE$5,$B$1)</f>
        <v>72990.83</v>
      </c>
      <c r="AF77" s="55">
        <f>_xll.EQNXTDZ($A$1,$B77,AF$5,$B$1)</f>
        <v>76099.13</v>
      </c>
      <c r="AG77" s="55">
        <f>_xll.EQNXTDZ($A$1,$B77,AG$5,$B$1)</f>
        <v>80404.320000000007</v>
      </c>
      <c r="AH77" s="55">
        <f>_xll.EQNXTDZ($A$1,$B77,AH$5,$B$1)</f>
        <v>80247.89</v>
      </c>
      <c r="AI77" s="55">
        <f>_xll.EQNXTDZ($A$1,$B77,AI$5,$B$1)</f>
        <v>85777.05</v>
      </c>
      <c r="AJ77" s="55">
        <f>_xll.EQNXTDZ($A$1,$B77,AJ$5,$B$1)</f>
        <v>90862.399999999994</v>
      </c>
      <c r="AK77" s="55">
        <f>_xll.EQNXTDZ($A$1,$B77,AK$5,$B$1)</f>
        <v>97636.47</v>
      </c>
      <c r="AL77" s="55">
        <f>_xll.EQNXTDZ($A$1,$B77,AL$5,$B$1)</f>
        <v>102541.15</v>
      </c>
      <c r="AM77" s="55">
        <f>_xll.EQNXTDZ($A$1,$B77,AM$5,$B$1)</f>
        <v>106706.83</v>
      </c>
      <c r="AN77" s="55">
        <f>_xll.EQNXTDZ($A$1,$B77,AN$5,$B$1)</f>
        <v>111830.43</v>
      </c>
      <c r="AO77" s="55">
        <f>_xll.EQNXTDZ($A$1,$B77,AO$5,$B$1)</f>
        <v>118186.45</v>
      </c>
      <c r="AP77" s="55">
        <f>_xll.EQNXTDZ($A$1,$B77,AP$5,$B$1)</f>
        <v>122206.48</v>
      </c>
      <c r="AQ77" s="55">
        <f>_xll.EQNXTDZ($A$1,$B77,AQ$5,$B$1)</f>
        <v>123915.2</v>
      </c>
      <c r="AR77" s="55">
        <f>_xll.EQNXTDZ($A$1,$B77,AR$5,$B$1)</f>
        <v>131268.65</v>
      </c>
      <c r="AS77" s="55">
        <f>_xll.EQNXTDZ($A$1,$B77,AS$5,$B$1)</f>
        <v>137457.54</v>
      </c>
      <c r="AT77" s="55">
        <f>_xll.EQNXTDZ($A$1,$B77,AT$5,$B$1)</f>
        <v>141078.94</v>
      </c>
      <c r="AU77" s="55">
        <f>_xll.EQNXTDZ($A$1,$B77,AU$5,$B$1)</f>
        <v>149175.17000000001</v>
      </c>
      <c r="AV77" s="55">
        <f>_xll.EQNXTDZ($A$1,$B77,AV$5,$B$1)</f>
        <v>156853.01</v>
      </c>
      <c r="AW77" s="55">
        <f>_xll.EQNXTDZ($A$1,$B77,AW$5,$B$1)</f>
        <v>162893.28</v>
      </c>
      <c r="AX77" s="55">
        <f>_xll.EQNXTDZ($A$1,$B77,AX$5,$B$1)</f>
        <v>169580</v>
      </c>
      <c r="AY77" s="55">
        <f>_xll.EQNXTDZ($A$1,$B77,AY$5,$B$1)</f>
        <v>179851.46</v>
      </c>
      <c r="AZ77" s="55">
        <f>_xll.EQNXTDZ($A$1,$B77,AZ$5,$B$1)</f>
        <v>184770.08</v>
      </c>
      <c r="BA77" s="55">
        <f>_xll.EQNXTDZ($A$1,$B77,BA$5,$B$1)</f>
        <v>191978.35</v>
      </c>
      <c r="BB77" s="55">
        <f>_xll.EQNXTDZ($A$1,$B77,BB$5,$B$1)</f>
        <v>199831.23</v>
      </c>
      <c r="BC77" s="55">
        <f>_xll.EQNXTDZ($A$1,$B77,BC$5,$B$1)</f>
        <v>208311.12</v>
      </c>
      <c r="BD77" s="55">
        <f>_xll.EQNXTDZ($A$1,$B77,BD$5,$B$1)</f>
        <v>215539.96</v>
      </c>
      <c r="BE77" s="55">
        <f>_xll.EQNXTDZ($A$1,$B77,BE$5,$B$1)</f>
        <v>227539.39</v>
      </c>
      <c r="BF77" s="55">
        <f>_xll.EQNXTDZ($A$1,$B77,BF$5,$B$1)</f>
        <v>227423.04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185.46</v>
      </c>
      <c r="U78" s="55">
        <f>_xll.EQNXTDZ($A$1,$B78,U$5,$B$1)</f>
        <v>183.05</v>
      </c>
      <c r="V78" s="55">
        <f>_xll.EQNXTDZ($A$1,$B78,V$5,$B$1)</f>
        <v>178.2</v>
      </c>
      <c r="W78" s="55">
        <f>_xll.EQNXTDZ($A$1,$B78,W$5,$B$1)</f>
        <v>177.48</v>
      </c>
      <c r="X78" s="55">
        <f>_xll.EQNXTDZ($A$1,$B78,X$5,$B$1)</f>
        <v>173.29</v>
      </c>
      <c r="Y78" s="55">
        <f>_xll.EQNXTDZ($A$1,$B78,Y$5,$B$1)</f>
        <v>173.15</v>
      </c>
      <c r="Z78" s="55">
        <f>_xll.EQNXTDZ($A$1,$B78,Z$5,$B$1)</f>
        <v>170.9</v>
      </c>
      <c r="AA78" s="55">
        <f>_xll.EQNXTDZ($A$1,$B78,AA$5,$B$1)</f>
        <v>172.17</v>
      </c>
      <c r="AB78" s="55">
        <f>_xll.EQNXTDZ($A$1,$B78,AB$5,$B$1)</f>
        <v>170.21</v>
      </c>
      <c r="AC78" s="55">
        <f>_xll.EQNXTDZ($A$1,$B78,AC$5,$B$1)</f>
        <v>171.23</v>
      </c>
      <c r="AD78" s="55">
        <f>_xll.EQNXTDZ($A$1,$B78,AD$5,$B$1)</f>
        <v>172.5</v>
      </c>
      <c r="AE78" s="55">
        <f>_xll.EQNXTDZ($A$1,$B78,AE$5,$B$1)</f>
        <v>175.13</v>
      </c>
      <c r="AF78" s="55">
        <f>_xll.EQNXTDZ($A$1,$B78,AF$5,$B$1)</f>
        <v>366.9</v>
      </c>
      <c r="AG78" s="55">
        <f>_xll.EQNXTDZ($A$1,$B78,AG$5,$B$1)</f>
        <v>369.35</v>
      </c>
      <c r="AH78" s="55">
        <f>_xll.EQNXTDZ($A$1,$B78,AH$5,$B$1)</f>
        <v>364.48</v>
      </c>
      <c r="AI78" s="55">
        <f>_xll.EQNXTDZ($A$1,$B78,AI$5,$B$1)</f>
        <v>368.68</v>
      </c>
      <c r="AJ78" s="55">
        <f>_xll.EQNXTDZ($A$1,$B78,AJ$5,$B$1)</f>
        <v>324.08</v>
      </c>
      <c r="AK78" s="55">
        <f>_xll.EQNXTDZ($A$1,$B78,AK$5,$B$1)</f>
        <v>332.13</v>
      </c>
      <c r="AL78" s="55">
        <f>_xll.EQNXTDZ($A$1,$B78,AL$5,$B$1)</f>
        <v>358.08</v>
      </c>
      <c r="AM78" s="55">
        <f>_xll.EQNXTDZ($A$1,$B78,AM$5,$B$1)</f>
        <v>334.49</v>
      </c>
      <c r="AN78" s="55">
        <f>_xll.EQNXTDZ($A$1,$B78,AN$5,$B$1)</f>
        <v>338.33</v>
      </c>
      <c r="AO78" s="55">
        <f>_xll.EQNXTDZ($A$1,$B78,AO$5,$B$1)</f>
        <v>353.79</v>
      </c>
      <c r="AP78" s="55">
        <f>_xll.EQNXTDZ($A$1,$B78,AP$5,$B$1)</f>
        <v>362.69</v>
      </c>
      <c r="AQ78" s="55">
        <f>_xll.EQNXTDZ($A$1,$B78,AQ$5,$B$1)</f>
        <v>381.71</v>
      </c>
      <c r="AR78" s="55">
        <f>_xll.EQNXTDZ($A$1,$B78,AR$5,$B$1)</f>
        <v>357.07</v>
      </c>
      <c r="AS78" s="55">
        <f>_xll.EQNXTDZ($A$1,$B78,AS$5,$B$1)</f>
        <v>376.49</v>
      </c>
      <c r="AT78" s="55">
        <f>_xll.EQNXTDZ($A$1,$B78,AT$5,$B$1)</f>
        <v>388.92</v>
      </c>
      <c r="AU78" s="55">
        <f>_xll.EQNXTDZ($A$1,$B78,AU$5,$B$1)</f>
        <v>410.02</v>
      </c>
      <c r="AV78" s="55">
        <f>_xll.EQNXTDZ($A$1,$B78,AV$5,$B$1)</f>
        <v>357.21</v>
      </c>
      <c r="AW78" s="55">
        <f>_xll.EQNXTDZ($A$1,$B78,AW$5,$B$1)</f>
        <v>374.18</v>
      </c>
      <c r="AX78" s="55">
        <f>_xll.EQNXTDZ($A$1,$B78,AX$5,$B$1)</f>
        <v>388.79</v>
      </c>
      <c r="AY78" s="55">
        <f>_xll.EQNXTDZ($A$1,$B78,AY$5,$B$1)</f>
        <v>417.39</v>
      </c>
      <c r="AZ78" s="55">
        <f>_xll.EQNXTDZ($A$1,$B78,AZ$5,$B$1)</f>
        <v>433.84</v>
      </c>
      <c r="BA78" s="55">
        <f>_xll.EQNXTDZ($A$1,$B78,BA$5,$B$1)</f>
        <v>465.32</v>
      </c>
      <c r="BB78" s="55">
        <f>_xll.EQNXTDZ($A$1,$B78,BB$5,$B$1)</f>
        <v>481.68</v>
      </c>
      <c r="BC78" s="55">
        <f>_xll.EQNXTDZ($A$1,$B78,BC$5,$B$1)</f>
        <v>517.29</v>
      </c>
      <c r="BD78" s="55">
        <f>_xll.EQNXTDZ($A$1,$B78,BD$5,$B$1)</f>
        <v>548.42999999999995</v>
      </c>
      <c r="BE78" s="55">
        <f>_xll.EQNXTDZ($A$1,$B78,BE$5,$B$1)</f>
        <v>560.08000000000004</v>
      </c>
      <c r="BF78" s="55">
        <f>_xll.EQNXTDZ($A$1,$B78,BF$5,$B$1)</f>
        <v>605.13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39071.5</v>
      </c>
      <c r="U79" s="55">
        <f>_xll.EQNXTDZ($A$1,$B79,U$5,$B$1)</f>
        <v>40192.050000000003</v>
      </c>
      <c r="V79" s="55">
        <f>_xll.EQNXTDZ($A$1,$B79,V$5,$B$1)</f>
        <v>44573.03</v>
      </c>
      <c r="W79" s="55">
        <f>_xll.EQNXTDZ($A$1,$B79,W$5,$B$1)</f>
        <v>46185.32</v>
      </c>
      <c r="X79" s="55">
        <f>_xll.EQNXTDZ($A$1,$B79,X$5,$B$1)</f>
        <v>48823.46</v>
      </c>
      <c r="Y79" s="55">
        <f>_xll.EQNXTDZ($A$1,$B79,Y$5,$B$1)</f>
        <v>52436.13</v>
      </c>
      <c r="Z79" s="55">
        <f>_xll.EQNXTDZ($A$1,$B79,Z$5,$B$1)</f>
        <v>54935.85</v>
      </c>
      <c r="AA79" s="55">
        <f>_xll.EQNXTDZ($A$1,$B79,AA$5,$B$1)</f>
        <v>56569.19</v>
      </c>
      <c r="AB79" s="55">
        <f>_xll.EQNXTDZ($A$1,$B79,AB$5,$B$1)</f>
        <v>59749.13</v>
      </c>
      <c r="AC79" s="55">
        <f>_xll.EQNXTDZ($A$1,$B79,AC$5,$B$1)</f>
        <v>64809.98</v>
      </c>
      <c r="AD79" s="55">
        <f>_xll.EQNXTDZ($A$1,$B79,AD$5,$B$1)</f>
        <v>69129.08</v>
      </c>
      <c r="AE79" s="55">
        <f>_xll.EQNXTDZ($A$1,$B79,AE$5,$B$1)</f>
        <v>72311.25</v>
      </c>
      <c r="AF79" s="55">
        <f>_xll.EQNXTDZ($A$1,$B79,AF$5,$B$1)</f>
        <v>76931.98</v>
      </c>
      <c r="AG79" s="55">
        <f>_xll.EQNXTDZ($A$1,$B79,AG$5,$B$1)</f>
        <v>82064.490000000005</v>
      </c>
      <c r="AH79" s="55">
        <f>_xll.EQNXTDZ($A$1,$B79,AH$5,$B$1)</f>
        <v>78565.33</v>
      </c>
      <c r="AI79" s="55">
        <f>_xll.EQNXTDZ($A$1,$B79,AI$5,$B$1)</f>
        <v>87868.23</v>
      </c>
      <c r="AJ79" s="55">
        <f>_xll.EQNXTDZ($A$1,$B79,AJ$5,$B$1)</f>
        <v>93475.7</v>
      </c>
      <c r="AK79" s="55">
        <f>_xll.EQNXTDZ($A$1,$B79,AK$5,$B$1)</f>
        <v>109448.48</v>
      </c>
      <c r="AL79" s="55">
        <f>_xll.EQNXTDZ($A$1,$B79,AL$5,$B$1)</f>
        <v>116215.02</v>
      </c>
      <c r="AM79" s="55">
        <f>_xll.EQNXTDZ($A$1,$B79,AM$5,$B$1)</f>
        <v>122651.22</v>
      </c>
      <c r="AN79" s="55">
        <f>_xll.EQNXTDZ($A$1,$B79,AN$5,$B$1)</f>
        <v>130014.57</v>
      </c>
      <c r="AO79" s="55">
        <f>_xll.EQNXTDZ($A$1,$B79,AO$5,$B$1)</f>
        <v>136158.39000000001</v>
      </c>
      <c r="AP79" s="55">
        <f>_xll.EQNXTDZ($A$1,$B79,AP$5,$B$1)</f>
        <v>142625.31</v>
      </c>
      <c r="AQ79" s="55">
        <f>_xll.EQNXTDZ($A$1,$B79,AQ$5,$B$1)</f>
        <v>135659.28</v>
      </c>
      <c r="AR79" s="55">
        <f>_xll.EQNXTDZ($A$1,$B79,AR$5,$B$1)</f>
        <v>148435.64000000001</v>
      </c>
      <c r="AS79" s="55">
        <f>_xll.EQNXTDZ($A$1,$B79,AS$5,$B$1)</f>
        <v>159629.06</v>
      </c>
      <c r="AT79" s="55">
        <f>_xll.EQNXTDZ($A$1,$B79,AT$5,$B$1)</f>
        <v>163255.54</v>
      </c>
      <c r="AU79" s="55">
        <f>_xll.EQNXTDZ($A$1,$B79,AU$5,$B$1)</f>
        <v>176081.61</v>
      </c>
      <c r="AV79" s="55">
        <f>_xll.EQNXTDZ($A$1,$B79,AV$5,$B$1)</f>
        <v>185320.97</v>
      </c>
      <c r="AW79" s="55">
        <f>_xll.EQNXTDZ($A$1,$B79,AW$5,$B$1)</f>
        <v>205126.83</v>
      </c>
      <c r="AX79" s="55">
        <f>_xll.EQNXTDZ($A$1,$B79,AX$5,$B$1)</f>
        <v>216010.27</v>
      </c>
      <c r="AY79" s="55">
        <f>_xll.EQNXTDZ($A$1,$B79,AY$5,$B$1)</f>
        <v>231909.48</v>
      </c>
      <c r="AZ79" s="55">
        <f>_xll.EQNXTDZ($A$1,$B79,AZ$5,$B$1)</f>
        <v>251155.9</v>
      </c>
      <c r="BA79" s="55">
        <f>_xll.EQNXTDZ($A$1,$B79,BA$5,$B$1)</f>
        <v>247518.68</v>
      </c>
      <c r="BB79" s="55">
        <f>_xll.EQNXTDZ($A$1,$B79,BB$5,$B$1)</f>
        <v>247635.67</v>
      </c>
      <c r="BC79" s="55">
        <f>_xll.EQNXTDZ($A$1,$B79,BC$5,$B$1)</f>
        <v>266794.23</v>
      </c>
      <c r="BD79" s="55">
        <f>_xll.EQNXTDZ($A$1,$B79,BD$5,$B$1)</f>
        <v>265186.37</v>
      </c>
      <c r="BE79" s="55">
        <f>_xll.EQNXTDZ($A$1,$B79,BE$5,$B$1)</f>
        <v>283418.68</v>
      </c>
      <c r="BF79" s="55">
        <f>_xll.EQNXTDZ($A$1,$B79,BF$5,$B$1)</f>
        <v>258944.45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2102.4899999999998</v>
      </c>
      <c r="U83" s="55">
        <f>_xll.EQNXTDZ($A$1,$B83,U$5,$B$1)</f>
        <v>2285.36</v>
      </c>
      <c r="V83" s="55">
        <f>_xll.EQNXTDZ($A$1,$B83,V$5,$B$1)</f>
        <v>2429.84</v>
      </c>
      <c r="W83" s="55">
        <f>_xll.EQNXTDZ($A$1,$B83,W$5,$B$1)</f>
        <v>1884.81</v>
      </c>
      <c r="X83" s="55">
        <f>_xll.EQNXTDZ($A$1,$B83,X$5,$B$1)</f>
        <v>1907.43</v>
      </c>
      <c r="Y83" s="55">
        <f>_xll.EQNXTDZ($A$1,$B83,Y$5,$B$1)</f>
        <v>2520.15</v>
      </c>
      <c r="Z83" s="55">
        <f>_xll.EQNXTDZ($A$1,$B83,Z$5,$B$1)</f>
        <v>2644.63</v>
      </c>
      <c r="AA83" s="55">
        <f>_xll.EQNXTDZ($A$1,$B83,AA$5,$B$1)</f>
        <v>1742.19</v>
      </c>
      <c r="AB83" s="55">
        <f>_xll.EQNXTDZ($A$1,$B83,AB$5,$B$1)</f>
        <v>1983.85</v>
      </c>
      <c r="AC83" s="55">
        <f>_xll.EQNXTDZ($A$1,$B83,AC$5,$B$1)</f>
        <v>2174.88</v>
      </c>
      <c r="AD83" s="55">
        <f>_xll.EQNXTDZ($A$1,$B83,AD$5,$B$1)</f>
        <v>2420.63</v>
      </c>
      <c r="AE83" s="55">
        <f>_xll.EQNXTDZ($A$1,$B83,AE$5,$B$1)</f>
        <v>1591.21</v>
      </c>
      <c r="AF83" s="55">
        <f>_xll.EQNXTDZ($A$1,$B83,AF$5,$B$1)</f>
        <v>1754.06</v>
      </c>
      <c r="AG83" s="55">
        <f>_xll.EQNXTDZ($A$1,$B83,AG$5,$B$1)</f>
        <v>2160.48</v>
      </c>
      <c r="AH83" s="55">
        <f>_xll.EQNXTDZ($A$1,$B83,AH$5,$B$1)</f>
        <v>1423.23</v>
      </c>
      <c r="AI83" s="55">
        <f>_xll.EQNXTDZ($A$1,$B83,AI$5,$B$1)</f>
        <v>1649.84</v>
      </c>
      <c r="AJ83" s="55">
        <f>_xll.EQNXTDZ($A$1,$B83,AJ$5,$B$1)</f>
        <v>2156.44</v>
      </c>
      <c r="AK83" s="55">
        <f>_xll.EQNXTDZ($A$1,$B83,AK$5,$B$1)</f>
        <v>2813.25</v>
      </c>
      <c r="AL83" s="55">
        <f>_xll.EQNXTDZ($A$1,$B83,AL$5,$B$1)</f>
        <v>2710.52</v>
      </c>
      <c r="AM83" s="55">
        <f>_xll.EQNXTDZ($A$1,$B83,AM$5,$B$1)</f>
        <v>2332.8200000000002</v>
      </c>
      <c r="AN83" s="55">
        <f>_xll.EQNXTDZ($A$1,$B83,AN$5,$B$1)</f>
        <v>2527.16</v>
      </c>
      <c r="AO83" s="55">
        <f>_xll.EQNXTDZ($A$1,$B83,AO$5,$B$1)</f>
        <v>3370.93</v>
      </c>
      <c r="AP83" s="55">
        <f>_xll.EQNXTDZ($A$1,$B83,AP$5,$B$1)</f>
        <v>3204.22</v>
      </c>
      <c r="AQ83" s="55">
        <f>_xll.EQNXTDZ($A$1,$B83,AQ$5,$B$1)</f>
        <v>4455.41</v>
      </c>
      <c r="AR83" s="55">
        <f>_xll.EQNXTDZ($A$1,$B83,AR$5,$B$1)</f>
        <v>3302.49</v>
      </c>
      <c r="AS83" s="55">
        <f>_xll.EQNXTDZ($A$1,$B83,AS$5,$B$1)</f>
        <v>4234.3599999999997</v>
      </c>
      <c r="AT83" s="55">
        <f>_xll.EQNXTDZ($A$1,$B83,AT$5,$B$1)</f>
        <v>4164.92</v>
      </c>
      <c r="AU83" s="55">
        <f>_xll.EQNXTDZ($A$1,$B83,AU$5,$B$1)</f>
        <v>3248.23</v>
      </c>
      <c r="AV83" s="55">
        <f>_xll.EQNXTDZ($A$1,$B83,AV$5,$B$1)</f>
        <v>3498.33</v>
      </c>
      <c r="AW83" s="55">
        <f>_xll.EQNXTDZ($A$1,$B83,AW$5,$B$1)</f>
        <v>5081.3100000000004</v>
      </c>
      <c r="AX83" s="55">
        <f>_xll.EQNXTDZ($A$1,$B83,AX$5,$B$1)</f>
        <v>4745.8900000000003</v>
      </c>
      <c r="AY83" s="55">
        <f>_xll.EQNXTDZ($A$1,$B83,AY$5,$B$1)</f>
        <v>3315.05</v>
      </c>
      <c r="AZ83" s="55">
        <f>_xll.EQNXTDZ($A$1,$B83,AZ$5,$B$1)</f>
        <v>4173.6499999999996</v>
      </c>
      <c r="BA83" s="55">
        <f>_xll.EQNXTDZ($A$1,$B83,BA$5,$B$1)</f>
        <v>4152.6899999999996</v>
      </c>
      <c r="BB83" s="55">
        <f>_xll.EQNXTDZ($A$1,$B83,BB$5,$B$1)</f>
        <v>1846.63</v>
      </c>
      <c r="BC83" s="55">
        <f>_xll.EQNXTDZ($A$1,$B83,BC$5,$B$1)</f>
        <v>2440.0300000000002</v>
      </c>
      <c r="BD83" s="55">
        <f>_xll.EQNXTDZ($A$1,$B83,BD$5,$B$1)</f>
        <v>1733.87</v>
      </c>
      <c r="BE83" s="55">
        <f>_xll.EQNXTDZ($A$1,$B83,BE$5,$B$1)</f>
        <v>1914.36</v>
      </c>
      <c r="BF83" s="55">
        <f>_xll.EQNXTDZ($A$1,$B83,BF$5,$B$1)</f>
        <v>3207.94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0</v>
      </c>
      <c r="BC84" s="55">
        <f>_xll.EQNXTDZ($A$1,$B84,BC$5,$B$1)</f>
        <v>0</v>
      </c>
      <c r="BD84" s="55">
        <f>_xll.EQNXTDZ($A$1,$B84,BD$5,$B$1)</f>
        <v>0</v>
      </c>
      <c r="BE84" s="55">
        <f>_xll.EQNXTDZ($A$1,$B84,BE$5,$B$1)</f>
        <v>0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2306.5700000000002</v>
      </c>
      <c r="U85" s="55">
        <f>_xll.EQNXTDZ($A$1,$B85,U$5,$B$1)</f>
        <v>3196.08</v>
      </c>
      <c r="V85" s="55">
        <f>_xll.EQNXTDZ($A$1,$B85,V$5,$B$1)</f>
        <v>3262.77</v>
      </c>
      <c r="W85" s="55">
        <f>_xll.EQNXTDZ($A$1,$B85,W$5,$B$1)</f>
        <v>2904.65</v>
      </c>
      <c r="X85" s="55">
        <f>_xll.EQNXTDZ($A$1,$B85,X$5,$B$1)</f>
        <v>3525.95</v>
      </c>
      <c r="Y85" s="55">
        <f>_xll.EQNXTDZ($A$1,$B85,Y$5,$B$1)</f>
        <v>3813.53</v>
      </c>
      <c r="Z85" s="55">
        <f>_xll.EQNXTDZ($A$1,$B85,Z$5,$B$1)</f>
        <v>3887.75</v>
      </c>
      <c r="AA85" s="55">
        <f>_xll.EQNXTDZ($A$1,$B85,AA$5,$B$1)</f>
        <v>3477.84</v>
      </c>
      <c r="AB85" s="55">
        <f>_xll.EQNXTDZ($A$1,$B85,AB$5,$B$1)</f>
        <v>3735.88</v>
      </c>
      <c r="AC85" s="55">
        <f>_xll.EQNXTDZ($A$1,$B85,AC$5,$B$1)</f>
        <v>3749.28</v>
      </c>
      <c r="AD85" s="55">
        <f>_xll.EQNXTDZ($A$1,$B85,AD$5,$B$1)</f>
        <v>4220.78</v>
      </c>
      <c r="AE85" s="55">
        <f>_xll.EQNXTDZ($A$1,$B85,AE$5,$B$1)</f>
        <v>3951.24</v>
      </c>
      <c r="AF85" s="55">
        <f>_xll.EQNXTDZ($A$1,$B85,AF$5,$B$1)</f>
        <v>4035.79</v>
      </c>
      <c r="AG85" s="55">
        <f>_xll.EQNXTDZ($A$1,$B85,AG$5,$B$1)</f>
        <v>6243.52</v>
      </c>
      <c r="AH85" s="55">
        <f>_xll.EQNXTDZ($A$1,$B85,AH$5,$B$1)</f>
        <v>4397.95</v>
      </c>
      <c r="AI85" s="55">
        <f>_xll.EQNXTDZ($A$1,$B85,AI$5,$B$1)</f>
        <v>3976.53</v>
      </c>
      <c r="AJ85" s="55">
        <f>_xll.EQNXTDZ($A$1,$B85,AJ$5,$B$1)</f>
        <v>4421.4799999999996</v>
      </c>
      <c r="AK85" s="55">
        <f>_xll.EQNXTDZ($A$1,$B85,AK$5,$B$1)</f>
        <v>4600.6000000000004</v>
      </c>
      <c r="AL85" s="55">
        <f>_xll.EQNXTDZ($A$1,$B85,AL$5,$B$1)</f>
        <v>4440.24</v>
      </c>
      <c r="AM85" s="55">
        <f>_xll.EQNXTDZ($A$1,$B85,AM$5,$B$1)</f>
        <v>4442.0200000000004</v>
      </c>
      <c r="AN85" s="55">
        <f>_xll.EQNXTDZ($A$1,$B85,AN$5,$B$1)</f>
        <v>4445.7299999999996</v>
      </c>
      <c r="AO85" s="55">
        <f>_xll.EQNXTDZ($A$1,$B85,AO$5,$B$1)</f>
        <v>4223.9399999999996</v>
      </c>
      <c r="AP85" s="55">
        <f>_xll.EQNXTDZ($A$1,$B85,AP$5,$B$1)</f>
        <v>4411.5200000000004</v>
      </c>
      <c r="AQ85" s="55">
        <f>_xll.EQNXTDZ($A$1,$B85,AQ$5,$B$1)</f>
        <v>4084.36</v>
      </c>
      <c r="AR85" s="55">
        <f>_xll.EQNXTDZ($A$1,$B85,AR$5,$B$1)</f>
        <v>4551.1899999999996</v>
      </c>
      <c r="AS85" s="55">
        <f>_xll.EQNXTDZ($A$1,$B85,AS$5,$B$1)</f>
        <v>4757.66</v>
      </c>
      <c r="AT85" s="55">
        <f>_xll.EQNXTDZ($A$1,$B85,AT$5,$B$1)</f>
        <v>5189.34</v>
      </c>
      <c r="AU85" s="55">
        <f>_xll.EQNXTDZ($A$1,$B85,AU$5,$B$1)</f>
        <v>5299.59</v>
      </c>
      <c r="AV85" s="55">
        <f>_xll.EQNXTDZ($A$1,$B85,AV$5,$B$1)</f>
        <v>5579.89</v>
      </c>
      <c r="AW85" s="55">
        <f>_xll.EQNXTDZ($A$1,$B85,AW$5,$B$1)</f>
        <v>6349.65</v>
      </c>
      <c r="AX85" s="55">
        <f>_xll.EQNXTDZ($A$1,$B85,AX$5,$B$1)</f>
        <v>6995.34</v>
      </c>
      <c r="AY85" s="55">
        <f>_xll.EQNXTDZ($A$1,$B85,AY$5,$B$1)</f>
        <v>6616.96</v>
      </c>
      <c r="AZ85" s="55">
        <f>_xll.EQNXTDZ($A$1,$B85,AZ$5,$B$1)</f>
        <v>7401.02</v>
      </c>
      <c r="BA85" s="55">
        <f>_xll.EQNXTDZ($A$1,$B85,BA$5,$B$1)</f>
        <v>6421.39</v>
      </c>
      <c r="BB85" s="55">
        <f>_xll.EQNXTDZ($A$1,$B85,BB$5,$B$1)</f>
        <v>6709.91</v>
      </c>
      <c r="BC85" s="55">
        <f>_xll.EQNXTDZ($A$1,$B85,BC$5,$B$1)</f>
        <v>6398.95</v>
      </c>
      <c r="BD85" s="55">
        <f>_xll.EQNXTDZ($A$1,$B85,BD$5,$B$1)</f>
        <v>6301.11</v>
      </c>
      <c r="BE85" s="55">
        <f>_xll.EQNXTDZ($A$1,$B85,BE$5,$B$1)</f>
        <v>6601.28</v>
      </c>
      <c r="BF85" s="55">
        <f>_xll.EQNXTDZ($A$1,$B85,BF$5,$B$1)</f>
        <v>9177.69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4409.0600000000004</v>
      </c>
      <c r="U86" s="55">
        <f>_xll.EQNXTDZ($A$1,$B86,U$5,$B$1)</f>
        <v>5481.44</v>
      </c>
      <c r="V86" s="55">
        <f>_xll.EQNXTDZ($A$1,$B86,V$5,$B$1)</f>
        <v>5692.61</v>
      </c>
      <c r="W86" s="55">
        <f>_xll.EQNXTDZ($A$1,$B86,W$5,$B$1)</f>
        <v>4789.46</v>
      </c>
      <c r="X86" s="55">
        <f>_xll.EQNXTDZ($A$1,$B86,X$5,$B$1)</f>
        <v>5433.38</v>
      </c>
      <c r="Y86" s="55">
        <f>_xll.EQNXTDZ($A$1,$B86,Y$5,$B$1)</f>
        <v>6333.68</v>
      </c>
      <c r="Z86" s="55">
        <f>_xll.EQNXTDZ($A$1,$B86,Z$5,$B$1)</f>
        <v>6532.38</v>
      </c>
      <c r="AA86" s="55">
        <f>_xll.EQNXTDZ($A$1,$B86,AA$5,$B$1)</f>
        <v>5220.03</v>
      </c>
      <c r="AB86" s="55">
        <f>_xll.EQNXTDZ($A$1,$B86,AB$5,$B$1)</f>
        <v>5719.73</v>
      </c>
      <c r="AC86" s="55">
        <f>_xll.EQNXTDZ($A$1,$B86,AC$5,$B$1)</f>
        <v>5924.16</v>
      </c>
      <c r="AD86" s="55">
        <f>_xll.EQNXTDZ($A$1,$B86,AD$5,$B$1)</f>
        <v>6641.41</v>
      </c>
      <c r="AE86" s="55">
        <f>_xll.EQNXTDZ($A$1,$B86,AE$5,$B$1)</f>
        <v>5542.45</v>
      </c>
      <c r="AF86" s="55">
        <f>_xll.EQNXTDZ($A$1,$B86,AF$5,$B$1)</f>
        <v>5789.85</v>
      </c>
      <c r="AG86" s="55">
        <f>_xll.EQNXTDZ($A$1,$B86,AG$5,$B$1)</f>
        <v>8404</v>
      </c>
      <c r="AH86" s="55">
        <f>_xll.EQNXTDZ($A$1,$B86,AH$5,$B$1)</f>
        <v>5821.18</v>
      </c>
      <c r="AI86" s="55">
        <f>_xll.EQNXTDZ($A$1,$B86,AI$5,$B$1)</f>
        <v>5626.37</v>
      </c>
      <c r="AJ86" s="55">
        <f>_xll.EQNXTDZ($A$1,$B86,AJ$5,$B$1)</f>
        <v>6577.92</v>
      </c>
      <c r="AK86" s="55">
        <f>_xll.EQNXTDZ($A$1,$B86,AK$5,$B$1)</f>
        <v>7413.85</v>
      </c>
      <c r="AL86" s="55">
        <f>_xll.EQNXTDZ($A$1,$B86,AL$5,$B$1)</f>
        <v>7150.76</v>
      </c>
      <c r="AM86" s="55">
        <f>_xll.EQNXTDZ($A$1,$B86,AM$5,$B$1)</f>
        <v>6774.84</v>
      </c>
      <c r="AN86" s="55">
        <f>_xll.EQNXTDZ($A$1,$B86,AN$5,$B$1)</f>
        <v>6972.89</v>
      </c>
      <c r="AO86" s="55">
        <f>_xll.EQNXTDZ($A$1,$B86,AO$5,$B$1)</f>
        <v>7594.87</v>
      </c>
      <c r="AP86" s="55">
        <f>_xll.EQNXTDZ($A$1,$B86,AP$5,$B$1)</f>
        <v>7615.74</v>
      </c>
      <c r="AQ86" s="55">
        <f>_xll.EQNXTDZ($A$1,$B86,AQ$5,$B$1)</f>
        <v>8539.77</v>
      </c>
      <c r="AR86" s="55">
        <f>_xll.EQNXTDZ($A$1,$B86,AR$5,$B$1)</f>
        <v>7853.68</v>
      </c>
      <c r="AS86" s="55">
        <f>_xll.EQNXTDZ($A$1,$B86,AS$5,$B$1)</f>
        <v>8992.02</v>
      </c>
      <c r="AT86" s="55">
        <f>_xll.EQNXTDZ($A$1,$B86,AT$5,$B$1)</f>
        <v>9354.26</v>
      </c>
      <c r="AU86" s="55">
        <f>_xll.EQNXTDZ($A$1,$B86,AU$5,$B$1)</f>
        <v>8547.82</v>
      </c>
      <c r="AV86" s="55">
        <f>_xll.EQNXTDZ($A$1,$B86,AV$5,$B$1)</f>
        <v>9078.2199999999993</v>
      </c>
      <c r="AW86" s="55">
        <f>_xll.EQNXTDZ($A$1,$B86,AW$5,$B$1)</f>
        <v>11430.96</v>
      </c>
      <c r="AX86" s="55">
        <f>_xll.EQNXTDZ($A$1,$B86,AX$5,$B$1)</f>
        <v>11741.23</v>
      </c>
      <c r="AY86" s="55">
        <f>_xll.EQNXTDZ($A$1,$B86,AY$5,$B$1)</f>
        <v>9932.01</v>
      </c>
      <c r="AZ86" s="55">
        <f>_xll.EQNXTDZ($A$1,$B86,AZ$5,$B$1)</f>
        <v>11574.67</v>
      </c>
      <c r="BA86" s="55">
        <f>_xll.EQNXTDZ($A$1,$B86,BA$5,$B$1)</f>
        <v>10574.08</v>
      </c>
      <c r="BB86" s="55">
        <f>_xll.EQNXTDZ($A$1,$B86,BB$5,$B$1)</f>
        <v>8556.5400000000009</v>
      </c>
      <c r="BC86" s="55">
        <f>_xll.EQNXTDZ($A$1,$B86,BC$5,$B$1)</f>
        <v>8838.98</v>
      </c>
      <c r="BD86" s="55">
        <f>_xll.EQNXTDZ($A$1,$B86,BD$5,$B$1)</f>
        <v>8034.98</v>
      </c>
      <c r="BE86" s="55">
        <f>_xll.EQNXTDZ($A$1,$B86,BE$5,$B$1)</f>
        <v>8515.64</v>
      </c>
      <c r="BF86" s="55">
        <f>_xll.EQNXTDZ($A$1,$B86,BF$5,$B$1)</f>
        <v>12385.63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2180.25</v>
      </c>
      <c r="U91" s="55">
        <f>_xll.EQNXTDZ($A$1,$B91,U$5,$B$1)</f>
        <v>3114.27</v>
      </c>
      <c r="V91" s="55">
        <f>_xll.EQNXTDZ($A$1,$B91,V$5,$B$1)</f>
        <v>2764.07</v>
      </c>
      <c r="W91" s="55">
        <f>_xll.EQNXTDZ($A$1,$B91,W$5,$B$1)</f>
        <v>2331.3200000000002</v>
      </c>
      <c r="X91" s="55">
        <f>_xll.EQNXTDZ($A$1,$B91,X$5,$B$1)</f>
        <v>2297.84</v>
      </c>
      <c r="Y91" s="55">
        <f>_xll.EQNXTDZ($A$1,$B91,Y$5,$B$1)</f>
        <v>3522.97</v>
      </c>
      <c r="Z91" s="55">
        <f>_xll.EQNXTDZ($A$1,$B91,Z$5,$B$1)</f>
        <v>3216.13</v>
      </c>
      <c r="AA91" s="55">
        <f>_xll.EQNXTDZ($A$1,$B91,AA$5,$B$1)</f>
        <v>2330.6</v>
      </c>
      <c r="AB91" s="55">
        <f>_xll.EQNXTDZ($A$1,$B91,AB$5,$B$1)</f>
        <v>2819.28</v>
      </c>
      <c r="AC91" s="55">
        <f>_xll.EQNXTDZ($A$1,$B91,AC$5,$B$1)</f>
        <v>3165.06</v>
      </c>
      <c r="AD91" s="55">
        <f>_xll.EQNXTDZ($A$1,$B91,AD$5,$B$1)</f>
        <v>3377.13</v>
      </c>
      <c r="AE91" s="55">
        <f>_xll.EQNXTDZ($A$1,$B91,AE$5,$B$1)</f>
        <v>2552.7800000000002</v>
      </c>
      <c r="AF91" s="55">
        <f>_xll.EQNXTDZ($A$1,$B91,AF$5,$B$1)</f>
        <v>2491.84</v>
      </c>
      <c r="AG91" s="55">
        <f>_xll.EQNXTDZ($A$1,$B91,AG$5,$B$1)</f>
        <v>5785.88</v>
      </c>
      <c r="AH91" s="55">
        <f>_xll.EQNXTDZ($A$1,$B91,AH$5,$B$1)</f>
        <v>2783.66</v>
      </c>
      <c r="AI91" s="55">
        <f>_xll.EQNXTDZ($A$1,$B91,AI$5,$B$1)</f>
        <v>3243.59</v>
      </c>
      <c r="AJ91" s="55">
        <f>_xll.EQNXTDZ($A$1,$B91,AJ$5,$B$1)</f>
        <v>3302.58</v>
      </c>
      <c r="AK91" s="55">
        <f>_xll.EQNXTDZ($A$1,$B91,AK$5,$B$1)</f>
        <v>3888.34</v>
      </c>
      <c r="AL91" s="55">
        <f>_xll.EQNXTDZ($A$1,$B91,AL$5,$B$1)</f>
        <v>3805.01</v>
      </c>
      <c r="AM91" s="55">
        <f>_xll.EQNXTDZ($A$1,$B91,AM$5,$B$1)</f>
        <v>3809.14</v>
      </c>
      <c r="AN91" s="55">
        <f>_xll.EQNXTDZ($A$1,$B91,AN$5,$B$1)</f>
        <v>4210.3900000000003</v>
      </c>
      <c r="AO91" s="55">
        <f>_xll.EQNXTDZ($A$1,$B91,AO$5,$B$1)</f>
        <v>5158.82</v>
      </c>
      <c r="AP91" s="55">
        <f>_xll.EQNXTDZ($A$1,$B91,AP$5,$B$1)</f>
        <v>4558.55</v>
      </c>
      <c r="AQ91" s="55">
        <f>_xll.EQNXTDZ($A$1,$B91,AQ$5,$B$1)</f>
        <v>3564.14</v>
      </c>
      <c r="AR91" s="55">
        <f>_xll.EQNXTDZ($A$1,$B91,AR$5,$B$1)</f>
        <v>4045.17</v>
      </c>
      <c r="AS91" s="55">
        <f>_xll.EQNXTDZ($A$1,$B91,AS$5,$B$1)</f>
        <v>5850.12</v>
      </c>
      <c r="AT91" s="55">
        <f>_xll.EQNXTDZ($A$1,$B91,AT$5,$B$1)</f>
        <v>4644.47</v>
      </c>
      <c r="AU91" s="55">
        <f>_xll.EQNXTDZ($A$1,$B91,AU$5,$B$1)</f>
        <v>4550.6000000000004</v>
      </c>
      <c r="AV91" s="55">
        <f>_xll.EQNXTDZ($A$1,$B91,AV$5,$B$1)</f>
        <v>5348.98</v>
      </c>
      <c r="AW91" s="55">
        <f>_xll.EQNXTDZ($A$1,$B91,AW$5,$B$1)</f>
        <v>7337.69</v>
      </c>
      <c r="AX91" s="55">
        <f>_xll.EQNXTDZ($A$1,$B91,AX$5,$B$1)</f>
        <v>5195.21</v>
      </c>
      <c r="AY91" s="55">
        <f>_xll.EQNXTDZ($A$1,$B91,AY$5,$B$1)</f>
        <v>5433.49</v>
      </c>
      <c r="AZ91" s="55">
        <f>_xll.EQNXTDZ($A$1,$B91,AZ$5,$B$1)</f>
        <v>5935.34</v>
      </c>
      <c r="BA91" s="55">
        <f>_xll.EQNXTDZ($A$1,$B91,BA$5,$B$1)</f>
        <v>7184.73</v>
      </c>
      <c r="BB91" s="55">
        <f>_xll.EQNXTDZ($A$1,$B91,BB$5,$B$1)</f>
        <v>5790.85</v>
      </c>
      <c r="BC91" s="55">
        <f>_xll.EQNXTDZ($A$1,$B91,BC$5,$B$1)</f>
        <v>6473.46</v>
      </c>
      <c r="BD91" s="55">
        <f>_xll.EQNXTDZ($A$1,$B91,BD$5,$B$1)</f>
        <v>6459.34</v>
      </c>
      <c r="BE91" s="55">
        <f>_xll.EQNXTDZ($A$1,$B91,BE$5,$B$1)</f>
        <v>8208.92</v>
      </c>
      <c r="BF91" s="55">
        <f>_xll.EQNXTDZ($A$1,$B91,BF$5,$B$1)</f>
        <v>7508.08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114.87</v>
      </c>
      <c r="U92" s="55">
        <f>_xll.EQNXTDZ($A$1,$B92,U$5,$B$1)</f>
        <v>94.35</v>
      </c>
      <c r="V92" s="55">
        <f>_xll.EQNXTDZ($A$1,$B92,V$5,$B$1)</f>
        <v>250.25</v>
      </c>
      <c r="W92" s="55">
        <f>_xll.EQNXTDZ($A$1,$B92,W$5,$B$1)</f>
        <v>227.41</v>
      </c>
      <c r="X92" s="55">
        <f>_xll.EQNXTDZ($A$1,$B92,X$5,$B$1)</f>
        <v>196.7</v>
      </c>
      <c r="Y92" s="55">
        <f>_xll.EQNXTDZ($A$1,$B92,Y$5,$B$1)</f>
        <v>171.41</v>
      </c>
      <c r="Z92" s="55">
        <f>_xll.EQNXTDZ($A$1,$B92,Z$5,$B$1)</f>
        <v>348.54</v>
      </c>
      <c r="AA92" s="55">
        <f>_xll.EQNXTDZ($A$1,$B92,AA$5,$B$1)</f>
        <v>271.83999999999997</v>
      </c>
      <c r="AB92" s="55">
        <f>_xll.EQNXTDZ($A$1,$B92,AB$5,$B$1)</f>
        <v>223.92</v>
      </c>
      <c r="AC92" s="55">
        <f>_xll.EQNXTDZ($A$1,$B92,AC$5,$B$1)</f>
        <v>201.28</v>
      </c>
      <c r="AD92" s="55">
        <f>_xll.EQNXTDZ($A$1,$B92,AD$5,$B$1)</f>
        <v>358.88</v>
      </c>
      <c r="AE92" s="55">
        <f>_xll.EQNXTDZ($A$1,$B92,AE$5,$B$1)</f>
        <v>299.77</v>
      </c>
      <c r="AF92" s="55">
        <f>_xll.EQNXTDZ($A$1,$B92,AF$5,$B$1)</f>
        <v>243.92</v>
      </c>
      <c r="AG92" s="55">
        <f>_xll.EQNXTDZ($A$1,$B92,AG$5,$B$1)</f>
        <v>243.2</v>
      </c>
      <c r="AH92" s="55">
        <f>_xll.EQNXTDZ($A$1,$B92,AH$5,$B$1)</f>
        <v>238.51</v>
      </c>
      <c r="AI92" s="55">
        <f>_xll.EQNXTDZ($A$1,$B92,AI$5,$B$1)</f>
        <v>375.86</v>
      </c>
      <c r="AJ92" s="55">
        <f>_xll.EQNXTDZ($A$1,$B92,AJ$5,$B$1)</f>
        <v>255.35</v>
      </c>
      <c r="AK92" s="55">
        <f>_xll.EQNXTDZ($A$1,$B92,AK$5,$B$1)</f>
        <v>264.49</v>
      </c>
      <c r="AL92" s="55">
        <f>_xll.EQNXTDZ($A$1,$B92,AL$5,$B$1)</f>
        <v>433.36</v>
      </c>
      <c r="AM92" s="55">
        <f>_xll.EQNXTDZ($A$1,$B92,AM$5,$B$1)</f>
        <v>402.72</v>
      </c>
      <c r="AN92" s="55">
        <f>_xll.EQNXTDZ($A$1,$B92,AN$5,$B$1)</f>
        <v>371.34</v>
      </c>
      <c r="AO92" s="55">
        <f>_xll.EQNXTDZ($A$1,$B92,AO$5,$B$1)</f>
        <v>381.47</v>
      </c>
      <c r="AP92" s="55">
        <f>_xll.EQNXTDZ($A$1,$B92,AP$5,$B$1)</f>
        <v>571.24</v>
      </c>
      <c r="AQ92" s="55">
        <f>_xll.EQNXTDZ($A$1,$B92,AQ$5,$B$1)</f>
        <v>401.09</v>
      </c>
      <c r="AR92" s="55">
        <f>_xll.EQNXTDZ($A$1,$B92,AR$5,$B$1)</f>
        <v>388.16</v>
      </c>
      <c r="AS92" s="55">
        <f>_xll.EQNXTDZ($A$1,$B92,AS$5,$B$1)</f>
        <v>363.79</v>
      </c>
      <c r="AT92" s="55">
        <f>_xll.EQNXTDZ($A$1,$B92,AT$5,$B$1)</f>
        <v>368.14</v>
      </c>
      <c r="AU92" s="55">
        <f>_xll.EQNXTDZ($A$1,$B92,AU$5,$B$1)</f>
        <v>400.52</v>
      </c>
      <c r="AV92" s="55">
        <f>_xll.EQNXTDZ($A$1,$B92,AV$5,$B$1)</f>
        <v>366.89</v>
      </c>
      <c r="AW92" s="55">
        <f>_xll.EQNXTDZ($A$1,$B92,AW$5,$B$1)</f>
        <v>348.71</v>
      </c>
      <c r="AX92" s="55">
        <f>_xll.EQNXTDZ($A$1,$B92,AX$5,$B$1)</f>
        <v>299.05</v>
      </c>
      <c r="AY92" s="55">
        <f>_xll.EQNXTDZ($A$1,$B92,AY$5,$B$1)</f>
        <v>410.37</v>
      </c>
      <c r="AZ92" s="55">
        <f>_xll.EQNXTDZ($A$1,$B92,AZ$5,$B$1)</f>
        <v>407.73</v>
      </c>
      <c r="BA92" s="55">
        <f>_xll.EQNXTDZ($A$1,$B92,BA$5,$B$1)</f>
        <v>388.74</v>
      </c>
      <c r="BB92" s="55">
        <f>_xll.EQNXTDZ($A$1,$B92,BB$5,$B$1)</f>
        <v>381.42</v>
      </c>
      <c r="BC92" s="55">
        <f>_xll.EQNXTDZ($A$1,$B92,BC$5,$B$1)</f>
        <v>425.26</v>
      </c>
      <c r="BD92" s="55">
        <f>_xll.EQNXTDZ($A$1,$B92,BD$5,$B$1)</f>
        <v>417.46</v>
      </c>
      <c r="BE92" s="55">
        <f>_xll.EQNXTDZ($A$1,$B92,BE$5,$B$1)</f>
        <v>533.87</v>
      </c>
      <c r="BF92" s="55">
        <f>_xll.EQNXTDZ($A$1,$B92,BF$5,$B$1)</f>
        <v>484.49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2295.12</v>
      </c>
      <c r="U93" s="55">
        <f>_xll.EQNXTDZ($A$1,$B93,U$5,$B$1)</f>
        <v>3208.62</v>
      </c>
      <c r="V93" s="55">
        <f>_xll.EQNXTDZ($A$1,$B93,V$5,$B$1)</f>
        <v>3014.32</v>
      </c>
      <c r="W93" s="55">
        <f>_xll.EQNXTDZ($A$1,$B93,W$5,$B$1)</f>
        <v>2558.73</v>
      </c>
      <c r="X93" s="55">
        <f>_xll.EQNXTDZ($A$1,$B93,X$5,$B$1)</f>
        <v>2494.54</v>
      </c>
      <c r="Y93" s="55">
        <f>_xll.EQNXTDZ($A$1,$B93,Y$5,$B$1)</f>
        <v>3694.38</v>
      </c>
      <c r="Z93" s="55">
        <f>_xll.EQNXTDZ($A$1,$B93,Z$5,$B$1)</f>
        <v>3564.67</v>
      </c>
      <c r="AA93" s="55">
        <f>_xll.EQNXTDZ($A$1,$B93,AA$5,$B$1)</f>
        <v>2602.44</v>
      </c>
      <c r="AB93" s="55">
        <f>_xll.EQNXTDZ($A$1,$B93,AB$5,$B$1)</f>
        <v>3043.2</v>
      </c>
      <c r="AC93" s="55">
        <f>_xll.EQNXTDZ($A$1,$B93,AC$5,$B$1)</f>
        <v>3366.34</v>
      </c>
      <c r="AD93" s="55">
        <f>_xll.EQNXTDZ($A$1,$B93,AD$5,$B$1)</f>
        <v>3736.01</v>
      </c>
      <c r="AE93" s="55">
        <f>_xll.EQNXTDZ($A$1,$B93,AE$5,$B$1)</f>
        <v>2852.55</v>
      </c>
      <c r="AF93" s="55">
        <f>_xll.EQNXTDZ($A$1,$B93,AF$5,$B$1)</f>
        <v>2735.76</v>
      </c>
      <c r="AG93" s="55">
        <f>_xll.EQNXTDZ($A$1,$B93,AG$5,$B$1)</f>
        <v>6029.08</v>
      </c>
      <c r="AH93" s="55">
        <f>_xll.EQNXTDZ($A$1,$B93,AH$5,$B$1)</f>
        <v>3022.17</v>
      </c>
      <c r="AI93" s="55">
        <f>_xll.EQNXTDZ($A$1,$B93,AI$5,$B$1)</f>
        <v>3619.45</v>
      </c>
      <c r="AJ93" s="55">
        <f>_xll.EQNXTDZ($A$1,$B93,AJ$5,$B$1)</f>
        <v>3557.93</v>
      </c>
      <c r="AK93" s="55">
        <f>_xll.EQNXTDZ($A$1,$B93,AK$5,$B$1)</f>
        <v>4152.83</v>
      </c>
      <c r="AL93" s="55">
        <f>_xll.EQNXTDZ($A$1,$B93,AL$5,$B$1)</f>
        <v>4238.37</v>
      </c>
      <c r="AM93" s="55">
        <f>_xll.EQNXTDZ($A$1,$B93,AM$5,$B$1)</f>
        <v>4211.8599999999997</v>
      </c>
      <c r="AN93" s="55">
        <f>_xll.EQNXTDZ($A$1,$B93,AN$5,$B$1)</f>
        <v>4581.7299999999996</v>
      </c>
      <c r="AO93" s="55">
        <f>_xll.EQNXTDZ($A$1,$B93,AO$5,$B$1)</f>
        <v>5540.29</v>
      </c>
      <c r="AP93" s="55">
        <f>_xll.EQNXTDZ($A$1,$B93,AP$5,$B$1)</f>
        <v>5129.79</v>
      </c>
      <c r="AQ93" s="55">
        <f>_xll.EQNXTDZ($A$1,$B93,AQ$5,$B$1)</f>
        <v>3965.23</v>
      </c>
      <c r="AR93" s="55">
        <f>_xll.EQNXTDZ($A$1,$B93,AR$5,$B$1)</f>
        <v>4433.33</v>
      </c>
      <c r="AS93" s="55">
        <f>_xll.EQNXTDZ($A$1,$B93,AS$5,$B$1)</f>
        <v>6213.91</v>
      </c>
      <c r="AT93" s="55">
        <f>_xll.EQNXTDZ($A$1,$B93,AT$5,$B$1)</f>
        <v>5012.6099999999997</v>
      </c>
      <c r="AU93" s="55">
        <f>_xll.EQNXTDZ($A$1,$B93,AU$5,$B$1)</f>
        <v>4951.12</v>
      </c>
      <c r="AV93" s="55">
        <f>_xll.EQNXTDZ($A$1,$B93,AV$5,$B$1)</f>
        <v>5715.87</v>
      </c>
      <c r="AW93" s="55">
        <f>_xll.EQNXTDZ($A$1,$B93,AW$5,$B$1)</f>
        <v>7686.4</v>
      </c>
      <c r="AX93" s="55">
        <f>_xll.EQNXTDZ($A$1,$B93,AX$5,$B$1)</f>
        <v>5494.26</v>
      </c>
      <c r="AY93" s="55">
        <f>_xll.EQNXTDZ($A$1,$B93,AY$5,$B$1)</f>
        <v>5843.86</v>
      </c>
      <c r="AZ93" s="55">
        <f>_xll.EQNXTDZ($A$1,$B93,AZ$5,$B$1)</f>
        <v>6343.07</v>
      </c>
      <c r="BA93" s="55">
        <f>_xll.EQNXTDZ($A$1,$B93,BA$5,$B$1)</f>
        <v>7573.47</v>
      </c>
      <c r="BB93" s="55">
        <f>_xll.EQNXTDZ($A$1,$B93,BB$5,$B$1)</f>
        <v>6172.27</v>
      </c>
      <c r="BC93" s="55">
        <f>_xll.EQNXTDZ($A$1,$B93,BC$5,$B$1)</f>
        <v>6898.72</v>
      </c>
      <c r="BD93" s="55">
        <f>_xll.EQNXTDZ($A$1,$B93,BD$5,$B$1)</f>
        <v>6876.8</v>
      </c>
      <c r="BE93" s="55">
        <f>_xll.EQNXTDZ($A$1,$B93,BE$5,$B$1)</f>
        <v>8742.7900000000009</v>
      </c>
      <c r="BF93" s="55">
        <f>_xll.EQNXTDZ($A$1,$B93,BF$5,$B$1)</f>
        <v>7992.57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2113.94</v>
      </c>
      <c r="U94" s="55">
        <f>_xll.EQNXTDZ($A$1,$B94,U$5,$B$1)</f>
        <v>2272.8200000000002</v>
      </c>
      <c r="V94" s="55">
        <f>_xll.EQNXTDZ($A$1,$B94,V$5,$B$1)</f>
        <v>2678.29</v>
      </c>
      <c r="W94" s="55">
        <f>_xll.EQNXTDZ($A$1,$B94,W$5,$B$1)</f>
        <v>2230.73</v>
      </c>
      <c r="X94" s="55">
        <f>_xll.EQNXTDZ($A$1,$B94,X$5,$B$1)</f>
        <v>2938.84</v>
      </c>
      <c r="Y94" s="55">
        <f>_xll.EQNXTDZ($A$1,$B94,Y$5,$B$1)</f>
        <v>2639.3</v>
      </c>
      <c r="Z94" s="55">
        <f>_xll.EQNXTDZ($A$1,$B94,Z$5,$B$1)</f>
        <v>2967.71</v>
      </c>
      <c r="AA94" s="55">
        <f>_xll.EQNXTDZ($A$1,$B94,AA$5,$B$1)</f>
        <v>2617.59</v>
      </c>
      <c r="AB94" s="55">
        <f>_xll.EQNXTDZ($A$1,$B94,AB$5,$B$1)</f>
        <v>2676.53</v>
      </c>
      <c r="AC94" s="55">
        <f>_xll.EQNXTDZ($A$1,$B94,AC$5,$B$1)</f>
        <v>2557.8200000000002</v>
      </c>
      <c r="AD94" s="55">
        <f>_xll.EQNXTDZ($A$1,$B94,AD$5,$B$1)</f>
        <v>2905.4</v>
      </c>
      <c r="AE94" s="55">
        <f>_xll.EQNXTDZ($A$1,$B94,AE$5,$B$1)</f>
        <v>2689.9</v>
      </c>
      <c r="AF94" s="55">
        <f>_xll.EQNXTDZ($A$1,$B94,AF$5,$B$1)</f>
        <v>3054.09</v>
      </c>
      <c r="AG94" s="55">
        <f>_xll.EQNXTDZ($A$1,$B94,AG$5,$B$1)</f>
        <v>2374.92</v>
      </c>
      <c r="AH94" s="55">
        <f>_xll.EQNXTDZ($A$1,$B94,AH$5,$B$1)</f>
        <v>2799.01</v>
      </c>
      <c r="AI94" s="55">
        <f>_xll.EQNXTDZ($A$1,$B94,AI$5,$B$1)</f>
        <v>2006.92</v>
      </c>
      <c r="AJ94" s="55">
        <f>_xll.EQNXTDZ($A$1,$B94,AJ$5,$B$1)</f>
        <v>3019.99</v>
      </c>
      <c r="AK94" s="55">
        <f>_xll.EQNXTDZ($A$1,$B94,AK$5,$B$1)</f>
        <v>3261.02</v>
      </c>
      <c r="AL94" s="55">
        <f>_xll.EQNXTDZ($A$1,$B94,AL$5,$B$1)</f>
        <v>2912.39</v>
      </c>
      <c r="AM94" s="55">
        <f>_xll.EQNXTDZ($A$1,$B94,AM$5,$B$1)</f>
        <v>2562.98</v>
      </c>
      <c r="AN94" s="55">
        <f>_xll.EQNXTDZ($A$1,$B94,AN$5,$B$1)</f>
        <v>2391.16</v>
      </c>
      <c r="AO94" s="55">
        <f>_xll.EQNXTDZ($A$1,$B94,AO$5,$B$1)</f>
        <v>2054.58</v>
      </c>
      <c r="AP94" s="55">
        <f>_xll.EQNXTDZ($A$1,$B94,AP$5,$B$1)</f>
        <v>2485.9499999999998</v>
      </c>
      <c r="AQ94" s="55">
        <f>_xll.EQNXTDZ($A$1,$B94,AQ$5,$B$1)</f>
        <v>4574.54</v>
      </c>
      <c r="AR94" s="55">
        <f>_xll.EQNXTDZ($A$1,$B94,AR$5,$B$1)</f>
        <v>3420.35</v>
      </c>
      <c r="AS94" s="55">
        <f>_xll.EQNXTDZ($A$1,$B94,AS$5,$B$1)</f>
        <v>2778.11</v>
      </c>
      <c r="AT94" s="55">
        <f>_xll.EQNXTDZ($A$1,$B94,AT$5,$B$1)</f>
        <v>4341.6499999999996</v>
      </c>
      <c r="AU94" s="55">
        <f>_xll.EQNXTDZ($A$1,$B94,AU$5,$B$1)</f>
        <v>3596.7</v>
      </c>
      <c r="AV94" s="55">
        <f>_xll.EQNXTDZ($A$1,$B94,AV$5,$B$1)</f>
        <v>3362.35</v>
      </c>
      <c r="AW94" s="55">
        <f>_xll.EQNXTDZ($A$1,$B94,AW$5,$B$1)</f>
        <v>3744.56</v>
      </c>
      <c r="AX94" s="55">
        <f>_xll.EQNXTDZ($A$1,$B94,AX$5,$B$1)</f>
        <v>6246.97</v>
      </c>
      <c r="AY94" s="55">
        <f>_xll.EQNXTDZ($A$1,$B94,AY$5,$B$1)</f>
        <v>4088.15</v>
      </c>
      <c r="AZ94" s="55">
        <f>_xll.EQNXTDZ($A$1,$B94,AZ$5,$B$1)</f>
        <v>5231.6000000000004</v>
      </c>
      <c r="BA94" s="55">
        <f>_xll.EQNXTDZ($A$1,$B94,BA$5,$B$1)</f>
        <v>3000.61</v>
      </c>
      <c r="BB94" s="55">
        <f>_xll.EQNXTDZ($A$1,$B94,BB$5,$B$1)</f>
        <v>2384.27</v>
      </c>
      <c r="BC94" s="55">
        <f>_xll.EQNXTDZ($A$1,$B94,BC$5,$B$1)</f>
        <v>1940.26</v>
      </c>
      <c r="BD94" s="55">
        <f>_xll.EQNXTDZ($A$1,$B94,BD$5,$B$1)</f>
        <v>1158.18</v>
      </c>
      <c r="BE94" s="55">
        <f>_xll.EQNXTDZ($A$1,$B94,BE$5,$B$1)</f>
        <v>-227.15</v>
      </c>
      <c r="BF94" s="55">
        <f>_xll.EQNXTDZ($A$1,$B94,BF$5,$B$1)</f>
        <v>4393.0600000000004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0</v>
      </c>
      <c r="BC96" s="55">
        <f>_xll.EQNXTDZ($A$1,$B96,BC$5,$B$1)</f>
        <v>0</v>
      </c>
      <c r="BD96" s="55">
        <f>_xll.EQNXTDZ($A$1,$B96,BD$5,$B$1)</f>
        <v>0</v>
      </c>
      <c r="BE96" s="55">
        <f>_xll.EQNXTDZ($A$1,$B96,BE$5,$B$1)</f>
        <v>0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88454.05</v>
      </c>
      <c r="U97" s="55">
        <f>_xll.EQNXTDZ($A$1,$B97,U$5,$B$1)</f>
        <v>91593.39</v>
      </c>
      <c r="V97" s="55">
        <f>_xll.EQNXTDZ($A$1,$B97,V$5,$B$1)</f>
        <v>99225.24</v>
      </c>
      <c r="W97" s="55">
        <f>_xll.EQNXTDZ($A$1,$B97,W$5,$B$1)</f>
        <v>102410.5</v>
      </c>
      <c r="X97" s="55">
        <f>_xll.EQNXTDZ($A$1,$B97,X$5,$B$1)</f>
        <v>107000.67</v>
      </c>
      <c r="Y97" s="55">
        <f>_xll.EQNXTDZ($A$1,$B97,Y$5,$B$1)</f>
        <v>113175.03</v>
      </c>
      <c r="Z97" s="55">
        <f>_xll.EQNXTDZ($A$1,$B97,Z$5,$B$1)</f>
        <v>118155.77</v>
      </c>
      <c r="AA97" s="55">
        <f>_xll.EQNXTDZ($A$1,$B97,AA$5,$B$1)</f>
        <v>121946.45</v>
      </c>
      <c r="AB97" s="55">
        <f>_xll.EQNXTDZ($A$1,$B97,AB$5,$B$1)</f>
        <v>127940.62</v>
      </c>
      <c r="AC97" s="55">
        <f>_xll.EQNXTDZ($A$1,$B97,AC$5,$B$1)</f>
        <v>135733.82</v>
      </c>
      <c r="AD97" s="55">
        <f>_xll.EQNXTDZ($A$1,$B97,AD$5,$B$1)</f>
        <v>142997.82999999999</v>
      </c>
      <c r="AE97" s="55">
        <f>_xll.EQNXTDZ($A$1,$B97,AE$5,$B$1)</f>
        <v>148767.56</v>
      </c>
      <c r="AF97" s="55">
        <f>_xll.EQNXTDZ($A$1,$B97,AF$5,$B$1)</f>
        <v>157051.26999999999</v>
      </c>
      <c r="AG97" s="55">
        <f>_xll.EQNXTDZ($A$1,$B97,AG$5,$B$1)</f>
        <v>165799.82999999999</v>
      </c>
      <c r="AH97" s="55">
        <f>_xll.EQNXTDZ($A$1,$B97,AH$5,$B$1)</f>
        <v>162557.89000000001</v>
      </c>
      <c r="AI97" s="55">
        <f>_xll.EQNXTDZ($A$1,$B97,AI$5,$B$1)</f>
        <v>176591</v>
      </c>
      <c r="AJ97" s="55">
        <f>_xll.EQNXTDZ($A$1,$B97,AJ$5,$B$1)</f>
        <v>188246.62</v>
      </c>
      <c r="AK97" s="55">
        <f>_xll.EQNXTDZ($A$1,$B97,AK$5,$B$1)</f>
        <v>211242.19</v>
      </c>
      <c r="AL97" s="55">
        <f>_xll.EQNXTDZ($A$1,$B97,AL$5,$B$1)</f>
        <v>222592.07</v>
      </c>
      <c r="AM97" s="55">
        <f>_xll.EQNXTDZ($A$1,$B97,AM$5,$B$1)</f>
        <v>232815.06</v>
      </c>
      <c r="AN97" s="55">
        <f>_xll.EQNXTDZ($A$1,$B97,AN$5,$B$1)</f>
        <v>245121.37</v>
      </c>
      <c r="AO97" s="55">
        <f>_xll.EQNXTDZ($A$1,$B97,AO$5,$B$1)</f>
        <v>257287.83</v>
      </c>
      <c r="AP97" s="55">
        <f>_xll.EQNXTDZ($A$1,$B97,AP$5,$B$1)</f>
        <v>268207.2</v>
      </c>
      <c r="AQ97" s="55">
        <f>_xll.EQNXTDZ($A$1,$B97,AQ$5,$B$1)</f>
        <v>265063.19</v>
      </c>
      <c r="AR97" s="55">
        <f>_xll.EQNXTDZ($A$1,$B97,AR$5,$B$1)</f>
        <v>284006.75</v>
      </c>
      <c r="AS97" s="55">
        <f>_xll.EQNXTDZ($A$1,$B97,AS$5,$B$1)</f>
        <v>300756.5</v>
      </c>
      <c r="AT97" s="55">
        <f>_xll.EQNXTDZ($A$1,$B97,AT$5,$B$1)</f>
        <v>309586.56</v>
      </c>
      <c r="AU97" s="55">
        <f>_xll.EQNXTDZ($A$1,$B97,AU$5,$B$1)</f>
        <v>329792.43</v>
      </c>
      <c r="AV97" s="55">
        <f>_xll.EQNXTDZ($A$1,$B97,AV$5,$B$1)</f>
        <v>346435.96</v>
      </c>
      <c r="AW97" s="55">
        <f>_xll.EQNXTDZ($A$1,$B97,AW$5,$B$1)</f>
        <v>372691.45</v>
      </c>
      <c r="AX97" s="55">
        <f>_xll.EQNXTDZ($A$1,$B97,AX$5,$B$1)</f>
        <v>392782.99</v>
      </c>
      <c r="AY97" s="55">
        <f>_xll.EQNXTDZ($A$1,$B97,AY$5,$B$1)</f>
        <v>416823.66</v>
      </c>
      <c r="AZ97" s="55">
        <f>_xll.EQNXTDZ($A$1,$B97,AZ$5,$B$1)</f>
        <v>442154.38</v>
      </c>
      <c r="BA97" s="55">
        <f>_xll.EQNXTDZ($A$1,$B97,BA$5,$B$1)</f>
        <v>443527.48</v>
      </c>
      <c r="BB97" s="55">
        <f>_xll.EQNXTDZ($A$1,$B97,BB$5,$B$1)</f>
        <v>450923.19</v>
      </c>
      <c r="BC97" s="55">
        <f>_xll.EQNXTDZ($A$1,$B97,BC$5,$B$1)</f>
        <v>478181.5</v>
      </c>
      <c r="BD97" s="55">
        <f>_xll.EQNXTDZ($A$1,$B97,BD$5,$B$1)</f>
        <v>483064.53</v>
      </c>
      <c r="BE97" s="55">
        <f>_xll.EQNXTDZ($A$1,$B97,BE$5,$B$1)</f>
        <v>511928.11</v>
      </c>
      <c r="BF97" s="55">
        <f>_xll.EQNXTDZ($A$1,$B97,BF$5,$B$1)</f>
        <v>492053.37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211385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SBI Life Insurance Company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0.48949999999999999</v>
      </c>
      <c r="L19" s="100">
        <f>_xll.EQNXTDZ($A$1,$B19,L$1,$B$1)</f>
        <v>0.38800000000000001</v>
      </c>
      <c r="M19" s="100">
        <f>_xll.EQNXTDZ($A$1,$B19,M$1,$B$1)</f>
        <v>3.0182000000000002</v>
      </c>
      <c r="N19" s="100">
        <f>_xll.EQNXTDZ($A$1,$B19,N$1,$B$1)</f>
        <v>2.3307000000000002</v>
      </c>
      <c r="O19" s="100">
        <f>_xll.EQNXTDZ($A$1,$B19,O$1,$B$1)</f>
        <v>7.4481000000000002</v>
      </c>
      <c r="P19" s="100">
        <f>_xll.EQNXTDZ($A$1,$B19,P$1,$B$1)</f>
        <v>2.9819</v>
      </c>
      <c r="Q19" s="100">
        <f>_xll.EQNXTDZ($A$1,$B19,Q$1,$B$1)</f>
        <v>1.5983000000000001</v>
      </c>
      <c r="R19" s="100">
        <f>_xll.EQNXTDZ($A$1,$B19,R$1,$B$1)</f>
        <v>117.1054</v>
      </c>
      <c r="S19" s="100">
        <f>_xll.EQNXTDZ($A$1,$B19,S$1,$B$1)</f>
        <v>90.174700000000001</v>
      </c>
      <c r="T19" s="100">
        <f>_xll.EQNXTDZ($A$1,$B19,T$1,$B$1)</f>
        <v>107.73439999999999</v>
      </c>
      <c r="U19" s="100">
        <f>_xll.EQNXTDZ($A$1,$B19,U$1,$B$1)</f>
        <v>128.90690000000001</v>
      </c>
      <c r="V19" s="100">
        <f>_xll.EQNXTDZ($A$1,$B19,V$1,$B$1)</f>
        <v>524.57719999999995</v>
      </c>
      <c r="W19" s="100">
        <f>_xll.EQNXTDZ($A$1,$B19,W$1,$B$1)</f>
        <v>855.77859999999998</v>
      </c>
      <c r="X19" s="100">
        <f>_xll.EQNXTDZ($A$1,$B19,X$1,$B$1)</f>
        <v>1139.1255000000001</v>
      </c>
      <c r="Y19" s="100">
        <f>_xll.EQNXTDZ($A$1,$B19,Y$1,$B$1)</f>
        <v>1744.7161000000001</v>
      </c>
      <c r="Z19" s="100">
        <f>_xll.EQNXTDZ($A$1,$B19,Z$1,$B$1)</f>
        <v>1679.03</v>
      </c>
      <c r="AA19" s="100">
        <f>_xll.EQNXTDZ($A$1,$B19,AA$1,$B$1)</f>
        <v>1380.1</v>
      </c>
      <c r="AB19" s="100">
        <f>_xll.EQNXTDZ($A$1,$B19,AB$1,$B$1)</f>
        <v>1903.67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4.0763999999999996</v>
      </c>
      <c r="N23" s="100">
        <f>_xll.EQNXTDZ($A$1,$B23,N$1,$B$1)</f>
        <v>6.4859</v>
      </c>
      <c r="O23" s="100">
        <f>_xll.EQNXTDZ($A$1,$B23,O$1,$B$1)</f>
        <v>6.5510000000000002</v>
      </c>
      <c r="P23" s="100">
        <f>_xll.EQNXTDZ($A$1,$B23,P$1,$B$1)</f>
        <v>7.3552</v>
      </c>
      <c r="Q23" s="100">
        <f>_xll.EQNXTDZ($A$1,$B23,Q$1,$B$1)</f>
        <v>7.4611000000000001</v>
      </c>
      <c r="R23" s="100">
        <f>_xll.EQNXTDZ($A$1,$B23,R$1,$B$1)</f>
        <v>7.9305000000000003</v>
      </c>
      <c r="S23" s="100">
        <f>_xll.EQNXTDZ($A$1,$B23,S$1,$B$1)</f>
        <v>8.2142999999999997</v>
      </c>
      <c r="T23" s="100">
        <f>_xll.EQNXTDZ($A$1,$B23,T$1,$B$1)</f>
        <v>11.465299999999999</v>
      </c>
      <c r="U23" s="100">
        <f>_xll.EQNXTDZ($A$1,$B23,U$1,$B$1)</f>
        <v>13.541399999999999</v>
      </c>
      <c r="V23" s="100">
        <f>_xll.EQNXTDZ($A$1,$B23,V$1,$B$1)</f>
        <v>6.7929000000000004</v>
      </c>
      <c r="W23" s="100">
        <f>_xll.EQNXTDZ($A$1,$B23,W$1,$B$1)</f>
        <v>6.3067000000000002</v>
      </c>
      <c r="X23" s="100">
        <f>_xll.EQNXTDZ($A$1,$B23,X$1,$B$1)</f>
        <v>5.3582000000000001</v>
      </c>
      <c r="Y23" s="100">
        <f>_xll.EQNXTDZ($A$1,$B23,Y$1,$B$1)</f>
        <v>0.74939999999999996</v>
      </c>
      <c r="Z23" s="100">
        <f>_xll.EQNXTDZ($A$1,$B23,Z$1,$B$1)</f>
        <v>-12.04</v>
      </c>
      <c r="AA23" s="100">
        <f>_xll.EQNXTDZ($A$1,$B23,AA$1,$B$1)</f>
        <v>-4.72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-0.32979999999999998</v>
      </c>
      <c r="L30" s="100">
        <f>_xll.EQNXTDZ($A$1,$B30,L$1,$B$1)</f>
        <v>1.0337000000000001</v>
      </c>
      <c r="M30" s="100">
        <f>_xll.EQNXTDZ($A$1,$B30,M$1,$B$1)</f>
        <v>4.1082000000000001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14.431800000000001</v>
      </c>
      <c r="R30" s="100">
        <f>_xll.EQNXTDZ($A$1,$B30,R$1,$B$1)</f>
        <v>12.746600000000001</v>
      </c>
      <c r="S30" s="100">
        <f>_xll.EQNXTDZ($A$1,$B30,S$1,$B$1)</f>
        <v>19.916399999999999</v>
      </c>
      <c r="T30" s="100">
        <f>_xll.EQNXTDZ($A$1,$B30,T$1,$B$1)</f>
        <v>34.066099999999999</v>
      </c>
      <c r="U30" s="100">
        <f>_xll.EQNXTDZ($A$1,$B30,U$1,$B$1)</f>
        <v>46.068300000000001</v>
      </c>
      <c r="V30" s="100">
        <f>_xll.EQNXTDZ($A$1,$B30,V$1,$B$1)</f>
        <v>-8.6335999999999995</v>
      </c>
      <c r="W30" s="100">
        <f>_xll.EQNXTDZ($A$1,$B30,W$1,$B$1)</f>
        <v>86.6083</v>
      </c>
      <c r="X30" s="100">
        <f>_xll.EQNXTDZ($A$1,$B30,X$1,$B$1)</f>
        <v>54.759799999999998</v>
      </c>
      <c r="Y30" s="100">
        <f>_xll.EQNXTDZ($A$1,$B30,Y$1,$B$1)</f>
        <v>37.874600000000001</v>
      </c>
      <c r="Z30" s="100">
        <f>_xll.EQNXTDZ($A$1,$B30,Z$1,$B$1)</f>
        <v>48.33</v>
      </c>
      <c r="AA30" s="100">
        <f>_xll.EQNXTDZ($A$1,$B30,AA$1,$B$1)</f>
        <v>81.37</v>
      </c>
      <c r="AB30" s="100">
        <f>_xll.EQNXTDZ($A$1,$B30,AB$1,$B$1)</f>
        <v>67.099999999999994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-26.3095</v>
      </c>
      <c r="L35" s="100">
        <f>_xll.EQNXTDZ($A$1,$B35,L$1,$B$1)</f>
        <v>276.45769999999999</v>
      </c>
      <c r="M35" s="100">
        <f>_xll.EQNXTDZ($A$1,$B35,M$1,$B$1)</f>
        <v>366.34399999999999</v>
      </c>
      <c r="N35" s="100">
        <f>_xll.EQNXTDZ($A$1,$B35,N$1,$B$1)</f>
        <v>555.82140000000004</v>
      </c>
      <c r="O35" s="100">
        <f>_xll.EQNXTDZ($A$1,$B35,O$1,$B$1)</f>
        <v>622.17089999999996</v>
      </c>
      <c r="P35" s="100">
        <f>_xll.EQNXTDZ($A$1,$B35,P$1,$B$1)</f>
        <v>740.13430000000005</v>
      </c>
      <c r="Q35" s="100">
        <f>_xll.EQNXTDZ($A$1,$B35,Q$1,$B$1)</f>
        <v>820.0421</v>
      </c>
      <c r="R35" s="100">
        <f>_xll.EQNXTDZ($A$1,$B35,R$1,$B$1)</f>
        <v>861.03409999999997</v>
      </c>
      <c r="S35" s="100">
        <f>_xll.EQNXTDZ($A$1,$B35,S$1,$B$1)</f>
        <v>954.65290000000005</v>
      </c>
      <c r="T35" s="100">
        <f>_xll.EQNXTDZ($A$1,$B35,T$1,$B$1)</f>
        <v>1150.3922</v>
      </c>
      <c r="U35" s="100">
        <f>_xll.EQNXTDZ($A$1,$B35,U$1,$B$1)</f>
        <v>1326.7963999999999</v>
      </c>
      <c r="V35" s="100">
        <f>_xll.EQNXTDZ($A$1,$B35,V$1,$B$1)</f>
        <v>1422.1831</v>
      </c>
      <c r="W35" s="100">
        <f>_xll.EQNXTDZ($A$1,$B35,W$1,$B$1)</f>
        <v>1455.8494000000001</v>
      </c>
      <c r="X35" s="100">
        <f>_xll.EQNXTDZ($A$1,$B35,X$1,$B$1)</f>
        <v>1505.9976999999999</v>
      </c>
      <c r="Y35" s="100">
        <f>_xll.EQNXTDZ($A$1,$B35,Y$1,$B$1)</f>
        <v>1720.5724</v>
      </c>
      <c r="Z35" s="100">
        <f>_xll.EQNXTDZ($A$1,$B35,Z$1,$B$1)</f>
        <v>1893.78</v>
      </c>
      <c r="AA35" s="100">
        <f>_xll.EQNXTDZ($A$1,$B35,AA$1,$B$1)</f>
        <v>2413.3000000000002</v>
      </c>
      <c r="AB35" s="100">
        <f>_xll.EQNXTDZ($A$1,$B35,AB$1,$B$1)</f>
        <v>2470.3000000000002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1000</v>
      </c>
      <c r="L41" s="55">
        <f>_xll.EQNXTDZ($A$1,$B41,L$1,$B$1)</f>
        <v>1000</v>
      </c>
      <c r="M41" s="55">
        <f>_xll.EQNXTDZ($A$1,$B41,M$1,$B$1)</f>
        <v>1000</v>
      </c>
      <c r="N41" s="55">
        <f>_xll.EQNXTDZ($A$1,$B41,N$1,$B$1)</f>
        <v>1000</v>
      </c>
      <c r="O41" s="55">
        <f>_xll.EQNXTDZ($A$1,$B41,O$1,$B$1)</f>
        <v>1000</v>
      </c>
      <c r="P41" s="55">
        <f>_xll.EQNXTDZ($A$1,$B41,P$1,$B$1)</f>
        <v>1000</v>
      </c>
      <c r="Q41" s="55">
        <f>_xll.EQNXTDZ($A$1,$B41,Q$1,$B$1)</f>
        <v>1000</v>
      </c>
      <c r="R41" s="55">
        <f>_xll.EQNXTDZ($A$1,$B41,R$1,$B$1)</f>
        <v>1000</v>
      </c>
      <c r="S41" s="55">
        <f>_xll.EQNXTDZ($A$1,$B41,S$1,$B$1)</f>
        <v>1000</v>
      </c>
      <c r="T41" s="55">
        <f>_xll.EQNXTDZ($A$1,$B41,T$1,$B$1)</f>
        <v>1000</v>
      </c>
      <c r="U41" s="55">
        <f>_xll.EQNXTDZ($A$1,$B41,U$1,$B$1)</f>
        <v>1000</v>
      </c>
      <c r="V41" s="55">
        <f>_xll.EQNXTDZ($A$1,$B41,V$1,$B$1)</f>
        <v>1000.0263</v>
      </c>
      <c r="W41" s="55">
        <f>_xll.EQNXTDZ($A$1,$B41,W$1,$B$1)</f>
        <v>1000.0709000000001</v>
      </c>
      <c r="X41" s="55">
        <f>_xll.EQNXTDZ($A$1,$B41,X$1,$B$1)</f>
        <v>1000.3706</v>
      </c>
      <c r="Y41" s="55">
        <f>_xll.EQNXTDZ($A$1,$B41,Y$1,$B$1)</f>
        <v>1000.8948</v>
      </c>
      <c r="Z41" s="55">
        <f>_xll.EQNXTDZ($A$1,$B41,Z$1,$B$1)</f>
        <v>1001.47</v>
      </c>
      <c r="AA41" s="55">
        <f>_xll.EQNXTDZ($A$1,$B41,AA$1,$B$1)</f>
        <v>1002.14</v>
      </c>
      <c r="AB41" s="55">
        <f>_xll.EQNXTDZ($A$1,$B41,AB$1,$B$1)</f>
        <v>1003.09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0.11260000000000001</v>
      </c>
      <c r="W42" s="55">
        <f>_xll.EQNXTDZ($A$1,$B42,W$1,$B$1)</f>
        <v>0.4234</v>
      </c>
      <c r="X42" s="55">
        <f>_xll.EQNXTDZ($A$1,$B42,X$1,$B$1)</f>
        <v>1.1992</v>
      </c>
      <c r="Y42" s="55">
        <f>_xll.EQNXTDZ($A$1,$B42,Y$1,$B$1)</f>
        <v>1.6964999999999999</v>
      </c>
      <c r="Z42" s="55">
        <f>_xll.EQNXTDZ($A$1,$B42,Z$1,$B$1)</f>
        <v>2.23</v>
      </c>
      <c r="AA42" s="55">
        <f>_xll.EQNXTDZ($A$1,$B42,AA$1,$B$1)</f>
        <v>4.57</v>
      </c>
      <c r="AB42" s="55">
        <f>_xll.EQNXTDZ($A$1,$B42,AB$1,$B$1)</f>
        <v>6.6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-21.583300000000001</v>
      </c>
      <c r="L43" s="55">
        <f>_xll.EQNXTDZ($A$1,$B43,L$1,$B$1)</f>
        <v>254.87430000000001</v>
      </c>
      <c r="M43" s="55">
        <f>_xll.EQNXTDZ($A$1,$B43,M$1,$B$1)</f>
        <v>621.2183</v>
      </c>
      <c r="N43" s="55">
        <f>_xll.EQNXTDZ($A$1,$B43,N$1,$B$1)</f>
        <v>1118.9296999999999</v>
      </c>
      <c r="O43" s="55">
        <f>_xll.EQNXTDZ($A$1,$B43,O$1,$B$1)</f>
        <v>1682.9881</v>
      </c>
      <c r="P43" s="55">
        <f>_xll.EQNXTDZ($A$1,$B43,P$1,$B$1)</f>
        <v>2306.1273999999999</v>
      </c>
      <c r="Q43" s="55">
        <f>_xll.EQNXTDZ($A$1,$B43,Q$1,$B$1)</f>
        <v>2974.0598</v>
      </c>
      <c r="R43" s="55">
        <f>_xll.EQNXTDZ($A$1,$B43,R$1,$B$1)</f>
        <v>3690.6646999999998</v>
      </c>
      <c r="S43" s="55">
        <f>_xll.EQNXTDZ($A$1,$B43,S$1,$B$1)</f>
        <v>4464.7809999999999</v>
      </c>
      <c r="T43" s="55">
        <f>_xll.EQNXTDZ($A$1,$B43,T$1,$B$1)</f>
        <v>5374.4579999999996</v>
      </c>
      <c r="U43" s="55">
        <f>_xll.EQNXTDZ($A$1,$B43,U$1,$B$1)</f>
        <v>6460.1437999999998</v>
      </c>
      <c r="V43" s="55">
        <f>_xll.EQNXTDZ($A$1,$B43,V$1,$B$1)</f>
        <v>7883.7794999999996</v>
      </c>
      <c r="W43" s="55">
        <f>_xll.EQNXTDZ($A$1,$B43,W$1,$B$1)</f>
        <v>9092.2183999999997</v>
      </c>
      <c r="X43" s="55">
        <f>_xll.EQNXTDZ($A$1,$B43,X$1,$B$1)</f>
        <v>10416.875400000001</v>
      </c>
      <c r="Y43" s="55">
        <f>_xll.EQNXTDZ($A$1,$B43,Y$1,$B$1)</f>
        <v>11921.9612</v>
      </c>
      <c r="Z43" s="55">
        <f>_xll.EQNXTDZ($A$1,$B43,Z$1,$B$1)</f>
        <v>13587.94</v>
      </c>
      <c r="AA43" s="55">
        <f>_xll.EQNXTDZ($A$1,$B43,AA$1,$B$1)</f>
        <v>15786.23</v>
      </c>
      <c r="AB43" s="55">
        <f>_xll.EQNXTDZ($A$1,$B43,AB$1,$B$1)</f>
        <v>18077.060000000001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978.41669999999999</v>
      </c>
      <c r="L44" s="55">
        <f>_xll.EQNXTDZ($A$1,$B44,L$1,$B$1)</f>
        <v>1254.8742999999999</v>
      </c>
      <c r="M44" s="55">
        <f>_xll.EQNXTDZ($A$1,$B44,M$1,$B$1)</f>
        <v>1621.2183</v>
      </c>
      <c r="N44" s="55">
        <f>_xll.EQNXTDZ($A$1,$B44,N$1,$B$1)</f>
        <v>2118.9297000000001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4690.6647000000003</v>
      </c>
      <c r="S44" s="55">
        <f>_xll.EQNXTDZ($A$1,$B44,S$1,$B$1)</f>
        <v>5464.7809999999999</v>
      </c>
      <c r="T44" s="55">
        <f>_xll.EQNXTDZ($A$1,$B44,T$1,$B$1)</f>
        <v>6374.4579999999996</v>
      </c>
      <c r="U44" s="55">
        <f>_xll.EQNXTDZ($A$1,$B44,U$1,$B$1)</f>
        <v>7460.1437999999998</v>
      </c>
      <c r="V44" s="55">
        <f>_xll.EQNXTDZ($A$1,$B44,V$1,$B$1)</f>
        <v>8883.9184000000005</v>
      </c>
      <c r="W44" s="55">
        <f>_xll.EQNXTDZ($A$1,$B44,W$1,$B$1)</f>
        <v>10092.7127</v>
      </c>
      <c r="X44" s="55">
        <f>_xll.EQNXTDZ($A$1,$B44,X$1,$B$1)</f>
        <v>11418.4452</v>
      </c>
      <c r="Y44" s="55">
        <f>_xll.EQNXTDZ($A$1,$B44,Y$1,$B$1)</f>
        <v>12924.5525</v>
      </c>
      <c r="Z44" s="55">
        <f>_xll.EQNXTDZ($A$1,$B44,Z$1,$B$1)</f>
        <v>14591.64</v>
      </c>
      <c r="AA44" s="55">
        <f>_xll.EQNXTDZ($A$1,$B44,AA$1,$B$1)</f>
        <v>16792.939999999999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0</v>
      </c>
      <c r="AA53" s="55">
        <f>_xll.EQNXTDZ($A$1,$B53,AA$1,$B$1)</f>
        <v>0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1007.1215</v>
      </c>
      <c r="L55" s="55">
        <f>_xll.EQNXTDZ($A$1,$B55,L$1,$B$1)</f>
        <v>1430.3920000000001</v>
      </c>
      <c r="M55" s="55">
        <f>_xll.EQNXTDZ($A$1,$B55,M$1,$B$1)</f>
        <v>1706.5157999999999</v>
      </c>
      <c r="N55" s="55">
        <f>_xll.EQNXTDZ($A$1,$B55,N$1,$B$1)</f>
        <v>1253.6375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2502.5877</v>
      </c>
      <c r="S55" s="55">
        <f>_xll.EQNXTDZ($A$1,$B55,S$1,$B$1)</f>
        <v>2764.0720999999999</v>
      </c>
      <c r="T55" s="55">
        <f>_xll.EQNXTDZ($A$1,$B55,T$1,$B$1)</f>
        <v>3216.1323000000002</v>
      </c>
      <c r="U55" s="55">
        <f>_xll.EQNXTDZ($A$1,$B55,U$1,$B$1)</f>
        <v>3377.1298000000002</v>
      </c>
      <c r="V55" s="55">
        <f>_xll.EQNXTDZ($A$1,$B55,V$1,$B$1)</f>
        <v>2783.6588999999999</v>
      </c>
      <c r="W55" s="55">
        <f>_xll.EQNXTDZ($A$1,$B55,W$1,$B$1)</f>
        <v>3805.0146</v>
      </c>
      <c r="X55" s="55">
        <f>_xll.EQNXTDZ($A$1,$B55,X$1,$B$1)</f>
        <v>4558.5451000000003</v>
      </c>
      <c r="Y55" s="55">
        <f>_xll.EQNXTDZ($A$1,$B55,Y$1,$B$1)</f>
        <v>4644.473</v>
      </c>
      <c r="Z55" s="55">
        <f>_xll.EQNXTDZ($A$1,$B55,Z$1,$B$1)</f>
        <v>5195.22</v>
      </c>
      <c r="AA55" s="55">
        <f>_xll.EQNXTDZ($A$1,$B55,AA$1,$B$1)</f>
        <v>5790.85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26.0505</v>
      </c>
      <c r="L57" s="55">
        <f>_xll.EQNXTDZ($A$1,$B57,L$1,$B$1)</f>
        <v>32.263800000000003</v>
      </c>
      <c r="M57" s="55">
        <f>_xll.EQNXTDZ($A$1,$B57,M$1,$B$1)</f>
        <v>63.114100000000001</v>
      </c>
      <c r="N57" s="55">
        <f>_xll.EQNXTDZ($A$1,$B57,N$1,$B$1)</f>
        <v>165.85659999999999</v>
      </c>
      <c r="O57" s="55">
        <f>_xll.EQNXTDZ($A$1,$B57,O$1,$B$1)</f>
        <v>227.68610000000001</v>
      </c>
      <c r="P57" s="55">
        <f>_xll.EQNXTDZ($A$1,$B57,P$1,$B$1)</f>
        <v>381.2953</v>
      </c>
      <c r="Q57" s="55">
        <f>_xll.EQNXTDZ($A$1,$B57,Q$1,$B$1)</f>
        <v>558.44010000000003</v>
      </c>
      <c r="R57" s="55">
        <f>_xll.EQNXTDZ($A$1,$B57,R$1,$B$1)</f>
        <v>734.33730000000003</v>
      </c>
      <c r="S57" s="55">
        <f>_xll.EQNXTDZ($A$1,$B57,S$1,$B$1)</f>
        <v>981.63329999999996</v>
      </c>
      <c r="T57" s="55">
        <f>_xll.EQNXTDZ($A$1,$B57,T$1,$B$1)</f>
        <v>1292.6123</v>
      </c>
      <c r="U57" s="55">
        <f>_xll.EQNXTDZ($A$1,$B57,U$1,$B$1)</f>
        <v>1617.4094</v>
      </c>
      <c r="V57" s="55">
        <f>_xll.EQNXTDZ($A$1,$B57,V$1,$B$1)</f>
        <v>1808.6704999999999</v>
      </c>
      <c r="W57" s="55">
        <f>_xll.EQNXTDZ($A$1,$B57,W$1,$B$1)</f>
        <v>2231.7739999999999</v>
      </c>
      <c r="X57" s="55">
        <f>_xll.EQNXTDZ($A$1,$B57,X$1,$B$1)</f>
        <v>2365.6734999999999</v>
      </c>
      <c r="Y57" s="55">
        <f>_xll.EQNXTDZ($A$1,$B57,Y$1,$B$1)</f>
        <v>2390.8816000000002</v>
      </c>
      <c r="Z57" s="55">
        <f>_xll.EQNXTDZ($A$1,$B57,Z$1,$B$1)</f>
        <v>2578.13</v>
      </c>
      <c r="AA57" s="55">
        <f>_xll.EQNXTDZ($A$1,$B57,AA$1,$B$1)</f>
        <v>2883</v>
      </c>
      <c r="AB57" s="55">
        <f>_xll.EQNXTDZ($A$1,$B57,AB$1,$B$1)</f>
        <v>3262.06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14003.132100000001</v>
      </c>
      <c r="L60" s="55">
        <f>_xll.EQNXTDZ($A$1,$B60,L$1,$B$1)</f>
        <v>28143.123</v>
      </c>
      <c r="M60" s="55">
        <f>_xll.EQNXTDZ($A$1,$B60,M$1,$B$1)</f>
        <v>39525.810799999999</v>
      </c>
      <c r="N60" s="55">
        <f>_xll.EQNXTDZ($A$1,$B60,N$1,$B$1)</f>
        <v>46916.460400000004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80724.558399999994</v>
      </c>
      <c r="S60" s="55">
        <f>_xll.EQNXTDZ($A$1,$B60,S$1,$B$1)</f>
        <v>99225.246400000004</v>
      </c>
      <c r="T60" s="55">
        <f>_xll.EQNXTDZ($A$1,$B60,T$1,$B$1)</f>
        <v>118155.7637</v>
      </c>
      <c r="U60" s="55">
        <f>_xll.EQNXTDZ($A$1,$B60,U$1,$B$1)</f>
        <v>142997.8345</v>
      </c>
      <c r="V60" s="55">
        <f>_xll.EQNXTDZ($A$1,$B60,V$1,$B$1)</f>
        <v>162557.88879999999</v>
      </c>
      <c r="W60" s="55">
        <f>_xll.EQNXTDZ($A$1,$B60,W$1,$B$1)</f>
        <v>222592.06779999999</v>
      </c>
      <c r="X60" s="55">
        <f>_xll.EQNXTDZ($A$1,$B60,X$1,$B$1)</f>
        <v>268207.19890000002</v>
      </c>
      <c r="Y60" s="55">
        <f>_xll.EQNXTDZ($A$1,$B60,Y$1,$B$1)</f>
        <v>309586.55680000002</v>
      </c>
      <c r="Z60" s="55">
        <f>_xll.EQNXTDZ($A$1,$B60,Z$1,$B$1)</f>
        <v>392782.99</v>
      </c>
      <c r="AA60" s="55">
        <f>_xll.EQNXTDZ($A$1,$B60,AA$1,$B$1)</f>
        <v>450923.2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0.1729</v>
      </c>
      <c r="P61" s="55">
        <f>_xll.EQNXTDZ($A$1,$B61,P$1,$B$1)</f>
        <v>0.63800000000000001</v>
      </c>
      <c r="Q61" s="55">
        <f>_xll.EQNXTDZ($A$1,$B61,Q$1,$B$1)</f>
        <v>1.7729999999999999</v>
      </c>
      <c r="R61" s="55">
        <f>_xll.EQNXTDZ($A$1,$B61,R$1,$B$1)</f>
        <v>123.56229999999999</v>
      </c>
      <c r="S61" s="55">
        <f>_xll.EQNXTDZ($A$1,$B61,S$1,$B$1)</f>
        <v>178.1994</v>
      </c>
      <c r="T61" s="55">
        <f>_xll.EQNXTDZ($A$1,$B61,T$1,$B$1)</f>
        <v>170.9016</v>
      </c>
      <c r="U61" s="55">
        <f>_xll.EQNXTDZ($A$1,$B61,U$1,$B$1)</f>
        <v>172.50470000000001</v>
      </c>
      <c r="V61" s="55">
        <f>_xll.EQNXTDZ($A$1,$B61,V$1,$B$1)</f>
        <v>364.48149999999998</v>
      </c>
      <c r="W61" s="55">
        <f>_xll.EQNXTDZ($A$1,$B61,W$1,$B$1)</f>
        <v>358.07810000000001</v>
      </c>
      <c r="X61" s="55">
        <f>_xll.EQNXTDZ($A$1,$B61,X$1,$B$1)</f>
        <v>362.68900000000002</v>
      </c>
      <c r="Y61" s="55">
        <f>_xll.EQNXTDZ($A$1,$B61,Y$1,$B$1)</f>
        <v>388.9171</v>
      </c>
      <c r="Z61" s="55">
        <f>_xll.EQNXTDZ($A$1,$B61,Z$1,$B$1)</f>
        <v>388.8</v>
      </c>
      <c r="AA61" s="55">
        <f>_xll.EQNXTDZ($A$1,$B61,AA$1,$B$1)</f>
        <v>481.69</v>
      </c>
      <c r="AB61" s="55">
        <f>_xll.EQNXTDZ($A$1,$B61,AB$1,$B$1)</f>
        <v>605.13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141.33709999999999</v>
      </c>
      <c r="L62" s="55">
        <f>_xll.EQNXTDZ($A$1,$B62,L$1,$B$1)</f>
        <v>157.88939999999999</v>
      </c>
      <c r="M62" s="55">
        <f>_xll.EQNXTDZ($A$1,$B62,M$1,$B$1)</f>
        <v>413.68259999999998</v>
      </c>
      <c r="N62" s="55">
        <f>_xll.EQNXTDZ($A$1,$B62,N$1,$B$1)</f>
        <v>430.5462</v>
      </c>
      <c r="O62" s="55">
        <f>_xll.EQNXTDZ($A$1,$B62,O$1,$B$1)</f>
        <v>451.69600000000003</v>
      </c>
      <c r="P62" s="55">
        <f>_xll.EQNXTDZ($A$1,$B62,P$1,$B$1)</f>
        <v>503.44299999999998</v>
      </c>
      <c r="Q62" s="55">
        <f>_xll.EQNXTDZ($A$1,$B62,Q$1,$B$1)</f>
        <v>520.62480000000005</v>
      </c>
      <c r="R62" s="55">
        <f>_xll.EQNXTDZ($A$1,$B62,R$1,$B$1)</f>
        <v>563.99620000000004</v>
      </c>
      <c r="S62" s="55">
        <f>_xll.EQNXTDZ($A$1,$B62,S$1,$B$1)</f>
        <v>806.95320000000004</v>
      </c>
      <c r="T62" s="55">
        <f>_xll.EQNXTDZ($A$1,$B62,T$1,$B$1)</f>
        <v>861.83690000000001</v>
      </c>
      <c r="U62" s="55">
        <f>_xll.EQNXTDZ($A$1,$B62,U$1,$B$1)</f>
        <v>1002.8948</v>
      </c>
      <c r="V62" s="55">
        <f>_xll.EQNXTDZ($A$1,$B62,V$1,$B$1)</f>
        <v>1094.2609</v>
      </c>
      <c r="W62" s="55">
        <f>_xll.EQNXTDZ($A$1,$B62,W$1,$B$1)</f>
        <v>1179.4315999999999</v>
      </c>
      <c r="X62" s="55">
        <f>_xll.EQNXTDZ($A$1,$B62,X$1,$B$1)</f>
        <v>1193.2774999999999</v>
      </c>
      <c r="Y62" s="55">
        <f>_xll.EQNXTDZ($A$1,$B62,Y$1,$B$1)</f>
        <v>1236.7121</v>
      </c>
      <c r="Z62" s="55">
        <f>_xll.EQNXTDZ($A$1,$B62,Z$1,$B$1)</f>
        <v>1264.5999999999999</v>
      </c>
      <c r="AA62" s="55">
        <f>_xll.EQNXTDZ($A$1,$B62,AA$1,$B$1)</f>
        <v>1347.3</v>
      </c>
      <c r="AB62" s="55">
        <f>_xll.EQNXTDZ($A$1,$B62,AB$1,$B$1)</f>
        <v>1489.58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78.377899999999997</v>
      </c>
      <c r="L63" s="55">
        <f>_xll.EQNXTDZ($A$1,$B63,L$1,$B$1)</f>
        <v>107.76349999999999</v>
      </c>
      <c r="M63" s="55">
        <f>_xll.EQNXTDZ($A$1,$B63,M$1,$B$1)</f>
        <v>133.93469999999999</v>
      </c>
      <c r="N63" s="55">
        <f>_xll.EQNXTDZ($A$1,$B63,N$1,$B$1)</f>
        <v>167.1294</v>
      </c>
      <c r="O63" s="55">
        <f>_xll.EQNXTDZ($A$1,$B63,O$1,$B$1)</f>
        <v>179.0326</v>
      </c>
      <c r="P63" s="55">
        <f>_xll.EQNXTDZ($A$1,$B63,P$1,$B$1)</f>
        <v>221.02850000000001</v>
      </c>
      <c r="Q63" s="55">
        <f>_xll.EQNXTDZ($A$1,$B63,Q$1,$B$1)</f>
        <v>255.94409999999999</v>
      </c>
      <c r="R63" s="55">
        <f>_xll.EQNXTDZ($A$1,$B63,R$1,$B$1)</f>
        <v>262.97340000000003</v>
      </c>
      <c r="S63" s="55">
        <f>_xll.EQNXTDZ($A$1,$B63,S$1,$B$1)</f>
        <v>299.52699999999999</v>
      </c>
      <c r="T63" s="55">
        <f>_xll.EQNXTDZ($A$1,$B63,T$1,$B$1)</f>
        <v>350.65539999999999</v>
      </c>
      <c r="U63" s="55">
        <f>_xll.EQNXTDZ($A$1,$B63,U$1,$B$1)</f>
        <v>439.52269999999999</v>
      </c>
      <c r="V63" s="55">
        <f>_xll.EQNXTDZ($A$1,$B63,V$1,$B$1)</f>
        <v>526.26660000000004</v>
      </c>
      <c r="W63" s="55">
        <f>_xll.EQNXTDZ($A$1,$B63,W$1,$B$1)</f>
        <v>615.48839999999996</v>
      </c>
      <c r="X63" s="55">
        <f>_xll.EQNXTDZ($A$1,$B63,X$1,$B$1)</f>
        <v>669.3134</v>
      </c>
      <c r="Y63" s="55">
        <f>_xll.EQNXTDZ($A$1,$B63,Y$1,$B$1)</f>
        <v>716.26610000000005</v>
      </c>
      <c r="Z63" s="55">
        <f>_xll.EQNXTDZ($A$1,$B63,Z$1,$B$1)</f>
        <v>713.39</v>
      </c>
      <c r="AA63" s="55">
        <f>_xll.EQNXTDZ($A$1,$B63,AA$1,$B$1)</f>
        <v>766.98</v>
      </c>
      <c r="AB63" s="55">
        <f>_xll.EQNXTDZ($A$1,$B63,AB$1,$B$1)</f>
        <v>842.86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62.959200000000003</v>
      </c>
      <c r="L65" s="55">
        <f>_xll.EQNXTDZ($A$1,$B65,L$1,$B$1)</f>
        <v>50.125900000000001</v>
      </c>
      <c r="M65" s="55">
        <f>_xll.EQNXTDZ($A$1,$B65,M$1,$B$1)</f>
        <v>279.74790000000002</v>
      </c>
      <c r="N65" s="55">
        <f>_xll.EQNXTDZ($A$1,$B65,N$1,$B$1)</f>
        <v>263.41680000000002</v>
      </c>
      <c r="O65" s="55">
        <f>_xll.EQNXTDZ($A$1,$B65,O$1,$B$1)</f>
        <v>272.66340000000002</v>
      </c>
      <c r="P65" s="55">
        <f>_xll.EQNXTDZ($A$1,$B65,P$1,$B$1)</f>
        <v>282.41449999999998</v>
      </c>
      <c r="Q65" s="55">
        <f>_xll.EQNXTDZ($A$1,$B65,Q$1,$B$1)</f>
        <v>264.6807</v>
      </c>
      <c r="R65" s="55">
        <f>_xll.EQNXTDZ($A$1,$B65,R$1,$B$1)</f>
        <v>301.02280000000002</v>
      </c>
      <c r="S65" s="55">
        <f>_xll.EQNXTDZ($A$1,$B65,S$1,$B$1)</f>
        <v>507.42619999999999</v>
      </c>
      <c r="T65" s="55">
        <f>_xll.EQNXTDZ($A$1,$B65,T$1,$B$1)</f>
        <v>511.18150000000003</v>
      </c>
      <c r="U65" s="55">
        <f>_xll.EQNXTDZ($A$1,$B65,U$1,$B$1)</f>
        <v>563.37210000000005</v>
      </c>
      <c r="V65" s="55">
        <f>_xll.EQNXTDZ($A$1,$B65,V$1,$B$1)</f>
        <v>567.99429999999995</v>
      </c>
      <c r="W65" s="55">
        <f>_xll.EQNXTDZ($A$1,$B65,W$1,$B$1)</f>
        <v>563.94320000000005</v>
      </c>
      <c r="X65" s="55">
        <f>_xll.EQNXTDZ($A$1,$B65,X$1,$B$1)</f>
        <v>523.96410000000003</v>
      </c>
      <c r="Y65" s="55">
        <f>_xll.EQNXTDZ($A$1,$B65,Y$1,$B$1)</f>
        <v>520.44600000000003</v>
      </c>
      <c r="Z65" s="55">
        <f>_xll.EQNXTDZ($A$1,$B65,Z$1,$B$1)</f>
        <v>551.21</v>
      </c>
      <c r="AA65" s="55">
        <f>_xll.EQNXTDZ($A$1,$B65,AA$1,$B$1)</f>
        <v>580.32000000000005</v>
      </c>
      <c r="AB65" s="55">
        <f>_xll.EQNXTDZ($A$1,$B65,AB$1,$B$1)</f>
        <v>646.72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7.0255000000000001</v>
      </c>
      <c r="L67" s="55">
        <f>_xll.EQNXTDZ($A$1,$B67,L$1,$B$1)</f>
        <v>182.5729</v>
      </c>
      <c r="M67" s="55">
        <f>_xll.EQNXTDZ($A$1,$B67,M$1,$B$1)</f>
        <v>3.4074</v>
      </c>
      <c r="N67" s="55">
        <f>_xll.EQNXTDZ($A$1,$B67,N$1,$B$1)</f>
        <v>1.7988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146.22569999999999</v>
      </c>
      <c r="S67" s="55">
        <f>_xll.EQNXTDZ($A$1,$B67,S$1,$B$1)</f>
        <v>31.0487</v>
      </c>
      <c r="T67" s="55">
        <f>_xll.EQNXTDZ($A$1,$B67,T$1,$B$1)</f>
        <v>70.110399999999998</v>
      </c>
      <c r="U67" s="55">
        <f>_xll.EQNXTDZ($A$1,$B67,U$1,$B$1)</f>
        <v>31.851199999999999</v>
      </c>
      <c r="V67" s="55">
        <f>_xll.EQNXTDZ($A$1,$B67,V$1,$B$1)</f>
        <v>13.1905</v>
      </c>
      <c r="W67" s="55">
        <f>_xll.EQNXTDZ($A$1,$B67,W$1,$B$1)</f>
        <v>1.4877</v>
      </c>
      <c r="X67" s="55">
        <f>_xll.EQNXTDZ($A$1,$B67,X$1,$B$1)</f>
        <v>2.8085</v>
      </c>
      <c r="Y67" s="55">
        <f>_xll.EQNXTDZ($A$1,$B67,Y$1,$B$1)</f>
        <v>1.0667</v>
      </c>
      <c r="Z67" s="55">
        <f>_xll.EQNXTDZ($A$1,$B67,Z$1,$B$1)</f>
        <v>5.75</v>
      </c>
      <c r="AA67" s="55">
        <f>_xll.EQNXTDZ($A$1,$B67,AA$1,$B$1)</f>
        <v>10.02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69.984700000000004</v>
      </c>
      <c r="L74" s="55">
        <f>_xll.EQNXTDZ($A$1,$B74,L$1,$B$1)</f>
        <v>232.69880000000001</v>
      </c>
      <c r="M74" s="55">
        <f>_xll.EQNXTDZ($A$1,$B74,M$1,$B$1)</f>
        <v>283.15530000000001</v>
      </c>
      <c r="N74" s="55">
        <f>_xll.EQNXTDZ($A$1,$B74,N$1,$B$1)</f>
        <v>265.21559999999999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447.24849999999998</v>
      </c>
      <c r="S74" s="55">
        <f>_xll.EQNXTDZ($A$1,$B74,S$1,$B$1)</f>
        <v>538.47490000000005</v>
      </c>
      <c r="T74" s="55">
        <f>_xll.EQNXTDZ($A$1,$B74,T$1,$B$1)</f>
        <v>581.29190000000006</v>
      </c>
      <c r="U74" s="55">
        <f>_xll.EQNXTDZ($A$1,$B74,U$1,$B$1)</f>
        <v>595.22329999999999</v>
      </c>
      <c r="V74" s="55">
        <f>_xll.EQNXTDZ($A$1,$B74,V$1,$B$1)</f>
        <v>581.1848</v>
      </c>
      <c r="W74" s="55">
        <f>_xll.EQNXTDZ($A$1,$B74,W$1,$B$1)</f>
        <v>565.43089999999995</v>
      </c>
      <c r="X74" s="55">
        <f>_xll.EQNXTDZ($A$1,$B74,X$1,$B$1)</f>
        <v>526.77260000000001</v>
      </c>
      <c r="Y74" s="55">
        <f>_xll.EQNXTDZ($A$1,$B74,Y$1,$B$1)</f>
        <v>521.5127</v>
      </c>
      <c r="Z74" s="55">
        <f>_xll.EQNXTDZ($A$1,$B74,Z$1,$B$1)</f>
        <v>556.96</v>
      </c>
      <c r="AA74" s="55">
        <f>_xll.EQNXTDZ($A$1,$B74,AA$1,$B$1)</f>
        <v>590.34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128.059</v>
      </c>
      <c r="L78" s="55">
        <f>_xll.EQNXTDZ($A$1,$B78,L$1,$B$1)</f>
        <v>321.89359999999999</v>
      </c>
      <c r="M78" s="55">
        <f>_xll.EQNXTDZ($A$1,$B78,M$1,$B$1)</f>
        <v>803.21100000000001</v>
      </c>
      <c r="N78" s="55">
        <f>_xll.EQNXTDZ($A$1,$B78,N$1,$B$1)</f>
        <v>2303.4029999999998</v>
      </c>
      <c r="O78" s="55">
        <f>_xll.EQNXTDZ($A$1,$B78,O$1,$B$1)</f>
        <v>2153.1855999999998</v>
      </c>
      <c r="P78" s="55">
        <f>_xll.EQNXTDZ($A$1,$B78,P$1,$B$1)</f>
        <v>2542.2912000000001</v>
      </c>
      <c r="Q78" s="55">
        <f>_xll.EQNXTDZ($A$1,$B78,Q$1,$B$1)</f>
        <v>2523.7784000000001</v>
      </c>
      <c r="R78" s="55">
        <f>_xll.EQNXTDZ($A$1,$B78,R$1,$B$1)</f>
        <v>2616.7626</v>
      </c>
      <c r="S78" s="55">
        <f>_xll.EQNXTDZ($A$1,$B78,S$1,$B$1)</f>
        <v>2429.8416000000002</v>
      </c>
      <c r="T78" s="55">
        <f>_xll.EQNXTDZ($A$1,$B78,T$1,$B$1)</f>
        <v>2644.6284000000001</v>
      </c>
      <c r="U78" s="55">
        <f>_xll.EQNXTDZ($A$1,$B78,U$1,$B$1)</f>
        <v>2420.6309000000001</v>
      </c>
      <c r="V78" s="55">
        <f>_xll.EQNXTDZ($A$1,$B78,V$1,$B$1)</f>
        <v>1423.2265</v>
      </c>
      <c r="W78" s="55">
        <f>_xll.EQNXTDZ($A$1,$B78,W$1,$B$1)</f>
        <v>2710.5185000000001</v>
      </c>
      <c r="X78" s="55">
        <f>_xll.EQNXTDZ($A$1,$B78,X$1,$B$1)</f>
        <v>3204.2193000000002</v>
      </c>
      <c r="Y78" s="55">
        <f>_xll.EQNXTDZ($A$1,$B78,Y$1,$B$1)</f>
        <v>4164.9219999999996</v>
      </c>
      <c r="Z78" s="55">
        <f>_xll.EQNXTDZ($A$1,$B78,Z$1,$B$1)</f>
        <v>4745.8999999999996</v>
      </c>
      <c r="AA78" s="55">
        <f>_xll.EQNXTDZ($A$1,$B78,AA$1,$B$1)</f>
        <v>1846.63</v>
      </c>
      <c r="AB78" s="55">
        <f>_xll.EQNXTDZ($A$1,$B78,AB$1,$B$1)</f>
        <v>3207.94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243.02459999999999</v>
      </c>
      <c r="L79" s="55">
        <f>_xll.EQNXTDZ($A$1,$B79,L$1,$B$1)</f>
        <v>314.52080000000001</v>
      </c>
      <c r="M79" s="55">
        <f>_xll.EQNXTDZ($A$1,$B79,M$1,$B$1)</f>
        <v>509.41539999999998</v>
      </c>
      <c r="N79" s="55">
        <f>_xll.EQNXTDZ($A$1,$B79,N$1,$B$1)</f>
        <v>857.94200000000001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2372.2887999999998</v>
      </c>
      <c r="S79" s="55">
        <f>_xll.EQNXTDZ($A$1,$B79,S$1,$B$1)</f>
        <v>3231.4902000000002</v>
      </c>
      <c r="T79" s="55">
        <f>_xll.EQNXTDZ($A$1,$B79,T$1,$B$1)</f>
        <v>3845.8119999999999</v>
      </c>
      <c r="U79" s="55">
        <f>_xll.EQNXTDZ($A$1,$B79,U$1,$B$1)</f>
        <v>4176.3446999999996</v>
      </c>
      <c r="V79" s="55">
        <f>_xll.EQNXTDZ($A$1,$B79,V$1,$B$1)</f>
        <v>4345.4558999999999</v>
      </c>
      <c r="W79" s="55">
        <f>_xll.EQNXTDZ($A$1,$B79,W$1,$B$1)</f>
        <v>4382.3477999999996</v>
      </c>
      <c r="X79" s="55">
        <f>_xll.EQNXTDZ($A$1,$B79,X$1,$B$1)</f>
        <v>4336.3678</v>
      </c>
      <c r="Y79" s="55">
        <f>_xll.EQNXTDZ($A$1,$B79,Y$1,$B$1)</f>
        <v>5097.7341999999999</v>
      </c>
      <c r="Z79" s="55">
        <f>_xll.EQNXTDZ($A$1,$B79,Z$1,$B$1)</f>
        <v>6680.47</v>
      </c>
      <c r="AA79" s="55">
        <f>_xll.EQNXTDZ($A$1,$B79,AA$1,$B$1)</f>
        <v>6287.89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14003.132100000001</v>
      </c>
      <c r="L84" s="55">
        <f>_xll.EQNXTDZ($A$1,$B84,L$1,$B$1)</f>
        <v>28143.123</v>
      </c>
      <c r="M84" s="55">
        <f>_xll.EQNXTDZ($A$1,$B84,M$1,$B$1)</f>
        <v>39525.810799999999</v>
      </c>
      <c r="N84" s="55">
        <f>_xll.EQNXTDZ($A$1,$B84,N$1,$B$1)</f>
        <v>46916.460400000004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80724.558399999994</v>
      </c>
      <c r="S84" s="55">
        <f>_xll.EQNXTDZ($A$1,$B84,S$1,$B$1)</f>
        <v>99225.246400000004</v>
      </c>
      <c r="T84" s="55">
        <f>_xll.EQNXTDZ($A$1,$B84,T$1,$B$1)</f>
        <v>118155.7637</v>
      </c>
      <c r="U84" s="55">
        <f>_xll.EQNXTDZ($A$1,$B84,U$1,$B$1)</f>
        <v>142997.8345</v>
      </c>
      <c r="V84" s="55">
        <f>_xll.EQNXTDZ($A$1,$B84,V$1,$B$1)</f>
        <v>162557.88879999999</v>
      </c>
      <c r="W84" s="55">
        <f>_xll.EQNXTDZ($A$1,$B84,W$1,$B$1)</f>
        <v>222592.06779999999</v>
      </c>
      <c r="X84" s="55">
        <f>_xll.EQNXTDZ($A$1,$B84,X$1,$B$1)</f>
        <v>268207.19890000002</v>
      </c>
      <c r="Y84" s="55">
        <f>_xll.EQNXTDZ($A$1,$B84,Y$1,$B$1)</f>
        <v>309586.55680000002</v>
      </c>
      <c r="Z84" s="55">
        <f>_xll.EQNXTDZ($A$1,$B84,Z$1,$B$1)</f>
        <v>392782.99</v>
      </c>
      <c r="AA84" s="55">
        <f>_xll.EQNXTDZ($A$1,$B84,AA$1,$B$1)</f>
        <v>450923.2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58.061</v>
      </c>
      <c r="M85" s="55">
        <f>_xll.EQNXTDZ($A$1,$B85,M$1,$B$1)</f>
        <v>100.3835</v>
      </c>
      <c r="N85" s="55">
        <f>_xll.EQNXTDZ($A$1,$B85,N$1,$B$1)</f>
        <v>136.46379999999999</v>
      </c>
      <c r="O85" s="55">
        <f>_xll.EQNXTDZ($A$1,$B85,O$1,$B$1)</f>
        <v>339.62020000000001</v>
      </c>
      <c r="P85" s="55">
        <f>_xll.EQNXTDZ($A$1,$B85,P$1,$B$1)</f>
        <v>444.89960000000002</v>
      </c>
      <c r="Q85" s="55">
        <f>_xll.EQNXTDZ($A$1,$B85,Q$1,$B$1)</f>
        <v>480.66559999999998</v>
      </c>
      <c r="R85" s="55">
        <f>_xll.EQNXTDZ($A$1,$B85,R$1,$B$1)</f>
        <v>466.79340000000002</v>
      </c>
      <c r="S85" s="55">
        <f>_xll.EQNXTDZ($A$1,$B85,S$1,$B$1)</f>
        <v>409.53070000000002</v>
      </c>
      <c r="T85" s="55">
        <f>_xll.EQNXTDZ($A$1,$B85,T$1,$B$1)</f>
        <v>548.55759999999998</v>
      </c>
      <c r="U85" s="55">
        <f>_xll.EQNXTDZ($A$1,$B85,U$1,$B$1)</f>
        <v>1132.7611999999999</v>
      </c>
      <c r="V85" s="55">
        <f>_xll.EQNXTDZ($A$1,$B85,V$1,$B$1)</f>
        <v>1114.5644</v>
      </c>
      <c r="W85" s="55">
        <f>_xll.EQNXTDZ($A$1,$B85,W$1,$B$1)</f>
        <v>1643.5340000000001</v>
      </c>
      <c r="X85" s="55">
        <f>_xll.EQNXTDZ($A$1,$B85,X$1,$B$1)</f>
        <v>1110.5116</v>
      </c>
      <c r="Y85" s="55">
        <f>_xll.EQNXTDZ($A$1,$B85,Y$1,$B$1)</f>
        <v>1077.4398000000001</v>
      </c>
      <c r="Z85" s="55">
        <f>_xll.EQNXTDZ($A$1,$B85,Z$1,$B$1)</f>
        <v>1339.56</v>
      </c>
      <c r="AA85" s="55">
        <f>_xll.EQNXTDZ($A$1,$B85,AA$1,$B$1)</f>
        <v>1211.71</v>
      </c>
      <c r="AB85" s="55">
        <f>_xll.EQNXTDZ($A$1,$B85,AB$1,$B$1)</f>
        <v>604.83000000000004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58.061</v>
      </c>
      <c r="M93" s="55">
        <f>_xll.EQNXTDZ($A$1,$B93,M$1,$B$1)</f>
        <v>100.3835</v>
      </c>
      <c r="N93" s="55">
        <f>_xll.EQNXTDZ($A$1,$B93,N$1,$B$1)</f>
        <v>136.46379999999999</v>
      </c>
      <c r="O93" s="55">
        <f>_xll.EQNXTDZ($A$1,$B93,O$1,$B$1)</f>
        <v>339.62020000000001</v>
      </c>
      <c r="P93" s="55">
        <f>_xll.EQNXTDZ($A$1,$B93,P$1,$B$1)</f>
        <v>444.89960000000002</v>
      </c>
      <c r="Q93" s="55">
        <f>_xll.EQNXTDZ($A$1,$B93,Q$1,$B$1)</f>
        <v>480.66559999999998</v>
      </c>
      <c r="R93" s="55">
        <f>_xll.EQNXTDZ($A$1,$B93,R$1,$B$1)</f>
        <v>466.79340000000002</v>
      </c>
      <c r="S93" s="55">
        <f>_xll.EQNXTDZ($A$1,$B93,S$1,$B$1)</f>
        <v>409.53070000000002</v>
      </c>
      <c r="T93" s="55">
        <f>_xll.EQNXTDZ($A$1,$B93,T$1,$B$1)</f>
        <v>448.55309999999997</v>
      </c>
      <c r="U93" s="55">
        <f>_xll.EQNXTDZ($A$1,$B93,U$1,$B$1)</f>
        <v>477.76119999999997</v>
      </c>
      <c r="V93" s="55">
        <f>_xll.EQNXTDZ($A$1,$B93,V$1,$B$1)</f>
        <v>254.56440000000001</v>
      </c>
      <c r="W93" s="55">
        <f>_xll.EQNXTDZ($A$1,$B93,W$1,$B$1)</f>
        <v>553.53399999999999</v>
      </c>
      <c r="X93" s="55">
        <f>_xll.EQNXTDZ($A$1,$B93,X$1,$B$1)</f>
        <v>490.51159999999999</v>
      </c>
      <c r="Y93" s="55">
        <f>_xll.EQNXTDZ($A$1,$B93,Y$1,$B$1)</f>
        <v>502.43979999999999</v>
      </c>
      <c r="Z93" s="55">
        <f>_xll.EQNXTDZ($A$1,$B93,Z$1,$B$1)</f>
        <v>565.98</v>
      </c>
      <c r="AA93" s="55">
        <f>_xll.EQNXTDZ($A$1,$B93,AA$1,$B$1)</f>
        <v>553.04</v>
      </c>
      <c r="AB93" s="55">
        <f>_xll.EQNXTDZ($A$1,$B93,AB$1,$B$1)</f>
        <v>504.83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100</v>
      </c>
      <c r="U94" s="55">
        <f>_xll.EQNXTDZ($A$1,$B94,U$1,$B$1)</f>
        <v>655</v>
      </c>
      <c r="V94" s="55">
        <f>_xll.EQNXTDZ($A$1,$B94,V$1,$B$1)</f>
        <v>860</v>
      </c>
      <c r="W94" s="55">
        <f>_xll.EQNXTDZ($A$1,$B94,W$1,$B$1)</f>
        <v>1090</v>
      </c>
      <c r="X94" s="55">
        <f>_xll.EQNXTDZ($A$1,$B94,X$1,$B$1)</f>
        <v>620</v>
      </c>
      <c r="Y94" s="55">
        <f>_xll.EQNXTDZ($A$1,$B94,Y$1,$B$1)</f>
        <v>575</v>
      </c>
      <c r="Z94" s="55">
        <f>_xll.EQNXTDZ($A$1,$B94,Z$1,$B$1)</f>
        <v>773.58</v>
      </c>
      <c r="AA94" s="55">
        <f>_xll.EQNXTDZ($A$1,$B94,AA$1,$B$1)</f>
        <v>658.67</v>
      </c>
      <c r="AB94" s="55">
        <f>_xll.EQNXTDZ($A$1,$B94,AB$1,$B$1)</f>
        <v>100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4.4999999999999997E-3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1000</v>
      </c>
      <c r="L104" s="55">
        <f>_xll.EQNXTDZ($A$1,$B104,L$1,$B$1)</f>
        <v>1000</v>
      </c>
      <c r="M104" s="55">
        <f>_xll.EQNXTDZ($A$1,$B104,M$1,$B$1)</f>
        <v>1000</v>
      </c>
      <c r="N104" s="55">
        <f>_xll.EQNXTDZ($A$1,$B104,N$1,$B$1)</f>
        <v>1000</v>
      </c>
      <c r="O104" s="55">
        <f>_xll.EQNXTDZ($A$1,$B104,O$1,$B$1)</f>
        <v>1000</v>
      </c>
      <c r="P104" s="55">
        <f>_xll.EQNXTDZ($A$1,$B104,P$1,$B$1)</f>
        <v>1000</v>
      </c>
      <c r="Q104" s="55">
        <f>_xll.EQNXTDZ($A$1,$B104,Q$1,$B$1)</f>
        <v>1000</v>
      </c>
      <c r="R104" s="55">
        <f>_xll.EQNXTDZ($A$1,$B104,R$1,$B$1)</f>
        <v>1000</v>
      </c>
      <c r="S104" s="55">
        <f>_xll.EQNXTDZ($A$1,$B104,S$1,$B$1)</f>
        <v>1000</v>
      </c>
      <c r="T104" s="55">
        <f>_xll.EQNXTDZ($A$1,$B104,T$1,$B$1)</f>
        <v>1000</v>
      </c>
      <c r="U104" s="55">
        <f>_xll.EQNXTDZ($A$1,$B104,U$1,$B$1)</f>
        <v>1000</v>
      </c>
      <c r="V104" s="55">
        <f>_xll.EQNXTDZ($A$1,$B104,V$1,$B$1)</f>
        <v>1000.0263</v>
      </c>
      <c r="W104" s="55">
        <f>_xll.EQNXTDZ($A$1,$B104,W$1,$B$1)</f>
        <v>1000.0709000000001</v>
      </c>
      <c r="X104" s="55">
        <f>_xll.EQNXTDZ($A$1,$B104,X$1,$B$1)</f>
        <v>1000.3706</v>
      </c>
      <c r="Y104" s="55">
        <f>_xll.EQNXTDZ($A$1,$B104,Y$1,$B$1)</f>
        <v>1000.8948</v>
      </c>
      <c r="Z104" s="55">
        <f>_xll.EQNXTDZ($A$1,$B104,Z$1,$B$1)</f>
        <v>1001.47</v>
      </c>
      <c r="AA104" s="55">
        <f>_xll.EQNXTDZ($A$1,$B104,AA$1,$B$1)</f>
        <v>1002.14</v>
      </c>
      <c r="AB104" s="55">
        <f>_xll.EQNXTDZ($A$1,$B104,AB$1,$B$1)</f>
        <v>1003.09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673.45</v>
      </c>
      <c r="U106" s="55">
        <f>_xll.EQNXTDZ($A$1,$B106,U$1,$B$1)</f>
        <v>579.54999999999995</v>
      </c>
      <c r="V106" s="55">
        <f>_xll.EQNXTDZ($A$1,$B106,V$1,$B$1)</f>
        <v>640.95000000000005</v>
      </c>
      <c r="W106" s="55">
        <f>_xll.EQNXTDZ($A$1,$B106,W$1,$B$1)</f>
        <v>880.5</v>
      </c>
      <c r="X106" s="55">
        <f>_xll.EQNXTDZ($A$1,$B106,X$1,$B$1)</f>
        <v>1120.2</v>
      </c>
      <c r="Y106" s="55">
        <f>_xll.EQNXTDZ($A$1,$B106,Y$1,$B$1)</f>
        <v>1099.6500000000001</v>
      </c>
      <c r="Z106" s="55">
        <f>_xll.EQNXTDZ($A$1,$B106,Z$1,$B$1)</f>
        <v>1497.95</v>
      </c>
      <c r="AA106" s="55">
        <f>_xll.EQNXTDZ($A$1,$B106,AA$1,$B$1)</f>
        <v>1548.05</v>
      </c>
      <c r="AB106" s="55">
        <f>_xll.EQNXTDZ($A$1,$B106,AB$1,$B$1)</f>
        <v>1777.65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738</v>
      </c>
      <c r="U107" s="55">
        <f>_xll.EQNXTDZ($A$1,$B107,U$1,$B$1)</f>
        <v>774.75</v>
      </c>
      <c r="V107" s="55">
        <f>_xll.EQNXTDZ($A$1,$B107,V$1,$B$1)</f>
        <v>1030</v>
      </c>
      <c r="W107" s="55">
        <f>_xll.EQNXTDZ($A$1,$B107,W$1,$B$1)</f>
        <v>983.95</v>
      </c>
      <c r="X107" s="55">
        <f>_xll.EQNXTDZ($A$1,$B107,X$1,$B$1)</f>
        <v>1293</v>
      </c>
      <c r="Y107" s="55">
        <f>_xll.EQNXTDZ($A$1,$B107,Y$1,$B$1)</f>
        <v>1339.55</v>
      </c>
      <c r="Z107" s="55">
        <f>_xll.EQNXTDZ($A$1,$B107,Z$1,$B$1)</f>
        <v>1571.55</v>
      </c>
      <c r="AA107" s="55">
        <f>_xll.EQNXTDZ($A$1,$B107,AA$1,$B$1)</f>
        <v>1935</v>
      </c>
      <c r="AB107" s="55">
        <f>_xll.EQNXTDZ($A$1,$B107,AB$1,$B$1)</f>
        <v>2132.9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628.5</v>
      </c>
      <c r="U108" s="55">
        <f>_xll.EQNXTDZ($A$1,$B108,U$1,$B$1)</f>
        <v>487</v>
      </c>
      <c r="V108" s="55">
        <f>_xll.EQNXTDZ($A$1,$B108,V$1,$B$1)</f>
        <v>520</v>
      </c>
      <c r="W108" s="55">
        <f>_xll.EQNXTDZ($A$1,$B108,W$1,$B$1)</f>
        <v>627.35</v>
      </c>
      <c r="X108" s="55">
        <f>_xll.EQNXTDZ($A$1,$B108,X$1,$B$1)</f>
        <v>865.2</v>
      </c>
      <c r="Y108" s="55">
        <f>_xll.EQNXTDZ($A$1,$B108,Y$1,$B$1)</f>
        <v>1034.95</v>
      </c>
      <c r="Z108" s="55">
        <f>_xll.EQNXTDZ($A$1,$B108,Z$1,$B$1)</f>
        <v>1091</v>
      </c>
      <c r="AA108" s="55">
        <f>_xll.EQNXTDZ($A$1,$B108,AA$1,$B$1)</f>
        <v>1307</v>
      </c>
      <c r="AB108" s="55">
        <f>_xll.EQNXTDZ($A$1,$B108,AB$1,$B$1)</f>
        <v>1434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67345</v>
      </c>
      <c r="U109" s="55">
        <f>_xll.EQNXTDZ($A$1,$B109,U$1,$B$1)</f>
        <v>57955</v>
      </c>
      <c r="V109" s="55">
        <f>_xll.EQNXTDZ($A$1,$B109,V$1,$B$1)</f>
        <v>64096.685698499998</v>
      </c>
      <c r="W109" s="55">
        <f>_xll.EQNXTDZ($A$1,$B109,W$1,$B$1)</f>
        <v>88056.242744999996</v>
      </c>
      <c r="X109" s="55">
        <f>_xll.EQNXTDZ($A$1,$B109,X$1,$B$1)</f>
        <v>112061.514612</v>
      </c>
      <c r="Y109" s="55">
        <f>_xll.EQNXTDZ($A$1,$B109,Y$1,$B$1)</f>
        <v>110063.39668200001</v>
      </c>
      <c r="Z109" s="55">
        <f>_xll.EQNXTDZ($A$1,$B109,Z$1,$B$1)</f>
        <v>150015.19865000001</v>
      </c>
      <c r="AA109" s="55">
        <f>_xll.EQNXTDZ($A$1,$B109,AA$1,$B$1)</f>
        <v>155136.28270000001</v>
      </c>
      <c r="AB109" s="55">
        <f>_xll.EQNXTDZ($A$1,$B109,AB$1,$B$1)</f>
        <v>178314.29384999999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0.5</v>
      </c>
      <c r="O110" s="55">
        <f>_xll.EQNXTDZ($A$1,$B110,O$1,$B$1)</f>
        <v>0.5</v>
      </c>
      <c r="P110" s="55">
        <f>_xll.EQNXTDZ($A$1,$B110,P$1,$B$1)</f>
        <v>1</v>
      </c>
      <c r="Q110" s="55">
        <f>_xll.EQNXTDZ($A$1,$B110,Q$1,$B$1)</f>
        <v>1.2</v>
      </c>
      <c r="R110" s="55">
        <f>_xll.EQNXTDZ($A$1,$B110,R$1,$B$1)</f>
        <v>1.5</v>
      </c>
      <c r="S110" s="55">
        <f>_xll.EQNXTDZ($A$1,$B110,S$1,$B$1)</f>
        <v>1.5</v>
      </c>
      <c r="T110" s="55">
        <f>_xll.EQNXTDZ($A$1,$B110,T$1,$B$1)</f>
        <v>2</v>
      </c>
      <c r="U110" s="55">
        <f>_xll.EQNXTDZ($A$1,$B110,U$1,$B$1)</f>
        <v>2</v>
      </c>
      <c r="V110" s="55">
        <f>_xll.EQNXTDZ($A$1,$B110,V$1,$B$1)</f>
        <v>0</v>
      </c>
      <c r="W110" s="55">
        <f>_xll.EQNXTDZ($A$1,$B110,W$1,$B$1)</f>
        <v>2.5</v>
      </c>
      <c r="X110" s="55">
        <f>_xll.EQNXTDZ($A$1,$B110,X$1,$B$1)</f>
        <v>2</v>
      </c>
      <c r="Y110" s="55">
        <f>_xll.EQNXTDZ($A$1,$B110,Y$1,$B$1)</f>
        <v>2.5</v>
      </c>
      <c r="Z110" s="55">
        <f>_xll.EQNXTDZ($A$1,$B110,Z$1,$B$1)</f>
        <v>2.7</v>
      </c>
      <c r="AA110" s="55">
        <f>_xll.EQNXTDZ($A$1,$B110,AA$1,$B$1)</f>
        <v>2.7</v>
      </c>
      <c r="AB110" s="55">
        <f>_xll.EQNXTDZ($A$1,$B110,AB$1,$B$1)</f>
        <v>2.7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96.1</v>
      </c>
      <c r="T112" s="56">
        <f>_xll.EQNXTDZ($A$1,$B112,T$5)</f>
        <v>84.1</v>
      </c>
      <c r="U112" s="56">
        <f>_xll.EQNXTDZ($A$1,$B112,U$5)</f>
        <v>69.8</v>
      </c>
      <c r="V112" s="56">
        <f>_xll.EQNXTDZ($A$1,$B112,V$5)</f>
        <v>62.8</v>
      </c>
      <c r="W112" s="56">
        <f>_xll.EQNXTDZ($A$1,$B112,W$5)</f>
        <v>55.7</v>
      </c>
      <c r="X112" s="56">
        <f>_xll.EQNXTDZ($A$1,$B112,X$5)</f>
        <v>55.48</v>
      </c>
      <c r="Y112" s="56">
        <f>_xll.EQNXTDZ($A$1,$B112,Y$5)</f>
        <v>55.45</v>
      </c>
      <c r="Z112" s="56">
        <f>_xll.EQNXTDZ($A$1,$B112,Z$5)</f>
        <v>55.42</v>
      </c>
      <c r="AA112" s="56">
        <f>_xll.EQNXTDZ($A$1,$B112,AA$5)</f>
        <v>55.38</v>
      </c>
      <c r="AB112" s="56">
        <f>_xll.EQNXTDZ($A$1,$B112,AB$5)</f>
        <v>55.33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211385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735</v>
      </c>
      <c r="BP6" cm="1">
        <f t="array" ref="BP6">_xll.EQNXTDZ($A$1,$B6,BP$1)</f>
        <v>664</v>
      </c>
      <c r="BQ6" cm="1">
        <f t="array" ref="BQ6">_xll.EQNXTDZ($A$1,$B6,BQ$1)</f>
        <v>658</v>
      </c>
      <c r="BR6" cm="1">
        <f t="array" ref="BR6">_xll.EQNXTDZ($A$1,$B6,BR$1)</f>
        <v>694</v>
      </c>
      <c r="BS6" cm="1">
        <f t="array" ref="BS6">_xll.EQNXTDZ($A$1,$B6,BS$1)</f>
        <v>665</v>
      </c>
      <c r="BT6" cm="1">
        <f t="array" ref="BT6">_xll.EQNXTDZ($A$1,$B6,BT$1)</f>
        <v>695.9</v>
      </c>
      <c r="BU6" cm="1">
        <f t="array" ref="BU6">_xll.EQNXTDZ($A$1,$B6,BU$1)</f>
        <v>681</v>
      </c>
      <c r="BV6" cm="1">
        <f t="array" ref="BV6">_xll.EQNXTDZ($A$1,$B6,BV$1)</f>
        <v>736.5</v>
      </c>
      <c r="BW6" cm="1">
        <f t="array" ref="BW6">_xll.EQNXTDZ($A$1,$B6,BW$1)</f>
        <v>688.9</v>
      </c>
      <c r="BX6" cm="1">
        <f t="array" ref="BX6">_xll.EQNXTDZ($A$1,$B6,BX$1)</f>
        <v>675.3</v>
      </c>
      <c r="BY6" cm="1">
        <f t="array" ref="BY6">_xll.EQNXTDZ($A$1,$B6,BY$1)</f>
        <v>691.1</v>
      </c>
      <c r="BZ6" cm="1">
        <f t="array" ref="BZ6">_xll.EQNXTDZ($A$1,$B6,BZ$1)</f>
        <v>668.6</v>
      </c>
      <c r="CA6" cm="1">
        <f t="array" ref="CA6">_xll.EQNXTDZ($A$1,$B6,CA$1)</f>
        <v>512</v>
      </c>
      <c r="CB6" cm="1">
        <f t="array" ref="CB6">_xll.EQNXTDZ($A$1,$B6,CB$1)</f>
        <v>558</v>
      </c>
      <c r="CC6" cm="1">
        <f t="array" ref="CC6">_xll.EQNXTDZ($A$1,$B6,CC$1)</f>
        <v>565.20000000000005</v>
      </c>
      <c r="CD6" cm="1">
        <f t="array" ref="CD6">_xll.EQNXTDZ($A$1,$B6,CD$1)</f>
        <v>595.25</v>
      </c>
      <c r="CE6" cm="1">
        <f t="array" ref="CE6">_xll.EQNXTDZ($A$1,$B6,CE$1)</f>
        <v>600</v>
      </c>
      <c r="CF6" cm="1">
        <f t="array" ref="CF6">_xll.EQNXTDZ($A$1,$B6,CF$1)</f>
        <v>581.95000000000005</v>
      </c>
      <c r="CG6" cm="1">
        <f t="array" ref="CG6">_xll.EQNXTDZ($A$1,$B6,CG$1)</f>
        <v>584.9</v>
      </c>
      <c r="CH6" cm="1">
        <f t="array" ref="CH6">_xll.EQNXTDZ($A$1,$B6,CH$1)</f>
        <v>639.95000000000005</v>
      </c>
      <c r="CI6" cm="1">
        <f t="array" ref="CI6">_xll.EQNXTDZ($A$1,$B6,CI$1)</f>
        <v>687</v>
      </c>
      <c r="CJ6" cm="1">
        <f t="array" ref="CJ6">_xll.EQNXTDZ($A$1,$B6,CJ$1)</f>
        <v>724.8</v>
      </c>
      <c r="CK6" cm="1">
        <f t="array" ref="CK6">_xll.EQNXTDZ($A$1,$B6,CK$1)</f>
        <v>790.35</v>
      </c>
      <c r="CL6" cm="1">
        <f t="array" ref="CL6">_xll.EQNXTDZ($A$1,$B6,CL$1)</f>
        <v>832.8</v>
      </c>
      <c r="CM6" cm="1">
        <f t="array" ref="CM6">_xll.EQNXTDZ($A$1,$B6,CM$1)</f>
        <v>846</v>
      </c>
      <c r="CN6" cm="1">
        <f t="array" ref="CN6">_xll.EQNXTDZ($A$1,$B6,CN$1)</f>
        <v>993.3</v>
      </c>
      <c r="CO6" cm="1">
        <f t="array" ref="CO6">_xll.EQNXTDZ($A$1,$B6,CO$1)</f>
        <v>959.15</v>
      </c>
      <c r="CP6" cm="1">
        <f t="array" ref="CP6">_xll.EQNXTDZ($A$1,$B6,CP$1)</f>
        <v>965</v>
      </c>
      <c r="CQ6" cm="1">
        <f t="array" ref="CQ6">_xll.EQNXTDZ($A$1,$B6,CQ$1)</f>
        <v>998</v>
      </c>
      <c r="CR6" cm="1">
        <f t="array" ref="CR6">_xll.EQNXTDZ($A$1,$B6,CR$1)</f>
        <v>895.15</v>
      </c>
      <c r="CS6" cm="1">
        <f t="array" ref="CS6">_xll.EQNXTDZ($A$1,$B6,CS$1)</f>
        <v>641.9</v>
      </c>
      <c r="CT6" cm="1">
        <f t="array" ref="CT6">_xll.EQNXTDZ($A$1,$B6,CT$1)</f>
        <v>710</v>
      </c>
      <c r="CU6" cm="1">
        <f t="array" ref="CU6">_xll.EQNXTDZ($A$1,$B6,CU$1)</f>
        <v>776</v>
      </c>
      <c r="CV6" cm="1">
        <f t="array" ref="CV6">_xll.EQNXTDZ($A$1,$B6,CV$1)</f>
        <v>814.95</v>
      </c>
      <c r="CW6" cm="1">
        <f t="array" ref="CW6">_xll.EQNXTDZ($A$1,$B6,CW$1)</f>
        <v>911</v>
      </c>
      <c r="CX6" cm="1">
        <f t="array" ref="CX6">_xll.EQNXTDZ($A$1,$B6,CX$1)</f>
        <v>825</v>
      </c>
      <c r="CY6" cm="1">
        <f t="array" ref="CY6">_xll.EQNXTDZ($A$1,$B6,CY$1)</f>
        <v>817</v>
      </c>
      <c r="CZ6" cm="1">
        <f t="array" ref="CZ6">_xll.EQNXTDZ($A$1,$B6,CZ$1)</f>
        <v>771</v>
      </c>
      <c r="DA6" cm="1">
        <f t="array" ref="DA6">_xll.EQNXTDZ($A$1,$B6,DA$1)</f>
        <v>849.9</v>
      </c>
      <c r="DB6" cm="1">
        <f t="array" ref="DB6">_xll.EQNXTDZ($A$1,$B6,DB$1)</f>
        <v>903</v>
      </c>
      <c r="DC6" cm="1">
        <f t="array" ref="DC6">_xll.EQNXTDZ($A$1,$B6,DC$1)</f>
        <v>875</v>
      </c>
      <c r="DD6" cm="1">
        <f t="array" ref="DD6">_xll.EQNXTDZ($A$1,$B6,DD$1)</f>
        <v>860</v>
      </c>
      <c r="DE6" cm="1">
        <f t="array" ref="DE6">_xll.EQNXTDZ($A$1,$B6,DE$1)</f>
        <v>881.6</v>
      </c>
      <c r="DF6" cm="1">
        <f t="array" ref="DF6">_xll.EQNXTDZ($A$1,$B6,DF$1)</f>
        <v>921.95</v>
      </c>
      <c r="DG6" cm="1">
        <f t="array" ref="DG6">_xll.EQNXTDZ($A$1,$B6,DG$1)</f>
        <v>978.4</v>
      </c>
      <c r="DH6" cm="1">
        <f t="array" ref="DH6">_xll.EQNXTDZ($A$1,$B6,DH$1)</f>
        <v>1009</v>
      </c>
      <c r="DI6" cm="1">
        <f t="array" ref="DI6">_xll.EQNXTDZ($A$1,$B6,DI$1)</f>
        <v>1111.05</v>
      </c>
      <c r="DJ6" cm="1">
        <f t="array" ref="DJ6">_xll.EQNXTDZ($A$1,$B6,DJ$1)</f>
        <v>1189</v>
      </c>
      <c r="DK6" cm="1">
        <f t="array" ref="DK6">_xll.EQNXTDZ($A$1,$B6,DK$1)</f>
        <v>1204</v>
      </c>
      <c r="DL6" cm="1">
        <f t="array" ref="DL6">_xll.EQNXTDZ($A$1,$B6,DL$1)</f>
        <v>1148</v>
      </c>
      <c r="DM6" cm="1">
        <f t="array" ref="DM6">_xll.EQNXTDZ($A$1,$B6,DM$1)</f>
        <v>1160.8</v>
      </c>
      <c r="DN6" cm="1">
        <f t="array" ref="DN6">_xll.EQNXTDZ($A$1,$B6,DN$1)</f>
        <v>1196</v>
      </c>
      <c r="DO6" cm="1">
        <f t="array" ref="DO6">_xll.EQNXTDZ($A$1,$B6,DO$1)</f>
        <v>1250</v>
      </c>
      <c r="DP6" cm="1">
        <f t="array" ref="DP6">_xll.EQNXTDZ($A$1,$B6,DP$1)</f>
        <v>1060</v>
      </c>
      <c r="DQ6" cm="1">
        <f t="array" ref="DQ6">_xll.EQNXTDZ($A$1,$B6,DQ$1)</f>
        <v>1119</v>
      </c>
      <c r="DR6" cm="1">
        <f t="array" ref="DR6">_xll.EQNXTDZ($A$1,$B6,DR$1)</f>
        <v>1088.95</v>
      </c>
      <c r="DS6" cm="1">
        <f t="array" ref="DS6">_xll.EQNXTDZ($A$1,$B6,DS$1)</f>
        <v>1162</v>
      </c>
      <c r="DT6" cm="1">
        <f t="array" ref="DT6">_xll.EQNXTDZ($A$1,$B6,DT$1)</f>
        <v>1085.45</v>
      </c>
      <c r="DU6" cm="1">
        <f t="array" ref="DU6">_xll.EQNXTDZ($A$1,$B6,DU$1)</f>
        <v>1300</v>
      </c>
      <c r="DV6" cm="1">
        <f t="array" ref="DV6">_xll.EQNXTDZ($A$1,$B6,DV$1)</f>
        <v>1291.0999999999999</v>
      </c>
      <c r="DW6" cm="1">
        <f t="array" ref="DW6">_xll.EQNXTDZ($A$1,$B6,DW$1)</f>
        <v>1255.5999999999999</v>
      </c>
      <c r="DX6" cm="1">
        <f t="array" ref="DX6">_xll.EQNXTDZ($A$1,$B6,DX$1)</f>
        <v>1265.95</v>
      </c>
      <c r="DY6" cm="1">
        <f t="array" ref="DY6">_xll.EQNXTDZ($A$1,$B6,DY$1)</f>
        <v>1290</v>
      </c>
      <c r="DZ6" cm="1">
        <f t="array" ref="DZ6">_xll.EQNXTDZ($A$1,$B6,DZ$1)</f>
        <v>1230</v>
      </c>
      <c r="EA6" cm="1">
        <f t="array" ref="EA6">_xll.EQNXTDZ($A$1,$B6,EA$1)</f>
        <v>1219.55</v>
      </c>
      <c r="EB6" cm="1">
        <f t="array" ref="EB6">_xll.EQNXTDZ($A$1,$B6,EB$1)</f>
        <v>1126.6500000000001</v>
      </c>
      <c r="EC6" cm="1">
        <f t="array" ref="EC6">_xll.EQNXTDZ($A$1,$B6,EC$1)</f>
        <v>1100</v>
      </c>
      <c r="ED6" cm="1">
        <f t="array" ref="ED6">_xll.EQNXTDZ($A$1,$B6,ED$1)</f>
        <v>1147</v>
      </c>
      <c r="EE6" cm="1">
        <f t="array" ref="EE6">_xll.EQNXTDZ($A$1,$B6,EE$1)</f>
        <v>1241.5</v>
      </c>
      <c r="EF6" cm="1">
        <f t="array" ref="EF6">_xll.EQNXTDZ($A$1,$B6,EF$1)</f>
        <v>1307.95</v>
      </c>
      <c r="EG6" cm="1">
        <f t="array" ref="EG6">_xll.EQNXTDZ($A$1,$B6,EG$1)</f>
        <v>1285</v>
      </c>
      <c r="EH6" cm="1">
        <f t="array" ref="EH6">_xll.EQNXTDZ($A$1,$B6,EH$1)</f>
        <v>1297.95</v>
      </c>
      <c r="EI6" cm="1">
        <f t="array" ref="EI6">_xll.EQNXTDZ($A$1,$B6,EI$1)</f>
        <v>1302.1500000000001</v>
      </c>
      <c r="EJ6" cm="1">
        <f t="array" ref="EJ6">_xll.EQNXTDZ($A$1,$B6,EJ$1)</f>
        <v>1371.05</v>
      </c>
      <c r="EK6" cm="1">
        <f t="array" ref="EK6">_xll.EQNXTDZ($A$1,$B6,EK$1)</f>
        <v>1438.05</v>
      </c>
      <c r="EL6" cm="1">
        <f t="array" ref="EL6">_xll.EQNXTDZ($A$1,$B6,EL$1)</f>
        <v>1435.85</v>
      </c>
      <c r="EM6" cm="1">
        <f t="array" ref="EM6">_xll.EQNXTDZ($A$1,$B6,EM$1)</f>
        <v>1407.3</v>
      </c>
      <c r="EN6" cm="1">
        <f t="array" ref="EN6">_xll.EQNXTDZ($A$1,$B6,EN$1)</f>
        <v>1564.9</v>
      </c>
      <c r="EO6" cm="1">
        <f t="array" ref="EO6">_xll.EQNXTDZ($A$1,$B6,EO$1)</f>
        <v>1498</v>
      </c>
      <c r="EP6" cm="1">
        <f t="array" ref="EP6">_xll.EQNXTDZ($A$1,$B6,EP$1)</f>
        <v>1416.35</v>
      </c>
      <c r="EQ6" cm="1">
        <f t="array" ref="EQ6">_xll.EQNXTDZ($A$1,$B6,EQ$1)</f>
        <v>1435.3</v>
      </c>
      <c r="ER6" cm="1">
        <f t="array" ref="ER6">_xll.EQNXTDZ($A$1,$B6,ER$1)</f>
        <v>1491.95</v>
      </c>
      <c r="ES6" cm="1">
        <f t="array" ref="ES6">_xll.EQNXTDZ($A$1,$B6,ES$1)</f>
        <v>1791.1</v>
      </c>
      <c r="ET6" cm="1">
        <f t="array" ref="ET6">_xll.EQNXTDZ($A$1,$B6,ET$1)</f>
        <v>1850.3</v>
      </c>
      <c r="EU6" cm="1">
        <f t="array" ref="EU6">_xll.EQNXTDZ($A$1,$B6,EU$1)</f>
        <v>1840.2</v>
      </c>
      <c r="EV6" cm="1">
        <f t="array" ref="EV6">_xll.EQNXTDZ($A$1,$B6,EV$1)</f>
        <v>1639.4</v>
      </c>
      <c r="EW6" cm="1">
        <f t="array" ref="EW6">_xll.EQNXTDZ($A$1,$B6,EW$1)</f>
        <v>1428.4</v>
      </c>
      <c r="EX6" cm="1">
        <f t="array" ref="EX6">_xll.EQNXTDZ($A$1,$B6,EX$1)</f>
        <v>1392.2</v>
      </c>
      <c r="EY6" cm="1">
        <f t="array" ref="EY6">_xll.EQNXTDZ($A$1,$B6,EY$1)</f>
        <v>1475.6</v>
      </c>
      <c r="EZ6" cm="1">
        <f t="array" ref="EZ6">_xll.EQNXTDZ($A$1,$B6,EZ$1)</f>
        <v>1432.55</v>
      </c>
      <c r="FA6" cm="1">
        <f t="array" ref="FA6">_xll.EQNXTDZ($A$1,$B6,FA$1)</f>
        <v>1537.75</v>
      </c>
      <c r="FB6" cm="1">
        <f t="array" ref="FB6">_xll.EQNXTDZ($A$1,$B6,FB$1)</f>
        <v>1761</v>
      </c>
      <c r="FC6" cm="1">
        <f t="array" ref="FC6">_xll.EQNXTDZ($A$1,$B6,FC$1)</f>
        <v>1812.2</v>
      </c>
      <c r="FD6" cm="1">
        <f t="array" ref="FD6">_xll.EQNXTDZ($A$1,$B6,FD$1)</f>
        <v>1831</v>
      </c>
      <c r="FE6" cm="1">
        <f t="array" ref="FE6">_xll.EQNXTDZ($A$1,$B6,FE$1)</f>
        <v>1840</v>
      </c>
      <c r="FF6" cm="1">
        <f t="array" ref="FF6">_xll.EQNXTDZ($A$1,$B6,FF$1)</f>
        <v>1800</v>
      </c>
      <c r="FG6" cm="1">
        <f t="array" ref="FG6">_xll.EQNXTDZ($A$1,$B6,FG$1)</f>
        <v>1783</v>
      </c>
      <c r="FH6" cm="1">
        <f t="array" ref="FH6">_xll.EQNXTDZ($A$1,$B6,FH$1)</f>
        <v>1950</v>
      </c>
      <c r="FI6" cm="1">
        <f t="array" ref="FI6">_xll.EQNXTDZ($A$1,$B6,FI$1)</f>
        <v>1967</v>
      </c>
      <c r="FJ6" cm="1">
        <f t="array" ref="FJ6">_xll.EQNXTDZ($A$1,$B6,FJ$1)</f>
        <v>2034.9</v>
      </c>
      <c r="FK6" cm="1">
        <f t="array" ref="FK6">_xll.EQNXTDZ($A$1,$B6,FK$1)</f>
        <v>1998.5</v>
      </c>
      <c r="FL6" cm="1">
        <f t="array" ref="FL6">_xll.EQNXTDZ($A$1,$B6,FL$1)</f>
        <v>2028</v>
      </c>
      <c r="FM6" cm="1">
        <f t="array" ref="FM6">_xll.EQNXTDZ($A$1,$B6,FM$1)</f>
        <v>1828.4</v>
      </c>
      <c r="FN6" cm="1">
        <f t="array" ref="FN6">_xll.EQNXTDZ($A$1,$B6,FN$1)</f>
        <v>1810.1</v>
      </c>
      <c r="FO6" cm="1">
        <f t="array" ref="FO6">_xll.EQNXTDZ($A$1,$B6,FO$1)</f>
        <v>1839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740</v>
      </c>
      <c r="BP7" s="116" cm="1">
        <f t="array" ref="BP7">_xll.EQNXTDZ($A$1,$B7,BP$1)</f>
        <v>698.95</v>
      </c>
      <c r="BQ7" s="116" cm="1">
        <f t="array" ref="BQ7">_xll.EQNXTDZ($A$1,$B7,BQ$1)</f>
        <v>707.8</v>
      </c>
      <c r="BR7" s="116" cm="1">
        <f t="array" ref="BR7">_xll.EQNXTDZ($A$1,$B7,BR$1)</f>
        <v>724.6</v>
      </c>
      <c r="BS7" s="116" cm="1">
        <f t="array" ref="BS7">_xll.EQNXTDZ($A$1,$B7,BS$1)</f>
        <v>733.25</v>
      </c>
      <c r="BT7" s="116" cm="1">
        <f t="array" ref="BT7">_xll.EQNXTDZ($A$1,$B7,BT$1)</f>
        <v>711</v>
      </c>
      <c r="BU7" s="116" cm="1">
        <f t="array" ref="BU7">_xll.EQNXTDZ($A$1,$B7,BU$1)</f>
        <v>774.6</v>
      </c>
      <c r="BV7" s="116" cm="1">
        <f t="array" ref="BV7">_xll.EQNXTDZ($A$1,$B7,BV$1)</f>
        <v>757.65</v>
      </c>
      <c r="BW7" s="116" cm="1">
        <f t="array" ref="BW7">_xll.EQNXTDZ($A$1,$B7,BW$1)</f>
        <v>729.9</v>
      </c>
      <c r="BX7" s="116" cm="1">
        <f t="array" ref="BX7">_xll.EQNXTDZ($A$1,$B7,BX$1)</f>
        <v>711.7</v>
      </c>
      <c r="BY7" s="116" cm="1">
        <f t="array" ref="BY7">_xll.EQNXTDZ($A$1,$B7,BY$1)</f>
        <v>708.25</v>
      </c>
      <c r="BZ7" s="116" cm="1">
        <f t="array" ref="BZ7">_xll.EQNXTDZ($A$1,$B7,BZ$1)</f>
        <v>686.85</v>
      </c>
      <c r="CA7" s="116" cm="1">
        <f t="array" ref="CA7">_xll.EQNXTDZ($A$1,$B7,CA$1)</f>
        <v>599.79999999999995</v>
      </c>
      <c r="CB7" s="116" cm="1">
        <f t="array" ref="CB7">_xll.EQNXTDZ($A$1,$B7,CB$1)</f>
        <v>590.9</v>
      </c>
      <c r="CC7" s="116" cm="1">
        <f t="array" ref="CC7">_xll.EQNXTDZ($A$1,$B7,CC$1)</f>
        <v>607.15</v>
      </c>
      <c r="CD7" s="116" cm="1">
        <f t="array" ref="CD7">_xll.EQNXTDZ($A$1,$B7,CD$1)</f>
        <v>649.75</v>
      </c>
      <c r="CE7" s="116" cm="1">
        <f t="array" ref="CE7">_xll.EQNXTDZ($A$1,$B7,CE$1)</f>
        <v>604</v>
      </c>
      <c r="CF7" s="116" cm="1">
        <f t="array" ref="CF7">_xll.EQNXTDZ($A$1,$B7,CF$1)</f>
        <v>634.9</v>
      </c>
      <c r="CG7" s="116" cm="1">
        <f t="array" ref="CG7">_xll.EQNXTDZ($A$1,$B7,CG$1)</f>
        <v>644.79999999999995</v>
      </c>
      <c r="CH7" s="116" cm="1">
        <f t="array" ref="CH7">_xll.EQNXTDZ($A$1,$B7,CH$1)</f>
        <v>704</v>
      </c>
      <c r="CI7" s="116" cm="1">
        <f t="array" ref="CI7">_xll.EQNXTDZ($A$1,$B7,CI$1)</f>
        <v>744</v>
      </c>
      <c r="CJ7" s="116" cm="1">
        <f t="array" ref="CJ7">_xll.EQNXTDZ($A$1,$B7,CJ$1)</f>
        <v>808.5</v>
      </c>
      <c r="CK7" s="116" cm="1">
        <f t="array" ref="CK7">_xll.EQNXTDZ($A$1,$B7,CK$1)</f>
        <v>862.45</v>
      </c>
      <c r="CL7" s="116" cm="1">
        <f t="array" ref="CL7">_xll.EQNXTDZ($A$1,$B7,CL$1)</f>
        <v>851.6</v>
      </c>
      <c r="CM7" s="116" cm="1">
        <f t="array" ref="CM7">_xll.EQNXTDZ($A$1,$B7,CM$1)</f>
        <v>1030</v>
      </c>
      <c r="CN7" s="116" cm="1">
        <f t="array" ref="CN7">_xll.EQNXTDZ($A$1,$B7,CN$1)</f>
        <v>1026</v>
      </c>
      <c r="CO7" s="116" cm="1">
        <f t="array" ref="CO7">_xll.EQNXTDZ($A$1,$B7,CO$1)</f>
        <v>1011.7</v>
      </c>
      <c r="CP7" s="116" cm="1">
        <f t="array" ref="CP7">_xll.EQNXTDZ($A$1,$B7,CP$1)</f>
        <v>1020</v>
      </c>
      <c r="CQ7" s="116" cm="1">
        <f t="array" ref="CQ7">_xll.EQNXTDZ($A$1,$B7,CQ$1)</f>
        <v>1012.9</v>
      </c>
      <c r="CR7" s="116" cm="1">
        <f t="array" ref="CR7">_xll.EQNXTDZ($A$1,$B7,CR$1)</f>
        <v>914</v>
      </c>
      <c r="CS7" s="116" cm="1">
        <f t="array" ref="CS7">_xll.EQNXTDZ($A$1,$B7,CS$1)</f>
        <v>795</v>
      </c>
      <c r="CT7" s="116" cm="1">
        <f t="array" ref="CT7">_xll.EQNXTDZ($A$1,$B7,CT$1)</f>
        <v>783</v>
      </c>
      <c r="CU7" s="116" cm="1">
        <f t="array" ref="CU7">_xll.EQNXTDZ($A$1,$B7,CU$1)</f>
        <v>820.5</v>
      </c>
      <c r="CV7" s="116" cm="1">
        <f t="array" ref="CV7">_xll.EQNXTDZ($A$1,$B7,CV$1)</f>
        <v>921.75</v>
      </c>
      <c r="CW7" s="116" cm="1">
        <f t="array" ref="CW7">_xll.EQNXTDZ($A$1,$B7,CW$1)</f>
        <v>911</v>
      </c>
      <c r="CX7" s="116" cm="1">
        <f t="array" ref="CX7">_xll.EQNXTDZ($A$1,$B7,CX$1)</f>
        <v>876</v>
      </c>
      <c r="CY7" s="116" cm="1">
        <f t="array" ref="CY7">_xll.EQNXTDZ($A$1,$B7,CY$1)</f>
        <v>836</v>
      </c>
      <c r="CZ7" s="116" cm="1">
        <f t="array" ref="CZ7">_xll.EQNXTDZ($A$1,$B7,CZ$1)</f>
        <v>868.7</v>
      </c>
      <c r="DA7" s="116" cm="1">
        <f t="array" ref="DA7">_xll.EQNXTDZ($A$1,$B7,DA$1)</f>
        <v>911</v>
      </c>
      <c r="DB7" s="116" cm="1">
        <f t="array" ref="DB7">_xll.EQNXTDZ($A$1,$B7,DB$1)</f>
        <v>954.5</v>
      </c>
      <c r="DC7" s="116" cm="1">
        <f t="array" ref="DC7">_xll.EQNXTDZ($A$1,$B7,DC$1)</f>
        <v>921.9</v>
      </c>
      <c r="DD7" s="116" cm="1">
        <f t="array" ref="DD7">_xll.EQNXTDZ($A$1,$B7,DD$1)</f>
        <v>983.75</v>
      </c>
      <c r="DE7" s="116" cm="1">
        <f t="array" ref="DE7">_xll.EQNXTDZ($A$1,$B7,DE$1)</f>
        <v>946.9</v>
      </c>
      <c r="DF7" s="116" cm="1">
        <f t="array" ref="DF7">_xll.EQNXTDZ($A$1,$B7,DF$1)</f>
        <v>1044.7</v>
      </c>
      <c r="DG7" s="116" cm="1">
        <f t="array" ref="DG7">_xll.EQNXTDZ($A$1,$B7,DG$1)</f>
        <v>1019.7</v>
      </c>
      <c r="DH7" s="116" cm="1">
        <f t="array" ref="DH7">_xll.EQNXTDZ($A$1,$B7,DH$1)</f>
        <v>1148</v>
      </c>
      <c r="DI7" s="116" cm="1">
        <f t="array" ref="DI7">_xll.EQNXTDZ($A$1,$B7,DI$1)</f>
        <v>1199</v>
      </c>
      <c r="DJ7" s="116" cm="1">
        <f t="array" ref="DJ7">_xll.EQNXTDZ($A$1,$B7,DJ$1)</f>
        <v>1253.6500000000001</v>
      </c>
      <c r="DK7" s="116" cm="1">
        <f t="array" ref="DK7">_xll.EQNXTDZ($A$1,$B7,DK$1)</f>
        <v>1273.9000000000001</v>
      </c>
      <c r="DL7" s="116" cm="1">
        <f t="array" ref="DL7">_xll.EQNXTDZ($A$1,$B7,DL$1)</f>
        <v>1212</v>
      </c>
      <c r="DM7" s="116" cm="1">
        <f t="array" ref="DM7">_xll.EQNXTDZ($A$1,$B7,DM$1)</f>
        <v>1204.95</v>
      </c>
      <c r="DN7" s="116" cm="1">
        <f t="array" ref="DN7">_xll.EQNXTDZ($A$1,$B7,DN$1)</f>
        <v>1293.25</v>
      </c>
      <c r="DO7" s="116" cm="1">
        <f t="array" ref="DO7">_xll.EQNXTDZ($A$1,$B7,DO$1)</f>
        <v>1250</v>
      </c>
      <c r="DP7" s="116" cm="1">
        <f t="array" ref="DP7">_xll.EQNXTDZ($A$1,$B7,DP$1)</f>
        <v>1140</v>
      </c>
      <c r="DQ7" s="116" cm="1">
        <f t="array" ref="DQ7">_xll.EQNXTDZ($A$1,$B7,DQ$1)</f>
        <v>1184.95</v>
      </c>
      <c r="DR7" s="116" cm="1">
        <f t="array" ref="DR7">_xll.EQNXTDZ($A$1,$B7,DR$1)</f>
        <v>1180.9000000000001</v>
      </c>
      <c r="DS7" s="116" cm="1">
        <f t="array" ref="DS7">_xll.EQNXTDZ($A$1,$B7,DS$1)</f>
        <v>1176</v>
      </c>
      <c r="DT7" s="116" cm="1">
        <f t="array" ref="DT7">_xll.EQNXTDZ($A$1,$B7,DT$1)</f>
        <v>1304.7</v>
      </c>
      <c r="DU7" s="116" cm="1">
        <f t="array" ref="DU7">_xll.EQNXTDZ($A$1,$B7,DU$1)</f>
        <v>1334.7</v>
      </c>
      <c r="DV7" s="116" cm="1">
        <f t="array" ref="DV7">_xll.EQNXTDZ($A$1,$B7,DV$1)</f>
        <v>1340.35</v>
      </c>
      <c r="DW7" s="116" cm="1">
        <f t="array" ref="DW7">_xll.EQNXTDZ($A$1,$B7,DW$1)</f>
        <v>1279.95</v>
      </c>
      <c r="DX7" s="116" cm="1">
        <f t="array" ref="DX7">_xll.EQNXTDZ($A$1,$B7,DX$1)</f>
        <v>1290</v>
      </c>
      <c r="DY7" s="116" cm="1">
        <f t="array" ref="DY7">_xll.EQNXTDZ($A$1,$B7,DY$1)</f>
        <v>1313.5</v>
      </c>
      <c r="DZ7" s="116" cm="1">
        <f t="array" ref="DZ7">_xll.EQNXTDZ($A$1,$B7,DZ$1)</f>
        <v>1330</v>
      </c>
      <c r="EA7" s="116" cm="1">
        <f t="array" ref="EA7">_xll.EQNXTDZ($A$1,$B7,EA$1)</f>
        <v>1228.75</v>
      </c>
      <c r="EB7" s="116" cm="1">
        <f t="array" ref="EB7">_xll.EQNXTDZ($A$1,$B7,EB$1)</f>
        <v>1145.95</v>
      </c>
      <c r="EC7" s="116" cm="1">
        <f t="array" ref="EC7">_xll.EQNXTDZ($A$1,$B7,EC$1)</f>
        <v>1153.3</v>
      </c>
      <c r="ED7" s="116" cm="1">
        <f t="array" ref="ED7">_xll.EQNXTDZ($A$1,$B7,ED$1)</f>
        <v>1239.6500000000001</v>
      </c>
      <c r="EE7" s="116" cm="1">
        <f t="array" ref="EE7">_xll.EQNXTDZ($A$1,$B7,EE$1)</f>
        <v>1315.45</v>
      </c>
      <c r="EF7" s="116" cm="1">
        <f t="array" ref="EF7">_xll.EQNXTDZ($A$1,$B7,EF$1)</f>
        <v>1336</v>
      </c>
      <c r="EG7" s="116" cm="1">
        <f t="array" ref="EG7">_xll.EQNXTDZ($A$1,$B7,EG$1)</f>
        <v>1374</v>
      </c>
      <c r="EH7" s="116" cm="1">
        <f t="array" ref="EH7">_xll.EQNXTDZ($A$1,$B7,EH$1)</f>
        <v>1393</v>
      </c>
      <c r="EI7" s="116" cm="1">
        <f t="array" ref="EI7">_xll.EQNXTDZ($A$1,$B7,EI$1)</f>
        <v>1375.4</v>
      </c>
      <c r="EJ7" s="116" cm="1">
        <f t="array" ref="EJ7">_xll.EQNXTDZ($A$1,$B7,EJ$1)</f>
        <v>1444.2</v>
      </c>
      <c r="EK7" s="116" cm="1">
        <f t="array" ref="EK7">_xll.EQNXTDZ($A$1,$B7,EK$1)</f>
        <v>1491.9</v>
      </c>
      <c r="EL7" s="116" cm="1">
        <f t="array" ref="EL7">_xll.EQNXTDZ($A$1,$B7,EL$1)</f>
        <v>1495.35</v>
      </c>
      <c r="EM7" s="116" cm="1">
        <f t="array" ref="EM7">_xll.EQNXTDZ($A$1,$B7,EM$1)</f>
        <v>1569</v>
      </c>
      <c r="EN7" s="116" cm="1">
        <f t="array" ref="EN7">_xll.EQNXTDZ($A$1,$B7,EN$1)</f>
        <v>1569.4</v>
      </c>
      <c r="EO7" s="116" cm="1">
        <f t="array" ref="EO7">_xll.EQNXTDZ($A$1,$B7,EO$1)</f>
        <v>1528</v>
      </c>
      <c r="EP7" s="116" cm="1">
        <f t="array" ref="EP7">_xll.EQNXTDZ($A$1,$B7,EP$1)</f>
        <v>1472.7</v>
      </c>
      <c r="EQ7" s="116" cm="1">
        <f t="array" ref="EQ7">_xll.EQNXTDZ($A$1,$B7,EQ$1)</f>
        <v>1498.8</v>
      </c>
      <c r="ER7" s="116" cm="1">
        <f t="array" ref="ER7">_xll.EQNXTDZ($A$1,$B7,ER$1)</f>
        <v>1777.7</v>
      </c>
      <c r="ES7" s="116" cm="1">
        <f t="array" ref="ES7">_xll.EQNXTDZ($A$1,$B7,ES$1)</f>
        <v>1869.8</v>
      </c>
      <c r="ET7" s="116" cm="1">
        <f t="array" ref="ET7">_xll.EQNXTDZ($A$1,$B7,ET$1)</f>
        <v>1936</v>
      </c>
      <c r="EU7" s="116" cm="1">
        <f t="array" ref="EU7">_xll.EQNXTDZ($A$1,$B7,EU$1)</f>
        <v>1859.3</v>
      </c>
      <c r="EV7" s="116" cm="1">
        <f t="array" ref="EV7">_xll.EQNXTDZ($A$1,$B7,EV$1)</f>
        <v>1642</v>
      </c>
      <c r="EW7" s="116" cm="1">
        <f t="array" ref="EW7">_xll.EQNXTDZ($A$1,$B7,EW$1)</f>
        <v>1484.4</v>
      </c>
      <c r="EX7" s="116" cm="1">
        <f t="array" ref="EX7">_xll.EQNXTDZ($A$1,$B7,EX$1)</f>
        <v>1555</v>
      </c>
      <c r="EY7" s="116" cm="1">
        <f t="array" ref="EY7">_xll.EQNXTDZ($A$1,$B7,EY$1)</f>
        <v>1528</v>
      </c>
      <c r="EZ7" s="116" cm="1">
        <f t="array" ref="EZ7">_xll.EQNXTDZ($A$1,$B7,EZ$1)</f>
        <v>1584</v>
      </c>
      <c r="FA7" s="116" cm="1">
        <f t="array" ref="FA7">_xll.EQNXTDZ($A$1,$B7,FA$1)</f>
        <v>1772.5</v>
      </c>
      <c r="FB7" s="116" cm="1">
        <f t="array" ref="FB7">_xll.EQNXTDZ($A$1,$B7,FB$1)</f>
        <v>1833.9</v>
      </c>
      <c r="FC7" s="116" cm="1">
        <f t="array" ref="FC7">_xll.EQNXTDZ($A$1,$B7,FC$1)</f>
        <v>1866.4</v>
      </c>
      <c r="FD7" s="116" cm="1">
        <f t="array" ref="FD7">_xll.EQNXTDZ($A$1,$B7,FD$1)</f>
        <v>1875</v>
      </c>
      <c r="FE7" s="116" cm="1">
        <f t="array" ref="FE7">_xll.EQNXTDZ($A$1,$B7,FE$1)</f>
        <v>1912</v>
      </c>
      <c r="FF7" s="116" cm="1">
        <f t="array" ref="FF7">_xll.EQNXTDZ($A$1,$B7,FF$1)</f>
        <v>1890</v>
      </c>
      <c r="FG7" s="116" cm="1">
        <f t="array" ref="FG7">_xll.EQNXTDZ($A$1,$B7,FG$1)</f>
        <v>1978.7</v>
      </c>
      <c r="FH7" s="116" cm="1">
        <f t="array" ref="FH7">_xll.EQNXTDZ($A$1,$B7,FH$1)</f>
        <v>2086.6</v>
      </c>
      <c r="FI7" s="116" cm="1">
        <f t="array" ref="FI7">_xll.EQNXTDZ($A$1,$B7,FI$1)</f>
        <v>2052.1999999999998</v>
      </c>
      <c r="FJ7" s="116" cm="1">
        <f t="array" ref="FJ7">_xll.EQNXTDZ($A$1,$B7,FJ$1)</f>
        <v>2109.6</v>
      </c>
      <c r="FK7" s="116" cm="1">
        <f t="array" ref="FK7">_xll.EQNXTDZ($A$1,$B7,FK$1)</f>
        <v>2132</v>
      </c>
      <c r="FL7" s="116" cm="1">
        <f t="array" ref="FL7">_xll.EQNXTDZ($A$1,$B7,FL$1)</f>
        <v>2053.4</v>
      </c>
      <c r="FM7" s="116" cm="1">
        <f t="array" ref="FM7">_xll.EQNXTDZ($A$1,$B7,FM$1)</f>
        <v>1990.9</v>
      </c>
      <c r="FN7" s="116" cm="1">
        <f t="array" ref="FN7">_xll.EQNXTDZ($A$1,$B7,FN$1)</f>
        <v>1906.9</v>
      </c>
      <c r="FO7" s="116" cm="1">
        <f t="array" ref="FO7">_xll.EQNXTDZ($A$1,$B7,FO$1)</f>
        <v>1846.4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740</v>
      </c>
      <c r="IL7" s="116">
        <f>+MAX(BR7:BT7)</f>
        <v>733.25</v>
      </c>
      <c r="IM7" s="116">
        <f>+MAX(BU7:BW7)</f>
        <v>774.6</v>
      </c>
      <c r="IN7" s="116">
        <f>+MAX(BX7:BZ7)</f>
        <v>711.7</v>
      </c>
      <c r="IO7" s="116">
        <f>+MAX(CA7:CC7)</f>
        <v>607.15</v>
      </c>
      <c r="IP7" s="116">
        <f>+MAX(CD7:CF7)</f>
        <v>649.75</v>
      </c>
      <c r="IQ7" s="116">
        <f>+MAX(CG7:CI7)</f>
        <v>744</v>
      </c>
      <c r="IR7" s="116">
        <f>+MAX(CJ7:CL7)</f>
        <v>862.45</v>
      </c>
      <c r="IS7" s="116">
        <f>+MAX(CM7:CO7)</f>
        <v>1030</v>
      </c>
      <c r="IT7" s="116">
        <f>+MAX(CP7:CR7)</f>
        <v>1020</v>
      </c>
      <c r="IU7" s="116">
        <f>+MAX(CS7:CU7)</f>
        <v>820.5</v>
      </c>
      <c r="IV7" s="116">
        <f>+MAX(CV7:CX7)</f>
        <v>921.75</v>
      </c>
      <c r="IW7" s="116">
        <f>+MAX(CY7:DA7)</f>
        <v>911</v>
      </c>
      <c r="IX7" s="116">
        <f>+MAX(DB7:DD7)</f>
        <v>983.75</v>
      </c>
      <c r="IY7" s="116">
        <f>+MAX(DE7:DG7)</f>
        <v>1044.7</v>
      </c>
      <c r="IZ7" s="116">
        <f>+MAX(DH7:DJ7)</f>
        <v>1253.6500000000001</v>
      </c>
      <c r="JA7" s="116">
        <f>+MAX(DK7:DM7)</f>
        <v>1273.9000000000001</v>
      </c>
      <c r="JB7" s="116">
        <f>+MAX(DN7:DP7)</f>
        <v>1293.25</v>
      </c>
      <c r="JC7" s="116">
        <f>+MAX(DQ7:DS7)</f>
        <v>1184.95</v>
      </c>
      <c r="JD7" s="116">
        <f>+MAX(DT7:DV7)</f>
        <v>1340.35</v>
      </c>
      <c r="JE7" s="116">
        <f>+MAX(DW7:DY7)</f>
        <v>1313.5</v>
      </c>
      <c r="JF7" s="116">
        <f>+MAX(DZ7:EB7)</f>
        <v>1330</v>
      </c>
      <c r="JG7" s="116">
        <f>+MAX(EC7:EE7)</f>
        <v>1315.45</v>
      </c>
      <c r="JH7" s="116">
        <f>+MAX(EF7:EH7)</f>
        <v>1393</v>
      </c>
      <c r="JI7" s="116">
        <f>+MAX(EI7:EK7)</f>
        <v>1491.9</v>
      </c>
      <c r="JJ7" s="116">
        <f>+MAX(EL7:EN7)</f>
        <v>1569.4</v>
      </c>
      <c r="JK7" s="116">
        <f>MAX(EO7:EQ7)</f>
        <v>1528</v>
      </c>
      <c r="JL7" s="116">
        <f>MAX(ER7:ET7)</f>
        <v>1936</v>
      </c>
      <c r="JM7" s="116">
        <f>MAX(EU7:EW7)</f>
        <v>1859.3</v>
      </c>
      <c r="JN7" s="116">
        <f>MAX(EX7:EZ7)</f>
        <v>1584</v>
      </c>
      <c r="JO7" s="116">
        <f>MAX(FA7:FC7)</f>
        <v>1866.4</v>
      </c>
      <c r="JP7" s="116">
        <f>MAX(FD7:FF7)</f>
        <v>1912</v>
      </c>
      <c r="JQ7" s="116">
        <f>MAX(FG7:FI7)</f>
        <v>2086.6</v>
      </c>
      <c r="JR7" s="116">
        <f>MAX(FJ7:FL7)</f>
        <v>2132</v>
      </c>
      <c r="JS7" s="116">
        <f>MAX(FM7:FO7)</f>
        <v>1990.9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649.9</v>
      </c>
      <c r="BP8" s="116" cm="1">
        <f t="array" ref="BP8">_xll.EQNXTDZ($A$1,$B8,BP$1)</f>
        <v>629</v>
      </c>
      <c r="BQ8" s="116" cm="1">
        <f t="array" ref="BQ8">_xll.EQNXTDZ($A$1,$B8,BQ$1)</f>
        <v>651</v>
      </c>
      <c r="BR8" s="116" cm="1">
        <f t="array" ref="BR8">_xll.EQNXTDZ($A$1,$B8,BR$1)</f>
        <v>653.75</v>
      </c>
      <c r="BS8" s="116" cm="1">
        <f t="array" ref="BS8">_xll.EQNXTDZ($A$1,$B8,BS$1)</f>
        <v>660.5</v>
      </c>
      <c r="BT8" s="116" cm="1">
        <f t="array" ref="BT8">_xll.EQNXTDZ($A$1,$B8,BT$1)</f>
        <v>647</v>
      </c>
      <c r="BU8" s="116" cm="1">
        <f t="array" ref="BU8">_xll.EQNXTDZ($A$1,$B8,BU$1)</f>
        <v>674</v>
      </c>
      <c r="BV8" s="116" cm="1">
        <f t="array" ref="BV8">_xll.EQNXTDZ($A$1,$B8,BV$1)</f>
        <v>647</v>
      </c>
      <c r="BW8" s="116" cm="1">
        <f t="array" ref="BW8">_xll.EQNXTDZ($A$1,$B8,BW$1)</f>
        <v>658.05</v>
      </c>
      <c r="BX8" s="116" cm="1">
        <f t="array" ref="BX8">_xll.EQNXTDZ($A$1,$B8,BX$1)</f>
        <v>628</v>
      </c>
      <c r="BY8" s="116" cm="1">
        <f t="array" ref="BY8">_xll.EQNXTDZ($A$1,$B8,BY$1)</f>
        <v>644</v>
      </c>
      <c r="BZ8" s="116" cm="1">
        <f t="array" ref="BZ8">_xll.EQNXTDZ($A$1,$B8,BZ$1)</f>
        <v>508</v>
      </c>
      <c r="CA8" s="116" cm="1">
        <f t="array" ref="CA8">_xll.EQNXTDZ($A$1,$B8,CA$1)</f>
        <v>485</v>
      </c>
      <c r="CB8" s="116" cm="1">
        <f t="array" ref="CB8">_xll.EQNXTDZ($A$1,$B8,CB$1)</f>
        <v>557.5</v>
      </c>
      <c r="CC8" s="116" cm="1">
        <f t="array" ref="CC8">_xll.EQNXTDZ($A$1,$B8,CC$1)</f>
        <v>540.35</v>
      </c>
      <c r="CD8" s="116" cm="1">
        <f t="array" ref="CD8">_xll.EQNXTDZ($A$1,$B8,CD$1)</f>
        <v>590</v>
      </c>
      <c r="CE8" s="116" cm="1">
        <f t="array" ref="CE8">_xll.EQNXTDZ($A$1,$B8,CE$1)</f>
        <v>555</v>
      </c>
      <c r="CF8" s="116" cm="1">
        <f t="array" ref="CF8">_xll.EQNXTDZ($A$1,$B8,CF$1)</f>
        <v>515.54999999999995</v>
      </c>
      <c r="CG8" s="116" cm="1">
        <f t="array" ref="CG8">_xll.EQNXTDZ($A$1,$B8,CG$1)</f>
        <v>583.4</v>
      </c>
      <c r="CH8" s="116" cm="1">
        <f t="array" ref="CH8">_xll.EQNXTDZ($A$1,$B8,CH$1)</f>
        <v>594.65</v>
      </c>
      <c r="CI8" s="116" cm="1">
        <f t="array" ref="CI8">_xll.EQNXTDZ($A$1,$B8,CI$1)</f>
        <v>669.5</v>
      </c>
      <c r="CJ8" s="116" cm="1">
        <f t="array" ref="CJ8">_xll.EQNXTDZ($A$1,$B8,CJ$1)</f>
        <v>716.05</v>
      </c>
      <c r="CK8" s="116" cm="1">
        <f t="array" ref="CK8">_xll.EQNXTDZ($A$1,$B8,CK$1)</f>
        <v>752.55</v>
      </c>
      <c r="CL8" s="116" cm="1">
        <f t="array" ref="CL8">_xll.EQNXTDZ($A$1,$B8,CL$1)</f>
        <v>777.1</v>
      </c>
      <c r="CM8" s="116" cm="1">
        <f t="array" ref="CM8">_xll.EQNXTDZ($A$1,$B8,CM$1)</f>
        <v>804</v>
      </c>
      <c r="CN8" s="116" cm="1">
        <f t="array" ref="CN8">_xll.EQNXTDZ($A$1,$B8,CN$1)</f>
        <v>916</v>
      </c>
      <c r="CO8" s="116" cm="1">
        <f t="array" ref="CO8">_xll.EQNXTDZ($A$1,$B8,CO$1)</f>
        <v>924.5</v>
      </c>
      <c r="CP8" s="116" cm="1">
        <f t="array" ref="CP8">_xll.EQNXTDZ($A$1,$B8,CP$1)</f>
        <v>958</v>
      </c>
      <c r="CQ8" s="116" cm="1">
        <f t="array" ref="CQ8">_xll.EQNXTDZ($A$1,$B8,CQ$1)</f>
        <v>856.65</v>
      </c>
      <c r="CR8" s="116" cm="1">
        <f t="array" ref="CR8">_xll.EQNXTDZ($A$1,$B8,CR$1)</f>
        <v>519.4</v>
      </c>
      <c r="CS8" s="116" cm="1">
        <f t="array" ref="CS8">_xll.EQNXTDZ($A$1,$B8,CS$1)</f>
        <v>627.29999999999995</v>
      </c>
      <c r="CT8" s="116" cm="1">
        <f t="array" ref="CT8">_xll.EQNXTDZ($A$1,$B8,CT$1)</f>
        <v>675.5</v>
      </c>
      <c r="CU8" s="116" cm="1">
        <f t="array" ref="CU8">_xll.EQNXTDZ($A$1,$B8,CU$1)</f>
        <v>728.75</v>
      </c>
      <c r="CV8" s="116" cm="1">
        <f t="array" ref="CV8">_xll.EQNXTDZ($A$1,$B8,CV$1)</f>
        <v>802</v>
      </c>
      <c r="CW8" s="116" cm="1">
        <f t="array" ref="CW8">_xll.EQNXTDZ($A$1,$B8,CW$1)</f>
        <v>818.55</v>
      </c>
      <c r="CX8" s="116" cm="1">
        <f t="array" ref="CX8">_xll.EQNXTDZ($A$1,$B8,CX$1)</f>
        <v>780</v>
      </c>
      <c r="CY8" s="116" cm="1">
        <f t="array" ref="CY8">_xll.EQNXTDZ($A$1,$B8,CY$1)</f>
        <v>755.25</v>
      </c>
      <c r="CZ8" s="116" cm="1">
        <f t="array" ref="CZ8">_xll.EQNXTDZ($A$1,$B8,CZ$1)</f>
        <v>762.2</v>
      </c>
      <c r="DA8" s="116" cm="1">
        <f t="array" ref="DA8">_xll.EQNXTDZ($A$1,$B8,DA$1)</f>
        <v>825.2</v>
      </c>
      <c r="DB8" s="116" cm="1">
        <f t="array" ref="DB8">_xll.EQNXTDZ($A$1,$B8,DB$1)</f>
        <v>838</v>
      </c>
      <c r="DC8" s="116" cm="1">
        <f t="array" ref="DC8">_xll.EQNXTDZ($A$1,$B8,DC$1)</f>
        <v>845.1</v>
      </c>
      <c r="DD8" s="116" cm="1">
        <f t="array" ref="DD8">_xll.EQNXTDZ($A$1,$B8,DD$1)</f>
        <v>852.2</v>
      </c>
      <c r="DE8" s="116" cm="1">
        <f t="array" ref="DE8">_xll.EQNXTDZ($A$1,$B8,DE$1)</f>
        <v>864.8</v>
      </c>
      <c r="DF8" s="116" cm="1">
        <f t="array" ref="DF8">_xll.EQNXTDZ($A$1,$B8,DF$1)</f>
        <v>916.05</v>
      </c>
      <c r="DG8" s="116" cm="1">
        <f t="array" ref="DG8">_xll.EQNXTDZ($A$1,$B8,DG$1)</f>
        <v>956.75</v>
      </c>
      <c r="DH8" s="116" cm="1">
        <f t="array" ref="DH8">_xll.EQNXTDZ($A$1,$B8,DH$1)</f>
        <v>996.05</v>
      </c>
      <c r="DI8" s="116" cm="1">
        <f t="array" ref="DI8">_xll.EQNXTDZ($A$1,$B8,DI$1)</f>
        <v>1094.8</v>
      </c>
      <c r="DJ8" s="116" cm="1">
        <f t="array" ref="DJ8">_xll.EQNXTDZ($A$1,$B8,DJ$1)</f>
        <v>1153.3499999999999</v>
      </c>
      <c r="DK8" s="116" cm="1">
        <f t="array" ref="DK8">_xll.EQNXTDZ($A$1,$B8,DK$1)</f>
        <v>1126.3</v>
      </c>
      <c r="DL8" s="116" cm="1">
        <f t="array" ref="DL8">_xll.EQNXTDZ($A$1,$B8,DL$1)</f>
        <v>1103.75</v>
      </c>
      <c r="DM8" s="116" cm="1">
        <f t="array" ref="DM8">_xll.EQNXTDZ($A$1,$B8,DM$1)</f>
        <v>1100.5999999999999</v>
      </c>
      <c r="DN8" s="116" cm="1">
        <f t="array" ref="DN8">_xll.EQNXTDZ($A$1,$B8,DN$1)</f>
        <v>1196</v>
      </c>
      <c r="DO8" s="116" cm="1">
        <f t="array" ref="DO8">_xll.EQNXTDZ($A$1,$B8,DO$1)</f>
        <v>1016.85</v>
      </c>
      <c r="DP8" s="116" cm="1">
        <f t="array" ref="DP8">_xll.EQNXTDZ($A$1,$B8,DP$1)</f>
        <v>1003.5</v>
      </c>
      <c r="DQ8" s="116" cm="1">
        <f t="array" ref="DQ8">_xll.EQNXTDZ($A$1,$B8,DQ$1)</f>
        <v>1061.2</v>
      </c>
      <c r="DR8" s="116" cm="1">
        <f t="array" ref="DR8">_xll.EQNXTDZ($A$1,$B8,DR$1)</f>
        <v>1033.2</v>
      </c>
      <c r="DS8" s="116" cm="1">
        <f t="array" ref="DS8">_xll.EQNXTDZ($A$1,$B8,DS$1)</f>
        <v>1051.55</v>
      </c>
      <c r="DT8" s="116" cm="1">
        <f t="array" ref="DT8">_xll.EQNXTDZ($A$1,$B8,DT$1)</f>
        <v>1075</v>
      </c>
      <c r="DU8" s="116" cm="1">
        <f t="array" ref="DU8">_xll.EQNXTDZ($A$1,$B8,DU$1)</f>
        <v>1251.25</v>
      </c>
      <c r="DV8" s="116" cm="1">
        <f t="array" ref="DV8">_xll.EQNXTDZ($A$1,$B8,DV$1)</f>
        <v>1215</v>
      </c>
      <c r="DW8" s="116" cm="1">
        <f t="array" ref="DW8">_xll.EQNXTDZ($A$1,$B8,DW$1)</f>
        <v>1167.5999999999999</v>
      </c>
      <c r="DX8" s="116" cm="1">
        <f t="array" ref="DX8">_xll.EQNXTDZ($A$1,$B8,DX$1)</f>
        <v>1205.5</v>
      </c>
      <c r="DY8" s="116" cm="1">
        <f t="array" ref="DY8">_xll.EQNXTDZ($A$1,$B8,DY$1)</f>
        <v>1205</v>
      </c>
      <c r="DZ8" s="116" cm="1">
        <f t="array" ref="DZ8">_xll.EQNXTDZ($A$1,$B8,DZ$1)</f>
        <v>1212.55</v>
      </c>
      <c r="EA8" s="116" cm="1">
        <f t="array" ref="EA8">_xll.EQNXTDZ($A$1,$B8,EA$1)</f>
        <v>1068.8499999999999</v>
      </c>
      <c r="EB8" s="116" cm="1">
        <f t="array" ref="EB8">_xll.EQNXTDZ($A$1,$B8,EB$1)</f>
        <v>1054</v>
      </c>
      <c r="EC8" s="116" cm="1">
        <f t="array" ref="EC8">_xll.EQNXTDZ($A$1,$B8,EC$1)</f>
        <v>1090.5999999999999</v>
      </c>
      <c r="ED8" s="116" cm="1">
        <f t="array" ref="ED8">_xll.EQNXTDZ($A$1,$B8,ED$1)</f>
        <v>1134.3</v>
      </c>
      <c r="EE8" s="116" cm="1">
        <f t="array" ref="EE8">_xll.EQNXTDZ($A$1,$B8,EE$1)</f>
        <v>1199.25</v>
      </c>
      <c r="EF8" s="116" cm="1">
        <f t="array" ref="EF8">_xll.EQNXTDZ($A$1,$B8,EF$1)</f>
        <v>1270</v>
      </c>
      <c r="EG8" s="116" cm="1">
        <f t="array" ref="EG8">_xll.EQNXTDZ($A$1,$B8,EG$1)</f>
        <v>1251.6500000000001</v>
      </c>
      <c r="EH8" s="116" cm="1">
        <f t="array" ref="EH8">_xll.EQNXTDZ($A$1,$B8,EH$1)</f>
        <v>1277.95</v>
      </c>
      <c r="EI8" s="116" cm="1">
        <f t="array" ref="EI8">_xll.EQNXTDZ($A$1,$B8,EI$1)</f>
        <v>1264.3499999999999</v>
      </c>
      <c r="EJ8" s="116" cm="1">
        <f t="array" ref="EJ8">_xll.EQNXTDZ($A$1,$B8,EJ$1)</f>
        <v>1320.4</v>
      </c>
      <c r="EK8" s="116" cm="1">
        <f t="array" ref="EK8">_xll.EQNXTDZ($A$1,$B8,EK$1)</f>
        <v>1379.95</v>
      </c>
      <c r="EL8" s="116" cm="1">
        <f t="array" ref="EL8">_xll.EQNXTDZ($A$1,$B8,EL$1)</f>
        <v>1357.15</v>
      </c>
      <c r="EM8" s="116" cm="1">
        <f t="array" ref="EM8">_xll.EQNXTDZ($A$1,$B8,EM$1)</f>
        <v>1398.5</v>
      </c>
      <c r="EN8" s="116" cm="1">
        <f t="array" ref="EN8">_xll.EQNXTDZ($A$1,$B8,EN$1)</f>
        <v>1450</v>
      </c>
      <c r="EO8" s="116" cm="1">
        <f t="array" ref="EO8">_xll.EQNXTDZ($A$1,$B8,EO$1)</f>
        <v>1411.2</v>
      </c>
      <c r="EP8" s="116" cm="1">
        <f t="array" ref="EP8">_xll.EQNXTDZ($A$1,$B8,EP$1)</f>
        <v>1371</v>
      </c>
      <c r="EQ8" s="116" cm="1">
        <f t="array" ref="EQ8">_xll.EQNXTDZ($A$1,$B8,EQ$1)</f>
        <v>1307.7</v>
      </c>
      <c r="ER8" s="116" cm="1">
        <f t="array" ref="ER8">_xll.EQNXTDZ($A$1,$B8,ER$1)</f>
        <v>1468.1</v>
      </c>
      <c r="ES8" s="116" cm="1">
        <f t="array" ref="ES8">_xll.EQNXTDZ($A$1,$B8,ES$1)</f>
        <v>1666</v>
      </c>
      <c r="ET8" s="116" cm="1">
        <f t="array" ref="ET8">_xll.EQNXTDZ($A$1,$B8,ET$1)</f>
        <v>1808.45</v>
      </c>
      <c r="EU8" s="116" cm="1">
        <f t="array" ref="EU8">_xll.EQNXTDZ($A$1,$B8,EU$1)</f>
        <v>1593.6</v>
      </c>
      <c r="EV8" s="116" cm="1">
        <f t="array" ref="EV8">_xll.EQNXTDZ($A$1,$B8,EV$1)</f>
        <v>1396.65</v>
      </c>
      <c r="EW8" s="116" cm="1">
        <f t="array" ref="EW8">_xll.EQNXTDZ($A$1,$B8,EW$1)</f>
        <v>1377.5</v>
      </c>
      <c r="EX8" s="116" cm="1">
        <f t="array" ref="EX8">_xll.EQNXTDZ($A$1,$B8,EX$1)</f>
        <v>1384.95</v>
      </c>
      <c r="EY8" s="116" cm="1">
        <f t="array" ref="EY8">_xll.EQNXTDZ($A$1,$B8,EY$1)</f>
        <v>1372.55</v>
      </c>
      <c r="EZ8" s="116" cm="1">
        <f t="array" ref="EZ8">_xll.EQNXTDZ($A$1,$B8,EZ$1)</f>
        <v>1379.85</v>
      </c>
      <c r="FA8" s="116" cm="1">
        <f t="array" ref="FA8">_xll.EQNXTDZ($A$1,$B8,FA$1)</f>
        <v>1430.55</v>
      </c>
      <c r="FB8" s="116" cm="1">
        <f t="array" ref="FB8">_xll.EQNXTDZ($A$1,$B8,FB$1)</f>
        <v>1693.1</v>
      </c>
      <c r="FC8" s="116" cm="1">
        <f t="array" ref="FC8">_xll.EQNXTDZ($A$1,$B8,FC$1)</f>
        <v>1720</v>
      </c>
      <c r="FD8" s="116" cm="1">
        <f t="array" ref="FD8">_xll.EQNXTDZ($A$1,$B8,FD$1)</f>
        <v>1754.1</v>
      </c>
      <c r="FE8" s="116" cm="1">
        <f t="array" ref="FE8">_xll.EQNXTDZ($A$1,$B8,FE$1)</f>
        <v>1781</v>
      </c>
      <c r="FF8" s="116" cm="1">
        <f t="array" ref="FF8">_xll.EQNXTDZ($A$1,$B8,FF$1)</f>
        <v>1769.5</v>
      </c>
      <c r="FG8" s="116" cm="1">
        <f t="array" ref="FG8">_xll.EQNXTDZ($A$1,$B8,FG$1)</f>
        <v>1757.7</v>
      </c>
      <c r="FH8" s="116" cm="1">
        <f t="array" ref="FH8">_xll.EQNXTDZ($A$1,$B8,FH$1)</f>
        <v>1945</v>
      </c>
      <c r="FI8" s="116" cm="1">
        <f t="array" ref="FI8">_xll.EQNXTDZ($A$1,$B8,FI$1)</f>
        <v>1951.2</v>
      </c>
      <c r="FJ8" s="116" cm="1">
        <f t="array" ref="FJ8">_xll.EQNXTDZ($A$1,$B8,FJ$1)</f>
        <v>1951.5</v>
      </c>
      <c r="FK8" s="116" cm="1">
        <f t="array" ref="FK8">_xll.EQNXTDZ($A$1,$B8,FK$1)</f>
        <v>1933.5</v>
      </c>
      <c r="FL8" s="116" cm="1">
        <f t="array" ref="FL8">_xll.EQNXTDZ($A$1,$B8,FL$1)</f>
        <v>1766</v>
      </c>
      <c r="FM8" s="116" cm="1">
        <f t="array" ref="FM8">_xll.EQNXTDZ($A$1,$B8,FM$1)</f>
        <v>1728.1</v>
      </c>
      <c r="FN8" s="116" cm="1">
        <f t="array" ref="FN8">_xll.EQNXTDZ($A$1,$B8,FN$1)</f>
        <v>1802.6</v>
      </c>
      <c r="FO8" s="116" cm="1">
        <f t="array" ref="FO8">_xll.EQNXTDZ($A$1,$B8,FO$1)</f>
        <v>1700.4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629</v>
      </c>
      <c r="IL8" s="116">
        <f>+MIN(BR8:BT8)</f>
        <v>647</v>
      </c>
      <c r="IM8" s="116">
        <f>+MIN(BU8:BW8)</f>
        <v>647</v>
      </c>
      <c r="IN8" s="116">
        <f>+MIN(BX8:BZ8)</f>
        <v>508</v>
      </c>
      <c r="IO8" s="116">
        <f>+MIN(CA8:CC8)</f>
        <v>485</v>
      </c>
      <c r="IP8" s="116">
        <f>+MIN(CD8:CF8)</f>
        <v>515.54999999999995</v>
      </c>
      <c r="IQ8" s="116">
        <f>+MIN(CG8:CI8)</f>
        <v>583.4</v>
      </c>
      <c r="IR8" s="116">
        <f>+MIN(CJ8:CL8)</f>
        <v>716.05</v>
      </c>
      <c r="IS8" s="116">
        <f>+MIN(CM8:CO8)</f>
        <v>804</v>
      </c>
      <c r="IT8" s="116">
        <f>+MIN(CP8:CR8)</f>
        <v>519.4</v>
      </c>
      <c r="IU8" s="116">
        <f>+MIN(CS8:CU8)</f>
        <v>627.29999999999995</v>
      </c>
      <c r="IV8" s="116">
        <f>+MIN(CV8:CX8)</f>
        <v>780</v>
      </c>
      <c r="IW8" s="116">
        <f>+MIN(CY8:DA8)</f>
        <v>755.25</v>
      </c>
      <c r="IX8" s="116">
        <f>+MIN(DB8:DD8)</f>
        <v>838</v>
      </c>
      <c r="IY8" s="116">
        <f>+MIN(DE8:DG8)</f>
        <v>864.8</v>
      </c>
      <c r="IZ8" s="116">
        <f>+MIN(DH8:DJ8)</f>
        <v>996.05</v>
      </c>
      <c r="JA8" s="116">
        <f>+MIN(DK8:DM8)</f>
        <v>1100.5999999999999</v>
      </c>
      <c r="JB8" s="116">
        <f>+MIN(DN8:DP8)</f>
        <v>1003.5</v>
      </c>
      <c r="JC8" s="116">
        <f>+MIN(DQ8:DS8)</f>
        <v>1033.2</v>
      </c>
      <c r="JD8" s="116">
        <f>+MIN(DT8:DV8)</f>
        <v>1075</v>
      </c>
      <c r="JE8" s="116">
        <f>+MIN(DW8:DY8)</f>
        <v>1167.5999999999999</v>
      </c>
      <c r="JF8" s="116">
        <f>+MIN(DZ8:EB8)</f>
        <v>1054</v>
      </c>
      <c r="JG8" s="116">
        <f>+MIN(EC8:EE8)</f>
        <v>1090.5999999999999</v>
      </c>
      <c r="JH8" s="116">
        <f>+MIN(EF8:EH8)</f>
        <v>1251.6500000000001</v>
      </c>
      <c r="JI8" s="116">
        <f>+MIN(EI8:EK8)</f>
        <v>1264.3499999999999</v>
      </c>
      <c r="JJ8" s="116">
        <f>+MIN(EL8:EN8)</f>
        <v>1357.15</v>
      </c>
      <c r="JK8" s="116">
        <f>MIN(EO8:EQ8)</f>
        <v>1307.7</v>
      </c>
      <c r="JL8" s="116">
        <f>MIN(ER8:ET8)</f>
        <v>1468.1</v>
      </c>
      <c r="JM8" s="116">
        <f>MIN(EU8:EW8)</f>
        <v>1377.5</v>
      </c>
      <c r="JN8" s="116">
        <f>MIN(EX8:EZ8)</f>
        <v>1372.55</v>
      </c>
      <c r="JO8" s="116">
        <f>MIN(FA8:FC8)</f>
        <v>1430.55</v>
      </c>
      <c r="JP8" s="116">
        <f>MIN(FD8:FF8)</f>
        <v>1754.1</v>
      </c>
      <c r="JQ8" s="116">
        <f>MIN(FG8:FI8)</f>
        <v>1757.7</v>
      </c>
      <c r="JR8" s="116">
        <f>MIN(FJ8:FL8)</f>
        <v>1766</v>
      </c>
      <c r="JS8" s="116">
        <f>MIN(FM8:FO8)</f>
        <v>1700.4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662.1</v>
      </c>
      <c r="BP9" s="116" cm="1">
        <f t="array" ref="BP9">_xll.EQNXTDZ($A$1,$B9,BP$1)</f>
        <v>654.9</v>
      </c>
      <c r="BQ9" s="116" cm="1">
        <f t="array" ref="BQ9">_xll.EQNXTDZ($A$1,$B9,BQ$1)</f>
        <v>695.35</v>
      </c>
      <c r="BR9" s="116" cm="1">
        <f t="array" ref="BR9">_xll.EQNXTDZ($A$1,$B9,BR$1)</f>
        <v>660.65</v>
      </c>
      <c r="BS9" s="116" cm="1">
        <f t="array" ref="BS9">_xll.EQNXTDZ($A$1,$B9,BS$1)</f>
        <v>694.5</v>
      </c>
      <c r="BT9" s="116" cm="1">
        <f t="array" ref="BT9">_xll.EQNXTDZ($A$1,$B9,BT$1)</f>
        <v>678.25</v>
      </c>
      <c r="BU9" s="116" cm="1">
        <f t="array" ref="BU9">_xll.EQNXTDZ($A$1,$B9,BU$1)</f>
        <v>743.1</v>
      </c>
      <c r="BV9" s="116" cm="1">
        <f t="array" ref="BV9">_xll.EQNXTDZ($A$1,$B9,BV$1)</f>
        <v>689.8</v>
      </c>
      <c r="BW9" s="116" cm="1">
        <f t="array" ref="BW9">_xll.EQNXTDZ($A$1,$B9,BW$1)</f>
        <v>674.35</v>
      </c>
      <c r="BX9" s="116" cm="1">
        <f t="array" ref="BX9">_xll.EQNXTDZ($A$1,$B9,BX$1)</f>
        <v>686</v>
      </c>
      <c r="BY9" s="116" cm="1">
        <f t="array" ref="BY9">_xll.EQNXTDZ($A$1,$B9,BY$1)</f>
        <v>672.4</v>
      </c>
      <c r="BZ9" s="116" cm="1">
        <f t="array" ref="BZ9">_xll.EQNXTDZ($A$1,$B9,BZ$1)</f>
        <v>511.6</v>
      </c>
      <c r="CA9" s="116" cm="1">
        <f t="array" ref="CA9">_xll.EQNXTDZ($A$1,$B9,CA$1)</f>
        <v>560.4</v>
      </c>
      <c r="CB9" s="116" cm="1">
        <f t="array" ref="CB9">_xll.EQNXTDZ($A$1,$B9,CB$1)</f>
        <v>571.4</v>
      </c>
      <c r="CC9" s="116" cm="1">
        <f t="array" ref="CC9">_xll.EQNXTDZ($A$1,$B9,CC$1)</f>
        <v>597.85</v>
      </c>
      <c r="CD9" s="116" cm="1">
        <f t="array" ref="CD9">_xll.EQNXTDZ($A$1,$B9,CD$1)</f>
        <v>595</v>
      </c>
      <c r="CE9" s="116" cm="1">
        <f t="array" ref="CE9">_xll.EQNXTDZ($A$1,$B9,CE$1)</f>
        <v>578.54999999999995</v>
      </c>
      <c r="CF9" s="116" cm="1">
        <f t="array" ref="CF9">_xll.EQNXTDZ($A$1,$B9,CF$1)</f>
        <v>583.4</v>
      </c>
      <c r="CG9" s="116" cm="1">
        <f t="array" ref="CG9">_xll.EQNXTDZ($A$1,$B9,CG$1)</f>
        <v>639.85</v>
      </c>
      <c r="CH9" s="116" cm="1">
        <f t="array" ref="CH9">_xll.EQNXTDZ($A$1,$B9,CH$1)</f>
        <v>694.25</v>
      </c>
      <c r="CI9" s="116" cm="1">
        <f t="array" ref="CI9">_xll.EQNXTDZ($A$1,$B9,CI$1)</f>
        <v>723.7</v>
      </c>
      <c r="CJ9" s="116" cm="1">
        <f t="array" ref="CJ9">_xll.EQNXTDZ($A$1,$B9,CJ$1)</f>
        <v>797.55</v>
      </c>
      <c r="CK9" s="116" cm="1">
        <f t="array" ref="CK9">_xll.EQNXTDZ($A$1,$B9,CK$1)</f>
        <v>838.7</v>
      </c>
      <c r="CL9" s="116" cm="1">
        <f t="array" ref="CL9">_xll.EQNXTDZ($A$1,$B9,CL$1)</f>
        <v>846.4</v>
      </c>
      <c r="CM9" s="116" cm="1">
        <f t="array" ref="CM9">_xll.EQNXTDZ($A$1,$B9,CM$1)</f>
        <v>991.5</v>
      </c>
      <c r="CN9" s="116" cm="1">
        <f t="array" ref="CN9">_xll.EQNXTDZ($A$1,$B9,CN$1)</f>
        <v>960.05</v>
      </c>
      <c r="CO9" s="116" cm="1">
        <f t="array" ref="CO9">_xll.EQNXTDZ($A$1,$B9,CO$1)</f>
        <v>961.6</v>
      </c>
      <c r="CP9" s="116" cm="1">
        <f t="array" ref="CP9">_xll.EQNXTDZ($A$1,$B9,CP$1)</f>
        <v>994.1</v>
      </c>
      <c r="CQ9" s="116" cm="1">
        <f t="array" ref="CQ9">_xll.EQNXTDZ($A$1,$B9,CQ$1)</f>
        <v>890.4</v>
      </c>
      <c r="CR9" s="116" cm="1">
        <f t="array" ref="CR9">_xll.EQNXTDZ($A$1,$B9,CR$1)</f>
        <v>641</v>
      </c>
      <c r="CS9" s="116" cm="1">
        <f t="array" ref="CS9">_xll.EQNXTDZ($A$1,$B9,CS$1)</f>
        <v>726.85</v>
      </c>
      <c r="CT9" s="116" cm="1">
        <f t="array" ref="CT9">_xll.EQNXTDZ($A$1,$B9,CT$1)</f>
        <v>768.65</v>
      </c>
      <c r="CU9" s="116" cm="1">
        <f t="array" ref="CU9">_xll.EQNXTDZ($A$1,$B9,CU$1)</f>
        <v>806.45</v>
      </c>
      <c r="CV9" s="116" cm="1">
        <f t="array" ref="CV9">_xll.EQNXTDZ($A$1,$B9,CV$1)</f>
        <v>912.85</v>
      </c>
      <c r="CW9" s="116" cm="1">
        <f t="array" ref="CW9">_xll.EQNXTDZ($A$1,$B9,CW$1)</f>
        <v>827.75</v>
      </c>
      <c r="CX9" s="116" cm="1">
        <f t="array" ref="CX9">_xll.EQNXTDZ($A$1,$B9,CX$1)</f>
        <v>811.45</v>
      </c>
      <c r="CY9" s="116" cm="1">
        <f t="array" ref="CY9">_xll.EQNXTDZ($A$1,$B9,CY$1)</f>
        <v>769.15</v>
      </c>
      <c r="CZ9" s="116" cm="1">
        <f t="array" ref="CZ9">_xll.EQNXTDZ($A$1,$B9,CZ$1)</f>
        <v>846.05</v>
      </c>
      <c r="DA9" s="116" cm="1">
        <f t="array" ref="DA9">_xll.EQNXTDZ($A$1,$B9,DA$1)</f>
        <v>904.25</v>
      </c>
      <c r="DB9" s="116" cm="1">
        <f t="array" ref="DB9">_xll.EQNXTDZ($A$1,$B9,DB$1)</f>
        <v>864.45</v>
      </c>
      <c r="DC9" s="116" cm="1">
        <f t="array" ref="DC9">_xll.EQNXTDZ($A$1,$B9,DC$1)</f>
        <v>866.9</v>
      </c>
      <c r="DD9" s="116" cm="1">
        <f t="array" ref="DD9">_xll.EQNXTDZ($A$1,$B9,DD$1)</f>
        <v>880.85</v>
      </c>
      <c r="DE9" s="116" cm="1">
        <f t="array" ref="DE9">_xll.EQNXTDZ($A$1,$B9,DE$1)</f>
        <v>928.7</v>
      </c>
      <c r="DF9" s="116" cm="1">
        <f t="array" ref="DF9">_xll.EQNXTDZ($A$1,$B9,DF$1)</f>
        <v>975.65</v>
      </c>
      <c r="DG9" s="116" cm="1">
        <f t="array" ref="DG9">_xll.EQNXTDZ($A$1,$B9,DG$1)</f>
        <v>1008.15</v>
      </c>
      <c r="DH9" s="116" cm="1">
        <f t="array" ref="DH9">_xll.EQNXTDZ($A$1,$B9,DH$1)</f>
        <v>1098.5999999999999</v>
      </c>
      <c r="DI9" s="116" cm="1">
        <f t="array" ref="DI9">_xll.EQNXTDZ($A$1,$B9,DI$1)</f>
        <v>1192.05</v>
      </c>
      <c r="DJ9" s="116" cm="1">
        <f t="array" ref="DJ9">_xll.EQNXTDZ($A$1,$B9,DJ$1)</f>
        <v>1215.0999999999999</v>
      </c>
      <c r="DK9" s="116" cm="1">
        <f t="array" ref="DK9">_xll.EQNXTDZ($A$1,$B9,DK$1)</f>
        <v>1145.55</v>
      </c>
      <c r="DL9" s="116" cm="1">
        <f t="array" ref="DL9">_xll.EQNXTDZ($A$1,$B9,DL$1)</f>
        <v>1160.55</v>
      </c>
      <c r="DM9" s="116" cm="1">
        <f t="array" ref="DM9">_xll.EQNXTDZ($A$1,$B9,DM$1)</f>
        <v>1196</v>
      </c>
      <c r="DN9" s="116" cm="1">
        <f t="array" ref="DN9">_xll.EQNXTDZ($A$1,$B9,DN$1)</f>
        <v>1233.25</v>
      </c>
      <c r="DO9" s="116" cm="1">
        <f t="array" ref="DO9">_xll.EQNXTDZ($A$1,$B9,DO$1)</f>
        <v>1060.1500000000001</v>
      </c>
      <c r="DP9" s="116" cm="1">
        <f t="array" ref="DP9">_xll.EQNXTDZ($A$1,$B9,DP$1)</f>
        <v>1121.45</v>
      </c>
      <c r="DQ9" s="116" cm="1">
        <f t="array" ref="DQ9">_xll.EQNXTDZ($A$1,$B9,DQ$1)</f>
        <v>1105.5</v>
      </c>
      <c r="DR9" s="116" cm="1">
        <f t="array" ref="DR9">_xll.EQNXTDZ($A$1,$B9,DR$1)</f>
        <v>1174.1500000000001</v>
      </c>
      <c r="DS9" s="116" cm="1">
        <f t="array" ref="DS9">_xll.EQNXTDZ($A$1,$B9,DS$1)</f>
        <v>1081.5999999999999</v>
      </c>
      <c r="DT9" s="116" cm="1">
        <f t="array" ref="DT9">_xll.EQNXTDZ($A$1,$B9,DT$1)</f>
        <v>1294.4000000000001</v>
      </c>
      <c r="DU9" s="116" cm="1">
        <f t="array" ref="DU9">_xll.EQNXTDZ($A$1,$B9,DU$1)</f>
        <v>1329.1</v>
      </c>
      <c r="DV9" s="116" cm="1">
        <f t="array" ref="DV9">_xll.EQNXTDZ($A$1,$B9,DV$1)</f>
        <v>1250.45</v>
      </c>
      <c r="DW9" s="116" cm="1">
        <f t="array" ref="DW9">_xll.EQNXTDZ($A$1,$B9,DW$1)</f>
        <v>1265.95</v>
      </c>
      <c r="DX9" s="116" cm="1">
        <f t="array" ref="DX9">_xll.EQNXTDZ($A$1,$B9,DX$1)</f>
        <v>1282.9000000000001</v>
      </c>
      <c r="DY9" s="116" cm="1">
        <f t="array" ref="DY9">_xll.EQNXTDZ($A$1,$B9,DY$1)</f>
        <v>1231.3</v>
      </c>
      <c r="DZ9" s="116" cm="1">
        <f t="array" ref="DZ9">_xll.EQNXTDZ($A$1,$B9,DZ$1)</f>
        <v>1219.55</v>
      </c>
      <c r="EA9" s="116" cm="1">
        <f t="array" ref="EA9">_xll.EQNXTDZ($A$1,$B9,EA$1)</f>
        <v>1121</v>
      </c>
      <c r="EB9" s="116" cm="1">
        <f t="array" ref="EB9">_xll.EQNXTDZ($A$1,$B9,EB$1)</f>
        <v>1101.0999999999999</v>
      </c>
      <c r="EC9" s="116" cm="1">
        <f t="array" ref="EC9">_xll.EQNXTDZ($A$1,$B9,EC$1)</f>
        <v>1140.0999999999999</v>
      </c>
      <c r="ED9" s="116" cm="1">
        <f t="array" ref="ED9">_xll.EQNXTDZ($A$1,$B9,ED$1)</f>
        <v>1235</v>
      </c>
      <c r="EE9" s="116" cm="1">
        <f t="array" ref="EE9">_xll.EQNXTDZ($A$1,$B9,EE$1)</f>
        <v>1306.9000000000001</v>
      </c>
      <c r="EF9" s="116" cm="1">
        <f t="array" ref="EF9">_xll.EQNXTDZ($A$1,$B9,EF$1)</f>
        <v>1282.1500000000001</v>
      </c>
      <c r="EG9" s="116" cm="1">
        <f t="array" ref="EG9">_xll.EQNXTDZ($A$1,$B9,EG$1)</f>
        <v>1292.55</v>
      </c>
      <c r="EH9" s="116" cm="1">
        <f t="array" ref="EH9">_xll.EQNXTDZ($A$1,$B9,EH$1)</f>
        <v>1305.4000000000001</v>
      </c>
      <c r="EI9" s="116" cm="1">
        <f t="array" ref="EI9">_xll.EQNXTDZ($A$1,$B9,EI$1)</f>
        <v>1367.85</v>
      </c>
      <c r="EJ9" s="116" cm="1">
        <f t="array" ref="EJ9">_xll.EQNXTDZ($A$1,$B9,EJ$1)</f>
        <v>1435.25</v>
      </c>
      <c r="EK9" s="116" cm="1">
        <f t="array" ref="EK9">_xll.EQNXTDZ($A$1,$B9,EK$1)</f>
        <v>1432.6</v>
      </c>
      <c r="EL9" s="116" cm="1">
        <f t="array" ref="EL9">_xll.EQNXTDZ($A$1,$B9,EL$1)</f>
        <v>1401.15</v>
      </c>
      <c r="EM9" s="116" cm="1">
        <f t="array" ref="EM9">_xll.EQNXTDZ($A$1,$B9,EM$1)</f>
        <v>1552.55</v>
      </c>
      <c r="EN9" s="116" cm="1">
        <f t="array" ref="EN9">_xll.EQNXTDZ($A$1,$B9,EN$1)</f>
        <v>1500.25</v>
      </c>
      <c r="EO9" s="116" cm="1">
        <f t="array" ref="EO9">_xll.EQNXTDZ($A$1,$B9,EO$1)</f>
        <v>1436.55</v>
      </c>
      <c r="EP9" s="116" cm="1">
        <f t="array" ref="EP9">_xll.EQNXTDZ($A$1,$B9,EP$1)</f>
        <v>1386.4</v>
      </c>
      <c r="EQ9" s="116" cm="1">
        <f t="array" ref="EQ9">_xll.EQNXTDZ($A$1,$B9,EQ$1)</f>
        <v>1491.95</v>
      </c>
      <c r="ER9" s="116" cm="1">
        <f t="array" ref="ER9">_xll.EQNXTDZ($A$1,$B9,ER$1)</f>
        <v>1753.65</v>
      </c>
      <c r="ES9" s="116" cm="1">
        <f t="array" ref="ES9">_xll.EQNXTDZ($A$1,$B9,ES$1)</f>
        <v>1850.3</v>
      </c>
      <c r="ET9" s="116" cm="1">
        <f t="array" ref="ET9">_xll.EQNXTDZ($A$1,$B9,ET$1)</f>
        <v>1844</v>
      </c>
      <c r="EU9" s="116" cm="1">
        <f t="array" ref="EU9">_xll.EQNXTDZ($A$1,$B9,EU$1)</f>
        <v>1622.15</v>
      </c>
      <c r="EV9" s="116" cm="1">
        <f t="array" ref="EV9">_xll.EQNXTDZ($A$1,$B9,EV$1)</f>
        <v>1437.75</v>
      </c>
      <c r="EW9" s="116" cm="1">
        <f t="array" ref="EW9">_xll.EQNXTDZ($A$1,$B9,EW$1)</f>
        <v>1390.4</v>
      </c>
      <c r="EX9" s="116" cm="1">
        <f t="array" ref="EX9">_xll.EQNXTDZ($A$1,$B9,EX$1)</f>
        <v>1483.6</v>
      </c>
      <c r="EY9" s="116" cm="1">
        <f t="array" ref="EY9">_xll.EQNXTDZ($A$1,$B9,EY$1)</f>
        <v>1430.5</v>
      </c>
      <c r="EZ9" s="116" cm="1">
        <f t="array" ref="EZ9">_xll.EQNXTDZ($A$1,$B9,EZ$1)</f>
        <v>1547.85</v>
      </c>
      <c r="FA9" s="116" cm="1">
        <f t="array" ref="FA9">_xll.EQNXTDZ($A$1,$B9,FA$1)</f>
        <v>1765.8</v>
      </c>
      <c r="FB9" s="116" cm="1">
        <f t="array" ref="FB9">_xll.EQNXTDZ($A$1,$B9,FB$1)</f>
        <v>1812.2</v>
      </c>
      <c r="FC9" s="116" cm="1">
        <f t="array" ref="FC9">_xll.EQNXTDZ($A$1,$B9,FC$1)</f>
        <v>1838.3</v>
      </c>
      <c r="FD9" s="116" cm="1">
        <f t="array" ref="FD9">_xll.EQNXTDZ($A$1,$B9,FD$1)</f>
        <v>1840.7</v>
      </c>
      <c r="FE9" s="116" cm="1">
        <f t="array" ref="FE9">_xll.EQNXTDZ($A$1,$B9,FE$1)</f>
        <v>1805.5</v>
      </c>
      <c r="FF9" s="116" cm="1">
        <f t="array" ref="FF9">_xll.EQNXTDZ($A$1,$B9,FF$1)</f>
        <v>1790.6</v>
      </c>
      <c r="FG9" s="116" cm="1">
        <f t="array" ref="FG9">_xll.EQNXTDZ($A$1,$B9,FG$1)</f>
        <v>1955.7</v>
      </c>
      <c r="FH9" s="116" cm="1">
        <f t="array" ref="FH9">_xll.EQNXTDZ($A$1,$B9,FH$1)</f>
        <v>1966</v>
      </c>
      <c r="FI9" s="116" cm="1">
        <f t="array" ref="FI9">_xll.EQNXTDZ($A$1,$B9,FI$1)</f>
        <v>2034.9</v>
      </c>
      <c r="FJ9" s="116" cm="1">
        <f t="array" ref="FJ9">_xll.EQNXTDZ($A$1,$B9,FJ$1)</f>
        <v>1998.5</v>
      </c>
      <c r="FK9" s="116" cm="1">
        <f t="array" ref="FK9">_xll.EQNXTDZ($A$1,$B9,FK$1)</f>
        <v>2037.2</v>
      </c>
      <c r="FL9" s="116" cm="1">
        <f t="array" ref="FL9">_xll.EQNXTDZ($A$1,$B9,FL$1)</f>
        <v>1777.3</v>
      </c>
      <c r="FM9" s="116" cm="1">
        <f t="array" ref="FM9">_xll.EQNXTDZ($A$1,$B9,FM$1)</f>
        <v>1819</v>
      </c>
      <c r="FN9" s="116" cm="1">
        <f t="array" ref="FN9">_xll.EQNXTDZ($A$1,$B9,FN$1)</f>
        <v>1830.1</v>
      </c>
      <c r="FO9" s="116" cm="1">
        <f t="array" ref="FO9">_xll.EQNXTDZ($A$1,$B9,FO$1)</f>
        <v>1767.6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695.35</v>
      </c>
      <c r="IL9" s="116">
        <f>+BT9</f>
        <v>678.25</v>
      </c>
      <c r="IM9" s="116">
        <f>+BW9</f>
        <v>674.35</v>
      </c>
      <c r="IN9" s="116">
        <f>+BZ9</f>
        <v>511.6</v>
      </c>
      <c r="IO9" s="116">
        <f>+CC9</f>
        <v>597.85</v>
      </c>
      <c r="IP9" s="116">
        <f>+CF9</f>
        <v>583.4</v>
      </c>
      <c r="IQ9" s="116">
        <f>+CI9</f>
        <v>723.7</v>
      </c>
      <c r="IR9" s="116">
        <f>+CL9</f>
        <v>846.4</v>
      </c>
      <c r="IS9" s="116">
        <f>+CO9</f>
        <v>961.6</v>
      </c>
      <c r="IT9" s="116">
        <f>+CR9</f>
        <v>641</v>
      </c>
      <c r="IU9" s="116">
        <f>+CU9</f>
        <v>806.45</v>
      </c>
      <c r="IV9" s="116">
        <f>+CX9</f>
        <v>811.45</v>
      </c>
      <c r="IW9" s="116">
        <f>+DA9</f>
        <v>904.25</v>
      </c>
      <c r="IX9" s="116">
        <f>+DD9</f>
        <v>880.85</v>
      </c>
      <c r="IY9" s="116">
        <f>+DG9</f>
        <v>1008.15</v>
      </c>
      <c r="IZ9" s="116">
        <f>+DJ9</f>
        <v>1215.0999999999999</v>
      </c>
      <c r="JA9" s="116">
        <f>+DM9</f>
        <v>1196</v>
      </c>
      <c r="JB9" s="116">
        <f>+DP9</f>
        <v>1121.45</v>
      </c>
      <c r="JC9" s="116">
        <f>+DS9</f>
        <v>1081.5999999999999</v>
      </c>
      <c r="JD9" s="116">
        <f>+DV9</f>
        <v>1250.45</v>
      </c>
      <c r="JE9" s="116">
        <f>+DY9</f>
        <v>1231.3</v>
      </c>
      <c r="JF9" s="116">
        <f>+EB9</f>
        <v>1101.0999999999999</v>
      </c>
      <c r="JG9" s="116">
        <f>+EE9</f>
        <v>1306.9000000000001</v>
      </c>
      <c r="JH9" s="116">
        <f>+EH9</f>
        <v>1305.4000000000001</v>
      </c>
      <c r="JI9" s="116">
        <f>+EK9</f>
        <v>1432.6</v>
      </c>
      <c r="JJ9" s="116">
        <f>+EN9</f>
        <v>1500.25</v>
      </c>
      <c r="JK9" s="116">
        <f>EQ9</f>
        <v>1491.95</v>
      </c>
      <c r="JL9" s="116">
        <f>ET9</f>
        <v>1844</v>
      </c>
      <c r="JM9" s="116">
        <f>EW9</f>
        <v>1390.4</v>
      </c>
      <c r="JN9" s="116">
        <f>EZ9</f>
        <v>1547.85</v>
      </c>
      <c r="JO9" s="116">
        <f>FC9</f>
        <v>1838.3</v>
      </c>
      <c r="JP9" s="116">
        <f>FF9</f>
        <v>1790.6</v>
      </c>
      <c r="JQ9" s="116">
        <f>FI9</f>
        <v>2034.9</v>
      </c>
      <c r="JR9" s="116">
        <f>FL9</f>
        <v>1777.3</v>
      </c>
      <c r="JS9" s="116">
        <f>FO9</f>
        <v>1767.6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733.3</v>
      </c>
      <c r="BP13" cm="1">
        <f t="array" ref="BP13">_xll.EQNXTDZ($A$1,$B13,BP$1)</f>
        <v>657</v>
      </c>
      <c r="BQ13" cm="1">
        <f t="array" ref="BQ13">_xll.EQNXTDZ($A$1,$B13,BQ$1)</f>
        <v>656</v>
      </c>
      <c r="BR13" cm="1">
        <f t="array" ref="BR13">_xll.EQNXTDZ($A$1,$B13,BR$1)</f>
        <v>698</v>
      </c>
      <c r="BS13" cm="1">
        <f t="array" ref="BS13">_xll.EQNXTDZ($A$1,$B13,BS$1)</f>
        <v>665</v>
      </c>
      <c r="BT13" cm="1">
        <f t="array" ref="BT13">_xll.EQNXTDZ($A$1,$B13,BT$1)</f>
        <v>693.85</v>
      </c>
      <c r="BU13" cm="1">
        <f t="array" ref="BU13">_xll.EQNXTDZ($A$1,$B13,BU$1)</f>
        <v>683.75</v>
      </c>
      <c r="BV13" cm="1">
        <f t="array" ref="BV13">_xll.EQNXTDZ($A$1,$B13,BV$1)</f>
        <v>740</v>
      </c>
      <c r="BW13" cm="1">
        <f t="array" ref="BW13">_xll.EQNXTDZ($A$1,$B13,BW$1)</f>
        <v>689.9</v>
      </c>
      <c r="BX13" cm="1">
        <f t="array" ref="BX13">_xll.EQNXTDZ($A$1,$B13,BX$1)</f>
        <v>679</v>
      </c>
      <c r="BY13" cm="1">
        <f t="array" ref="BY13">_xll.EQNXTDZ($A$1,$B13,BY$1)</f>
        <v>690</v>
      </c>
      <c r="BZ13" cm="1">
        <f t="array" ref="BZ13">_xll.EQNXTDZ($A$1,$B13,BZ$1)</f>
        <v>673.75</v>
      </c>
      <c r="CA13" cm="1">
        <f t="array" ref="CA13">_xll.EQNXTDZ($A$1,$B13,CA$1)</f>
        <v>513</v>
      </c>
      <c r="CB13" cm="1">
        <f t="array" ref="CB13">_xll.EQNXTDZ($A$1,$B13,CB$1)</f>
        <v>565.04999999999995</v>
      </c>
      <c r="CC13" cm="1">
        <f t="array" ref="CC13">_xll.EQNXTDZ($A$1,$B13,CC$1)</f>
        <v>562.79999999999995</v>
      </c>
      <c r="CD13" cm="1">
        <f t="array" ref="CD13">_xll.EQNXTDZ($A$1,$B13,CD$1)</f>
        <v>597</v>
      </c>
      <c r="CE13" cm="1">
        <f t="array" ref="CE13">_xll.EQNXTDZ($A$1,$B13,CE$1)</f>
        <v>604</v>
      </c>
      <c r="CF13" cm="1">
        <f t="array" ref="CF13">_xll.EQNXTDZ($A$1,$B13,CF$1)</f>
        <v>580.35</v>
      </c>
      <c r="CG13" cm="1">
        <f t="array" ref="CG13">_xll.EQNXTDZ($A$1,$B13,CG$1)</f>
        <v>583.75</v>
      </c>
      <c r="CH13" cm="1">
        <f t="array" ref="CH13">_xll.EQNXTDZ($A$1,$B13,CH$1)</f>
        <v>640</v>
      </c>
      <c r="CI13" cm="1">
        <f t="array" ref="CI13">_xll.EQNXTDZ($A$1,$B13,CI$1)</f>
        <v>690</v>
      </c>
      <c r="CJ13" cm="1">
        <f t="array" ref="CJ13">_xll.EQNXTDZ($A$1,$B13,CJ$1)</f>
        <v>725</v>
      </c>
      <c r="CK13" cm="1">
        <f t="array" ref="CK13">_xll.EQNXTDZ($A$1,$B13,CK$1)</f>
        <v>799.8</v>
      </c>
      <c r="CL13" cm="1">
        <f t="array" ref="CL13">_xll.EQNXTDZ($A$1,$B13,CL$1)</f>
        <v>835</v>
      </c>
      <c r="CM13" cm="1">
        <f t="array" ref="CM13">_xll.EQNXTDZ($A$1,$B13,CM$1)</f>
        <v>843</v>
      </c>
      <c r="CN13" cm="1">
        <f t="array" ref="CN13">_xll.EQNXTDZ($A$1,$B13,CN$1)</f>
        <v>991</v>
      </c>
      <c r="CO13" cm="1">
        <f t="array" ref="CO13">_xll.EQNXTDZ($A$1,$B13,CO$1)</f>
        <v>961</v>
      </c>
      <c r="CP13" cm="1">
        <f t="array" ref="CP13">_xll.EQNXTDZ($A$1,$B13,CP$1)</f>
        <v>964.8</v>
      </c>
      <c r="CQ13" cm="1">
        <f t="array" ref="CQ13">_xll.EQNXTDZ($A$1,$B13,CQ$1)</f>
        <v>994.5</v>
      </c>
      <c r="CR13" cm="1">
        <f t="array" ref="CR13">_xll.EQNXTDZ($A$1,$B13,CR$1)</f>
        <v>890</v>
      </c>
      <c r="CS13" cm="1">
        <f t="array" ref="CS13">_xll.EQNXTDZ($A$1,$B13,CS$1)</f>
        <v>635.29999999999995</v>
      </c>
      <c r="CT13" cm="1">
        <f t="array" ref="CT13">_xll.EQNXTDZ($A$1,$B13,CT$1)</f>
        <v>714.35</v>
      </c>
      <c r="CU13" cm="1">
        <f t="array" ref="CU13">_xll.EQNXTDZ($A$1,$B13,CU$1)</f>
        <v>782</v>
      </c>
      <c r="CV13" cm="1">
        <f t="array" ref="CV13">_xll.EQNXTDZ($A$1,$B13,CV$1)</f>
        <v>815</v>
      </c>
      <c r="CW13" cm="1">
        <f t="array" ref="CW13">_xll.EQNXTDZ($A$1,$B13,CW$1)</f>
        <v>918</v>
      </c>
      <c r="CX13" cm="1">
        <f t="array" ref="CX13">_xll.EQNXTDZ($A$1,$B13,CX$1)</f>
        <v>828.55</v>
      </c>
      <c r="CY13" cm="1">
        <f t="array" ref="CY13">_xll.EQNXTDZ($A$1,$B13,CY$1)</f>
        <v>813.55</v>
      </c>
      <c r="CZ13" cm="1">
        <f t="array" ref="CZ13">_xll.EQNXTDZ($A$1,$B13,CZ$1)</f>
        <v>770.15</v>
      </c>
      <c r="DA13" cm="1">
        <f t="array" ref="DA13">_xll.EQNXTDZ($A$1,$B13,DA$1)</f>
        <v>847.55</v>
      </c>
      <c r="DB13" cm="1">
        <f t="array" ref="DB13">_xll.EQNXTDZ($A$1,$B13,DB$1)</f>
        <v>900.1</v>
      </c>
      <c r="DC13" cm="1">
        <f t="array" ref="DC13">_xll.EQNXTDZ($A$1,$B13,DC$1)</f>
        <v>870</v>
      </c>
      <c r="DD13" cm="1">
        <f t="array" ref="DD13">_xll.EQNXTDZ($A$1,$B13,DD$1)</f>
        <v>860</v>
      </c>
      <c r="DE13" cm="1">
        <f t="array" ref="DE13">_xll.EQNXTDZ($A$1,$B13,DE$1)</f>
        <v>890</v>
      </c>
      <c r="DF13" cm="1">
        <f t="array" ref="DF13">_xll.EQNXTDZ($A$1,$B13,DF$1)</f>
        <v>932.7</v>
      </c>
      <c r="DG13" cm="1">
        <f t="array" ref="DG13">_xll.EQNXTDZ($A$1,$B13,DG$1)</f>
        <v>981</v>
      </c>
      <c r="DH13" cm="1">
        <f t="array" ref="DH13">_xll.EQNXTDZ($A$1,$B13,DH$1)</f>
        <v>1010</v>
      </c>
      <c r="DI13" cm="1">
        <f t="array" ref="DI13">_xll.EQNXTDZ($A$1,$B13,DI$1)</f>
        <v>1099.7</v>
      </c>
      <c r="DJ13" cm="1">
        <f t="array" ref="DJ13">_xll.EQNXTDZ($A$1,$B13,DJ$1)</f>
        <v>1191</v>
      </c>
      <c r="DK13" cm="1">
        <f t="array" ref="DK13">_xll.EQNXTDZ($A$1,$B13,DK$1)</f>
        <v>1208.75</v>
      </c>
      <c r="DL13" cm="1">
        <f t="array" ref="DL13">_xll.EQNXTDZ($A$1,$B13,DL$1)</f>
        <v>1145</v>
      </c>
      <c r="DM13" cm="1">
        <f t="array" ref="DM13">_xll.EQNXTDZ($A$1,$B13,DM$1)</f>
        <v>1149.8499999999999</v>
      </c>
      <c r="DN13" cm="1">
        <f t="array" ref="DN13">_xll.EQNXTDZ($A$1,$B13,DN$1)</f>
        <v>1196</v>
      </c>
      <c r="DO13" cm="1">
        <f t="array" ref="DO13">_xll.EQNXTDZ($A$1,$B13,DO$1)</f>
        <v>1249.7</v>
      </c>
      <c r="DP13" cm="1">
        <f t="array" ref="DP13">_xll.EQNXTDZ($A$1,$B13,DP$1)</f>
        <v>1050</v>
      </c>
      <c r="DQ13" cm="1">
        <f t="array" ref="DQ13">_xll.EQNXTDZ($A$1,$B13,DQ$1)</f>
        <v>1121.45</v>
      </c>
      <c r="DR13" cm="1">
        <f t="array" ref="DR13">_xll.EQNXTDZ($A$1,$B13,DR$1)</f>
        <v>1097</v>
      </c>
      <c r="DS13" cm="1">
        <f t="array" ref="DS13">_xll.EQNXTDZ($A$1,$B13,DS$1)</f>
        <v>1152.0999999999999</v>
      </c>
      <c r="DT13" cm="1">
        <f t="array" ref="DT13">_xll.EQNXTDZ($A$1,$B13,DT$1)</f>
        <v>1080.4000000000001</v>
      </c>
      <c r="DU13" cm="1">
        <f t="array" ref="DU13">_xll.EQNXTDZ($A$1,$B13,DU$1)</f>
        <v>1295</v>
      </c>
      <c r="DV13" cm="1">
        <f t="array" ref="DV13">_xll.EQNXTDZ($A$1,$B13,DV$1)</f>
        <v>1297.8499999999999</v>
      </c>
      <c r="DW13" cm="1">
        <f t="array" ref="DW13">_xll.EQNXTDZ($A$1,$B13,DW$1)</f>
        <v>1240.05</v>
      </c>
      <c r="DX13" cm="1">
        <f t="array" ref="DX13">_xll.EQNXTDZ($A$1,$B13,DX$1)</f>
        <v>1255</v>
      </c>
      <c r="DY13" cm="1">
        <f t="array" ref="DY13">_xll.EQNXTDZ($A$1,$B13,DY$1)</f>
        <v>1288</v>
      </c>
      <c r="DZ13" cm="1">
        <f t="array" ref="DZ13">_xll.EQNXTDZ($A$1,$B13,DZ$1)</f>
        <v>1226</v>
      </c>
      <c r="EA13" cm="1">
        <f t="array" ref="EA13">_xll.EQNXTDZ($A$1,$B13,EA$1)</f>
        <v>1211.1500000000001</v>
      </c>
      <c r="EB13" cm="1">
        <f t="array" ref="EB13">_xll.EQNXTDZ($A$1,$B13,EB$1)</f>
        <v>1120.5999999999999</v>
      </c>
      <c r="EC13" cm="1">
        <f t="array" ref="EC13">_xll.EQNXTDZ($A$1,$B13,EC$1)</f>
        <v>1092.3499999999999</v>
      </c>
      <c r="ED13" cm="1">
        <f t="array" ref="ED13">_xll.EQNXTDZ($A$1,$B13,ED$1)</f>
        <v>1145.05</v>
      </c>
      <c r="EE13" cm="1">
        <f t="array" ref="EE13">_xll.EQNXTDZ($A$1,$B13,EE$1)</f>
        <v>1267.95</v>
      </c>
      <c r="EF13" cm="1">
        <f t="array" ref="EF13">_xll.EQNXTDZ($A$1,$B13,EF$1)</f>
        <v>1302.05</v>
      </c>
      <c r="EG13" cm="1">
        <f t="array" ref="EG13">_xll.EQNXTDZ($A$1,$B13,EG$1)</f>
        <v>1288</v>
      </c>
      <c r="EH13" cm="1">
        <f t="array" ref="EH13">_xll.EQNXTDZ($A$1,$B13,EH$1)</f>
        <v>1293.8</v>
      </c>
      <c r="EI13" cm="1">
        <f t="array" ref="EI13">_xll.EQNXTDZ($A$1,$B13,EI$1)</f>
        <v>1309.95</v>
      </c>
      <c r="EJ13" cm="1">
        <f t="array" ref="EJ13">_xll.EQNXTDZ($A$1,$B13,EJ$1)</f>
        <v>1375.6</v>
      </c>
      <c r="EK13" cm="1">
        <f t="array" ref="EK13">_xll.EQNXTDZ($A$1,$B13,EK$1)</f>
        <v>1443.95</v>
      </c>
      <c r="EL13" cm="1">
        <f t="array" ref="EL13">_xll.EQNXTDZ($A$1,$B13,EL$1)</f>
        <v>1429.8</v>
      </c>
      <c r="EM13" cm="1">
        <f t="array" ref="EM13">_xll.EQNXTDZ($A$1,$B13,EM$1)</f>
        <v>1401.15</v>
      </c>
      <c r="EN13" cm="1">
        <f t="array" ref="EN13">_xll.EQNXTDZ($A$1,$B13,EN$1)</f>
        <v>1567</v>
      </c>
      <c r="EO13" cm="1">
        <f t="array" ref="EO13">_xll.EQNXTDZ($A$1,$B13,EO$1)</f>
        <v>1499.95</v>
      </c>
      <c r="EP13" cm="1">
        <f t="array" ref="EP13">_xll.EQNXTDZ($A$1,$B13,EP$1)</f>
        <v>1420</v>
      </c>
      <c r="EQ13" cm="1">
        <f t="array" ref="EQ13">_xll.EQNXTDZ($A$1,$B13,EQ$1)</f>
        <v>1448.5</v>
      </c>
      <c r="ER13" cm="1">
        <f t="array" ref="ER13">_xll.EQNXTDZ($A$1,$B13,ER$1)</f>
        <v>1491.3</v>
      </c>
      <c r="ES13" cm="1">
        <f t="array" ref="ES13">_xll.EQNXTDZ($A$1,$B13,ES$1)</f>
        <v>1785.8</v>
      </c>
      <c r="ET13" cm="1">
        <f t="array" ref="ET13">_xll.EQNXTDZ($A$1,$B13,ET$1)</f>
        <v>1854.7</v>
      </c>
      <c r="EU13" cm="1">
        <f t="array" ref="EU13">_xll.EQNXTDZ($A$1,$B13,EU$1)</f>
        <v>1887.95</v>
      </c>
      <c r="EV13" cm="1">
        <f t="array" ref="EV13">_xll.EQNXTDZ($A$1,$B13,EV$1)</f>
        <v>1630.05</v>
      </c>
      <c r="EW13" cm="1">
        <f t="array" ref="EW13">_xll.EQNXTDZ($A$1,$B13,EW$1)</f>
        <v>1434.95</v>
      </c>
      <c r="EX13" cm="1">
        <f t="array" ref="EX13">_xll.EQNXTDZ($A$1,$B13,EX$1)</f>
        <v>1391.6</v>
      </c>
      <c r="EY13" cm="1">
        <f t="array" ref="EY13">_xll.EQNXTDZ($A$1,$B13,EY$1)</f>
        <v>1494.85</v>
      </c>
      <c r="EZ13" cm="1">
        <f t="array" ref="EZ13">_xll.EQNXTDZ($A$1,$B13,EZ$1)</f>
        <v>1437.7</v>
      </c>
      <c r="FA13" cm="1">
        <f t="array" ref="FA13">_xll.EQNXTDZ($A$1,$B13,FA$1)</f>
        <v>1506.9</v>
      </c>
      <c r="FB13" cm="1">
        <f t="array" ref="FB13">_xll.EQNXTDZ($A$1,$B13,FB$1)</f>
        <v>1765.8</v>
      </c>
      <c r="FC13" cm="1">
        <f t="array" ref="FC13">_xll.EQNXTDZ($A$1,$B13,FC$1)</f>
        <v>1823.8</v>
      </c>
      <c r="FD13" cm="1">
        <f t="array" ref="FD13">_xll.EQNXTDZ($A$1,$B13,FD$1)</f>
        <v>1838.1</v>
      </c>
      <c r="FE13" cm="1">
        <f t="array" ref="FE13">_xll.EQNXTDZ($A$1,$B13,FE$1)</f>
        <v>1837.8</v>
      </c>
      <c r="FF13" cm="1">
        <f t="array" ref="FF13">_xll.EQNXTDZ($A$1,$B13,FF$1)</f>
        <v>1801</v>
      </c>
      <c r="FG13" cm="1">
        <f t="array" ref="FG13">_xll.EQNXTDZ($A$1,$B13,FG$1)</f>
        <v>1770</v>
      </c>
      <c r="FH13" cm="1">
        <f t="array" ref="FH13">_xll.EQNXTDZ($A$1,$B13,FH$1)</f>
        <v>1954.75</v>
      </c>
      <c r="FI13" cm="1">
        <f t="array" ref="FI13">_xll.EQNXTDZ($A$1,$B13,FI$1)</f>
        <v>1967.65</v>
      </c>
      <c r="FJ13" cm="1">
        <f t="array" ref="FJ13">_xll.EQNXTDZ($A$1,$B13,FJ$1)</f>
        <v>2043.9</v>
      </c>
      <c r="FK13" cm="1">
        <f t="array" ref="FK13">_xll.EQNXTDZ($A$1,$B13,FK$1)</f>
        <v>1998.15</v>
      </c>
      <c r="FL13" cm="1">
        <f t="array" ref="FL13">_xll.EQNXTDZ($A$1,$B13,FL$1)</f>
        <v>2000.9</v>
      </c>
      <c r="FM13" cm="1">
        <f t="array" ref="FM13">_xll.EQNXTDZ($A$1,$B13,FM$1)</f>
        <v>1778.15</v>
      </c>
      <c r="FN13" cm="1">
        <f t="array" ref="FN13">_xll.EQNXTDZ($A$1,$B13,FN$1)</f>
        <v>1817.95</v>
      </c>
      <c r="FO13" cm="1">
        <f t="array" ref="FO13">_xll.EQNXTDZ($A$1,$B13,FO$1)</f>
        <v>1832.3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738</v>
      </c>
      <c r="BP14" s="116" cm="1">
        <f t="array" ref="BP14">_xll.EQNXTDZ($A$1,$B14,BP$1)</f>
        <v>698.95</v>
      </c>
      <c r="BQ14" s="116" cm="1">
        <f t="array" ref="BQ14">_xll.EQNXTDZ($A$1,$B14,BQ$1)</f>
        <v>705.75</v>
      </c>
      <c r="BR14" s="116" cm="1">
        <f t="array" ref="BR14">_xll.EQNXTDZ($A$1,$B14,BR$1)</f>
        <v>722.05</v>
      </c>
      <c r="BS14" s="116" cm="1">
        <f t="array" ref="BS14">_xll.EQNXTDZ($A$1,$B14,BS$1)</f>
        <v>732</v>
      </c>
      <c r="BT14" s="116" cm="1">
        <f t="array" ref="BT14">_xll.EQNXTDZ($A$1,$B14,BT$1)</f>
        <v>695.8</v>
      </c>
      <c r="BU14" s="116" cm="1">
        <f t="array" ref="BU14">_xll.EQNXTDZ($A$1,$B14,BU$1)</f>
        <v>774.75</v>
      </c>
      <c r="BV14" s="116" cm="1">
        <f t="array" ref="BV14">_xll.EQNXTDZ($A$1,$B14,BV$1)</f>
        <v>757</v>
      </c>
      <c r="BW14" s="116" cm="1">
        <f t="array" ref="BW14">_xll.EQNXTDZ($A$1,$B14,BW$1)</f>
        <v>727.35</v>
      </c>
      <c r="BX14" s="116" cm="1">
        <f t="array" ref="BX14">_xll.EQNXTDZ($A$1,$B14,BX$1)</f>
        <v>710</v>
      </c>
      <c r="BY14" s="116" cm="1">
        <f t="array" ref="BY14">_xll.EQNXTDZ($A$1,$B14,BY$1)</f>
        <v>706.85</v>
      </c>
      <c r="BZ14" s="116" cm="1">
        <f t="array" ref="BZ14">_xll.EQNXTDZ($A$1,$B14,BZ$1)</f>
        <v>685.25</v>
      </c>
      <c r="CA14" s="116" cm="1">
        <f t="array" ref="CA14">_xll.EQNXTDZ($A$1,$B14,CA$1)</f>
        <v>599</v>
      </c>
      <c r="CB14" s="116" cm="1">
        <f t="array" ref="CB14">_xll.EQNXTDZ($A$1,$B14,CB$1)</f>
        <v>592.9</v>
      </c>
      <c r="CC14" s="116" cm="1">
        <f t="array" ref="CC14">_xll.EQNXTDZ($A$1,$B14,CC$1)</f>
        <v>604.35</v>
      </c>
      <c r="CD14" s="116" cm="1">
        <f t="array" ref="CD14">_xll.EQNXTDZ($A$1,$B14,CD$1)</f>
        <v>648.15</v>
      </c>
      <c r="CE14" s="116" cm="1">
        <f t="array" ref="CE14">_xll.EQNXTDZ($A$1,$B14,CE$1)</f>
        <v>604</v>
      </c>
      <c r="CF14" s="116" cm="1">
        <f t="array" ref="CF14">_xll.EQNXTDZ($A$1,$B14,CF$1)</f>
        <v>634</v>
      </c>
      <c r="CG14" s="116" cm="1">
        <f t="array" ref="CG14">_xll.EQNXTDZ($A$1,$B14,CG$1)</f>
        <v>644.5</v>
      </c>
      <c r="CH14" s="116" cm="1">
        <f t="array" ref="CH14">_xll.EQNXTDZ($A$1,$B14,CH$1)</f>
        <v>702.85</v>
      </c>
      <c r="CI14" s="116" cm="1">
        <f t="array" ref="CI14">_xll.EQNXTDZ($A$1,$B14,CI$1)</f>
        <v>744.35</v>
      </c>
      <c r="CJ14" s="116" cm="1">
        <f t="array" ref="CJ14">_xll.EQNXTDZ($A$1,$B14,CJ$1)</f>
        <v>808.1</v>
      </c>
      <c r="CK14" s="116" cm="1">
        <f t="array" ref="CK14">_xll.EQNXTDZ($A$1,$B14,CK$1)</f>
        <v>862.4</v>
      </c>
      <c r="CL14" s="116" cm="1">
        <f t="array" ref="CL14">_xll.EQNXTDZ($A$1,$B14,CL$1)</f>
        <v>851</v>
      </c>
      <c r="CM14" s="116" cm="1">
        <f t="array" ref="CM14">_xll.EQNXTDZ($A$1,$B14,CM$1)</f>
        <v>1030</v>
      </c>
      <c r="CN14" s="116" cm="1">
        <f t="array" ref="CN14">_xll.EQNXTDZ($A$1,$B14,CN$1)</f>
        <v>1025.55</v>
      </c>
      <c r="CO14" s="116" cm="1">
        <f t="array" ref="CO14">_xll.EQNXTDZ($A$1,$B14,CO$1)</f>
        <v>1011.4</v>
      </c>
      <c r="CP14" s="116" cm="1">
        <f t="array" ref="CP14">_xll.EQNXTDZ($A$1,$B14,CP$1)</f>
        <v>1019.65</v>
      </c>
      <c r="CQ14" s="116" cm="1">
        <f t="array" ref="CQ14">_xll.EQNXTDZ($A$1,$B14,CQ$1)</f>
        <v>1012.85</v>
      </c>
      <c r="CR14" s="116" cm="1">
        <f t="array" ref="CR14">_xll.EQNXTDZ($A$1,$B14,CR$1)</f>
        <v>913.55</v>
      </c>
      <c r="CS14" s="116" cm="1">
        <f t="array" ref="CS14">_xll.EQNXTDZ($A$1,$B14,CS$1)</f>
        <v>794.65</v>
      </c>
      <c r="CT14" s="116" cm="1">
        <f t="array" ref="CT14">_xll.EQNXTDZ($A$1,$B14,CT$1)</f>
        <v>782.75</v>
      </c>
      <c r="CU14" s="116" cm="1">
        <f t="array" ref="CU14">_xll.EQNXTDZ($A$1,$B14,CU$1)</f>
        <v>820.8</v>
      </c>
      <c r="CV14" s="116" cm="1">
        <f t="array" ref="CV14">_xll.EQNXTDZ($A$1,$B14,CV$1)</f>
        <v>921.85</v>
      </c>
      <c r="CW14" s="116" cm="1">
        <f t="array" ref="CW14">_xll.EQNXTDZ($A$1,$B14,CW$1)</f>
        <v>918</v>
      </c>
      <c r="CX14" s="116" cm="1">
        <f t="array" ref="CX14">_xll.EQNXTDZ($A$1,$B14,CX$1)</f>
        <v>874.95</v>
      </c>
      <c r="CY14" s="116" cm="1">
        <f t="array" ref="CY14">_xll.EQNXTDZ($A$1,$B14,CY$1)</f>
        <v>835.45</v>
      </c>
      <c r="CZ14" s="116" cm="1">
        <f t="array" ref="CZ14">_xll.EQNXTDZ($A$1,$B14,CZ$1)</f>
        <v>869</v>
      </c>
      <c r="DA14" s="116" cm="1">
        <f t="array" ref="DA14">_xll.EQNXTDZ($A$1,$B14,DA$1)</f>
        <v>911</v>
      </c>
      <c r="DB14" s="116" cm="1">
        <f t="array" ref="DB14">_xll.EQNXTDZ($A$1,$B14,DB$1)</f>
        <v>954.65</v>
      </c>
      <c r="DC14" s="116" cm="1">
        <f t="array" ref="DC14">_xll.EQNXTDZ($A$1,$B14,DC$1)</f>
        <v>921.75</v>
      </c>
      <c r="DD14" s="116" cm="1">
        <f t="array" ref="DD14">_xll.EQNXTDZ($A$1,$B14,DD$1)</f>
        <v>983.95</v>
      </c>
      <c r="DE14" s="116" cm="1">
        <f t="array" ref="DE14">_xll.EQNXTDZ($A$1,$B14,DE$1)</f>
        <v>947.95</v>
      </c>
      <c r="DF14" s="116" cm="1">
        <f t="array" ref="DF14">_xll.EQNXTDZ($A$1,$B14,DF$1)</f>
        <v>1040</v>
      </c>
      <c r="DG14" s="116" cm="1">
        <f t="array" ref="DG14">_xll.EQNXTDZ($A$1,$B14,DG$1)</f>
        <v>1019.3</v>
      </c>
      <c r="DH14" s="116" cm="1">
        <f t="array" ref="DH14">_xll.EQNXTDZ($A$1,$B14,DH$1)</f>
        <v>1147.95</v>
      </c>
      <c r="DI14" s="116" cm="1">
        <f t="array" ref="DI14">_xll.EQNXTDZ($A$1,$B14,DI$1)</f>
        <v>1198.3499999999999</v>
      </c>
      <c r="DJ14" s="116" cm="1">
        <f t="array" ref="DJ14">_xll.EQNXTDZ($A$1,$B14,DJ$1)</f>
        <v>1253.5</v>
      </c>
      <c r="DK14" s="116" cm="1">
        <f t="array" ref="DK14">_xll.EQNXTDZ($A$1,$B14,DK$1)</f>
        <v>1273.4000000000001</v>
      </c>
      <c r="DL14" s="116" cm="1">
        <f t="array" ref="DL14">_xll.EQNXTDZ($A$1,$B14,DL$1)</f>
        <v>1218.45</v>
      </c>
      <c r="DM14" s="116" cm="1">
        <f t="array" ref="DM14">_xll.EQNXTDZ($A$1,$B14,DM$1)</f>
        <v>1204.45</v>
      </c>
      <c r="DN14" s="116" cm="1">
        <f t="array" ref="DN14">_xll.EQNXTDZ($A$1,$B14,DN$1)</f>
        <v>1293</v>
      </c>
      <c r="DO14" s="116" cm="1">
        <f t="array" ref="DO14">_xll.EQNXTDZ($A$1,$B14,DO$1)</f>
        <v>1250</v>
      </c>
      <c r="DP14" s="116" cm="1">
        <f t="array" ref="DP14">_xll.EQNXTDZ($A$1,$B14,DP$1)</f>
        <v>1139.8</v>
      </c>
      <c r="DQ14" s="116" cm="1">
        <f t="array" ref="DQ14">_xll.EQNXTDZ($A$1,$B14,DQ$1)</f>
        <v>1184.3</v>
      </c>
      <c r="DR14" s="116" cm="1">
        <f t="array" ref="DR14">_xll.EQNXTDZ($A$1,$B14,DR$1)</f>
        <v>1180.5</v>
      </c>
      <c r="DS14" s="116" cm="1">
        <f t="array" ref="DS14">_xll.EQNXTDZ($A$1,$B14,DS$1)</f>
        <v>1175</v>
      </c>
      <c r="DT14" s="116" cm="1">
        <f t="array" ref="DT14">_xll.EQNXTDZ($A$1,$B14,DT$1)</f>
        <v>1305</v>
      </c>
      <c r="DU14" s="116" cm="1">
        <f t="array" ref="DU14">_xll.EQNXTDZ($A$1,$B14,DU$1)</f>
        <v>1334</v>
      </c>
      <c r="DV14" s="116" cm="1">
        <f t="array" ref="DV14">_xll.EQNXTDZ($A$1,$B14,DV$1)</f>
        <v>1339.55</v>
      </c>
      <c r="DW14" s="116" cm="1">
        <f t="array" ref="DW14">_xll.EQNXTDZ($A$1,$B14,DW$1)</f>
        <v>1279.45</v>
      </c>
      <c r="DX14" s="116" cm="1">
        <f t="array" ref="DX14">_xll.EQNXTDZ($A$1,$B14,DX$1)</f>
        <v>1290.0999999999999</v>
      </c>
      <c r="DY14" s="116" cm="1">
        <f t="array" ref="DY14">_xll.EQNXTDZ($A$1,$B14,DY$1)</f>
        <v>1313.65</v>
      </c>
      <c r="DZ14" s="116" cm="1">
        <f t="array" ref="DZ14">_xll.EQNXTDZ($A$1,$B14,DZ$1)</f>
        <v>1329.75</v>
      </c>
      <c r="EA14" s="116" cm="1">
        <f t="array" ref="EA14">_xll.EQNXTDZ($A$1,$B14,EA$1)</f>
        <v>1228</v>
      </c>
      <c r="EB14" s="116" cm="1">
        <f t="array" ref="EB14">_xll.EQNXTDZ($A$1,$B14,EB$1)</f>
        <v>1145.0999999999999</v>
      </c>
      <c r="EC14" s="116" cm="1">
        <f t="array" ref="EC14">_xll.EQNXTDZ($A$1,$B14,EC$1)</f>
        <v>1159.95</v>
      </c>
      <c r="ED14" s="116" cm="1">
        <f t="array" ref="ED14">_xll.EQNXTDZ($A$1,$B14,ED$1)</f>
        <v>1239.2</v>
      </c>
      <c r="EE14" s="116" cm="1">
        <f t="array" ref="EE14">_xll.EQNXTDZ($A$1,$B14,EE$1)</f>
        <v>1315</v>
      </c>
      <c r="EF14" s="116" cm="1">
        <f t="array" ref="EF14">_xll.EQNXTDZ($A$1,$B14,EF$1)</f>
        <v>1336</v>
      </c>
      <c r="EG14" s="116" cm="1">
        <f t="array" ref="EG14">_xll.EQNXTDZ($A$1,$B14,EG$1)</f>
        <v>1374.85</v>
      </c>
      <c r="EH14" s="116" cm="1">
        <f t="array" ref="EH14">_xll.EQNXTDZ($A$1,$B14,EH$1)</f>
        <v>1392.1</v>
      </c>
      <c r="EI14" s="116" cm="1">
        <f t="array" ref="EI14">_xll.EQNXTDZ($A$1,$B14,EI$1)</f>
        <v>1375</v>
      </c>
      <c r="EJ14" s="116" cm="1">
        <f t="array" ref="EJ14">_xll.EQNXTDZ($A$1,$B14,EJ$1)</f>
        <v>1443.5</v>
      </c>
      <c r="EK14" s="116" cm="1">
        <f t="array" ref="EK14">_xll.EQNXTDZ($A$1,$B14,EK$1)</f>
        <v>1491.5</v>
      </c>
      <c r="EL14" s="116" cm="1">
        <f t="array" ref="EL14">_xll.EQNXTDZ($A$1,$B14,EL$1)</f>
        <v>1495</v>
      </c>
      <c r="EM14" s="116" cm="1">
        <f t="array" ref="EM14">_xll.EQNXTDZ($A$1,$B14,EM$1)</f>
        <v>1571.55</v>
      </c>
      <c r="EN14" s="116" cm="1">
        <f t="array" ref="EN14">_xll.EQNXTDZ($A$1,$B14,EN$1)</f>
        <v>1571.1</v>
      </c>
      <c r="EO14" s="116" cm="1">
        <f t="array" ref="EO14">_xll.EQNXTDZ($A$1,$B14,EO$1)</f>
        <v>1528.35</v>
      </c>
      <c r="EP14" s="116" cm="1">
        <f t="array" ref="EP14">_xll.EQNXTDZ($A$1,$B14,EP$1)</f>
        <v>1472.5</v>
      </c>
      <c r="EQ14" s="116" cm="1">
        <f t="array" ref="EQ14">_xll.EQNXTDZ($A$1,$B14,EQ$1)</f>
        <v>1498</v>
      </c>
      <c r="ER14" s="116" cm="1">
        <f t="array" ref="ER14">_xll.EQNXTDZ($A$1,$B14,ER$1)</f>
        <v>1777.4</v>
      </c>
      <c r="ES14" s="116" cm="1">
        <f t="array" ref="ES14">_xll.EQNXTDZ($A$1,$B14,ES$1)</f>
        <v>1870.35</v>
      </c>
      <c r="ET14" s="116" cm="1">
        <f t="array" ref="ET14">_xll.EQNXTDZ($A$1,$B14,ET$1)</f>
        <v>1935</v>
      </c>
      <c r="EU14" s="116" cm="1">
        <f t="array" ref="EU14">_xll.EQNXTDZ($A$1,$B14,EU$1)</f>
        <v>1887.95</v>
      </c>
      <c r="EV14" s="116" cm="1">
        <f t="array" ref="EV14">_xll.EQNXTDZ($A$1,$B14,EV$1)</f>
        <v>1641</v>
      </c>
      <c r="EW14" s="116" cm="1">
        <f t="array" ref="EW14">_xll.EQNXTDZ($A$1,$B14,EW$1)</f>
        <v>1484.2</v>
      </c>
      <c r="EX14" s="116" cm="1">
        <f t="array" ref="EX14">_xll.EQNXTDZ($A$1,$B14,EX$1)</f>
        <v>1555.55</v>
      </c>
      <c r="EY14" s="116" cm="1">
        <f t="array" ref="EY14">_xll.EQNXTDZ($A$1,$B14,EY$1)</f>
        <v>1526.85</v>
      </c>
      <c r="EZ14" s="116" cm="1">
        <f t="array" ref="EZ14">_xll.EQNXTDZ($A$1,$B14,EZ$1)</f>
        <v>1583.75</v>
      </c>
      <c r="FA14" s="116" cm="1">
        <f t="array" ref="FA14">_xll.EQNXTDZ($A$1,$B14,FA$1)</f>
        <v>1771.2</v>
      </c>
      <c r="FB14" s="116" cm="1">
        <f t="array" ref="FB14">_xll.EQNXTDZ($A$1,$B14,FB$1)</f>
        <v>1832</v>
      </c>
      <c r="FC14" s="116" cm="1">
        <f t="array" ref="FC14">_xll.EQNXTDZ($A$1,$B14,FC$1)</f>
        <v>1867.75</v>
      </c>
      <c r="FD14" s="116" cm="1">
        <f t="array" ref="FD14">_xll.EQNXTDZ($A$1,$B14,FD$1)</f>
        <v>1875.35</v>
      </c>
      <c r="FE14" s="116" cm="1">
        <f t="array" ref="FE14">_xll.EQNXTDZ($A$1,$B14,FE$1)</f>
        <v>1912.1</v>
      </c>
      <c r="FF14" s="116" cm="1">
        <f t="array" ref="FF14">_xll.EQNXTDZ($A$1,$B14,FF$1)</f>
        <v>1899</v>
      </c>
      <c r="FG14" s="116" cm="1">
        <f t="array" ref="FG14">_xll.EQNXTDZ($A$1,$B14,FG$1)</f>
        <v>1978.2</v>
      </c>
      <c r="FH14" s="116" cm="1">
        <f t="array" ref="FH14">_xll.EQNXTDZ($A$1,$B14,FH$1)</f>
        <v>2085</v>
      </c>
      <c r="FI14" s="116" cm="1">
        <f t="array" ref="FI14">_xll.EQNXTDZ($A$1,$B14,FI$1)</f>
        <v>2055</v>
      </c>
      <c r="FJ14" s="116" cm="1">
        <f t="array" ref="FJ14">_xll.EQNXTDZ($A$1,$B14,FJ$1)</f>
        <v>2116</v>
      </c>
      <c r="FK14" s="116" cm="1">
        <f t="array" ref="FK14">_xll.EQNXTDZ($A$1,$B14,FK$1)</f>
        <v>2132.9</v>
      </c>
      <c r="FL14" s="116" cm="1">
        <f t="array" ref="FL14">_xll.EQNXTDZ($A$1,$B14,FL$1)</f>
        <v>2052</v>
      </c>
      <c r="FM14" s="116" cm="1">
        <f t="array" ref="FM14">_xll.EQNXTDZ($A$1,$B14,FM$1)</f>
        <v>1990.75</v>
      </c>
      <c r="FN14" s="116" cm="1">
        <f t="array" ref="FN14">_xll.EQNXTDZ($A$1,$B14,FN$1)</f>
        <v>1919.85</v>
      </c>
      <c r="FO14" s="116" cm="1">
        <f t="array" ref="FO14">_xll.EQNXTDZ($A$1,$B14,FO$1)</f>
        <v>1843.15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738</v>
      </c>
      <c r="IL14" s="116">
        <f>+MAX(BR14:BT14)</f>
        <v>732</v>
      </c>
      <c r="IM14" s="116">
        <f>+MAX(BU14:BW14)</f>
        <v>774.75</v>
      </c>
      <c r="IN14" s="116">
        <f>+MAX(BX14:BZ14)</f>
        <v>710</v>
      </c>
      <c r="IO14" s="116">
        <f>+MAX(CA14:CC14)</f>
        <v>604.35</v>
      </c>
      <c r="IP14" s="116">
        <f>+MAX(CD14:CF14)</f>
        <v>648.15</v>
      </c>
      <c r="IQ14" s="116">
        <f>+MAX(CG14:CI14)</f>
        <v>744.35</v>
      </c>
      <c r="IR14" s="116">
        <f>+MAX(CJ14:CL14)</f>
        <v>862.4</v>
      </c>
      <c r="IS14" s="116">
        <f>+MAX(CM14:CO14)</f>
        <v>1030</v>
      </c>
      <c r="IT14" s="116">
        <f>+MAX(CP14:CR14)</f>
        <v>1019.65</v>
      </c>
      <c r="IU14" s="116">
        <f>+MAX(CS14:CU14)</f>
        <v>820.8</v>
      </c>
      <c r="IV14" s="116">
        <f>+MAX(CV14:CX14)</f>
        <v>921.85</v>
      </c>
      <c r="IW14" s="116">
        <f>+MAX(CY14:DA14)</f>
        <v>911</v>
      </c>
      <c r="IX14" s="116">
        <f>+MAX(DB14:DD14)</f>
        <v>983.95</v>
      </c>
      <c r="IY14" s="116">
        <f>+MAX(DE14:DG14)</f>
        <v>1040</v>
      </c>
      <c r="IZ14" s="116">
        <f>+MAX(DH14:DJ14)</f>
        <v>1253.5</v>
      </c>
      <c r="JA14" s="116">
        <f>+MAX(DK14:DM14)</f>
        <v>1273.4000000000001</v>
      </c>
      <c r="JB14" s="116">
        <f>+MAX(DN14:DP14)</f>
        <v>1293</v>
      </c>
      <c r="JC14" s="116">
        <f>+MAX(DQ14:DS14)</f>
        <v>1184.3</v>
      </c>
      <c r="JD14" s="116">
        <f>+MAX(DT14:DV14)</f>
        <v>1339.55</v>
      </c>
      <c r="JE14" s="116">
        <f>+MAX(DW14:DY14)</f>
        <v>1313.65</v>
      </c>
      <c r="JF14" s="116">
        <f>+MAX(DZ14:EB14)</f>
        <v>1329.75</v>
      </c>
      <c r="JG14" s="116">
        <f>+MAX(EC14:EE14)</f>
        <v>1315</v>
      </c>
      <c r="JH14" s="116">
        <f>+MAX(EF14:EH14)</f>
        <v>1392.1</v>
      </c>
      <c r="JI14" s="116">
        <f>+MAX(EI14:EK14)</f>
        <v>1491.5</v>
      </c>
      <c r="JJ14" s="116">
        <f>+MAX(EL14:EN14)</f>
        <v>1571.55</v>
      </c>
      <c r="JK14" s="116">
        <f>MAX(EO14:EQ14)</f>
        <v>1528.35</v>
      </c>
      <c r="JL14" s="116">
        <f>MAX(ER14:ET14)</f>
        <v>1935</v>
      </c>
      <c r="JM14" s="116">
        <f>MAX(EU14:EW14)</f>
        <v>1887.95</v>
      </c>
      <c r="JN14" s="116">
        <f>MAX(EX14:EZ14)</f>
        <v>1583.75</v>
      </c>
      <c r="JO14" s="116">
        <f>MAX(FA14:FC14)</f>
        <v>1867.75</v>
      </c>
      <c r="JP14" s="116">
        <f>MAX(FD14:FF14)</f>
        <v>1912.1</v>
      </c>
      <c r="JQ14" s="116">
        <f>MAX(FG14:FI14)</f>
        <v>2085</v>
      </c>
      <c r="JR14" s="116">
        <f>MAX(FJ14:FL14)</f>
        <v>2132.9</v>
      </c>
      <c r="JS14" s="116">
        <f>MAX(FM14:FO14)</f>
        <v>1990.75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649.54999999999995</v>
      </c>
      <c r="BP15" s="116" cm="1">
        <f t="array" ref="BP15">_xll.EQNXTDZ($A$1,$B15,BP$1)</f>
        <v>628.5</v>
      </c>
      <c r="BQ15" s="116" cm="1">
        <f t="array" ref="BQ15">_xll.EQNXTDZ($A$1,$B15,BQ$1)</f>
        <v>630</v>
      </c>
      <c r="BR15" s="116" cm="1">
        <f t="array" ref="BR15">_xll.EQNXTDZ($A$1,$B15,BR$1)</f>
        <v>655.55</v>
      </c>
      <c r="BS15" s="116" cm="1">
        <f t="array" ref="BS15">_xll.EQNXTDZ($A$1,$B15,BS$1)</f>
        <v>661.7</v>
      </c>
      <c r="BT15" s="116" cm="1">
        <f t="array" ref="BT15">_xll.EQNXTDZ($A$1,$B15,BT$1)</f>
        <v>646.1</v>
      </c>
      <c r="BU15" s="116" cm="1">
        <f t="array" ref="BU15">_xll.EQNXTDZ($A$1,$B15,BU$1)</f>
        <v>672</v>
      </c>
      <c r="BV15" s="116" cm="1">
        <f t="array" ref="BV15">_xll.EQNXTDZ($A$1,$B15,BV$1)</f>
        <v>647.6</v>
      </c>
      <c r="BW15" s="116" cm="1">
        <f t="array" ref="BW15">_xll.EQNXTDZ($A$1,$B15,BW$1)</f>
        <v>659.25</v>
      </c>
      <c r="BX15" s="116" cm="1">
        <f t="array" ref="BX15">_xll.EQNXTDZ($A$1,$B15,BX$1)</f>
        <v>625</v>
      </c>
      <c r="BY15" s="116" cm="1">
        <f t="array" ref="BY15">_xll.EQNXTDZ($A$1,$B15,BY$1)</f>
        <v>646.04999999999995</v>
      </c>
      <c r="BZ15" s="116" cm="1">
        <f t="array" ref="BZ15">_xll.EQNXTDZ($A$1,$B15,BZ$1)</f>
        <v>502.8</v>
      </c>
      <c r="CA15" s="116" cm="1">
        <f t="array" ref="CA15">_xll.EQNXTDZ($A$1,$B15,CA$1)</f>
        <v>487</v>
      </c>
      <c r="CB15" s="116" cm="1">
        <f t="array" ref="CB15">_xll.EQNXTDZ($A$1,$B15,CB$1)</f>
        <v>540.5</v>
      </c>
      <c r="CC15" s="116" cm="1">
        <f t="array" ref="CC15">_xll.EQNXTDZ($A$1,$B15,CC$1)</f>
        <v>540.25</v>
      </c>
      <c r="CD15" s="116" cm="1">
        <f t="array" ref="CD15">_xll.EQNXTDZ($A$1,$B15,CD$1)</f>
        <v>590</v>
      </c>
      <c r="CE15" s="116" cm="1">
        <f t="array" ref="CE15">_xll.EQNXTDZ($A$1,$B15,CE$1)</f>
        <v>554.54999999999995</v>
      </c>
      <c r="CF15" s="116" cm="1">
        <f t="array" ref="CF15">_xll.EQNXTDZ($A$1,$B15,CF$1)</f>
        <v>510</v>
      </c>
      <c r="CG15" s="116" cm="1">
        <f t="array" ref="CG15">_xll.EQNXTDZ($A$1,$B15,CG$1)</f>
        <v>583.75</v>
      </c>
      <c r="CH15" s="116" cm="1">
        <f t="array" ref="CH15">_xll.EQNXTDZ($A$1,$B15,CH$1)</f>
        <v>595.04999999999995</v>
      </c>
      <c r="CI15" s="116" cm="1">
        <f t="array" ref="CI15">_xll.EQNXTDZ($A$1,$B15,CI$1)</f>
        <v>669.25</v>
      </c>
      <c r="CJ15" s="116" cm="1">
        <f t="array" ref="CJ15">_xll.EQNXTDZ($A$1,$B15,CJ$1)</f>
        <v>716.35</v>
      </c>
      <c r="CK15" s="116" cm="1">
        <f t="array" ref="CK15">_xll.EQNXTDZ($A$1,$B15,CK$1)</f>
        <v>753.15</v>
      </c>
      <c r="CL15" s="116" cm="1">
        <f t="array" ref="CL15">_xll.EQNXTDZ($A$1,$B15,CL$1)</f>
        <v>777.15</v>
      </c>
      <c r="CM15" s="116" cm="1">
        <f t="array" ref="CM15">_xll.EQNXTDZ($A$1,$B15,CM$1)</f>
        <v>804</v>
      </c>
      <c r="CN15" s="116" cm="1">
        <f t="array" ref="CN15">_xll.EQNXTDZ($A$1,$B15,CN$1)</f>
        <v>916</v>
      </c>
      <c r="CO15" s="116" cm="1">
        <f t="array" ref="CO15">_xll.EQNXTDZ($A$1,$B15,CO$1)</f>
        <v>924.5</v>
      </c>
      <c r="CP15" s="116" cm="1">
        <f t="array" ref="CP15">_xll.EQNXTDZ($A$1,$B15,CP$1)</f>
        <v>958.5</v>
      </c>
      <c r="CQ15" s="116" cm="1">
        <f t="array" ref="CQ15">_xll.EQNXTDZ($A$1,$B15,CQ$1)</f>
        <v>855.05</v>
      </c>
      <c r="CR15" s="116" cm="1">
        <f t="array" ref="CR15">_xll.EQNXTDZ($A$1,$B15,CR$1)</f>
        <v>520</v>
      </c>
      <c r="CS15" s="116" cm="1">
        <f t="array" ref="CS15">_xll.EQNXTDZ($A$1,$B15,CS$1)</f>
        <v>627.35</v>
      </c>
      <c r="CT15" s="116" cm="1">
        <f t="array" ref="CT15">_xll.EQNXTDZ($A$1,$B15,CT$1)</f>
        <v>675.6</v>
      </c>
      <c r="CU15" s="116" cm="1">
        <f t="array" ref="CU15">_xll.EQNXTDZ($A$1,$B15,CU$1)</f>
        <v>725.15</v>
      </c>
      <c r="CV15" s="116" cm="1">
        <f t="array" ref="CV15">_xll.EQNXTDZ($A$1,$B15,CV$1)</f>
        <v>801.65</v>
      </c>
      <c r="CW15" s="116" cm="1">
        <f t="array" ref="CW15">_xll.EQNXTDZ($A$1,$B15,CW$1)</f>
        <v>818.65</v>
      </c>
      <c r="CX15" s="116" cm="1">
        <f t="array" ref="CX15">_xll.EQNXTDZ($A$1,$B15,CX$1)</f>
        <v>780</v>
      </c>
      <c r="CY15" s="116" cm="1">
        <f t="array" ref="CY15">_xll.EQNXTDZ($A$1,$B15,CY$1)</f>
        <v>755.55</v>
      </c>
      <c r="CZ15" s="116" cm="1">
        <f t="array" ref="CZ15">_xll.EQNXTDZ($A$1,$B15,CZ$1)</f>
        <v>761.8</v>
      </c>
      <c r="DA15" s="116" cm="1">
        <f t="array" ref="DA15">_xll.EQNXTDZ($A$1,$B15,DA$1)</f>
        <v>825</v>
      </c>
      <c r="DB15" s="116" cm="1">
        <f t="array" ref="DB15">_xll.EQNXTDZ($A$1,$B15,DB$1)</f>
        <v>838.2</v>
      </c>
      <c r="DC15" s="116" cm="1">
        <f t="array" ref="DC15">_xll.EQNXTDZ($A$1,$B15,DC$1)</f>
        <v>845.5</v>
      </c>
      <c r="DD15" s="116" cm="1">
        <f t="array" ref="DD15">_xll.EQNXTDZ($A$1,$B15,DD$1)</f>
        <v>840</v>
      </c>
      <c r="DE15" s="116" cm="1">
        <f t="array" ref="DE15">_xll.EQNXTDZ($A$1,$B15,DE$1)</f>
        <v>865.2</v>
      </c>
      <c r="DF15" s="116" cm="1">
        <f t="array" ref="DF15">_xll.EQNXTDZ($A$1,$B15,DF$1)</f>
        <v>917</v>
      </c>
      <c r="DG15" s="116" cm="1">
        <f t="array" ref="DG15">_xll.EQNXTDZ($A$1,$B15,DG$1)</f>
        <v>956.85</v>
      </c>
      <c r="DH15" s="116" cm="1">
        <f t="array" ref="DH15">_xll.EQNXTDZ($A$1,$B15,DH$1)</f>
        <v>996.05</v>
      </c>
      <c r="DI15" s="116" cm="1">
        <f t="array" ref="DI15">_xll.EQNXTDZ($A$1,$B15,DI$1)</f>
        <v>1094.5999999999999</v>
      </c>
      <c r="DJ15" s="116" cm="1">
        <f t="array" ref="DJ15">_xll.EQNXTDZ($A$1,$B15,DJ$1)</f>
        <v>1153.5</v>
      </c>
      <c r="DK15" s="116" cm="1">
        <f t="array" ref="DK15">_xll.EQNXTDZ($A$1,$B15,DK$1)</f>
        <v>1127</v>
      </c>
      <c r="DL15" s="116" cm="1">
        <f t="array" ref="DL15">_xll.EQNXTDZ($A$1,$B15,DL$1)</f>
        <v>1104.05</v>
      </c>
      <c r="DM15" s="116" cm="1">
        <f t="array" ref="DM15">_xll.EQNXTDZ($A$1,$B15,DM$1)</f>
        <v>1100.1500000000001</v>
      </c>
      <c r="DN15" s="116" cm="1">
        <f t="array" ref="DN15">_xll.EQNXTDZ($A$1,$B15,DN$1)</f>
        <v>1195.95</v>
      </c>
      <c r="DO15" s="116" cm="1">
        <f t="array" ref="DO15">_xll.EQNXTDZ($A$1,$B15,DO$1)</f>
        <v>1017.3</v>
      </c>
      <c r="DP15" s="116" cm="1">
        <f t="array" ref="DP15">_xll.EQNXTDZ($A$1,$B15,DP$1)</f>
        <v>1003.6</v>
      </c>
      <c r="DQ15" s="116" cm="1">
        <f t="array" ref="DQ15">_xll.EQNXTDZ($A$1,$B15,DQ$1)</f>
        <v>1061.95</v>
      </c>
      <c r="DR15" s="116" cm="1">
        <f t="array" ref="DR15">_xll.EQNXTDZ($A$1,$B15,DR$1)</f>
        <v>1034.95</v>
      </c>
      <c r="DS15" s="116" cm="1">
        <f t="array" ref="DS15">_xll.EQNXTDZ($A$1,$B15,DS$1)</f>
        <v>1052.5</v>
      </c>
      <c r="DT15" s="116" cm="1">
        <f t="array" ref="DT15">_xll.EQNXTDZ($A$1,$B15,DT$1)</f>
        <v>1078</v>
      </c>
      <c r="DU15" s="116" cm="1">
        <f t="array" ref="DU15">_xll.EQNXTDZ($A$1,$B15,DU$1)</f>
        <v>1249.75</v>
      </c>
      <c r="DV15" s="116" cm="1">
        <f t="array" ref="DV15">_xll.EQNXTDZ($A$1,$B15,DV$1)</f>
        <v>1215</v>
      </c>
      <c r="DW15" s="116" cm="1">
        <f t="array" ref="DW15">_xll.EQNXTDZ($A$1,$B15,DW$1)</f>
        <v>1168.0999999999999</v>
      </c>
      <c r="DX15" s="116" cm="1">
        <f t="array" ref="DX15">_xll.EQNXTDZ($A$1,$B15,DX$1)</f>
        <v>1206.0999999999999</v>
      </c>
      <c r="DY15" s="116" cm="1">
        <f t="array" ref="DY15">_xll.EQNXTDZ($A$1,$B15,DY$1)</f>
        <v>1190.05</v>
      </c>
      <c r="DZ15" s="116" cm="1">
        <f t="array" ref="DZ15">_xll.EQNXTDZ($A$1,$B15,DZ$1)</f>
        <v>1212.8</v>
      </c>
      <c r="EA15" s="116" cm="1">
        <f t="array" ref="EA15">_xll.EQNXTDZ($A$1,$B15,EA$1)</f>
        <v>1069</v>
      </c>
      <c r="EB15" s="116" cm="1">
        <f t="array" ref="EB15">_xll.EQNXTDZ($A$1,$B15,EB$1)</f>
        <v>1039.25</v>
      </c>
      <c r="EC15" s="116" cm="1">
        <f t="array" ref="EC15">_xll.EQNXTDZ($A$1,$B15,EC$1)</f>
        <v>1091</v>
      </c>
      <c r="ED15" s="116" cm="1">
        <f t="array" ref="ED15">_xll.EQNXTDZ($A$1,$B15,ED$1)</f>
        <v>1130.2</v>
      </c>
      <c r="EE15" s="116" cm="1">
        <f t="array" ref="EE15">_xll.EQNXTDZ($A$1,$B15,EE$1)</f>
        <v>1199.2</v>
      </c>
      <c r="EF15" s="116" cm="1">
        <f t="array" ref="EF15">_xll.EQNXTDZ($A$1,$B15,EF$1)</f>
        <v>1269.6500000000001</v>
      </c>
      <c r="EG15" s="116" cm="1">
        <f t="array" ref="EG15">_xll.EQNXTDZ($A$1,$B15,EG$1)</f>
        <v>1251.3</v>
      </c>
      <c r="EH15" s="116" cm="1">
        <f t="array" ref="EH15">_xll.EQNXTDZ($A$1,$B15,EH$1)</f>
        <v>1278</v>
      </c>
      <c r="EI15" s="116" cm="1">
        <f t="array" ref="EI15">_xll.EQNXTDZ($A$1,$B15,EI$1)</f>
        <v>1263.95</v>
      </c>
      <c r="EJ15" s="116" cm="1">
        <f t="array" ref="EJ15">_xll.EQNXTDZ($A$1,$B15,EJ$1)</f>
        <v>1320.35</v>
      </c>
      <c r="EK15" s="116" cm="1">
        <f t="array" ref="EK15">_xll.EQNXTDZ($A$1,$B15,EK$1)</f>
        <v>1380.5</v>
      </c>
      <c r="EL15" s="116" cm="1">
        <f t="array" ref="EL15">_xll.EQNXTDZ($A$1,$B15,EL$1)</f>
        <v>1357.2</v>
      </c>
      <c r="EM15" s="116" cm="1">
        <f t="array" ref="EM15">_xll.EQNXTDZ($A$1,$B15,EM$1)</f>
        <v>1398.9</v>
      </c>
      <c r="EN15" s="116" cm="1">
        <f t="array" ref="EN15">_xll.EQNXTDZ($A$1,$B15,EN$1)</f>
        <v>1450.7</v>
      </c>
      <c r="EO15" s="116" cm="1">
        <f t="array" ref="EO15">_xll.EQNXTDZ($A$1,$B15,EO$1)</f>
        <v>1413</v>
      </c>
      <c r="EP15" s="116" cm="1">
        <f t="array" ref="EP15">_xll.EQNXTDZ($A$1,$B15,EP$1)</f>
        <v>1371.4</v>
      </c>
      <c r="EQ15" s="116" cm="1">
        <f t="array" ref="EQ15">_xll.EQNXTDZ($A$1,$B15,EQ$1)</f>
        <v>1307</v>
      </c>
      <c r="ER15" s="116" cm="1">
        <f t="array" ref="ER15">_xll.EQNXTDZ($A$1,$B15,ER$1)</f>
        <v>1468.05</v>
      </c>
      <c r="ES15" s="116" cm="1">
        <f t="array" ref="ES15">_xll.EQNXTDZ($A$1,$B15,ES$1)</f>
        <v>1640.05</v>
      </c>
      <c r="ET15" s="116" cm="1">
        <f t="array" ref="ET15">_xll.EQNXTDZ($A$1,$B15,ET$1)</f>
        <v>1809</v>
      </c>
      <c r="EU15" s="116" cm="1">
        <f t="array" ref="EU15">_xll.EQNXTDZ($A$1,$B15,EU$1)</f>
        <v>1593.2</v>
      </c>
      <c r="EV15" s="116" cm="1">
        <f t="array" ref="EV15">_xll.EQNXTDZ($A$1,$B15,EV$1)</f>
        <v>1397.8</v>
      </c>
      <c r="EW15" s="116" cm="1">
        <f t="array" ref="EW15">_xll.EQNXTDZ($A$1,$B15,EW$1)</f>
        <v>1378</v>
      </c>
      <c r="EX15" s="116" cm="1">
        <f t="array" ref="EX15">_xll.EQNXTDZ($A$1,$B15,EX$1)</f>
        <v>1385</v>
      </c>
      <c r="EY15" s="116" cm="1">
        <f t="array" ref="EY15">_xll.EQNXTDZ($A$1,$B15,EY$1)</f>
        <v>1373.15</v>
      </c>
      <c r="EZ15" s="116" cm="1">
        <f t="array" ref="EZ15">_xll.EQNXTDZ($A$1,$B15,EZ$1)</f>
        <v>1380</v>
      </c>
      <c r="FA15" s="116" cm="1">
        <f t="array" ref="FA15">_xll.EQNXTDZ($A$1,$B15,FA$1)</f>
        <v>1434</v>
      </c>
      <c r="FB15" s="116" cm="1">
        <f t="array" ref="FB15">_xll.EQNXTDZ($A$1,$B15,FB$1)</f>
        <v>1663.2</v>
      </c>
      <c r="FC15" s="116" cm="1">
        <f t="array" ref="FC15">_xll.EQNXTDZ($A$1,$B15,FC$1)</f>
        <v>1724</v>
      </c>
      <c r="FD15" s="116" cm="1">
        <f t="array" ref="FD15">_xll.EQNXTDZ($A$1,$B15,FD$1)</f>
        <v>1754.6</v>
      </c>
      <c r="FE15" s="116" cm="1">
        <f t="array" ref="FE15">_xll.EQNXTDZ($A$1,$B15,FE$1)</f>
        <v>1782</v>
      </c>
      <c r="FF15" s="116" cm="1">
        <f t="array" ref="FF15">_xll.EQNXTDZ($A$1,$B15,FF$1)</f>
        <v>1770</v>
      </c>
      <c r="FG15" s="116" cm="1">
        <f t="array" ref="FG15">_xll.EQNXTDZ($A$1,$B15,FG$1)</f>
        <v>1759.35</v>
      </c>
      <c r="FH15" s="116" cm="1">
        <f t="array" ref="FH15">_xll.EQNXTDZ($A$1,$B15,FH$1)</f>
        <v>1945.35</v>
      </c>
      <c r="FI15" s="116" cm="1">
        <f t="array" ref="FI15">_xll.EQNXTDZ($A$1,$B15,FI$1)</f>
        <v>1950.3</v>
      </c>
      <c r="FJ15" s="116" cm="1">
        <f t="array" ref="FJ15">_xll.EQNXTDZ($A$1,$B15,FJ$1)</f>
        <v>1946.25</v>
      </c>
      <c r="FK15" s="116" cm="1">
        <f t="array" ref="FK15">_xll.EQNXTDZ($A$1,$B15,FK$1)</f>
        <v>1935</v>
      </c>
      <c r="FL15" s="116" cm="1">
        <f t="array" ref="FL15">_xll.EQNXTDZ($A$1,$B15,FL$1)</f>
        <v>1773</v>
      </c>
      <c r="FM15" s="116" cm="1">
        <f t="array" ref="FM15">_xll.EQNXTDZ($A$1,$B15,FM$1)</f>
        <v>1730</v>
      </c>
      <c r="FN15" s="116" cm="1">
        <f t="array" ref="FN15">_xll.EQNXTDZ($A$1,$B15,FN$1)</f>
        <v>1790.45</v>
      </c>
      <c r="FO15" s="116" cm="1">
        <f t="array" ref="FO15">_xll.EQNXTDZ($A$1,$B15,FO$1)</f>
        <v>1701.05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628.5</v>
      </c>
      <c r="IL15" s="116">
        <f>+MIN(BR15:BT15)</f>
        <v>646.1</v>
      </c>
      <c r="IM15" s="116">
        <f>+MIN(BU15:BW15)</f>
        <v>647.6</v>
      </c>
      <c r="IN15" s="116">
        <f>+MIN(BX15:BZ15)</f>
        <v>502.8</v>
      </c>
      <c r="IO15" s="116">
        <f>+MIN(CA15:CC15)</f>
        <v>487</v>
      </c>
      <c r="IP15" s="116">
        <f>+MIN(CD15:CF15)</f>
        <v>510</v>
      </c>
      <c r="IQ15" s="116">
        <f>+MIN(CG15:CI15)</f>
        <v>583.75</v>
      </c>
      <c r="IR15" s="116">
        <f>+MIN(CJ15:CL15)</f>
        <v>716.35</v>
      </c>
      <c r="IS15" s="116">
        <f>+MIN(CM15:CO15)</f>
        <v>804</v>
      </c>
      <c r="IT15" s="116">
        <f>+MIN(CP15:CR15)</f>
        <v>520</v>
      </c>
      <c r="IU15" s="116">
        <f>+MIN(CS15:CU15)</f>
        <v>627.35</v>
      </c>
      <c r="IV15" s="116">
        <f>+MIN(CV15:CX15)</f>
        <v>780</v>
      </c>
      <c r="IW15" s="116">
        <f>+MIN(CY15:DA15)</f>
        <v>755.55</v>
      </c>
      <c r="IX15" s="116">
        <f>+MIN(DB15:DD15)</f>
        <v>838.2</v>
      </c>
      <c r="IY15" s="116">
        <f>+MIN(DE15:DG15)</f>
        <v>865.2</v>
      </c>
      <c r="IZ15" s="116">
        <f>+MIN(DH15:DJ15)</f>
        <v>996.05</v>
      </c>
      <c r="JA15" s="116">
        <f>+MIN(DK15:DM15)</f>
        <v>1100.1500000000001</v>
      </c>
      <c r="JB15" s="116">
        <f>+MIN(DN15:DP15)</f>
        <v>1003.6</v>
      </c>
      <c r="JC15" s="116">
        <f>+MIN(DQ15:DS15)</f>
        <v>1034.95</v>
      </c>
      <c r="JD15" s="116">
        <f>+MIN(DT15:DV15)</f>
        <v>1078</v>
      </c>
      <c r="JE15" s="116">
        <f>+MIN(DW15:DY15)</f>
        <v>1168.0999999999999</v>
      </c>
      <c r="JF15" s="116">
        <f>+MIN(DZ15:EB15)</f>
        <v>1039.25</v>
      </c>
      <c r="JG15" s="116">
        <f>+MIN(EC15:EE15)</f>
        <v>1091</v>
      </c>
      <c r="JH15" s="116">
        <f>+MIN(EF15:EH15)</f>
        <v>1251.3</v>
      </c>
      <c r="JI15" s="116">
        <f>+MIN(EI15:EK15)</f>
        <v>1263.95</v>
      </c>
      <c r="JJ15" s="116">
        <f>+MIN(EL15:EN15)</f>
        <v>1357.2</v>
      </c>
      <c r="JK15" s="116">
        <f>MIN(EO15:EQ15)</f>
        <v>1307</v>
      </c>
      <c r="JL15" s="116">
        <f>MIN(ER15:ET15)</f>
        <v>1468.05</v>
      </c>
      <c r="JM15" s="116">
        <f>MIN(EU15:EW15)</f>
        <v>1378</v>
      </c>
      <c r="JN15" s="116">
        <f>MIN(EX15:EZ15)</f>
        <v>1373.15</v>
      </c>
      <c r="JO15" s="116">
        <f>MIN(FA15:FC15)</f>
        <v>1434</v>
      </c>
      <c r="JP15" s="116">
        <f>MIN(FD15:FF15)</f>
        <v>1754.6</v>
      </c>
      <c r="JQ15" s="116">
        <f>MIN(FG15:FI15)</f>
        <v>1759.35</v>
      </c>
      <c r="JR15" s="116">
        <f>MIN(FJ15:FL15)</f>
        <v>1773</v>
      </c>
      <c r="JS15" s="116">
        <f>MIN(FM15:FO15)</f>
        <v>1701.05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662.3</v>
      </c>
      <c r="BP16" s="116" cm="1">
        <f t="array" ref="BP16">_xll.EQNXTDZ($A$1,$B16,BP$1)</f>
        <v>655.29999999999995</v>
      </c>
      <c r="BQ16" s="116" cm="1">
        <f t="array" ref="BQ16">_xll.EQNXTDZ($A$1,$B16,BQ$1)</f>
        <v>693.6</v>
      </c>
      <c r="BR16" s="116" cm="1">
        <f t="array" ref="BR16">_xll.EQNXTDZ($A$1,$B16,BR$1)</f>
        <v>659.55</v>
      </c>
      <c r="BS16" s="116" cm="1">
        <f t="array" ref="BS16">_xll.EQNXTDZ($A$1,$B16,BS$1)</f>
        <v>692.3</v>
      </c>
      <c r="BT16" s="116" cm="1">
        <f t="array" ref="BT16">_xll.EQNXTDZ($A$1,$B16,BT$1)</f>
        <v>673.45</v>
      </c>
      <c r="BU16" s="116" cm="1">
        <f t="array" ref="BU16">_xll.EQNXTDZ($A$1,$B16,BU$1)</f>
        <v>742.5</v>
      </c>
      <c r="BV16" s="116" cm="1">
        <f t="array" ref="BV16">_xll.EQNXTDZ($A$1,$B16,BV$1)</f>
        <v>690.4</v>
      </c>
      <c r="BW16" s="116" cm="1">
        <f t="array" ref="BW16">_xll.EQNXTDZ($A$1,$B16,BW$1)</f>
        <v>671.75</v>
      </c>
      <c r="BX16" s="116" cm="1">
        <f t="array" ref="BX16">_xll.EQNXTDZ($A$1,$B16,BX$1)</f>
        <v>688.2</v>
      </c>
      <c r="BY16" s="116" cm="1">
        <f t="array" ref="BY16">_xll.EQNXTDZ($A$1,$B16,BY$1)</f>
        <v>670.8</v>
      </c>
      <c r="BZ16" s="116" cm="1">
        <f t="array" ref="BZ16">_xll.EQNXTDZ($A$1,$B16,BZ$1)</f>
        <v>509.3</v>
      </c>
      <c r="CA16" s="116" cm="1">
        <f t="array" ref="CA16">_xll.EQNXTDZ($A$1,$B16,CA$1)</f>
        <v>560.20000000000005</v>
      </c>
      <c r="CB16" s="116" cm="1">
        <f t="array" ref="CB16">_xll.EQNXTDZ($A$1,$B16,CB$1)</f>
        <v>572.29999999999995</v>
      </c>
      <c r="CC16" s="116" cm="1">
        <f t="array" ref="CC16">_xll.EQNXTDZ($A$1,$B16,CC$1)</f>
        <v>596.45000000000005</v>
      </c>
      <c r="CD16" s="116" cm="1">
        <f t="array" ref="CD16">_xll.EQNXTDZ($A$1,$B16,CD$1)</f>
        <v>603.25</v>
      </c>
      <c r="CE16" s="116" cm="1">
        <f t="array" ref="CE16">_xll.EQNXTDZ($A$1,$B16,CE$1)</f>
        <v>580.5</v>
      </c>
      <c r="CF16" s="116" cm="1">
        <f t="array" ref="CF16">_xll.EQNXTDZ($A$1,$B16,CF$1)</f>
        <v>579.54999999999995</v>
      </c>
      <c r="CG16" s="116" cm="1">
        <f t="array" ref="CG16">_xll.EQNXTDZ($A$1,$B16,CG$1)</f>
        <v>639.6</v>
      </c>
      <c r="CH16" s="116" cm="1">
        <f t="array" ref="CH16">_xll.EQNXTDZ($A$1,$B16,CH$1)</f>
        <v>691.45</v>
      </c>
      <c r="CI16" s="116" cm="1">
        <f t="array" ref="CI16">_xll.EQNXTDZ($A$1,$B16,CI$1)</f>
        <v>723.35</v>
      </c>
      <c r="CJ16" s="116" cm="1">
        <f t="array" ref="CJ16">_xll.EQNXTDZ($A$1,$B16,CJ$1)</f>
        <v>797.3</v>
      </c>
      <c r="CK16" s="116" cm="1">
        <f t="array" ref="CK16">_xll.EQNXTDZ($A$1,$B16,CK$1)</f>
        <v>838.05</v>
      </c>
      <c r="CL16" s="116" cm="1">
        <f t="array" ref="CL16">_xll.EQNXTDZ($A$1,$B16,CL$1)</f>
        <v>846.15</v>
      </c>
      <c r="CM16" s="116" cm="1">
        <f t="array" ref="CM16">_xll.EQNXTDZ($A$1,$B16,CM$1)</f>
        <v>990.7</v>
      </c>
      <c r="CN16" s="116" cm="1">
        <f t="array" ref="CN16">_xll.EQNXTDZ($A$1,$B16,CN$1)</f>
        <v>960.1</v>
      </c>
      <c r="CO16" s="116" cm="1">
        <f t="array" ref="CO16">_xll.EQNXTDZ($A$1,$B16,CO$1)</f>
        <v>961.8</v>
      </c>
      <c r="CP16" s="116" cm="1">
        <f t="array" ref="CP16">_xll.EQNXTDZ($A$1,$B16,CP$1)</f>
        <v>993.6</v>
      </c>
      <c r="CQ16" s="116" cm="1">
        <f t="array" ref="CQ16">_xll.EQNXTDZ($A$1,$B16,CQ$1)</f>
        <v>889.5</v>
      </c>
      <c r="CR16" s="116" cm="1">
        <f t="array" ref="CR16">_xll.EQNXTDZ($A$1,$B16,CR$1)</f>
        <v>640.95000000000005</v>
      </c>
      <c r="CS16" s="116" cm="1">
        <f t="array" ref="CS16">_xll.EQNXTDZ($A$1,$B16,CS$1)</f>
        <v>725.85</v>
      </c>
      <c r="CT16" s="116" cm="1">
        <f t="array" ref="CT16">_xll.EQNXTDZ($A$1,$B16,CT$1)</f>
        <v>767.1</v>
      </c>
      <c r="CU16" s="116" cm="1">
        <f t="array" ref="CU16">_xll.EQNXTDZ($A$1,$B16,CU$1)</f>
        <v>806.65</v>
      </c>
      <c r="CV16" s="116" cm="1">
        <f t="array" ref="CV16">_xll.EQNXTDZ($A$1,$B16,CV$1)</f>
        <v>912.65</v>
      </c>
      <c r="CW16" s="116" cm="1">
        <f t="array" ref="CW16">_xll.EQNXTDZ($A$1,$B16,CW$1)</f>
        <v>827.25</v>
      </c>
      <c r="CX16" s="116" cm="1">
        <f t="array" ref="CX16">_xll.EQNXTDZ($A$1,$B16,CX$1)</f>
        <v>811.25</v>
      </c>
      <c r="CY16" s="116" cm="1">
        <f t="array" ref="CY16">_xll.EQNXTDZ($A$1,$B16,CY$1)</f>
        <v>769.9</v>
      </c>
      <c r="CZ16" s="116" cm="1">
        <f t="array" ref="CZ16">_xll.EQNXTDZ($A$1,$B16,CZ$1)</f>
        <v>846.3</v>
      </c>
      <c r="DA16" s="116" cm="1">
        <f t="array" ref="DA16">_xll.EQNXTDZ($A$1,$B16,DA$1)</f>
        <v>904.25</v>
      </c>
      <c r="DB16" s="116" cm="1">
        <f t="array" ref="DB16">_xll.EQNXTDZ($A$1,$B16,DB$1)</f>
        <v>864.6</v>
      </c>
      <c r="DC16" s="116" cm="1">
        <f t="array" ref="DC16">_xll.EQNXTDZ($A$1,$B16,DC$1)</f>
        <v>867.1</v>
      </c>
      <c r="DD16" s="116" cm="1">
        <f t="array" ref="DD16">_xll.EQNXTDZ($A$1,$B16,DD$1)</f>
        <v>880.5</v>
      </c>
      <c r="DE16" s="116" cm="1">
        <f t="array" ref="DE16">_xll.EQNXTDZ($A$1,$B16,DE$1)</f>
        <v>928.3</v>
      </c>
      <c r="DF16" s="116" cm="1">
        <f t="array" ref="DF16">_xll.EQNXTDZ($A$1,$B16,DF$1)</f>
        <v>975.2</v>
      </c>
      <c r="DG16" s="116" cm="1">
        <f t="array" ref="DG16">_xll.EQNXTDZ($A$1,$B16,DG$1)</f>
        <v>1007.65</v>
      </c>
      <c r="DH16" s="116" cm="1">
        <f t="array" ref="DH16">_xll.EQNXTDZ($A$1,$B16,DH$1)</f>
        <v>1099.7</v>
      </c>
      <c r="DI16" s="116" cm="1">
        <f t="array" ref="DI16">_xll.EQNXTDZ($A$1,$B16,DI$1)</f>
        <v>1191.7</v>
      </c>
      <c r="DJ16" s="116" cm="1">
        <f t="array" ref="DJ16">_xll.EQNXTDZ($A$1,$B16,DJ$1)</f>
        <v>1214.75</v>
      </c>
      <c r="DK16" s="116" cm="1">
        <f t="array" ref="DK16">_xll.EQNXTDZ($A$1,$B16,DK$1)</f>
        <v>1145.7</v>
      </c>
      <c r="DL16" s="116" cm="1">
        <f t="array" ref="DL16">_xll.EQNXTDZ($A$1,$B16,DL$1)</f>
        <v>1160.9000000000001</v>
      </c>
      <c r="DM16" s="116" cm="1">
        <f t="array" ref="DM16">_xll.EQNXTDZ($A$1,$B16,DM$1)</f>
        <v>1196.25</v>
      </c>
      <c r="DN16" s="116" cm="1">
        <f t="array" ref="DN16">_xll.EQNXTDZ($A$1,$B16,DN$1)</f>
        <v>1233.4000000000001</v>
      </c>
      <c r="DO16" s="116" cm="1">
        <f t="array" ref="DO16">_xll.EQNXTDZ($A$1,$B16,DO$1)</f>
        <v>1061.3</v>
      </c>
      <c r="DP16" s="116" cm="1">
        <f t="array" ref="DP16">_xll.EQNXTDZ($A$1,$B16,DP$1)</f>
        <v>1120.2</v>
      </c>
      <c r="DQ16" s="116" cm="1">
        <f t="array" ref="DQ16">_xll.EQNXTDZ($A$1,$B16,DQ$1)</f>
        <v>1107.9000000000001</v>
      </c>
      <c r="DR16" s="116" cm="1">
        <f t="array" ref="DR16">_xll.EQNXTDZ($A$1,$B16,DR$1)</f>
        <v>1173.8499999999999</v>
      </c>
      <c r="DS16" s="116" cm="1">
        <f t="array" ref="DS16">_xll.EQNXTDZ($A$1,$B16,DS$1)</f>
        <v>1082.9000000000001</v>
      </c>
      <c r="DT16" s="116" cm="1">
        <f t="array" ref="DT16">_xll.EQNXTDZ($A$1,$B16,DT$1)</f>
        <v>1295.4000000000001</v>
      </c>
      <c r="DU16" s="116" cm="1">
        <f t="array" ref="DU16">_xll.EQNXTDZ($A$1,$B16,DU$1)</f>
        <v>1329.65</v>
      </c>
      <c r="DV16" s="116" cm="1">
        <f t="array" ref="DV16">_xll.EQNXTDZ($A$1,$B16,DV$1)</f>
        <v>1250.5</v>
      </c>
      <c r="DW16" s="116" cm="1">
        <f t="array" ref="DW16">_xll.EQNXTDZ($A$1,$B16,DW$1)</f>
        <v>1265.95</v>
      </c>
      <c r="DX16" s="116" cm="1">
        <f t="array" ref="DX16">_xll.EQNXTDZ($A$1,$B16,DX$1)</f>
        <v>1283.8499999999999</v>
      </c>
      <c r="DY16" s="116" cm="1">
        <f t="array" ref="DY16">_xll.EQNXTDZ($A$1,$B16,DY$1)</f>
        <v>1231.5999999999999</v>
      </c>
      <c r="DZ16" s="116" cm="1">
        <f t="array" ref="DZ16">_xll.EQNXTDZ($A$1,$B16,DZ$1)</f>
        <v>1219.9000000000001</v>
      </c>
      <c r="EA16" s="116" cm="1">
        <f t="array" ref="EA16">_xll.EQNXTDZ($A$1,$B16,EA$1)</f>
        <v>1120.0999999999999</v>
      </c>
      <c r="EB16" s="116" cm="1">
        <f t="array" ref="EB16">_xll.EQNXTDZ($A$1,$B16,EB$1)</f>
        <v>1099.6500000000001</v>
      </c>
      <c r="EC16" s="116" cm="1">
        <f t="array" ref="EC16">_xll.EQNXTDZ($A$1,$B16,EC$1)</f>
        <v>1138.5999999999999</v>
      </c>
      <c r="ED16" s="116" cm="1">
        <f t="array" ref="ED16">_xll.EQNXTDZ($A$1,$B16,ED$1)</f>
        <v>1234.9000000000001</v>
      </c>
      <c r="EE16" s="116" cm="1">
        <f t="array" ref="EE16">_xll.EQNXTDZ($A$1,$B16,EE$1)</f>
        <v>1306.9000000000001</v>
      </c>
      <c r="EF16" s="116" cm="1">
        <f t="array" ref="EF16">_xll.EQNXTDZ($A$1,$B16,EF$1)</f>
        <v>1281.25</v>
      </c>
      <c r="EG16" s="116" cm="1">
        <f t="array" ref="EG16">_xll.EQNXTDZ($A$1,$B16,EG$1)</f>
        <v>1293.75</v>
      </c>
      <c r="EH16" s="116" cm="1">
        <f t="array" ref="EH16">_xll.EQNXTDZ($A$1,$B16,EH$1)</f>
        <v>1306.5999999999999</v>
      </c>
      <c r="EI16" s="116" cm="1">
        <f t="array" ref="EI16">_xll.EQNXTDZ($A$1,$B16,EI$1)</f>
        <v>1369.2</v>
      </c>
      <c r="EJ16" s="116" cm="1">
        <f t="array" ref="EJ16">_xll.EQNXTDZ($A$1,$B16,EJ$1)</f>
        <v>1435.25</v>
      </c>
      <c r="EK16" s="116" cm="1">
        <f t="array" ref="EK16">_xll.EQNXTDZ($A$1,$B16,EK$1)</f>
        <v>1432.15</v>
      </c>
      <c r="EL16" s="116" cm="1">
        <f t="array" ref="EL16">_xll.EQNXTDZ($A$1,$B16,EL$1)</f>
        <v>1401</v>
      </c>
      <c r="EM16" s="116" cm="1">
        <f t="array" ref="EM16">_xll.EQNXTDZ($A$1,$B16,EM$1)</f>
        <v>1554.95</v>
      </c>
      <c r="EN16" s="116" cm="1">
        <f t="array" ref="EN16">_xll.EQNXTDZ($A$1,$B16,EN$1)</f>
        <v>1497.95</v>
      </c>
      <c r="EO16" s="116" cm="1">
        <f t="array" ref="EO16">_xll.EQNXTDZ($A$1,$B16,EO$1)</f>
        <v>1436.35</v>
      </c>
      <c r="EP16" s="116" cm="1">
        <f t="array" ref="EP16">_xll.EQNXTDZ($A$1,$B16,EP$1)</f>
        <v>1386.1</v>
      </c>
      <c r="EQ16" s="116" cm="1">
        <f t="array" ref="EQ16">_xll.EQNXTDZ($A$1,$B16,EQ$1)</f>
        <v>1491.1</v>
      </c>
      <c r="ER16" s="116" cm="1">
        <f t="array" ref="ER16">_xll.EQNXTDZ($A$1,$B16,ER$1)</f>
        <v>1753.5</v>
      </c>
      <c r="ES16" s="116" cm="1">
        <f t="array" ref="ES16">_xll.EQNXTDZ($A$1,$B16,ES$1)</f>
        <v>1850.15</v>
      </c>
      <c r="ET16" s="116" cm="1">
        <f t="array" ref="ET16">_xll.EQNXTDZ($A$1,$B16,ET$1)</f>
        <v>1843.3</v>
      </c>
      <c r="EU16" s="116" cm="1">
        <f t="array" ref="EU16">_xll.EQNXTDZ($A$1,$B16,EU$1)</f>
        <v>1622.95</v>
      </c>
      <c r="EV16" s="116" cm="1">
        <f t="array" ref="EV16">_xll.EQNXTDZ($A$1,$B16,EV$1)</f>
        <v>1436.3</v>
      </c>
      <c r="EW16" s="116" cm="1">
        <f t="array" ref="EW16">_xll.EQNXTDZ($A$1,$B16,EW$1)</f>
        <v>1390.5</v>
      </c>
      <c r="EX16" s="116" cm="1">
        <f t="array" ref="EX16">_xll.EQNXTDZ($A$1,$B16,EX$1)</f>
        <v>1484.35</v>
      </c>
      <c r="EY16" s="116" cm="1">
        <f t="array" ref="EY16">_xll.EQNXTDZ($A$1,$B16,EY$1)</f>
        <v>1431.05</v>
      </c>
      <c r="EZ16" s="116" cm="1">
        <f t="array" ref="EZ16">_xll.EQNXTDZ($A$1,$B16,EZ$1)</f>
        <v>1548.05</v>
      </c>
      <c r="FA16" s="116" cm="1">
        <f t="array" ref="FA16">_xll.EQNXTDZ($A$1,$B16,FA$1)</f>
        <v>1761.7</v>
      </c>
      <c r="FB16" s="116" cm="1">
        <f t="array" ref="FB16">_xll.EQNXTDZ($A$1,$B16,FB$1)</f>
        <v>1812.85</v>
      </c>
      <c r="FC16" s="116" cm="1">
        <f t="array" ref="FC16">_xll.EQNXTDZ($A$1,$B16,FC$1)</f>
        <v>1838.1</v>
      </c>
      <c r="FD16" s="116" cm="1">
        <f t="array" ref="FD16">_xll.EQNXTDZ($A$1,$B16,FD$1)</f>
        <v>1839.35</v>
      </c>
      <c r="FE16" s="116" cm="1">
        <f t="array" ref="FE16">_xll.EQNXTDZ($A$1,$B16,FE$1)</f>
        <v>1804.35</v>
      </c>
      <c r="FF16" s="116" cm="1">
        <f t="array" ref="FF16">_xll.EQNXTDZ($A$1,$B16,FF$1)</f>
        <v>1790.9</v>
      </c>
      <c r="FG16" s="116" cm="1">
        <f t="array" ref="FG16">_xll.EQNXTDZ($A$1,$B16,FG$1)</f>
        <v>1954.75</v>
      </c>
      <c r="FH16" s="116" cm="1">
        <f t="array" ref="FH16">_xll.EQNXTDZ($A$1,$B16,FH$1)</f>
        <v>1968.2</v>
      </c>
      <c r="FI16" s="116" cm="1">
        <f t="array" ref="FI16">_xll.EQNXTDZ($A$1,$B16,FI$1)</f>
        <v>2034.7</v>
      </c>
      <c r="FJ16" s="116" cm="1">
        <f t="array" ref="FJ16">_xll.EQNXTDZ($A$1,$B16,FJ$1)</f>
        <v>1998.15</v>
      </c>
      <c r="FK16" s="116" cm="1">
        <f t="array" ref="FK16">_xll.EQNXTDZ($A$1,$B16,FK$1)</f>
        <v>2036.4</v>
      </c>
      <c r="FL16" s="116" cm="1">
        <f t="array" ref="FL16">_xll.EQNXTDZ($A$1,$B16,FL$1)</f>
        <v>1777.65</v>
      </c>
      <c r="FM16" s="116" cm="1">
        <f t="array" ref="FM16">_xll.EQNXTDZ($A$1,$B16,FM$1)</f>
        <v>1819.8</v>
      </c>
      <c r="FN16" s="116" cm="1">
        <f t="array" ref="FN16">_xll.EQNXTDZ($A$1,$B16,FN$1)</f>
        <v>1831.75</v>
      </c>
      <c r="FO16" s="116" cm="1">
        <f t="array" ref="FO16">_xll.EQNXTDZ($A$1,$B16,FO$1)</f>
        <v>1767.15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693.6</v>
      </c>
      <c r="IL16" s="116">
        <f>+BT16</f>
        <v>673.45</v>
      </c>
      <c r="IM16" s="116">
        <f>+BW16</f>
        <v>671.75</v>
      </c>
      <c r="IN16" s="116">
        <f>+BZ16</f>
        <v>509.3</v>
      </c>
      <c r="IO16" s="116">
        <f>+CC16</f>
        <v>596.45000000000005</v>
      </c>
      <c r="IP16" s="116">
        <f>+CF16</f>
        <v>579.54999999999995</v>
      </c>
      <c r="IQ16" s="116">
        <f>+CI16</f>
        <v>723.35</v>
      </c>
      <c r="IR16" s="116">
        <f>+CL16</f>
        <v>846.15</v>
      </c>
      <c r="IS16" s="116">
        <f>+CO16</f>
        <v>961.8</v>
      </c>
      <c r="IT16" s="116">
        <f>+CR16</f>
        <v>640.95000000000005</v>
      </c>
      <c r="IU16" s="116">
        <f>+CU16</f>
        <v>806.65</v>
      </c>
      <c r="IV16" s="116">
        <f>+CX16</f>
        <v>811.25</v>
      </c>
      <c r="IW16" s="116">
        <f>+DA16</f>
        <v>904.25</v>
      </c>
      <c r="IX16" s="116">
        <f>+DD16</f>
        <v>880.5</v>
      </c>
      <c r="IY16" s="116">
        <f>+DG16</f>
        <v>1007.65</v>
      </c>
      <c r="IZ16" s="116">
        <f>+DJ16</f>
        <v>1214.75</v>
      </c>
      <c r="JA16" s="116">
        <f>+DM16</f>
        <v>1196.25</v>
      </c>
      <c r="JB16" s="116">
        <f>+DP16</f>
        <v>1120.2</v>
      </c>
      <c r="JC16" s="116">
        <f>+DS16</f>
        <v>1082.9000000000001</v>
      </c>
      <c r="JD16" s="116">
        <f>+DV16</f>
        <v>1250.5</v>
      </c>
      <c r="JE16" s="116">
        <f>+DY16</f>
        <v>1231.5999999999999</v>
      </c>
      <c r="JF16" s="116">
        <f>+EB16</f>
        <v>1099.6500000000001</v>
      </c>
      <c r="JG16" s="116">
        <f>+EE16</f>
        <v>1306.9000000000001</v>
      </c>
      <c r="JH16" s="116">
        <f>+EH16</f>
        <v>1306.5999999999999</v>
      </c>
      <c r="JI16" s="116">
        <f>+EK16</f>
        <v>1432.15</v>
      </c>
      <c r="JJ16" s="116">
        <f>+EN16</f>
        <v>1497.95</v>
      </c>
      <c r="JK16" s="116">
        <f>EQ16</f>
        <v>1491.1</v>
      </c>
      <c r="JL16" s="116">
        <f>ET16</f>
        <v>1843.3</v>
      </c>
      <c r="JM16" s="116">
        <f>EW16</f>
        <v>1390.5</v>
      </c>
      <c r="JN16" s="116">
        <f>EZ16</f>
        <v>1548.05</v>
      </c>
      <c r="JO16" s="116">
        <f>FC16</f>
        <v>1838.1</v>
      </c>
      <c r="JP16" s="116">
        <f>FF16</f>
        <v>1790.9</v>
      </c>
      <c r="JQ16" s="116">
        <f>FI16</f>
        <v>2034.7</v>
      </c>
      <c r="JR16" s="116">
        <f>FL16</f>
        <v>1777.65</v>
      </c>
      <c r="JS16" s="116">
        <f>FO16</f>
        <v>1767.15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738</v>
      </c>
      <c r="IL19" s="116">
        <f t="shared" si="1"/>
        <v>732</v>
      </c>
      <c r="IM19" s="116">
        <f t="shared" si="1"/>
        <v>774.75</v>
      </c>
      <c r="IN19" s="116">
        <f t="shared" si="1"/>
        <v>710</v>
      </c>
      <c r="IO19" s="116">
        <f t="shared" si="1"/>
        <v>604.35</v>
      </c>
      <c r="IP19" s="116">
        <f t="shared" si="1"/>
        <v>648.15</v>
      </c>
      <c r="IQ19" s="116">
        <f t="shared" si="1"/>
        <v>744.35</v>
      </c>
      <c r="IR19" s="116">
        <f t="shared" si="1"/>
        <v>862.4</v>
      </c>
      <c r="IS19" s="116">
        <f t="shared" si="1"/>
        <v>1030</v>
      </c>
      <c r="IT19" s="116">
        <f t="shared" si="1"/>
        <v>1019.65</v>
      </c>
      <c r="IU19" s="116">
        <f t="shared" si="1"/>
        <v>820.8</v>
      </c>
      <c r="IV19" s="116">
        <f t="shared" si="1"/>
        <v>921.85</v>
      </c>
      <c r="IW19" s="116">
        <f t="shared" si="1"/>
        <v>911</v>
      </c>
      <c r="IX19" s="116">
        <f t="shared" si="1"/>
        <v>983.95</v>
      </c>
      <c r="IY19" s="116">
        <f t="shared" si="1"/>
        <v>1040</v>
      </c>
      <c r="IZ19" s="116">
        <f t="shared" si="1"/>
        <v>1253.5</v>
      </c>
      <c r="JA19" s="116">
        <f t="shared" si="1"/>
        <v>1273.4000000000001</v>
      </c>
      <c r="JB19" s="116">
        <f t="shared" si="1"/>
        <v>1293</v>
      </c>
      <c r="JC19" s="116">
        <f t="shared" si="1"/>
        <v>1184.3</v>
      </c>
      <c r="JD19" s="116">
        <f t="shared" si="1"/>
        <v>1339.55</v>
      </c>
      <c r="JE19" s="116">
        <f t="shared" si="1"/>
        <v>1313.65</v>
      </c>
      <c r="JF19" s="116">
        <f t="shared" si="1"/>
        <v>1329.75</v>
      </c>
      <c r="JG19" s="116">
        <f t="shared" si="1"/>
        <v>1315</v>
      </c>
      <c r="JH19" s="116">
        <f t="shared" si="1"/>
        <v>1392.1</v>
      </c>
      <c r="JI19" s="116">
        <f t="shared" si="1"/>
        <v>1491.5</v>
      </c>
      <c r="JJ19" s="116">
        <f t="shared" ref="JJ19:JJ21" si="2">+IF(JJ14=0,JJ7,JJ14)</f>
        <v>1571.55</v>
      </c>
      <c r="JK19" s="116">
        <f t="shared" ref="JK19" si="3">+IF(JK14=0,JK7,JK14)</f>
        <v>1528.35</v>
      </c>
      <c r="JL19" s="116">
        <f t="shared" ref="JL19:JM19" si="4">+IF(JL14=0,JL7,JL14)</f>
        <v>1935</v>
      </c>
      <c r="JM19" s="116">
        <f t="shared" si="4"/>
        <v>1887.95</v>
      </c>
      <c r="JN19" s="116">
        <f t="shared" ref="JN19:JO19" si="5">+IF(JN14=0,JN7,JN14)</f>
        <v>1583.75</v>
      </c>
      <c r="JO19" s="116">
        <f t="shared" si="5"/>
        <v>1867.75</v>
      </c>
      <c r="JP19" s="116">
        <f t="shared" ref="JP19" si="6">+IF(JP14=0,JP7,JP14)</f>
        <v>1912.1</v>
      </c>
      <c r="JQ19" s="116">
        <f t="shared" ref="JQ19:KH19" si="7">+IF(JQ14=0,JQ7,JQ14)</f>
        <v>2085</v>
      </c>
      <c r="JR19" s="116">
        <f t="shared" si="7"/>
        <v>2132.9</v>
      </c>
      <c r="JS19" s="116">
        <f t="shared" si="7"/>
        <v>1990.75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628.5</v>
      </c>
      <c r="IL20" s="116">
        <f t="shared" si="1"/>
        <v>646.1</v>
      </c>
      <c r="IM20" s="116">
        <f t="shared" si="1"/>
        <v>647.6</v>
      </c>
      <c r="IN20" s="116">
        <f t="shared" si="1"/>
        <v>502.8</v>
      </c>
      <c r="IO20" s="116">
        <f t="shared" si="1"/>
        <v>487</v>
      </c>
      <c r="IP20" s="116">
        <f t="shared" si="1"/>
        <v>510</v>
      </c>
      <c r="IQ20" s="116">
        <f t="shared" si="1"/>
        <v>583.75</v>
      </c>
      <c r="IR20" s="116">
        <f t="shared" si="1"/>
        <v>716.35</v>
      </c>
      <c r="IS20" s="116">
        <f t="shared" si="1"/>
        <v>804</v>
      </c>
      <c r="IT20" s="116">
        <f t="shared" si="1"/>
        <v>520</v>
      </c>
      <c r="IU20" s="116">
        <f t="shared" si="1"/>
        <v>627.35</v>
      </c>
      <c r="IV20" s="116">
        <f t="shared" si="1"/>
        <v>780</v>
      </c>
      <c r="IW20" s="116">
        <f t="shared" si="1"/>
        <v>755.55</v>
      </c>
      <c r="IX20" s="116">
        <f t="shared" si="1"/>
        <v>838.2</v>
      </c>
      <c r="IY20" s="116">
        <f t="shared" si="1"/>
        <v>865.2</v>
      </c>
      <c r="IZ20" s="116">
        <f t="shared" si="1"/>
        <v>996.05</v>
      </c>
      <c r="JA20" s="116">
        <f t="shared" si="1"/>
        <v>1100.1500000000001</v>
      </c>
      <c r="JB20" s="116">
        <f t="shared" si="1"/>
        <v>1003.6</v>
      </c>
      <c r="JC20" s="116">
        <f t="shared" si="1"/>
        <v>1034.95</v>
      </c>
      <c r="JD20" s="116">
        <f t="shared" si="1"/>
        <v>1078</v>
      </c>
      <c r="JE20" s="116">
        <f t="shared" si="1"/>
        <v>1168.0999999999999</v>
      </c>
      <c r="JF20" s="116">
        <f t="shared" si="1"/>
        <v>1039.25</v>
      </c>
      <c r="JG20" s="116">
        <f t="shared" si="1"/>
        <v>1091</v>
      </c>
      <c r="JH20" s="116">
        <f t="shared" si="1"/>
        <v>1251.3</v>
      </c>
      <c r="JI20" s="116">
        <f t="shared" si="1"/>
        <v>1263.95</v>
      </c>
      <c r="JJ20" s="116">
        <f t="shared" si="2"/>
        <v>1357.2</v>
      </c>
      <c r="JK20" s="116">
        <f t="shared" ref="JK20" si="9">+IF(JK15=0,JK8,JK15)</f>
        <v>1307</v>
      </c>
      <c r="JL20" s="116">
        <f t="shared" ref="JL20:JM20" si="10">+IF(JL15=0,JL8,JL15)</f>
        <v>1468.05</v>
      </c>
      <c r="JM20" s="116">
        <f t="shared" si="10"/>
        <v>1378</v>
      </c>
      <c r="JN20" s="116">
        <f t="shared" ref="JN20:JO20" si="11">+IF(JN15=0,JN8,JN15)</f>
        <v>1373.15</v>
      </c>
      <c r="JO20" s="116">
        <f t="shared" si="11"/>
        <v>1434</v>
      </c>
      <c r="JP20" s="116">
        <f t="shared" ref="JP20" si="12">+IF(JP15=0,JP8,JP15)</f>
        <v>1754.6</v>
      </c>
      <c r="JQ20" s="116">
        <f t="shared" ref="JQ20:KH20" si="13">+IF(JQ15=0,JQ8,JQ15)</f>
        <v>1759.35</v>
      </c>
      <c r="JR20" s="116">
        <f t="shared" si="13"/>
        <v>1773</v>
      </c>
      <c r="JS20" s="116">
        <f t="shared" si="13"/>
        <v>1701.05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693.6</v>
      </c>
      <c r="IL21" s="116">
        <f t="shared" si="1"/>
        <v>673.45</v>
      </c>
      <c r="IM21" s="116">
        <f t="shared" si="1"/>
        <v>671.75</v>
      </c>
      <c r="IN21" s="116">
        <f t="shared" si="1"/>
        <v>509.3</v>
      </c>
      <c r="IO21" s="116">
        <f t="shared" si="1"/>
        <v>596.45000000000005</v>
      </c>
      <c r="IP21" s="116">
        <f t="shared" si="1"/>
        <v>579.54999999999995</v>
      </c>
      <c r="IQ21" s="116">
        <f t="shared" si="1"/>
        <v>723.35</v>
      </c>
      <c r="IR21" s="116">
        <f t="shared" si="1"/>
        <v>846.15</v>
      </c>
      <c r="IS21" s="116">
        <f t="shared" si="1"/>
        <v>961.8</v>
      </c>
      <c r="IT21" s="116">
        <f t="shared" si="1"/>
        <v>640.95000000000005</v>
      </c>
      <c r="IU21" s="116">
        <f t="shared" si="1"/>
        <v>806.65</v>
      </c>
      <c r="IV21" s="116">
        <f t="shared" si="1"/>
        <v>811.25</v>
      </c>
      <c r="IW21" s="116">
        <f t="shared" si="1"/>
        <v>904.25</v>
      </c>
      <c r="IX21" s="116">
        <f t="shared" si="1"/>
        <v>880.5</v>
      </c>
      <c r="IY21" s="116">
        <f t="shared" si="1"/>
        <v>1007.65</v>
      </c>
      <c r="IZ21" s="116">
        <f t="shared" si="1"/>
        <v>1214.75</v>
      </c>
      <c r="JA21" s="116">
        <f t="shared" si="1"/>
        <v>1196.25</v>
      </c>
      <c r="JB21" s="116">
        <f t="shared" si="1"/>
        <v>1120.2</v>
      </c>
      <c r="JC21" s="116">
        <f t="shared" si="1"/>
        <v>1082.9000000000001</v>
      </c>
      <c r="JD21" s="116">
        <f t="shared" si="1"/>
        <v>1250.5</v>
      </c>
      <c r="JE21" s="116">
        <f t="shared" si="1"/>
        <v>1231.5999999999999</v>
      </c>
      <c r="JF21" s="116">
        <f t="shared" si="1"/>
        <v>1099.6500000000001</v>
      </c>
      <c r="JG21" s="116">
        <f t="shared" si="1"/>
        <v>1306.9000000000001</v>
      </c>
      <c r="JH21" s="116">
        <f t="shared" si="1"/>
        <v>1306.5999999999999</v>
      </c>
      <c r="JI21" s="116">
        <f t="shared" si="1"/>
        <v>1432.15</v>
      </c>
      <c r="JJ21" s="116">
        <f t="shared" si="2"/>
        <v>1497.95</v>
      </c>
      <c r="JK21" s="116">
        <f t="shared" ref="JK21" si="14">+IF(JK16=0,JK9,JK16)</f>
        <v>1491.1</v>
      </c>
      <c r="JL21" s="116">
        <f t="shared" ref="JL21:JM21" si="15">+IF(JL16=0,JL9,JL16)</f>
        <v>1843.3</v>
      </c>
      <c r="JM21" s="116">
        <f t="shared" si="15"/>
        <v>1390.5</v>
      </c>
      <c r="JN21" s="116">
        <f t="shared" ref="JN21:JO21" si="16">+IF(JN16=0,JN9,JN16)</f>
        <v>1548.05</v>
      </c>
      <c r="JO21" s="116">
        <f t="shared" si="16"/>
        <v>1838.1</v>
      </c>
      <c r="JP21" s="116">
        <f t="shared" ref="JP21" si="17">+IF(JP16=0,JP9,JP16)</f>
        <v>1790.9</v>
      </c>
      <c r="JQ21" s="116">
        <f t="shared" ref="JQ21:KH21" si="18">+IF(JQ16=0,JQ9,JQ16)</f>
        <v>2034.7</v>
      </c>
      <c r="JR21" s="116">
        <f t="shared" si="18"/>
        <v>1777.65</v>
      </c>
      <c r="JS21" s="116">
        <f t="shared" si="18"/>
        <v>1767.15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211385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1000000000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1000000000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1000000000</v>
      </c>
      <c r="U6" cm="1">
        <f t="array" ref="U6">_xll.EQNXTDZ($A$1,$B6,U$1)</f>
        <v>0</v>
      </c>
      <c r="V6" cm="1">
        <f t="array" ref="V6">_xll.EQNXTDZ($A$1,$B6,V$1)</f>
        <v>1000000000</v>
      </c>
      <c r="W6" cm="1">
        <f t="array" ref="W6">_xll.EQNXTDZ($A$1,$B6,W$1)</f>
        <v>0</v>
      </c>
      <c r="X6" cm="1">
        <f t="array" ref="X6">_xll.EQNXTDZ($A$1,$B6,X$1)</f>
        <v>1000000000</v>
      </c>
      <c r="Y6" cm="1">
        <f t="array" ref="Y6">_xll.EQNXTDZ($A$1,$B6,Y$1)</f>
        <v>1000000000</v>
      </c>
      <c r="Z6" cm="1">
        <f t="array" ref="Z6">_xll.EQNXTDZ($A$1,$B6,Z$1)</f>
        <v>1000000000</v>
      </c>
      <c r="AA6" cm="1">
        <f t="array" ref="AA6">_xll.EQNXTDZ($A$1,$B6,AA$1)</f>
        <v>1000000000</v>
      </c>
      <c r="AB6" cm="1">
        <f t="array" ref="AB6">_xll.EQNXTDZ($A$1,$B6,AB$1)</f>
        <v>1000000000</v>
      </c>
      <c r="AC6" cm="1">
        <f t="array" ref="AC6">_xll.EQNXTDZ($A$1,$B6,AC$1)</f>
        <v>1000000000</v>
      </c>
      <c r="AD6" cm="1">
        <f t="array" ref="AD6">_xll.EQNXTDZ($A$1,$B6,AD$1)</f>
        <v>1000000000</v>
      </c>
      <c r="AE6" cm="1">
        <f t="array" ref="AE6">_xll.EQNXTDZ($A$1,$B6,AE$1)</f>
        <v>1000000000</v>
      </c>
      <c r="AF6" cm="1">
        <f t="array" ref="AF6">_xll.EQNXTDZ($A$1,$B6,AF$1)</f>
        <v>1000000000</v>
      </c>
      <c r="AG6" cm="1">
        <f t="array" ref="AG6">_xll.EQNXTDZ($A$1,$B6,AG$1)</f>
        <v>1000003941</v>
      </c>
      <c r="AH6" cm="1">
        <f t="array" ref="AH6">_xll.EQNXTDZ($A$1,$B6,AH$1)</f>
        <v>1000026295</v>
      </c>
      <c r="AI6" cm="1">
        <f t="array" ref="AI6">_xll.EQNXTDZ($A$1,$B6,AI$1)</f>
        <v>1000039963</v>
      </c>
      <c r="AJ6" cm="1">
        <f t="array" ref="AJ6">_xll.EQNXTDZ($A$1,$B6,AJ$1)</f>
        <v>1000049129</v>
      </c>
      <c r="AK6" cm="1">
        <f t="array" ref="AK6">_xll.EQNXTDZ($A$1,$B6,AK$1)</f>
        <v>1000058677</v>
      </c>
      <c r="AL6" cm="1">
        <f t="array" ref="AL6">_xll.EQNXTDZ($A$1,$B6,AL$1)</f>
        <v>1000070908</v>
      </c>
      <c r="AM6" cm="1">
        <f t="array" ref="AM6">_xll.EQNXTDZ($A$1,$B6,AM$1)</f>
        <v>1000145445</v>
      </c>
      <c r="AN6" cm="1">
        <f t="array" ref="AN6">_xll.EQNXTDZ($A$1,$B6,AN$1)</f>
        <v>1000213313</v>
      </c>
      <c r="AO6" cm="1">
        <f t="array" ref="AO6">_xll.EQNXTDZ($A$1,$B6,AO$1)</f>
        <v>1000283298</v>
      </c>
      <c r="AP6" cm="1">
        <f t="array" ref="AP6">_xll.EQNXTDZ($A$1,$B6,AP$1)</f>
        <v>1000370562</v>
      </c>
      <c r="AQ6" cm="1">
        <f t="array" ref="AQ6">_xll.EQNXTDZ($A$1,$B6,AQ$1)</f>
        <v>1000478775</v>
      </c>
      <c r="AR6" cm="1">
        <f t="array" ref="AR6">_xll.EQNXTDZ($A$1,$B6,AR$1)</f>
        <v>1000713656</v>
      </c>
      <c r="AS6" cm="1">
        <f t="array" ref="AS6">_xll.EQNXTDZ($A$1,$B6,AS$1)</f>
        <v>1000831191</v>
      </c>
      <c r="AT6" cm="1">
        <f t="array" ref="AT6">_xll.EQNXTDZ($A$1,$B6,AT$1)</f>
        <v>1000894759</v>
      </c>
      <c r="AU6" cm="1">
        <f t="array" ref="AU6">_xll.EQNXTDZ($A$1,$B6,AU$1)</f>
        <v>1000965645</v>
      </c>
      <c r="AV6" cm="1">
        <f t="array" ref="AV6">_xll.EQNXTDZ($A$1,$B6,AV$1)</f>
        <v>1001090309</v>
      </c>
      <c r="AW6" cm="1">
        <f t="array" ref="AW6">_xll.EQNXTDZ($A$1,$B6,AW$1)</f>
        <v>1001240203</v>
      </c>
      <c r="AX6" cm="1">
        <f t="array" ref="AX6">_xll.EQNXTDZ($A$1,$B6,AX$1)</f>
        <v>1001465465</v>
      </c>
      <c r="AY6" cm="1">
        <f t="array" ref="AY6">_xll.EQNXTDZ($A$1,$B6,AY$1)</f>
        <v>1001576855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100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100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100</v>
      </c>
      <c r="U7" s="100">
        <f t="shared" si="0"/>
        <v>0</v>
      </c>
      <c r="V7" s="100">
        <f t="shared" si="0"/>
        <v>100</v>
      </c>
      <c r="W7" s="100">
        <f t="shared" si="0"/>
        <v>0</v>
      </c>
      <c r="X7" s="100">
        <f t="shared" si="0"/>
        <v>100</v>
      </c>
      <c r="Y7" s="100">
        <f t="shared" ref="Y7:AS7" si="1">+Y6/10^7</f>
        <v>100</v>
      </c>
      <c r="Z7" s="100">
        <f t="shared" si="1"/>
        <v>100</v>
      </c>
      <c r="AA7" s="100">
        <f t="shared" si="1"/>
        <v>100</v>
      </c>
      <c r="AB7" s="100">
        <f t="shared" si="1"/>
        <v>100</v>
      </c>
      <c r="AC7" s="100">
        <f t="shared" si="1"/>
        <v>100</v>
      </c>
      <c r="AD7" s="100">
        <f t="shared" si="1"/>
        <v>100</v>
      </c>
      <c r="AE7" s="100">
        <f t="shared" si="1"/>
        <v>100</v>
      </c>
      <c r="AF7" s="100">
        <f t="shared" si="1"/>
        <v>100</v>
      </c>
      <c r="AG7" s="100">
        <f t="shared" si="1"/>
        <v>100.00039409999999</v>
      </c>
      <c r="AH7" s="100">
        <f t="shared" si="1"/>
        <v>100.0026295</v>
      </c>
      <c r="AI7" s="100">
        <f t="shared" si="1"/>
        <v>100.0039963</v>
      </c>
      <c r="AJ7" s="100">
        <f t="shared" si="1"/>
        <v>100.00491289999999</v>
      </c>
      <c r="AK7" s="100">
        <f t="shared" si="1"/>
        <v>100.0058677</v>
      </c>
      <c r="AL7" s="100">
        <f t="shared" si="1"/>
        <v>100.0070908</v>
      </c>
      <c r="AM7" s="100">
        <f t="shared" si="1"/>
        <v>100.0145445</v>
      </c>
      <c r="AN7" s="100">
        <f t="shared" si="1"/>
        <v>100.0213313</v>
      </c>
      <c r="AO7" s="100">
        <f t="shared" si="1"/>
        <v>100.02832979999999</v>
      </c>
      <c r="AP7" s="100">
        <f t="shared" si="1"/>
        <v>100.03705619999999</v>
      </c>
      <c r="AQ7" s="100">
        <f t="shared" si="1"/>
        <v>100.0478775</v>
      </c>
      <c r="AR7" s="100">
        <f t="shared" si="1"/>
        <v>100.07136559999999</v>
      </c>
      <c r="AS7" s="100">
        <f t="shared" si="1"/>
        <v>100.0831191</v>
      </c>
      <c r="AT7" s="100">
        <f t="shared" ref="AT7:AX7" si="2">+AT6/10^7</f>
        <v>100.0894759</v>
      </c>
      <c r="AU7" s="100">
        <f t="shared" si="2"/>
        <v>100.0965645</v>
      </c>
      <c r="AV7" s="100">
        <f t="shared" si="2"/>
        <v>100.10903089999999</v>
      </c>
      <c r="AW7" s="100">
        <f t="shared" si="2"/>
        <v>100.1240203</v>
      </c>
      <c r="AX7" s="100">
        <f t="shared" si="2"/>
        <v>100.1465465</v>
      </c>
      <c r="AY7" s="100">
        <f t="shared" ref="AY7" si="3">+AY6/10^7</f>
        <v>100.1576855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211385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43011</v>
      </c>
      <c r="B4" s="116">
        <v>738</v>
      </c>
      <c r="C4" s="116">
        <v>708</v>
      </c>
      <c r="D4" s="116">
        <v>702.25</v>
      </c>
      <c r="E4" s="116">
        <v>733.3</v>
      </c>
      <c r="F4" s="116">
        <v>708</v>
      </c>
      <c r="G4">
        <v>4962943</v>
      </c>
      <c r="H4" s="116"/>
      <c r="I4" s="116"/>
      <c r="L4" s="170">
        <v>43011</v>
      </c>
      <c r="M4" s="116">
        <v>707.55</v>
      </c>
      <c r="N4" s="116">
        <v>740</v>
      </c>
      <c r="O4" s="116">
        <v>701.7</v>
      </c>
      <c r="P4" s="116">
        <v>735</v>
      </c>
      <c r="Q4" s="116">
        <v>707.55</v>
      </c>
      <c r="R4">
        <v>35367877</v>
      </c>
    </row>
    <row r="5" spans="1:18" x14ac:dyDescent="0.25">
      <c r="A5" s="170">
        <v>43012</v>
      </c>
      <c r="B5" s="116">
        <v>711.1</v>
      </c>
      <c r="C5" s="116">
        <v>702.1</v>
      </c>
      <c r="D5" s="116">
        <v>698.35</v>
      </c>
      <c r="E5" s="116">
        <v>711</v>
      </c>
      <c r="F5" s="116">
        <v>702.1</v>
      </c>
      <c r="G5">
        <v>403757</v>
      </c>
      <c r="H5" s="116"/>
      <c r="I5" s="116"/>
      <c r="L5" s="170">
        <v>43012</v>
      </c>
      <c r="M5" s="116">
        <v>703.65</v>
      </c>
      <c r="N5" s="116">
        <v>710.75</v>
      </c>
      <c r="O5" s="116">
        <v>699</v>
      </c>
      <c r="P5" s="116">
        <v>710.15</v>
      </c>
      <c r="Q5" s="116">
        <v>703.65</v>
      </c>
      <c r="R5">
        <v>3613280</v>
      </c>
    </row>
    <row r="6" spans="1:18" x14ac:dyDescent="0.25">
      <c r="A6" s="170">
        <v>43013</v>
      </c>
      <c r="B6" s="116">
        <v>704.95</v>
      </c>
      <c r="C6" s="116">
        <v>692.5</v>
      </c>
      <c r="D6" s="116">
        <v>685</v>
      </c>
      <c r="E6" s="116">
        <v>702.55</v>
      </c>
      <c r="F6" s="116">
        <v>692.5</v>
      </c>
      <c r="G6">
        <v>267625</v>
      </c>
      <c r="H6" s="116"/>
      <c r="I6" s="116"/>
      <c r="L6" s="170">
        <v>43013</v>
      </c>
      <c r="M6" s="116">
        <v>694.55</v>
      </c>
      <c r="N6" s="116">
        <v>704.55</v>
      </c>
      <c r="O6" s="116">
        <v>686.1</v>
      </c>
      <c r="P6" s="116">
        <v>704.55</v>
      </c>
      <c r="Q6" s="116">
        <v>694.55</v>
      </c>
      <c r="R6">
        <v>2680742</v>
      </c>
    </row>
    <row r="7" spans="1:18" x14ac:dyDescent="0.25">
      <c r="A7" s="170">
        <v>43014</v>
      </c>
      <c r="B7" s="116">
        <v>700</v>
      </c>
      <c r="C7" s="116">
        <v>694.9</v>
      </c>
      <c r="D7" s="116">
        <v>688.3</v>
      </c>
      <c r="E7" s="116">
        <v>693</v>
      </c>
      <c r="F7" s="116">
        <v>694.9</v>
      </c>
      <c r="G7">
        <v>183132</v>
      </c>
      <c r="H7" s="116"/>
      <c r="I7" s="116"/>
      <c r="L7" s="170">
        <v>43014</v>
      </c>
      <c r="M7" s="116">
        <v>696.75</v>
      </c>
      <c r="N7" s="116">
        <v>702</v>
      </c>
      <c r="O7" s="116">
        <v>689</v>
      </c>
      <c r="P7" s="116">
        <v>693.9</v>
      </c>
      <c r="Q7" s="116">
        <v>696.75</v>
      </c>
      <c r="R7">
        <v>1416485</v>
      </c>
    </row>
    <row r="8" spans="1:18" x14ac:dyDescent="0.25">
      <c r="A8" s="170">
        <v>43017</v>
      </c>
      <c r="B8" s="116">
        <v>700.35</v>
      </c>
      <c r="C8" s="116">
        <v>695.9</v>
      </c>
      <c r="D8" s="116">
        <v>693.15</v>
      </c>
      <c r="E8" s="116">
        <v>694.9</v>
      </c>
      <c r="F8" s="116">
        <v>695.9</v>
      </c>
      <c r="G8">
        <v>112369</v>
      </c>
      <c r="H8" s="116"/>
      <c r="I8" s="116"/>
      <c r="L8" s="170">
        <v>43017</v>
      </c>
      <c r="M8" s="116">
        <v>698.65</v>
      </c>
      <c r="N8" s="116">
        <v>702.5</v>
      </c>
      <c r="O8" s="116">
        <v>694.1</v>
      </c>
      <c r="P8" s="116">
        <v>694.1</v>
      </c>
      <c r="Q8" s="116">
        <v>698.65</v>
      </c>
      <c r="R8">
        <v>951473</v>
      </c>
    </row>
    <row r="9" spans="1:18" x14ac:dyDescent="0.25">
      <c r="A9" s="170">
        <v>43018</v>
      </c>
      <c r="B9" s="116">
        <v>700.85</v>
      </c>
      <c r="C9" s="116">
        <v>699.7</v>
      </c>
      <c r="D9" s="116">
        <v>695.1</v>
      </c>
      <c r="E9" s="116">
        <v>697</v>
      </c>
      <c r="F9" s="116">
        <v>699.7</v>
      </c>
      <c r="G9">
        <v>96372</v>
      </c>
      <c r="H9" s="116"/>
      <c r="I9" s="116"/>
      <c r="L9" s="170">
        <v>43018</v>
      </c>
      <c r="M9" s="116">
        <v>700</v>
      </c>
      <c r="N9" s="116">
        <v>701.2</v>
      </c>
      <c r="O9" s="116">
        <v>695.55</v>
      </c>
      <c r="P9" s="116">
        <v>698.35</v>
      </c>
      <c r="Q9" s="116">
        <v>700</v>
      </c>
      <c r="R9">
        <v>555002</v>
      </c>
    </row>
    <row r="10" spans="1:18" x14ac:dyDescent="0.25">
      <c r="A10" s="170">
        <v>43019</v>
      </c>
      <c r="B10" s="116">
        <v>701.5</v>
      </c>
      <c r="C10" s="116">
        <v>689.15</v>
      </c>
      <c r="D10" s="116">
        <v>686.05</v>
      </c>
      <c r="E10" s="116">
        <v>690</v>
      </c>
      <c r="F10" s="116">
        <v>689.15</v>
      </c>
      <c r="G10">
        <v>70666</v>
      </c>
      <c r="H10" s="116"/>
      <c r="I10" s="116"/>
      <c r="L10" s="170">
        <v>43019</v>
      </c>
      <c r="M10" s="116">
        <v>689.9</v>
      </c>
      <c r="N10" s="116">
        <v>703</v>
      </c>
      <c r="O10" s="116">
        <v>686</v>
      </c>
      <c r="P10" s="116">
        <v>700</v>
      </c>
      <c r="Q10" s="116">
        <v>689.9</v>
      </c>
      <c r="R10">
        <v>1077409</v>
      </c>
    </row>
    <row r="11" spans="1:18" x14ac:dyDescent="0.25">
      <c r="A11" s="170">
        <v>43020</v>
      </c>
      <c r="B11" s="116">
        <v>694.15</v>
      </c>
      <c r="C11" s="116">
        <v>687.7</v>
      </c>
      <c r="D11" s="116">
        <v>685.5</v>
      </c>
      <c r="E11" s="116">
        <v>687</v>
      </c>
      <c r="F11" s="116">
        <v>687.7</v>
      </c>
      <c r="G11">
        <v>35345</v>
      </c>
      <c r="H11" s="116"/>
      <c r="I11" s="116"/>
      <c r="L11" s="170">
        <v>43020</v>
      </c>
      <c r="M11" s="116">
        <v>687.7</v>
      </c>
      <c r="N11" s="116">
        <v>694</v>
      </c>
      <c r="O11" s="116">
        <v>685</v>
      </c>
      <c r="P11" s="116">
        <v>691.1</v>
      </c>
      <c r="Q11" s="116">
        <v>687.7</v>
      </c>
      <c r="R11">
        <v>439314</v>
      </c>
    </row>
    <row r="12" spans="1:18" x14ac:dyDescent="0.25">
      <c r="A12" s="170">
        <v>43021</v>
      </c>
      <c r="B12" s="116">
        <v>694</v>
      </c>
      <c r="C12" s="116">
        <v>688.85</v>
      </c>
      <c r="D12" s="116">
        <v>681</v>
      </c>
      <c r="E12" s="116">
        <v>687.7</v>
      </c>
      <c r="F12" s="116">
        <v>688.85</v>
      </c>
      <c r="G12">
        <v>104563</v>
      </c>
      <c r="H12" s="116"/>
      <c r="I12" s="116"/>
      <c r="L12" s="170">
        <v>43021</v>
      </c>
      <c r="M12" s="116">
        <v>689.7</v>
      </c>
      <c r="N12" s="116">
        <v>695.05</v>
      </c>
      <c r="O12" s="116">
        <v>680</v>
      </c>
      <c r="P12" s="116">
        <v>688.95</v>
      </c>
      <c r="Q12" s="116">
        <v>689.7</v>
      </c>
      <c r="R12">
        <v>1344510</v>
      </c>
    </row>
    <row r="13" spans="1:18" x14ac:dyDescent="0.25">
      <c r="A13" s="170">
        <v>43024</v>
      </c>
      <c r="B13" s="116">
        <v>690</v>
      </c>
      <c r="C13" s="116">
        <v>670.15</v>
      </c>
      <c r="D13" s="116">
        <v>669</v>
      </c>
      <c r="E13" s="116">
        <v>690</v>
      </c>
      <c r="F13" s="116">
        <v>670.15</v>
      </c>
      <c r="G13">
        <v>171568</v>
      </c>
      <c r="H13" s="116"/>
      <c r="I13" s="116"/>
      <c r="L13" s="170">
        <v>43024</v>
      </c>
      <c r="M13" s="116">
        <v>670.1</v>
      </c>
      <c r="N13" s="116">
        <v>689.45</v>
      </c>
      <c r="O13" s="116">
        <v>669</v>
      </c>
      <c r="P13" s="116">
        <v>686</v>
      </c>
      <c r="Q13" s="116">
        <v>670.1</v>
      </c>
      <c r="R13">
        <v>971834</v>
      </c>
    </row>
    <row r="14" spans="1:18" x14ac:dyDescent="0.25">
      <c r="A14" s="170">
        <v>43025</v>
      </c>
      <c r="B14" s="116">
        <v>674</v>
      </c>
      <c r="C14" s="116">
        <v>671.8</v>
      </c>
      <c r="D14" s="116">
        <v>669</v>
      </c>
      <c r="E14" s="116">
        <v>670.15</v>
      </c>
      <c r="F14" s="116">
        <v>671.8</v>
      </c>
      <c r="G14">
        <v>38135</v>
      </c>
      <c r="H14" s="116"/>
      <c r="I14" s="116"/>
      <c r="L14" s="170">
        <v>43025</v>
      </c>
      <c r="M14" s="116">
        <v>673.05</v>
      </c>
      <c r="N14" s="116">
        <v>674</v>
      </c>
      <c r="O14" s="116">
        <v>669</v>
      </c>
      <c r="P14" s="116">
        <v>670.5</v>
      </c>
      <c r="Q14" s="116">
        <v>673.05</v>
      </c>
      <c r="R14">
        <v>664335</v>
      </c>
    </row>
    <row r="15" spans="1:18" x14ac:dyDescent="0.25">
      <c r="A15" s="170">
        <v>43026</v>
      </c>
      <c r="B15" s="116">
        <v>671.55</v>
      </c>
      <c r="C15" s="116">
        <v>666</v>
      </c>
      <c r="D15" s="116">
        <v>664</v>
      </c>
      <c r="E15" s="116">
        <v>671</v>
      </c>
      <c r="F15" s="116">
        <v>666</v>
      </c>
      <c r="G15">
        <v>31437</v>
      </c>
      <c r="H15" s="116"/>
      <c r="I15" s="116"/>
      <c r="L15" s="170">
        <v>43026</v>
      </c>
      <c r="M15" s="116">
        <v>668.4</v>
      </c>
      <c r="N15" s="116">
        <v>672.85</v>
      </c>
      <c r="O15" s="116">
        <v>664.15</v>
      </c>
      <c r="P15" s="116">
        <v>671</v>
      </c>
      <c r="Q15" s="116">
        <v>668.4</v>
      </c>
      <c r="R15">
        <v>415712</v>
      </c>
    </row>
    <row r="16" spans="1:18" x14ac:dyDescent="0.25">
      <c r="A16" s="170">
        <v>43027</v>
      </c>
      <c r="B16" s="116">
        <v>675</v>
      </c>
      <c r="C16" s="116">
        <v>673.7</v>
      </c>
      <c r="D16" s="116">
        <v>666</v>
      </c>
      <c r="E16" s="116">
        <v>666</v>
      </c>
      <c r="F16" s="116">
        <v>673.7</v>
      </c>
      <c r="G16">
        <v>12235</v>
      </c>
      <c r="H16" s="116"/>
      <c r="I16" s="116"/>
      <c r="L16" s="170">
        <v>43027</v>
      </c>
      <c r="M16" s="116">
        <v>675.1</v>
      </c>
      <c r="N16" s="116">
        <v>678.25</v>
      </c>
      <c r="O16" s="116">
        <v>666.1</v>
      </c>
      <c r="P16" s="116">
        <v>666.1</v>
      </c>
      <c r="Q16" s="116">
        <v>675.1</v>
      </c>
      <c r="R16">
        <v>93358</v>
      </c>
    </row>
    <row r="17" spans="1:18" x14ac:dyDescent="0.25">
      <c r="A17" s="170">
        <v>43031</v>
      </c>
      <c r="B17" s="116">
        <v>673.3</v>
      </c>
      <c r="C17" s="116">
        <v>665.55</v>
      </c>
      <c r="D17" s="116">
        <v>664</v>
      </c>
      <c r="E17" s="116">
        <v>667</v>
      </c>
      <c r="F17" s="116">
        <v>665.55</v>
      </c>
      <c r="G17">
        <v>43248</v>
      </c>
      <c r="H17" s="116"/>
      <c r="I17" s="116"/>
      <c r="L17" s="170">
        <v>43031</v>
      </c>
      <c r="M17" s="116">
        <v>665.8</v>
      </c>
      <c r="N17" s="116">
        <v>673.8</v>
      </c>
      <c r="O17" s="116">
        <v>665</v>
      </c>
      <c r="P17" s="116">
        <v>670</v>
      </c>
      <c r="Q17" s="116">
        <v>665.8</v>
      </c>
      <c r="R17">
        <v>292330</v>
      </c>
    </row>
    <row r="18" spans="1:18" x14ac:dyDescent="0.25">
      <c r="A18" s="170">
        <v>43032</v>
      </c>
      <c r="B18" s="116">
        <v>670</v>
      </c>
      <c r="C18" s="116">
        <v>665.8</v>
      </c>
      <c r="D18" s="116">
        <v>661.9</v>
      </c>
      <c r="E18" s="116">
        <v>661.9</v>
      </c>
      <c r="F18" s="116">
        <v>665.8</v>
      </c>
      <c r="G18">
        <v>123833</v>
      </c>
      <c r="H18" s="116"/>
      <c r="I18" s="116"/>
      <c r="L18" s="170">
        <v>43032</v>
      </c>
      <c r="M18" s="116">
        <v>665.85</v>
      </c>
      <c r="N18" s="116">
        <v>671.45</v>
      </c>
      <c r="O18" s="116">
        <v>663</v>
      </c>
      <c r="P18" s="116">
        <v>663.8</v>
      </c>
      <c r="Q18" s="116">
        <v>665.85</v>
      </c>
      <c r="R18">
        <v>350373</v>
      </c>
    </row>
    <row r="19" spans="1:18" x14ac:dyDescent="0.25">
      <c r="A19" s="170">
        <v>43033</v>
      </c>
      <c r="B19" s="116">
        <v>673.1</v>
      </c>
      <c r="C19" s="116">
        <v>668.5</v>
      </c>
      <c r="D19" s="116">
        <v>658.25</v>
      </c>
      <c r="E19" s="116">
        <v>665</v>
      </c>
      <c r="F19" s="116">
        <v>668.5</v>
      </c>
      <c r="G19">
        <v>47738</v>
      </c>
      <c r="H19" s="116"/>
      <c r="I19" s="116"/>
      <c r="L19" s="170">
        <v>43033</v>
      </c>
      <c r="M19" s="116">
        <v>669.9</v>
      </c>
      <c r="N19" s="116">
        <v>673.45</v>
      </c>
      <c r="O19" s="116">
        <v>658.1</v>
      </c>
      <c r="P19" s="116">
        <v>667</v>
      </c>
      <c r="Q19" s="116">
        <v>669.9</v>
      </c>
      <c r="R19">
        <v>583868</v>
      </c>
    </row>
    <row r="20" spans="1:18" x14ac:dyDescent="0.25">
      <c r="A20" s="170">
        <v>43034</v>
      </c>
      <c r="B20" s="116">
        <v>669.65</v>
      </c>
      <c r="C20" s="116">
        <v>665.05</v>
      </c>
      <c r="D20" s="116">
        <v>660</v>
      </c>
      <c r="E20" s="116">
        <v>668.5</v>
      </c>
      <c r="F20" s="116">
        <v>665.05</v>
      </c>
      <c r="G20">
        <v>25390</v>
      </c>
      <c r="H20" s="116"/>
      <c r="I20" s="116"/>
      <c r="L20" s="170">
        <v>43034</v>
      </c>
      <c r="M20" s="116">
        <v>666.85</v>
      </c>
      <c r="N20" s="116">
        <v>669.9</v>
      </c>
      <c r="O20" s="116">
        <v>660.5</v>
      </c>
      <c r="P20" s="116">
        <v>669.9</v>
      </c>
      <c r="Q20" s="116">
        <v>666.85</v>
      </c>
      <c r="R20">
        <v>242175</v>
      </c>
    </row>
    <row r="21" spans="1:18" x14ac:dyDescent="0.25">
      <c r="A21" s="170">
        <v>43035</v>
      </c>
      <c r="B21" s="116">
        <v>665.05</v>
      </c>
      <c r="C21" s="116">
        <v>661.7</v>
      </c>
      <c r="D21" s="116">
        <v>659.3</v>
      </c>
      <c r="E21" s="116">
        <v>665</v>
      </c>
      <c r="F21" s="116">
        <v>661.7</v>
      </c>
      <c r="G21">
        <v>49009</v>
      </c>
      <c r="H21" s="116"/>
      <c r="I21" s="116"/>
      <c r="L21" s="170">
        <v>43035</v>
      </c>
      <c r="M21" s="116">
        <v>662.2</v>
      </c>
      <c r="N21" s="116">
        <v>666.05</v>
      </c>
      <c r="O21" s="116">
        <v>659</v>
      </c>
      <c r="P21" s="116">
        <v>663.2</v>
      </c>
      <c r="Q21" s="116">
        <v>662.2</v>
      </c>
      <c r="R21">
        <v>396395</v>
      </c>
    </row>
    <row r="22" spans="1:18" x14ac:dyDescent="0.25">
      <c r="A22" s="170">
        <v>43038</v>
      </c>
      <c r="B22" s="116">
        <v>664.95</v>
      </c>
      <c r="C22" s="116">
        <v>655.20000000000005</v>
      </c>
      <c r="D22" s="116">
        <v>649.54999999999995</v>
      </c>
      <c r="E22" s="116">
        <v>660</v>
      </c>
      <c r="F22" s="116">
        <v>655.20000000000005</v>
      </c>
      <c r="G22">
        <v>228843</v>
      </c>
      <c r="H22" s="116"/>
      <c r="I22" s="116"/>
      <c r="L22" s="170">
        <v>43038</v>
      </c>
      <c r="M22" s="116">
        <v>655</v>
      </c>
      <c r="N22" s="116">
        <v>665</v>
      </c>
      <c r="O22" s="116">
        <v>649.9</v>
      </c>
      <c r="P22" s="116">
        <v>665</v>
      </c>
      <c r="Q22" s="116">
        <v>655</v>
      </c>
      <c r="R22">
        <v>1164020</v>
      </c>
    </row>
    <row r="23" spans="1:18" x14ac:dyDescent="0.25">
      <c r="A23" s="170">
        <v>43039</v>
      </c>
      <c r="B23" s="116">
        <v>669.9</v>
      </c>
      <c r="C23" s="116">
        <v>662.3</v>
      </c>
      <c r="D23" s="116">
        <v>656</v>
      </c>
      <c r="E23" s="116">
        <v>656</v>
      </c>
      <c r="F23" s="116">
        <v>662.3</v>
      </c>
      <c r="G23">
        <v>124808</v>
      </c>
      <c r="H23" s="116"/>
      <c r="I23" s="116"/>
      <c r="L23" s="170">
        <v>43039</v>
      </c>
      <c r="M23" s="116">
        <v>662.1</v>
      </c>
      <c r="N23" s="116">
        <v>669</v>
      </c>
      <c r="O23" s="116">
        <v>655.8</v>
      </c>
      <c r="P23" s="116">
        <v>655.8</v>
      </c>
      <c r="Q23" s="116">
        <v>662.1</v>
      </c>
      <c r="R23">
        <v>1402840</v>
      </c>
    </row>
    <row r="24" spans="1:18" x14ac:dyDescent="0.25">
      <c r="A24" s="170">
        <v>43040</v>
      </c>
      <c r="B24" s="116">
        <v>664.9</v>
      </c>
      <c r="C24" s="116">
        <v>647.54999999999995</v>
      </c>
      <c r="D24" s="116">
        <v>645</v>
      </c>
      <c r="E24" s="116">
        <v>657</v>
      </c>
      <c r="F24" s="116">
        <v>647.54999999999995</v>
      </c>
      <c r="G24">
        <v>105130</v>
      </c>
      <c r="H24" s="116"/>
      <c r="I24" s="116"/>
      <c r="L24" s="170">
        <v>43040</v>
      </c>
      <c r="M24" s="116">
        <v>647.04999999999995</v>
      </c>
      <c r="N24" s="116">
        <v>664.85</v>
      </c>
      <c r="O24" s="116">
        <v>642.25</v>
      </c>
      <c r="P24" s="116">
        <v>664</v>
      </c>
      <c r="Q24" s="116">
        <v>647.04999999999995</v>
      </c>
      <c r="R24">
        <v>859011</v>
      </c>
    </row>
    <row r="25" spans="1:18" x14ac:dyDescent="0.25">
      <c r="A25" s="170">
        <v>43041</v>
      </c>
      <c r="B25" s="116">
        <v>652.95000000000005</v>
      </c>
      <c r="C25" s="116">
        <v>643.54999999999995</v>
      </c>
      <c r="D25" s="116">
        <v>642.20000000000005</v>
      </c>
      <c r="E25" s="116">
        <v>648</v>
      </c>
      <c r="F25" s="116">
        <v>643.54999999999995</v>
      </c>
      <c r="G25">
        <v>35876</v>
      </c>
      <c r="H25" s="116"/>
      <c r="I25" s="116"/>
      <c r="L25" s="170">
        <v>43041</v>
      </c>
      <c r="M25" s="116">
        <v>642.75</v>
      </c>
      <c r="N25" s="116">
        <v>653.6</v>
      </c>
      <c r="O25" s="116">
        <v>641.20000000000005</v>
      </c>
      <c r="P25" s="116">
        <v>647.04999999999995</v>
      </c>
      <c r="Q25" s="116">
        <v>642.75</v>
      </c>
      <c r="R25">
        <v>574130</v>
      </c>
    </row>
    <row r="26" spans="1:18" x14ac:dyDescent="0.25">
      <c r="A26" s="170">
        <v>43042</v>
      </c>
      <c r="B26" s="116">
        <v>652</v>
      </c>
      <c r="C26" s="116">
        <v>642.79999999999995</v>
      </c>
      <c r="D26" s="116">
        <v>640.9</v>
      </c>
      <c r="E26" s="116">
        <v>642</v>
      </c>
      <c r="F26" s="116">
        <v>642.79999999999995</v>
      </c>
      <c r="G26">
        <v>34041</v>
      </c>
      <c r="H26" s="116"/>
      <c r="I26" s="116"/>
      <c r="L26" s="170">
        <v>43042</v>
      </c>
      <c r="M26" s="116">
        <v>642.25</v>
      </c>
      <c r="N26" s="116">
        <v>653.5</v>
      </c>
      <c r="O26" s="116">
        <v>641.1</v>
      </c>
      <c r="P26" s="116">
        <v>643.04999999999995</v>
      </c>
      <c r="Q26" s="116">
        <v>642.25</v>
      </c>
      <c r="R26">
        <v>672547</v>
      </c>
    </row>
    <row r="27" spans="1:18" x14ac:dyDescent="0.25">
      <c r="A27" s="170">
        <v>43045</v>
      </c>
      <c r="B27" s="116">
        <v>659</v>
      </c>
      <c r="C27" s="116">
        <v>656.8</v>
      </c>
      <c r="D27" s="116">
        <v>641</v>
      </c>
      <c r="E27" s="116">
        <v>641</v>
      </c>
      <c r="F27" s="116">
        <v>656.8</v>
      </c>
      <c r="G27">
        <v>52989</v>
      </c>
      <c r="H27" s="116"/>
      <c r="I27" s="116"/>
      <c r="L27" s="170">
        <v>43045</v>
      </c>
      <c r="M27" s="116">
        <v>656.75</v>
      </c>
      <c r="N27" s="116">
        <v>659.9</v>
      </c>
      <c r="O27" s="116">
        <v>642.65</v>
      </c>
      <c r="P27" s="116">
        <v>642.65</v>
      </c>
      <c r="Q27" s="116">
        <v>656.75</v>
      </c>
      <c r="R27">
        <v>483071</v>
      </c>
    </row>
    <row r="28" spans="1:18" x14ac:dyDescent="0.25">
      <c r="A28" s="170">
        <v>43046</v>
      </c>
      <c r="B28" s="116">
        <v>657</v>
      </c>
      <c r="C28" s="116">
        <v>642.95000000000005</v>
      </c>
      <c r="D28" s="116">
        <v>639.85</v>
      </c>
      <c r="E28" s="116">
        <v>655</v>
      </c>
      <c r="F28" s="116">
        <v>642.95000000000005</v>
      </c>
      <c r="G28">
        <v>39886</v>
      </c>
      <c r="H28" s="116"/>
      <c r="I28" s="116"/>
      <c r="L28" s="170">
        <v>43046</v>
      </c>
      <c r="M28" s="116">
        <v>642.35</v>
      </c>
      <c r="N28" s="116">
        <v>659</v>
      </c>
      <c r="O28" s="116">
        <v>639.54999999999995</v>
      </c>
      <c r="P28" s="116">
        <v>659</v>
      </c>
      <c r="Q28" s="116">
        <v>642.35</v>
      </c>
      <c r="R28">
        <v>763293</v>
      </c>
    </row>
    <row r="29" spans="1:18" x14ac:dyDescent="0.25">
      <c r="A29" s="170">
        <v>43047</v>
      </c>
      <c r="B29" s="116">
        <v>648.79999999999995</v>
      </c>
      <c r="C29" s="116">
        <v>630.35</v>
      </c>
      <c r="D29" s="116">
        <v>628.5</v>
      </c>
      <c r="E29" s="116">
        <v>642</v>
      </c>
      <c r="F29" s="116">
        <v>630.35</v>
      </c>
      <c r="G29">
        <v>68474</v>
      </c>
      <c r="H29" s="116"/>
      <c r="I29" s="116"/>
      <c r="L29" s="170">
        <v>43047</v>
      </c>
      <c r="M29" s="116">
        <v>631.6</v>
      </c>
      <c r="N29" s="116">
        <v>649</v>
      </c>
      <c r="O29" s="116">
        <v>629</v>
      </c>
      <c r="P29" s="116">
        <v>649</v>
      </c>
      <c r="Q29" s="116">
        <v>631.6</v>
      </c>
      <c r="R29">
        <v>843603</v>
      </c>
    </row>
    <row r="30" spans="1:18" x14ac:dyDescent="0.25">
      <c r="A30" s="170">
        <v>43048</v>
      </c>
      <c r="B30" s="116">
        <v>670</v>
      </c>
      <c r="C30" s="116">
        <v>654.29999999999995</v>
      </c>
      <c r="D30" s="116">
        <v>631</v>
      </c>
      <c r="E30" s="116">
        <v>631</v>
      </c>
      <c r="F30" s="116">
        <v>654.29999999999995</v>
      </c>
      <c r="G30">
        <v>52850</v>
      </c>
      <c r="H30" s="116"/>
      <c r="I30" s="116"/>
      <c r="L30" s="170">
        <v>43048</v>
      </c>
      <c r="M30" s="116">
        <v>657.95</v>
      </c>
      <c r="N30" s="116">
        <v>670.4</v>
      </c>
      <c r="O30" s="116">
        <v>633</v>
      </c>
      <c r="P30" s="116">
        <v>633</v>
      </c>
      <c r="Q30" s="116">
        <v>657.95</v>
      </c>
      <c r="R30">
        <v>356798</v>
      </c>
    </row>
    <row r="31" spans="1:18" x14ac:dyDescent="0.25">
      <c r="A31" s="170">
        <v>43049</v>
      </c>
      <c r="B31" s="116">
        <v>678</v>
      </c>
      <c r="C31" s="116">
        <v>674.8</v>
      </c>
      <c r="D31" s="116">
        <v>654.45000000000005</v>
      </c>
      <c r="E31" s="116">
        <v>655</v>
      </c>
      <c r="F31" s="116">
        <v>674.8</v>
      </c>
      <c r="G31">
        <v>91540</v>
      </c>
      <c r="H31" s="116"/>
      <c r="I31" s="116"/>
      <c r="L31" s="170">
        <v>43049</v>
      </c>
      <c r="M31" s="116">
        <v>676.55</v>
      </c>
      <c r="N31" s="116">
        <v>679.2</v>
      </c>
      <c r="O31" s="116">
        <v>655.1</v>
      </c>
      <c r="P31" s="116">
        <v>655.1</v>
      </c>
      <c r="Q31" s="116">
        <v>676.55</v>
      </c>
      <c r="R31">
        <v>784443</v>
      </c>
    </row>
    <row r="32" spans="1:18" x14ac:dyDescent="0.25">
      <c r="A32" s="170">
        <v>43052</v>
      </c>
      <c r="B32" s="116">
        <v>680.85</v>
      </c>
      <c r="C32" s="116">
        <v>665.6</v>
      </c>
      <c r="D32" s="116">
        <v>663.9</v>
      </c>
      <c r="E32" s="116">
        <v>674.9</v>
      </c>
      <c r="F32" s="116">
        <v>665.6</v>
      </c>
      <c r="G32">
        <v>24703</v>
      </c>
      <c r="H32" s="116"/>
      <c r="I32" s="116"/>
      <c r="L32" s="170">
        <v>43052</v>
      </c>
      <c r="M32" s="116">
        <v>665</v>
      </c>
      <c r="N32" s="116">
        <v>680.8</v>
      </c>
      <c r="O32" s="116">
        <v>663</v>
      </c>
      <c r="P32" s="116">
        <v>665</v>
      </c>
      <c r="Q32" s="116">
        <v>665</v>
      </c>
      <c r="R32">
        <v>192279</v>
      </c>
    </row>
    <row r="33" spans="1:18" x14ac:dyDescent="0.25">
      <c r="A33" s="170">
        <v>43053</v>
      </c>
      <c r="B33" s="116">
        <v>666.85</v>
      </c>
      <c r="C33" s="116">
        <v>659.9</v>
      </c>
      <c r="D33" s="116">
        <v>651</v>
      </c>
      <c r="E33" s="116">
        <v>651</v>
      </c>
      <c r="F33" s="116">
        <v>659.9</v>
      </c>
      <c r="G33">
        <v>20310</v>
      </c>
      <c r="H33" s="116"/>
      <c r="I33" s="116"/>
      <c r="L33" s="170">
        <v>43053</v>
      </c>
      <c r="M33" s="116">
        <v>660</v>
      </c>
      <c r="N33" s="116">
        <v>667.75</v>
      </c>
      <c r="O33" s="116">
        <v>654</v>
      </c>
      <c r="P33" s="116">
        <v>655.20000000000005</v>
      </c>
      <c r="Q33" s="116">
        <v>660</v>
      </c>
      <c r="R33">
        <v>350594</v>
      </c>
    </row>
    <row r="34" spans="1:18" x14ac:dyDescent="0.25">
      <c r="A34" s="170">
        <v>43054</v>
      </c>
      <c r="B34" s="116">
        <v>660</v>
      </c>
      <c r="C34" s="116">
        <v>650.15</v>
      </c>
      <c r="D34" s="116">
        <v>645.20000000000005</v>
      </c>
      <c r="E34" s="116">
        <v>659</v>
      </c>
      <c r="F34" s="116">
        <v>650.15</v>
      </c>
      <c r="G34">
        <v>17017</v>
      </c>
      <c r="H34" s="116"/>
      <c r="I34" s="116"/>
      <c r="L34" s="170">
        <v>43054</v>
      </c>
      <c r="M34" s="116">
        <v>649.35</v>
      </c>
      <c r="N34" s="116">
        <v>660.05</v>
      </c>
      <c r="O34" s="116">
        <v>644.4</v>
      </c>
      <c r="P34" s="116">
        <v>650.1</v>
      </c>
      <c r="Q34" s="116">
        <v>649.35</v>
      </c>
      <c r="R34">
        <v>269314</v>
      </c>
    </row>
    <row r="35" spans="1:18" x14ac:dyDescent="0.25">
      <c r="A35" s="170">
        <v>43055</v>
      </c>
      <c r="B35" s="116">
        <v>658.7</v>
      </c>
      <c r="C35" s="116">
        <v>649.70000000000005</v>
      </c>
      <c r="D35" s="116">
        <v>644</v>
      </c>
      <c r="E35" s="116">
        <v>651</v>
      </c>
      <c r="F35" s="116">
        <v>649.70000000000005</v>
      </c>
      <c r="G35">
        <v>19314</v>
      </c>
      <c r="H35" s="116"/>
      <c r="I35" s="116"/>
      <c r="L35" s="170">
        <v>43055</v>
      </c>
      <c r="M35" s="116">
        <v>649.9</v>
      </c>
      <c r="N35" s="116">
        <v>659.2</v>
      </c>
      <c r="O35" s="116">
        <v>642.79999999999995</v>
      </c>
      <c r="P35" s="116">
        <v>648.6</v>
      </c>
      <c r="Q35" s="116">
        <v>649.9</v>
      </c>
      <c r="R35">
        <v>261879</v>
      </c>
    </row>
    <row r="36" spans="1:18" x14ac:dyDescent="0.25">
      <c r="A36" s="170">
        <v>43056</v>
      </c>
      <c r="B36" s="116">
        <v>662.5</v>
      </c>
      <c r="C36" s="116">
        <v>659.75</v>
      </c>
      <c r="D36" s="116">
        <v>645.29999999999995</v>
      </c>
      <c r="E36" s="116">
        <v>653</v>
      </c>
      <c r="F36" s="116">
        <v>659.75</v>
      </c>
      <c r="G36">
        <v>316678</v>
      </c>
      <c r="H36" s="116"/>
      <c r="I36" s="116"/>
      <c r="L36" s="170">
        <v>43056</v>
      </c>
      <c r="M36" s="116">
        <v>659.55</v>
      </c>
      <c r="N36" s="116">
        <v>663.7</v>
      </c>
      <c r="O36" s="116">
        <v>645.1</v>
      </c>
      <c r="P36" s="116">
        <v>653</v>
      </c>
      <c r="Q36" s="116">
        <v>659.55</v>
      </c>
      <c r="R36">
        <v>3200674</v>
      </c>
    </row>
    <row r="37" spans="1:18" x14ac:dyDescent="0.25">
      <c r="A37" s="170">
        <v>43059</v>
      </c>
      <c r="B37" s="116">
        <v>663.4</v>
      </c>
      <c r="C37" s="116">
        <v>661.05</v>
      </c>
      <c r="D37" s="116">
        <v>656.2</v>
      </c>
      <c r="E37" s="116">
        <v>656.2</v>
      </c>
      <c r="F37" s="116">
        <v>661.05</v>
      </c>
      <c r="G37">
        <v>19980</v>
      </c>
      <c r="H37" s="116"/>
      <c r="I37" s="116"/>
      <c r="L37" s="170">
        <v>43059</v>
      </c>
      <c r="M37" s="116">
        <v>661.45</v>
      </c>
      <c r="N37" s="116">
        <v>665</v>
      </c>
      <c r="O37" s="116">
        <v>656.5</v>
      </c>
      <c r="P37" s="116">
        <v>657.3</v>
      </c>
      <c r="Q37" s="116">
        <v>661.45</v>
      </c>
      <c r="R37">
        <v>712433</v>
      </c>
    </row>
    <row r="38" spans="1:18" x14ac:dyDescent="0.25">
      <c r="A38" s="170">
        <v>43060</v>
      </c>
      <c r="B38" s="116">
        <v>695.95</v>
      </c>
      <c r="C38" s="116">
        <v>686.6</v>
      </c>
      <c r="D38" s="116">
        <v>660</v>
      </c>
      <c r="E38" s="116">
        <v>662.85</v>
      </c>
      <c r="F38" s="116">
        <v>686.6</v>
      </c>
      <c r="G38">
        <v>205449</v>
      </c>
      <c r="H38" s="116"/>
      <c r="I38" s="116"/>
      <c r="L38" s="170">
        <v>43060</v>
      </c>
      <c r="M38" s="116">
        <v>687.45</v>
      </c>
      <c r="N38" s="116">
        <v>696.4</v>
      </c>
      <c r="O38" s="116">
        <v>660</v>
      </c>
      <c r="P38" s="116">
        <v>660</v>
      </c>
      <c r="Q38" s="116">
        <v>687.45</v>
      </c>
      <c r="R38">
        <v>2077453</v>
      </c>
    </row>
    <row r="39" spans="1:18" x14ac:dyDescent="0.25">
      <c r="A39" s="170">
        <v>43061</v>
      </c>
      <c r="B39" s="116">
        <v>698.95</v>
      </c>
      <c r="C39" s="116">
        <v>691.15</v>
      </c>
      <c r="D39" s="116">
        <v>681.9</v>
      </c>
      <c r="E39" s="116">
        <v>688.8</v>
      </c>
      <c r="F39" s="116">
        <v>691.15</v>
      </c>
      <c r="G39">
        <v>76524</v>
      </c>
      <c r="H39" s="116"/>
      <c r="I39" s="116"/>
      <c r="L39" s="170">
        <v>43061</v>
      </c>
      <c r="M39" s="116">
        <v>693.15</v>
      </c>
      <c r="N39" s="116">
        <v>698.95</v>
      </c>
      <c r="O39" s="116">
        <v>681.15</v>
      </c>
      <c r="P39" s="116">
        <v>689</v>
      </c>
      <c r="Q39" s="116">
        <v>693.15</v>
      </c>
      <c r="R39">
        <v>669175</v>
      </c>
    </row>
    <row r="40" spans="1:18" x14ac:dyDescent="0.25">
      <c r="A40" s="170">
        <v>43062</v>
      </c>
      <c r="B40" s="116">
        <v>686.05</v>
      </c>
      <c r="C40" s="116">
        <v>667.05</v>
      </c>
      <c r="D40" s="116">
        <v>664.25</v>
      </c>
      <c r="E40" s="116">
        <v>685</v>
      </c>
      <c r="F40" s="116">
        <v>667.05</v>
      </c>
      <c r="G40">
        <v>33701</v>
      </c>
      <c r="H40" s="116"/>
      <c r="I40" s="116"/>
      <c r="L40" s="170">
        <v>43062</v>
      </c>
      <c r="M40" s="116">
        <v>666.3</v>
      </c>
      <c r="N40" s="116">
        <v>689</v>
      </c>
      <c r="O40" s="116">
        <v>664</v>
      </c>
      <c r="P40" s="116">
        <v>689</v>
      </c>
      <c r="Q40" s="116">
        <v>666.3</v>
      </c>
      <c r="R40">
        <v>827451</v>
      </c>
    </row>
    <row r="41" spans="1:18" x14ac:dyDescent="0.25">
      <c r="A41" s="170">
        <v>43063</v>
      </c>
      <c r="B41" s="116">
        <v>670.4</v>
      </c>
      <c r="C41" s="116">
        <v>657.6</v>
      </c>
      <c r="D41" s="116">
        <v>656.4</v>
      </c>
      <c r="E41" s="116">
        <v>670</v>
      </c>
      <c r="F41" s="116">
        <v>657.6</v>
      </c>
      <c r="G41">
        <v>38540</v>
      </c>
      <c r="H41" s="116"/>
      <c r="I41" s="116"/>
      <c r="L41" s="170">
        <v>43063</v>
      </c>
      <c r="M41" s="116">
        <v>655.7</v>
      </c>
      <c r="N41" s="116">
        <v>670.45</v>
      </c>
      <c r="O41" s="116">
        <v>655</v>
      </c>
      <c r="P41" s="116">
        <v>668</v>
      </c>
      <c r="Q41" s="116">
        <v>655.7</v>
      </c>
      <c r="R41">
        <v>599114</v>
      </c>
    </row>
    <row r="42" spans="1:18" x14ac:dyDescent="0.25">
      <c r="A42" s="170">
        <v>43066</v>
      </c>
      <c r="B42" s="116">
        <v>663.95</v>
      </c>
      <c r="C42" s="116">
        <v>654.70000000000005</v>
      </c>
      <c r="D42" s="116">
        <v>652.9</v>
      </c>
      <c r="E42" s="116">
        <v>657.65</v>
      </c>
      <c r="F42" s="116">
        <v>654.70000000000005</v>
      </c>
      <c r="G42">
        <v>24867</v>
      </c>
      <c r="H42" s="116"/>
      <c r="I42" s="116"/>
      <c r="L42" s="170">
        <v>43066</v>
      </c>
      <c r="M42" s="116">
        <v>653.70000000000005</v>
      </c>
      <c r="N42" s="116">
        <v>662.7</v>
      </c>
      <c r="O42" s="116">
        <v>651.85</v>
      </c>
      <c r="P42" s="116">
        <v>655.55</v>
      </c>
      <c r="Q42" s="116">
        <v>653.70000000000005</v>
      </c>
      <c r="R42">
        <v>239417</v>
      </c>
    </row>
    <row r="43" spans="1:18" x14ac:dyDescent="0.25">
      <c r="A43" s="170">
        <v>43067</v>
      </c>
      <c r="B43" s="116">
        <v>666.3</v>
      </c>
      <c r="C43" s="116">
        <v>653.79999999999995</v>
      </c>
      <c r="D43" s="116">
        <v>652</v>
      </c>
      <c r="E43" s="116">
        <v>655.29999999999995</v>
      </c>
      <c r="F43" s="116">
        <v>653.79999999999995</v>
      </c>
      <c r="G43">
        <v>22523</v>
      </c>
      <c r="H43" s="116"/>
      <c r="I43" s="116"/>
      <c r="L43" s="170">
        <v>43067</v>
      </c>
      <c r="M43" s="116">
        <v>653.45000000000005</v>
      </c>
      <c r="N43" s="116">
        <v>666.95</v>
      </c>
      <c r="O43" s="116">
        <v>652</v>
      </c>
      <c r="P43" s="116">
        <v>653</v>
      </c>
      <c r="Q43" s="116">
        <v>653.45000000000005</v>
      </c>
      <c r="R43">
        <v>269211</v>
      </c>
    </row>
    <row r="44" spans="1:18" x14ac:dyDescent="0.25">
      <c r="A44" s="170">
        <v>43068</v>
      </c>
      <c r="B44" s="116">
        <v>657</v>
      </c>
      <c r="C44" s="116">
        <v>655.85</v>
      </c>
      <c r="D44" s="116">
        <v>644.1</v>
      </c>
      <c r="E44" s="116">
        <v>654.5</v>
      </c>
      <c r="F44" s="116">
        <v>655.85</v>
      </c>
      <c r="G44">
        <v>23125</v>
      </c>
      <c r="H44" s="116"/>
      <c r="I44" s="116"/>
      <c r="L44" s="170">
        <v>43068</v>
      </c>
      <c r="M44" s="116">
        <v>656.2</v>
      </c>
      <c r="N44" s="116">
        <v>658.4</v>
      </c>
      <c r="O44" s="116">
        <v>650.79999999999995</v>
      </c>
      <c r="P44" s="116">
        <v>654.04999999999995</v>
      </c>
      <c r="Q44" s="116">
        <v>656.2</v>
      </c>
      <c r="R44">
        <v>258606</v>
      </c>
    </row>
    <row r="45" spans="1:18" x14ac:dyDescent="0.25">
      <c r="A45" s="170">
        <v>43069</v>
      </c>
      <c r="B45" s="116">
        <v>663</v>
      </c>
      <c r="C45" s="116">
        <v>655.29999999999995</v>
      </c>
      <c r="D45" s="116">
        <v>653.6</v>
      </c>
      <c r="E45" s="116">
        <v>660.25</v>
      </c>
      <c r="F45" s="116">
        <v>655.29999999999995</v>
      </c>
      <c r="G45">
        <v>20402</v>
      </c>
      <c r="H45" s="116"/>
      <c r="I45" s="116"/>
      <c r="L45" s="170">
        <v>43069</v>
      </c>
      <c r="M45" s="116">
        <v>654.9</v>
      </c>
      <c r="N45" s="116">
        <v>665.95</v>
      </c>
      <c r="O45" s="116">
        <v>653.85</v>
      </c>
      <c r="P45" s="116">
        <v>665.95</v>
      </c>
      <c r="Q45" s="116">
        <v>654.9</v>
      </c>
      <c r="R45">
        <v>316178</v>
      </c>
    </row>
    <row r="46" spans="1:18" x14ac:dyDescent="0.25">
      <c r="A46" s="170">
        <v>43070</v>
      </c>
      <c r="B46" s="116">
        <v>657.35</v>
      </c>
      <c r="C46" s="116">
        <v>655.85</v>
      </c>
      <c r="D46" s="116">
        <v>652.04999999999995</v>
      </c>
      <c r="E46" s="116">
        <v>656</v>
      </c>
      <c r="F46" s="116">
        <v>655.85</v>
      </c>
      <c r="G46">
        <v>18705</v>
      </c>
      <c r="H46" s="116"/>
      <c r="I46" s="116"/>
      <c r="L46" s="170">
        <v>43070</v>
      </c>
      <c r="M46" s="116">
        <v>655.9</v>
      </c>
      <c r="N46" s="116">
        <v>658</v>
      </c>
      <c r="O46" s="116">
        <v>652.25</v>
      </c>
      <c r="P46" s="116">
        <v>658</v>
      </c>
      <c r="Q46" s="116">
        <v>655.9</v>
      </c>
      <c r="R46">
        <v>86648</v>
      </c>
    </row>
    <row r="47" spans="1:18" x14ac:dyDescent="0.25">
      <c r="A47" s="170">
        <v>43073</v>
      </c>
      <c r="B47" s="116">
        <v>666.05</v>
      </c>
      <c r="C47" s="116">
        <v>661</v>
      </c>
      <c r="D47" s="116">
        <v>652.54999999999995</v>
      </c>
      <c r="E47" s="116">
        <v>655</v>
      </c>
      <c r="F47" s="116">
        <v>661</v>
      </c>
      <c r="G47">
        <v>20557</v>
      </c>
      <c r="H47" s="116"/>
      <c r="I47" s="116"/>
      <c r="L47" s="170">
        <v>43073</v>
      </c>
      <c r="M47" s="116">
        <v>661.75</v>
      </c>
      <c r="N47" s="116">
        <v>665.8</v>
      </c>
      <c r="O47" s="116">
        <v>653.04999999999995</v>
      </c>
      <c r="P47" s="116">
        <v>660</v>
      </c>
      <c r="Q47" s="116">
        <v>661.75</v>
      </c>
      <c r="R47">
        <v>162592</v>
      </c>
    </row>
    <row r="48" spans="1:18" x14ac:dyDescent="0.25">
      <c r="A48" s="170">
        <v>43074</v>
      </c>
      <c r="B48" s="116">
        <v>661.85</v>
      </c>
      <c r="C48" s="116">
        <v>657.5</v>
      </c>
      <c r="D48" s="116">
        <v>653.04999999999995</v>
      </c>
      <c r="E48" s="116">
        <v>661</v>
      </c>
      <c r="F48" s="116">
        <v>657.5</v>
      </c>
      <c r="G48">
        <v>100995</v>
      </c>
      <c r="H48" s="116"/>
      <c r="I48" s="116"/>
      <c r="L48" s="170">
        <v>43074</v>
      </c>
      <c r="M48" s="116">
        <v>659.1</v>
      </c>
      <c r="N48" s="116">
        <v>662.15</v>
      </c>
      <c r="O48" s="116">
        <v>653.54999999999995</v>
      </c>
      <c r="P48" s="116">
        <v>660</v>
      </c>
      <c r="Q48" s="116">
        <v>659.1</v>
      </c>
      <c r="R48">
        <v>125688</v>
      </c>
    </row>
    <row r="49" spans="1:18" x14ac:dyDescent="0.25">
      <c r="A49" s="170">
        <v>43075</v>
      </c>
      <c r="B49" s="116">
        <v>659.8</v>
      </c>
      <c r="C49" s="116">
        <v>655</v>
      </c>
      <c r="D49" s="116">
        <v>653.54999999999995</v>
      </c>
      <c r="E49" s="116">
        <v>658.1</v>
      </c>
      <c r="F49" s="116">
        <v>655</v>
      </c>
      <c r="G49">
        <v>78996</v>
      </c>
      <c r="H49" s="116"/>
      <c r="I49" s="116"/>
      <c r="L49" s="170">
        <v>43075</v>
      </c>
      <c r="M49" s="116">
        <v>656.1</v>
      </c>
      <c r="N49" s="116">
        <v>660</v>
      </c>
      <c r="O49" s="116">
        <v>654.04999999999995</v>
      </c>
      <c r="P49" s="116">
        <v>654.04999999999995</v>
      </c>
      <c r="Q49" s="116">
        <v>656.1</v>
      </c>
      <c r="R49">
        <v>210799</v>
      </c>
    </row>
    <row r="50" spans="1:18" x14ac:dyDescent="0.25">
      <c r="A50" s="170">
        <v>43076</v>
      </c>
      <c r="B50" s="116">
        <v>669</v>
      </c>
      <c r="C50" s="116">
        <v>666.3</v>
      </c>
      <c r="D50" s="116">
        <v>630</v>
      </c>
      <c r="E50" s="116">
        <v>656</v>
      </c>
      <c r="F50" s="116">
        <v>666.3</v>
      </c>
      <c r="G50">
        <v>199485</v>
      </c>
      <c r="H50" s="116"/>
      <c r="I50" s="116"/>
      <c r="L50" s="170">
        <v>43076</v>
      </c>
      <c r="M50" s="116">
        <v>668.4</v>
      </c>
      <c r="N50" s="116">
        <v>670</v>
      </c>
      <c r="O50" s="116">
        <v>651</v>
      </c>
      <c r="P50" s="116">
        <v>655.1</v>
      </c>
      <c r="Q50" s="116">
        <v>668.4</v>
      </c>
      <c r="R50">
        <v>279051</v>
      </c>
    </row>
    <row r="51" spans="1:18" x14ac:dyDescent="0.25">
      <c r="A51" s="170">
        <v>43077</v>
      </c>
      <c r="B51" s="116">
        <v>688</v>
      </c>
      <c r="C51" s="116">
        <v>684.25</v>
      </c>
      <c r="D51" s="116">
        <v>666</v>
      </c>
      <c r="E51" s="116">
        <v>666</v>
      </c>
      <c r="F51" s="116">
        <v>684.25</v>
      </c>
      <c r="G51">
        <v>47759</v>
      </c>
      <c r="H51" s="116"/>
      <c r="I51" s="116"/>
      <c r="L51" s="170">
        <v>43077</v>
      </c>
      <c r="M51" s="116">
        <v>685.7</v>
      </c>
      <c r="N51" s="116">
        <v>689.9</v>
      </c>
      <c r="O51" s="116">
        <v>664.05</v>
      </c>
      <c r="P51" s="116">
        <v>664.05</v>
      </c>
      <c r="Q51" s="116">
        <v>685.7</v>
      </c>
      <c r="R51">
        <v>480717</v>
      </c>
    </row>
    <row r="52" spans="1:18" x14ac:dyDescent="0.25">
      <c r="A52" s="170">
        <v>43080</v>
      </c>
      <c r="B52" s="116">
        <v>683.25</v>
      </c>
      <c r="C52" s="116">
        <v>675.05</v>
      </c>
      <c r="D52" s="116">
        <v>671.4</v>
      </c>
      <c r="E52" s="116">
        <v>680.75</v>
      </c>
      <c r="F52" s="116">
        <v>675.05</v>
      </c>
      <c r="G52">
        <v>8366</v>
      </c>
      <c r="H52" s="116"/>
      <c r="I52" s="116"/>
      <c r="L52" s="170">
        <v>43080</v>
      </c>
      <c r="M52" s="116">
        <v>674.75</v>
      </c>
      <c r="N52" s="116">
        <v>682.75</v>
      </c>
      <c r="O52" s="116">
        <v>671.05</v>
      </c>
      <c r="P52" s="116">
        <v>680</v>
      </c>
      <c r="Q52" s="116">
        <v>674.75</v>
      </c>
      <c r="R52">
        <v>122163</v>
      </c>
    </row>
    <row r="53" spans="1:18" x14ac:dyDescent="0.25">
      <c r="A53" s="170">
        <v>43081</v>
      </c>
      <c r="B53" s="116">
        <v>681.75</v>
      </c>
      <c r="C53" s="116">
        <v>673.65</v>
      </c>
      <c r="D53" s="116">
        <v>670</v>
      </c>
      <c r="E53" s="116">
        <v>670.25</v>
      </c>
      <c r="F53" s="116">
        <v>673.65</v>
      </c>
      <c r="G53">
        <v>13587</v>
      </c>
      <c r="H53" s="116"/>
      <c r="I53" s="116"/>
      <c r="L53" s="170">
        <v>43081</v>
      </c>
      <c r="M53" s="116">
        <v>676.05</v>
      </c>
      <c r="N53" s="116">
        <v>682</v>
      </c>
      <c r="O53" s="116">
        <v>671</v>
      </c>
      <c r="P53" s="116">
        <v>671.05</v>
      </c>
      <c r="Q53" s="116">
        <v>676.05</v>
      </c>
      <c r="R53">
        <v>121938</v>
      </c>
    </row>
    <row r="54" spans="1:18" x14ac:dyDescent="0.25">
      <c r="A54" s="170">
        <v>43082</v>
      </c>
      <c r="B54" s="116">
        <v>679.85</v>
      </c>
      <c r="C54" s="116">
        <v>673.4</v>
      </c>
      <c r="D54" s="116">
        <v>656.95</v>
      </c>
      <c r="E54" s="116">
        <v>670</v>
      </c>
      <c r="F54" s="116">
        <v>673.4</v>
      </c>
      <c r="G54">
        <v>11651</v>
      </c>
      <c r="H54" s="116"/>
      <c r="I54" s="116"/>
      <c r="L54" s="170">
        <v>43082</v>
      </c>
      <c r="M54" s="116">
        <v>675.35</v>
      </c>
      <c r="N54" s="116">
        <v>682</v>
      </c>
      <c r="O54" s="116">
        <v>657</v>
      </c>
      <c r="P54" s="116">
        <v>671.05</v>
      </c>
      <c r="Q54" s="116">
        <v>675.35</v>
      </c>
      <c r="R54">
        <v>260250</v>
      </c>
    </row>
    <row r="55" spans="1:18" x14ac:dyDescent="0.25">
      <c r="A55" s="170">
        <v>43083</v>
      </c>
      <c r="B55" s="116">
        <v>681.5</v>
      </c>
      <c r="C55" s="116">
        <v>677.55</v>
      </c>
      <c r="D55" s="116">
        <v>667</v>
      </c>
      <c r="E55" s="116">
        <v>667</v>
      </c>
      <c r="F55" s="116">
        <v>677.55</v>
      </c>
      <c r="G55">
        <v>18365</v>
      </c>
      <c r="H55" s="116"/>
      <c r="I55" s="116"/>
      <c r="L55" s="170">
        <v>43083</v>
      </c>
      <c r="M55" s="116">
        <v>679.9</v>
      </c>
      <c r="N55" s="116">
        <v>683</v>
      </c>
      <c r="O55" s="116">
        <v>673.3</v>
      </c>
      <c r="P55" s="116">
        <v>675.1</v>
      </c>
      <c r="Q55" s="116">
        <v>679.9</v>
      </c>
      <c r="R55">
        <v>444539</v>
      </c>
    </row>
    <row r="56" spans="1:18" x14ac:dyDescent="0.25">
      <c r="A56" s="170">
        <v>43084</v>
      </c>
      <c r="B56" s="116">
        <v>690</v>
      </c>
      <c r="C56" s="116">
        <v>688.65</v>
      </c>
      <c r="D56" s="116">
        <v>647</v>
      </c>
      <c r="E56" s="116">
        <v>681</v>
      </c>
      <c r="F56" s="116">
        <v>688.65</v>
      </c>
      <c r="G56">
        <v>35212</v>
      </c>
      <c r="H56" s="116"/>
      <c r="I56" s="116"/>
      <c r="L56" s="170">
        <v>43084</v>
      </c>
      <c r="M56" s="116">
        <v>689</v>
      </c>
      <c r="N56" s="116">
        <v>691</v>
      </c>
      <c r="O56" s="116">
        <v>678</v>
      </c>
      <c r="P56" s="116">
        <v>680.5</v>
      </c>
      <c r="Q56" s="116">
        <v>689</v>
      </c>
      <c r="R56">
        <v>351667</v>
      </c>
    </row>
    <row r="57" spans="1:18" x14ac:dyDescent="0.25">
      <c r="A57" s="170">
        <v>43087</v>
      </c>
      <c r="B57" s="116">
        <v>693.5</v>
      </c>
      <c r="C57" s="116">
        <v>690</v>
      </c>
      <c r="D57" s="116">
        <v>665.3</v>
      </c>
      <c r="E57" s="116">
        <v>688.75</v>
      </c>
      <c r="F57" s="116">
        <v>690</v>
      </c>
      <c r="G57">
        <v>30442</v>
      </c>
      <c r="H57" s="116"/>
      <c r="I57" s="116"/>
      <c r="L57" s="170">
        <v>43087</v>
      </c>
      <c r="M57" s="116">
        <v>692.15</v>
      </c>
      <c r="N57" s="116">
        <v>694</v>
      </c>
      <c r="O57" s="116">
        <v>665</v>
      </c>
      <c r="P57" s="116">
        <v>681.45</v>
      </c>
      <c r="Q57" s="116">
        <v>692.15</v>
      </c>
      <c r="R57">
        <v>259324</v>
      </c>
    </row>
    <row r="58" spans="1:18" x14ac:dyDescent="0.25">
      <c r="A58" s="170">
        <v>43088</v>
      </c>
      <c r="B58" s="116">
        <v>698.5</v>
      </c>
      <c r="C58" s="116">
        <v>696.7</v>
      </c>
      <c r="D58" s="116">
        <v>687.75</v>
      </c>
      <c r="E58" s="116">
        <v>688.35</v>
      </c>
      <c r="F58" s="116">
        <v>696.7</v>
      </c>
      <c r="G58">
        <v>53855</v>
      </c>
      <c r="H58" s="116"/>
      <c r="I58" s="116"/>
      <c r="L58" s="170">
        <v>43088</v>
      </c>
      <c r="M58" s="116">
        <v>697.3</v>
      </c>
      <c r="N58" s="116">
        <v>699.9</v>
      </c>
      <c r="O58" s="116">
        <v>688.1</v>
      </c>
      <c r="P58" s="116">
        <v>688.1</v>
      </c>
      <c r="Q58" s="116">
        <v>697.3</v>
      </c>
      <c r="R58">
        <v>343970</v>
      </c>
    </row>
    <row r="59" spans="1:18" x14ac:dyDescent="0.25">
      <c r="A59" s="170">
        <v>43089</v>
      </c>
      <c r="B59" s="116">
        <v>702.85</v>
      </c>
      <c r="C59" s="116">
        <v>698</v>
      </c>
      <c r="D59" s="116">
        <v>691.4</v>
      </c>
      <c r="E59" s="116">
        <v>696.8</v>
      </c>
      <c r="F59" s="116">
        <v>698</v>
      </c>
      <c r="G59">
        <v>66957</v>
      </c>
      <c r="H59" s="116"/>
      <c r="I59" s="116"/>
      <c r="L59" s="170">
        <v>43089</v>
      </c>
      <c r="M59" s="116">
        <v>697.15</v>
      </c>
      <c r="N59" s="116">
        <v>703.75</v>
      </c>
      <c r="O59" s="116">
        <v>692.15</v>
      </c>
      <c r="P59" s="116">
        <v>692.15</v>
      </c>
      <c r="Q59" s="116">
        <v>697.15</v>
      </c>
      <c r="R59">
        <v>531872</v>
      </c>
    </row>
    <row r="60" spans="1:18" x14ac:dyDescent="0.25">
      <c r="A60" s="170">
        <v>43090</v>
      </c>
      <c r="B60" s="116">
        <v>703</v>
      </c>
      <c r="C60" s="116">
        <v>700.25</v>
      </c>
      <c r="D60" s="116">
        <v>696.7</v>
      </c>
      <c r="E60" s="116">
        <v>699</v>
      </c>
      <c r="F60" s="116">
        <v>700.25</v>
      </c>
      <c r="G60">
        <v>28239</v>
      </c>
      <c r="H60" s="116"/>
      <c r="I60" s="116"/>
      <c r="L60" s="170">
        <v>43090</v>
      </c>
      <c r="M60" s="116">
        <v>701.8</v>
      </c>
      <c r="N60" s="116">
        <v>704.4</v>
      </c>
      <c r="O60" s="116">
        <v>693.3</v>
      </c>
      <c r="P60" s="116">
        <v>693.3</v>
      </c>
      <c r="Q60" s="116">
        <v>701.8</v>
      </c>
      <c r="R60">
        <v>259491</v>
      </c>
    </row>
    <row r="61" spans="1:18" x14ac:dyDescent="0.25">
      <c r="A61" s="170">
        <v>43091</v>
      </c>
      <c r="B61" s="116">
        <v>703</v>
      </c>
      <c r="C61" s="116">
        <v>700.7</v>
      </c>
      <c r="D61" s="116">
        <v>694.7</v>
      </c>
      <c r="E61" s="116">
        <v>702.9</v>
      </c>
      <c r="F61" s="116">
        <v>700.7</v>
      </c>
      <c r="G61">
        <v>25718</v>
      </c>
      <c r="H61" s="116"/>
      <c r="I61" s="116"/>
      <c r="L61" s="170">
        <v>43091</v>
      </c>
      <c r="M61" s="116">
        <v>702.85</v>
      </c>
      <c r="N61" s="116">
        <v>703.9</v>
      </c>
      <c r="O61" s="116">
        <v>694</v>
      </c>
      <c r="P61" s="116">
        <v>694</v>
      </c>
      <c r="Q61" s="116">
        <v>702.85</v>
      </c>
      <c r="R61">
        <v>390144</v>
      </c>
    </row>
    <row r="62" spans="1:18" x14ac:dyDescent="0.25">
      <c r="A62" s="170">
        <v>43095</v>
      </c>
      <c r="B62" s="116">
        <v>705.75</v>
      </c>
      <c r="C62" s="116">
        <v>699.65</v>
      </c>
      <c r="D62" s="116">
        <v>695.1</v>
      </c>
      <c r="E62" s="116">
        <v>702.85</v>
      </c>
      <c r="F62" s="116">
        <v>699.65</v>
      </c>
      <c r="G62">
        <v>30197</v>
      </c>
      <c r="H62" s="116"/>
      <c r="I62" s="116"/>
      <c r="L62" s="170">
        <v>43095</v>
      </c>
      <c r="M62" s="116">
        <v>701.7</v>
      </c>
      <c r="N62" s="116">
        <v>707.8</v>
      </c>
      <c r="O62" s="116">
        <v>697.2</v>
      </c>
      <c r="P62" s="116">
        <v>702.75</v>
      </c>
      <c r="Q62" s="116">
        <v>701.7</v>
      </c>
      <c r="R62">
        <v>272983</v>
      </c>
    </row>
    <row r="63" spans="1:18" x14ac:dyDescent="0.25">
      <c r="A63" s="170">
        <v>43096</v>
      </c>
      <c r="B63" s="116">
        <v>701.55</v>
      </c>
      <c r="C63" s="116">
        <v>699.6</v>
      </c>
      <c r="D63" s="116">
        <v>693.4</v>
      </c>
      <c r="E63" s="116">
        <v>695.5</v>
      </c>
      <c r="F63" s="116">
        <v>699.6</v>
      </c>
      <c r="G63">
        <v>17371</v>
      </c>
      <c r="H63" s="116"/>
      <c r="I63" s="116"/>
      <c r="L63" s="170">
        <v>43096</v>
      </c>
      <c r="M63" s="116">
        <v>700.45</v>
      </c>
      <c r="N63" s="116">
        <v>702</v>
      </c>
      <c r="O63" s="116">
        <v>695.1</v>
      </c>
      <c r="P63" s="116">
        <v>700</v>
      </c>
      <c r="Q63" s="116">
        <v>700.45</v>
      </c>
      <c r="R63">
        <v>163978</v>
      </c>
    </row>
    <row r="64" spans="1:18" x14ac:dyDescent="0.25">
      <c r="A64" s="170">
        <v>43097</v>
      </c>
      <c r="B64" s="116">
        <v>701.95</v>
      </c>
      <c r="C64" s="116">
        <v>696.9</v>
      </c>
      <c r="D64" s="116">
        <v>691</v>
      </c>
      <c r="E64" s="116">
        <v>699.3</v>
      </c>
      <c r="F64" s="116">
        <v>696.9</v>
      </c>
      <c r="G64">
        <v>16034</v>
      </c>
      <c r="H64" s="116"/>
      <c r="I64" s="116"/>
      <c r="L64" s="170">
        <v>43097</v>
      </c>
      <c r="M64" s="116">
        <v>698.9</v>
      </c>
      <c r="N64" s="116">
        <v>703</v>
      </c>
      <c r="O64" s="116">
        <v>690.55</v>
      </c>
      <c r="P64" s="116">
        <v>697</v>
      </c>
      <c r="Q64" s="116">
        <v>698.9</v>
      </c>
      <c r="R64">
        <v>269410</v>
      </c>
    </row>
    <row r="65" spans="1:18" x14ac:dyDescent="0.25">
      <c r="A65" s="170">
        <v>43098</v>
      </c>
      <c r="B65" s="116">
        <v>703.4</v>
      </c>
      <c r="C65" s="116">
        <v>693.6</v>
      </c>
      <c r="D65" s="116">
        <v>692.05</v>
      </c>
      <c r="E65" s="116">
        <v>696.5</v>
      </c>
      <c r="F65" s="116">
        <v>693.6</v>
      </c>
      <c r="G65">
        <v>17363</v>
      </c>
      <c r="H65" s="116"/>
      <c r="I65" s="116"/>
      <c r="L65" s="170">
        <v>43098</v>
      </c>
      <c r="M65" s="116">
        <v>695.35</v>
      </c>
      <c r="N65" s="116">
        <v>705.4</v>
      </c>
      <c r="O65" s="116">
        <v>693</v>
      </c>
      <c r="P65" s="116">
        <v>695.45</v>
      </c>
      <c r="Q65" s="116">
        <v>695.35</v>
      </c>
      <c r="R65">
        <v>667407</v>
      </c>
    </row>
    <row r="66" spans="1:18" x14ac:dyDescent="0.25">
      <c r="A66" s="170">
        <v>43101</v>
      </c>
      <c r="B66" s="116">
        <v>701.95</v>
      </c>
      <c r="C66" s="116">
        <v>696.9</v>
      </c>
      <c r="D66" s="116">
        <v>694</v>
      </c>
      <c r="E66" s="116">
        <v>698</v>
      </c>
      <c r="F66" s="116">
        <v>696.9</v>
      </c>
      <c r="G66">
        <v>13079</v>
      </c>
      <c r="H66" s="116"/>
      <c r="I66" s="116"/>
      <c r="L66" s="170">
        <v>43101</v>
      </c>
      <c r="M66" s="116">
        <v>699.5</v>
      </c>
      <c r="N66" s="116">
        <v>703</v>
      </c>
      <c r="O66" s="116">
        <v>694</v>
      </c>
      <c r="P66" s="116">
        <v>694</v>
      </c>
      <c r="Q66" s="116">
        <v>699.5</v>
      </c>
      <c r="R66">
        <v>174646</v>
      </c>
    </row>
    <row r="67" spans="1:18" x14ac:dyDescent="0.25">
      <c r="A67" s="170">
        <v>43102</v>
      </c>
      <c r="B67" s="116">
        <v>699.95</v>
      </c>
      <c r="C67" s="116">
        <v>685.3</v>
      </c>
      <c r="D67" s="116">
        <v>682</v>
      </c>
      <c r="E67" s="116">
        <v>699.95</v>
      </c>
      <c r="F67" s="116">
        <v>685.3</v>
      </c>
      <c r="G67">
        <v>430808</v>
      </c>
      <c r="H67" s="116"/>
      <c r="I67" s="116"/>
      <c r="L67" s="170">
        <v>43102</v>
      </c>
      <c r="M67" s="116">
        <v>685.1</v>
      </c>
      <c r="N67" s="116">
        <v>700.15</v>
      </c>
      <c r="O67" s="116">
        <v>680.1</v>
      </c>
      <c r="P67" s="116">
        <v>699.5</v>
      </c>
      <c r="Q67" s="116">
        <v>685.1</v>
      </c>
      <c r="R67">
        <v>342012</v>
      </c>
    </row>
    <row r="68" spans="1:18" x14ac:dyDescent="0.25">
      <c r="A68" s="170">
        <v>43103</v>
      </c>
      <c r="B68" s="116">
        <v>693.9</v>
      </c>
      <c r="C68" s="116">
        <v>690.05</v>
      </c>
      <c r="D68" s="116">
        <v>682.2</v>
      </c>
      <c r="E68" s="116">
        <v>686.9</v>
      </c>
      <c r="F68" s="116">
        <v>690.05</v>
      </c>
      <c r="G68">
        <v>14929</v>
      </c>
      <c r="H68" s="116"/>
      <c r="I68" s="116"/>
      <c r="L68" s="170">
        <v>43103</v>
      </c>
      <c r="M68" s="116">
        <v>690.5</v>
      </c>
      <c r="N68" s="116">
        <v>695</v>
      </c>
      <c r="O68" s="116">
        <v>680.25</v>
      </c>
      <c r="P68" s="116">
        <v>685.05</v>
      </c>
      <c r="Q68" s="116">
        <v>690.5</v>
      </c>
      <c r="R68">
        <v>125483</v>
      </c>
    </row>
    <row r="69" spans="1:18" x14ac:dyDescent="0.25">
      <c r="A69" s="170">
        <v>43104</v>
      </c>
      <c r="B69" s="116">
        <v>702.1</v>
      </c>
      <c r="C69" s="116">
        <v>700.95</v>
      </c>
      <c r="D69" s="116">
        <v>690</v>
      </c>
      <c r="E69" s="116">
        <v>692</v>
      </c>
      <c r="F69" s="116">
        <v>700.95</v>
      </c>
      <c r="G69">
        <v>35598</v>
      </c>
      <c r="H69" s="116"/>
      <c r="I69" s="116"/>
      <c r="L69" s="170">
        <v>43104</v>
      </c>
      <c r="M69" s="116">
        <v>701.6</v>
      </c>
      <c r="N69" s="116">
        <v>702.2</v>
      </c>
      <c r="O69" s="116">
        <v>690</v>
      </c>
      <c r="P69" s="116">
        <v>694.6</v>
      </c>
      <c r="Q69" s="116">
        <v>701.6</v>
      </c>
      <c r="R69">
        <v>411800</v>
      </c>
    </row>
    <row r="70" spans="1:18" x14ac:dyDescent="0.25">
      <c r="A70" s="170">
        <v>43105</v>
      </c>
      <c r="B70" s="116">
        <v>703</v>
      </c>
      <c r="C70" s="116">
        <v>699.6</v>
      </c>
      <c r="D70" s="116">
        <v>697</v>
      </c>
      <c r="E70" s="116">
        <v>700.95</v>
      </c>
      <c r="F70" s="116">
        <v>699.6</v>
      </c>
      <c r="G70">
        <v>26028</v>
      </c>
      <c r="H70" s="116"/>
      <c r="I70" s="116"/>
      <c r="L70" s="170">
        <v>43105</v>
      </c>
      <c r="M70" s="116">
        <v>701.95</v>
      </c>
      <c r="N70" s="116">
        <v>704.9</v>
      </c>
      <c r="O70" s="116">
        <v>699</v>
      </c>
      <c r="P70" s="116">
        <v>700</v>
      </c>
      <c r="Q70" s="116">
        <v>701.95</v>
      </c>
      <c r="R70">
        <v>195946</v>
      </c>
    </row>
    <row r="71" spans="1:18" x14ac:dyDescent="0.25">
      <c r="A71" s="170">
        <v>43108</v>
      </c>
      <c r="B71" s="116">
        <v>706</v>
      </c>
      <c r="C71" s="116">
        <v>703.65</v>
      </c>
      <c r="D71" s="116">
        <v>697.2</v>
      </c>
      <c r="E71" s="116">
        <v>701.9</v>
      </c>
      <c r="F71" s="116">
        <v>703.65</v>
      </c>
      <c r="G71">
        <v>49596</v>
      </c>
      <c r="H71" s="116"/>
      <c r="I71" s="116"/>
      <c r="L71" s="170">
        <v>43108</v>
      </c>
      <c r="M71" s="116">
        <v>704.15</v>
      </c>
      <c r="N71" s="116">
        <v>706.9</v>
      </c>
      <c r="O71" s="116">
        <v>692</v>
      </c>
      <c r="P71" s="116">
        <v>692</v>
      </c>
      <c r="Q71" s="116">
        <v>704.15</v>
      </c>
      <c r="R71">
        <v>310252</v>
      </c>
    </row>
    <row r="72" spans="1:18" x14ac:dyDescent="0.25">
      <c r="A72" s="170">
        <v>43109</v>
      </c>
      <c r="B72" s="116">
        <v>719.75</v>
      </c>
      <c r="C72" s="116">
        <v>718.2</v>
      </c>
      <c r="D72" s="116">
        <v>700</v>
      </c>
      <c r="E72" s="116">
        <v>700.05</v>
      </c>
      <c r="F72" s="116">
        <v>718.2</v>
      </c>
      <c r="G72">
        <v>115222</v>
      </c>
      <c r="H72" s="116"/>
      <c r="I72" s="116"/>
      <c r="L72" s="170">
        <v>43109</v>
      </c>
      <c r="M72" s="116">
        <v>717.25</v>
      </c>
      <c r="N72" s="116">
        <v>719.95</v>
      </c>
      <c r="O72" s="116">
        <v>700.15</v>
      </c>
      <c r="P72" s="116">
        <v>700.15</v>
      </c>
      <c r="Q72" s="116">
        <v>717.25</v>
      </c>
      <c r="R72">
        <v>605429</v>
      </c>
    </row>
    <row r="73" spans="1:18" x14ac:dyDescent="0.25">
      <c r="A73" s="170">
        <v>43110</v>
      </c>
      <c r="B73" s="116">
        <v>717</v>
      </c>
      <c r="C73" s="116">
        <v>710</v>
      </c>
      <c r="D73" s="116">
        <v>705.25</v>
      </c>
      <c r="E73" s="116">
        <v>716.7</v>
      </c>
      <c r="F73" s="116">
        <v>710</v>
      </c>
      <c r="G73">
        <v>130556</v>
      </c>
      <c r="H73" s="116"/>
      <c r="I73" s="116"/>
      <c r="L73" s="170">
        <v>43110</v>
      </c>
      <c r="M73" s="116">
        <v>711.6</v>
      </c>
      <c r="N73" s="116">
        <v>715</v>
      </c>
      <c r="O73" s="116">
        <v>706.1</v>
      </c>
      <c r="P73" s="116">
        <v>714.85</v>
      </c>
      <c r="Q73" s="116">
        <v>711.6</v>
      </c>
      <c r="R73">
        <v>297500</v>
      </c>
    </row>
    <row r="74" spans="1:18" x14ac:dyDescent="0.25">
      <c r="A74" s="170">
        <v>43111</v>
      </c>
      <c r="B74" s="116">
        <v>714.65</v>
      </c>
      <c r="C74" s="116">
        <v>702.15</v>
      </c>
      <c r="D74" s="116">
        <v>699</v>
      </c>
      <c r="E74" s="116">
        <v>710.5</v>
      </c>
      <c r="F74" s="116">
        <v>702.15</v>
      </c>
      <c r="G74">
        <v>17459</v>
      </c>
      <c r="H74" s="116"/>
      <c r="I74" s="116"/>
      <c r="L74" s="170">
        <v>43111</v>
      </c>
      <c r="M74" s="116">
        <v>703.8</v>
      </c>
      <c r="N74" s="116">
        <v>714.7</v>
      </c>
      <c r="O74" s="116">
        <v>699</v>
      </c>
      <c r="P74" s="116">
        <v>707</v>
      </c>
      <c r="Q74" s="116">
        <v>703.8</v>
      </c>
      <c r="R74">
        <v>113144</v>
      </c>
    </row>
    <row r="75" spans="1:18" x14ac:dyDescent="0.25">
      <c r="A75" s="170">
        <v>43112</v>
      </c>
      <c r="B75" s="116">
        <v>709</v>
      </c>
      <c r="C75" s="116">
        <v>699.45</v>
      </c>
      <c r="D75" s="116">
        <v>697.2</v>
      </c>
      <c r="E75" s="116">
        <v>704</v>
      </c>
      <c r="F75" s="116">
        <v>699.45</v>
      </c>
      <c r="G75">
        <v>15230</v>
      </c>
      <c r="H75" s="116"/>
      <c r="I75" s="116"/>
      <c r="L75" s="170">
        <v>43112</v>
      </c>
      <c r="M75" s="116">
        <v>701.75</v>
      </c>
      <c r="N75" s="116">
        <v>709</v>
      </c>
      <c r="O75" s="116">
        <v>700</v>
      </c>
      <c r="P75" s="116">
        <v>703.8</v>
      </c>
      <c r="Q75" s="116">
        <v>701.75</v>
      </c>
      <c r="R75">
        <v>93456</v>
      </c>
    </row>
    <row r="76" spans="1:18" x14ac:dyDescent="0.25">
      <c r="A76" s="170">
        <v>43115</v>
      </c>
      <c r="B76" s="116">
        <v>722.05</v>
      </c>
      <c r="C76" s="116">
        <v>715.05</v>
      </c>
      <c r="D76" s="116">
        <v>700</v>
      </c>
      <c r="E76" s="116">
        <v>700</v>
      </c>
      <c r="F76" s="116">
        <v>715.05</v>
      </c>
      <c r="G76">
        <v>92597</v>
      </c>
      <c r="H76" s="116"/>
      <c r="I76" s="116"/>
      <c r="L76" s="170">
        <v>43115</v>
      </c>
      <c r="M76" s="116">
        <v>716.75</v>
      </c>
      <c r="N76" s="116">
        <v>724.6</v>
      </c>
      <c r="O76" s="116">
        <v>701.5</v>
      </c>
      <c r="P76" s="116">
        <v>701.5</v>
      </c>
      <c r="Q76" s="116">
        <v>716.75</v>
      </c>
      <c r="R76">
        <v>764541</v>
      </c>
    </row>
    <row r="77" spans="1:18" x14ac:dyDescent="0.25">
      <c r="A77" s="170">
        <v>43116</v>
      </c>
      <c r="B77" s="116">
        <v>718</v>
      </c>
      <c r="C77" s="116">
        <v>702.9</v>
      </c>
      <c r="D77" s="116">
        <v>698</v>
      </c>
      <c r="E77" s="116">
        <v>717</v>
      </c>
      <c r="F77" s="116">
        <v>702.9</v>
      </c>
      <c r="G77">
        <v>33428</v>
      </c>
      <c r="H77" s="116"/>
      <c r="I77" s="116"/>
      <c r="L77" s="170">
        <v>43116</v>
      </c>
      <c r="M77" s="116">
        <v>700.85</v>
      </c>
      <c r="N77" s="116">
        <v>716</v>
      </c>
      <c r="O77" s="116">
        <v>696</v>
      </c>
      <c r="P77" s="116">
        <v>716</v>
      </c>
      <c r="Q77" s="116">
        <v>700.85</v>
      </c>
      <c r="R77">
        <v>338329</v>
      </c>
    </row>
    <row r="78" spans="1:18" x14ac:dyDescent="0.25">
      <c r="A78" s="170">
        <v>43117</v>
      </c>
      <c r="B78" s="116">
        <v>713.3</v>
      </c>
      <c r="C78" s="116">
        <v>703.1</v>
      </c>
      <c r="D78" s="116">
        <v>692.95</v>
      </c>
      <c r="E78" s="116">
        <v>696.6</v>
      </c>
      <c r="F78" s="116">
        <v>703.1</v>
      </c>
      <c r="G78">
        <v>121091</v>
      </c>
      <c r="H78" s="116"/>
      <c r="I78" s="116"/>
      <c r="L78" s="170">
        <v>43117</v>
      </c>
      <c r="M78" s="116">
        <v>705.25</v>
      </c>
      <c r="N78" s="116">
        <v>714.8</v>
      </c>
      <c r="O78" s="116">
        <v>691.65</v>
      </c>
      <c r="P78" s="116">
        <v>696</v>
      </c>
      <c r="Q78" s="116">
        <v>705.25</v>
      </c>
      <c r="R78">
        <v>232397</v>
      </c>
    </row>
    <row r="79" spans="1:18" x14ac:dyDescent="0.25">
      <c r="A79" s="170">
        <v>43118</v>
      </c>
      <c r="B79" s="116">
        <v>712</v>
      </c>
      <c r="C79" s="116">
        <v>707.8</v>
      </c>
      <c r="D79" s="116">
        <v>701</v>
      </c>
      <c r="E79" s="116">
        <v>705</v>
      </c>
      <c r="F79" s="116">
        <v>707.8</v>
      </c>
      <c r="G79">
        <v>34064</v>
      </c>
      <c r="H79" s="116"/>
      <c r="I79" s="116"/>
      <c r="L79" s="170">
        <v>43118</v>
      </c>
      <c r="M79" s="116">
        <v>707.8</v>
      </c>
      <c r="N79" s="116">
        <v>712</v>
      </c>
      <c r="O79" s="116">
        <v>700.1</v>
      </c>
      <c r="P79" s="116">
        <v>706.6</v>
      </c>
      <c r="Q79" s="116">
        <v>707.8</v>
      </c>
      <c r="R79">
        <v>323715</v>
      </c>
    </row>
    <row r="80" spans="1:18" x14ac:dyDescent="0.25">
      <c r="A80" s="170">
        <v>43119</v>
      </c>
      <c r="B80" s="116">
        <v>714</v>
      </c>
      <c r="C80" s="116">
        <v>709.75</v>
      </c>
      <c r="D80" s="116">
        <v>700</v>
      </c>
      <c r="E80" s="116">
        <v>706</v>
      </c>
      <c r="F80" s="116">
        <v>709.75</v>
      </c>
      <c r="G80">
        <v>26107</v>
      </c>
      <c r="H80" s="116"/>
      <c r="I80" s="116"/>
      <c r="L80" s="170">
        <v>43119</v>
      </c>
      <c r="M80" s="116">
        <v>711.5</v>
      </c>
      <c r="N80" s="116">
        <v>713.95</v>
      </c>
      <c r="O80" s="116">
        <v>701.45</v>
      </c>
      <c r="P80" s="116">
        <v>705.05</v>
      </c>
      <c r="Q80" s="116">
        <v>711.5</v>
      </c>
      <c r="R80">
        <v>293534</v>
      </c>
    </row>
    <row r="81" spans="1:18" x14ac:dyDescent="0.25">
      <c r="A81" s="170">
        <v>43122</v>
      </c>
      <c r="B81" s="116">
        <v>715.05</v>
      </c>
      <c r="C81" s="116">
        <v>713.75</v>
      </c>
      <c r="D81" s="116">
        <v>702.3</v>
      </c>
      <c r="E81" s="116">
        <v>712</v>
      </c>
      <c r="F81" s="116">
        <v>713.75</v>
      </c>
      <c r="G81">
        <v>34535</v>
      </c>
      <c r="H81" s="116"/>
      <c r="I81" s="116"/>
      <c r="L81" s="170">
        <v>43122</v>
      </c>
      <c r="M81" s="116">
        <v>714.65</v>
      </c>
      <c r="N81" s="116">
        <v>717</v>
      </c>
      <c r="O81" s="116">
        <v>701.85</v>
      </c>
      <c r="P81" s="116">
        <v>704.1</v>
      </c>
      <c r="Q81" s="116">
        <v>714.65</v>
      </c>
      <c r="R81">
        <v>464739</v>
      </c>
    </row>
    <row r="82" spans="1:18" x14ac:dyDescent="0.25">
      <c r="A82" s="170">
        <v>43123</v>
      </c>
      <c r="B82" s="116">
        <v>721.8</v>
      </c>
      <c r="C82" s="116">
        <v>716.65</v>
      </c>
      <c r="D82" s="116">
        <v>711.85</v>
      </c>
      <c r="E82" s="116">
        <v>713.85</v>
      </c>
      <c r="F82" s="116">
        <v>716.65</v>
      </c>
      <c r="G82">
        <v>59957</v>
      </c>
      <c r="H82" s="116"/>
      <c r="I82" s="116"/>
      <c r="L82" s="170">
        <v>43123</v>
      </c>
      <c r="M82" s="116">
        <v>716.9</v>
      </c>
      <c r="N82" s="116">
        <v>722</v>
      </c>
      <c r="O82" s="116">
        <v>710</v>
      </c>
      <c r="P82" s="116">
        <v>710</v>
      </c>
      <c r="Q82" s="116">
        <v>716.9</v>
      </c>
      <c r="R82">
        <v>399677</v>
      </c>
    </row>
    <row r="83" spans="1:18" x14ac:dyDescent="0.25">
      <c r="A83" s="170">
        <v>43124</v>
      </c>
      <c r="B83" s="116">
        <v>713.2</v>
      </c>
      <c r="C83" s="116">
        <v>702.85</v>
      </c>
      <c r="D83" s="116">
        <v>700</v>
      </c>
      <c r="E83" s="116">
        <v>712</v>
      </c>
      <c r="F83" s="116">
        <v>702.85</v>
      </c>
      <c r="G83">
        <v>21280</v>
      </c>
      <c r="H83" s="116"/>
      <c r="I83" s="116"/>
      <c r="L83" s="170">
        <v>43124</v>
      </c>
      <c r="M83" s="116">
        <v>702.6</v>
      </c>
      <c r="N83" s="116">
        <v>714.3</v>
      </c>
      <c r="O83" s="116">
        <v>698</v>
      </c>
      <c r="P83" s="116">
        <v>711.2</v>
      </c>
      <c r="Q83" s="116">
        <v>702.6</v>
      </c>
      <c r="R83">
        <v>200051</v>
      </c>
    </row>
    <row r="84" spans="1:18" x14ac:dyDescent="0.25">
      <c r="A84" s="170">
        <v>43125</v>
      </c>
      <c r="B84" s="116">
        <v>705</v>
      </c>
      <c r="C84" s="116">
        <v>683.8</v>
      </c>
      <c r="D84" s="116">
        <v>663.1</v>
      </c>
      <c r="E84" s="116">
        <v>700</v>
      </c>
      <c r="F84" s="116">
        <v>683.8</v>
      </c>
      <c r="G84">
        <v>250261</v>
      </c>
      <c r="H84" s="116"/>
      <c r="I84" s="116"/>
      <c r="L84" s="170">
        <v>43125</v>
      </c>
      <c r="M84" s="116">
        <v>682.05</v>
      </c>
      <c r="N84" s="116">
        <v>707</v>
      </c>
      <c r="O84" s="116">
        <v>661.15</v>
      </c>
      <c r="P84" s="116">
        <v>702.5</v>
      </c>
      <c r="Q84" s="116">
        <v>682.05</v>
      </c>
      <c r="R84">
        <v>424803</v>
      </c>
    </row>
    <row r="85" spans="1:18" x14ac:dyDescent="0.25">
      <c r="A85" s="170">
        <v>43129</v>
      </c>
      <c r="B85" s="116">
        <v>689</v>
      </c>
      <c r="C85" s="116">
        <v>682.35</v>
      </c>
      <c r="D85" s="116">
        <v>680</v>
      </c>
      <c r="E85" s="116">
        <v>682</v>
      </c>
      <c r="F85" s="116">
        <v>682.35</v>
      </c>
      <c r="G85">
        <v>14012</v>
      </c>
      <c r="H85" s="116"/>
      <c r="I85" s="116"/>
      <c r="L85" s="170">
        <v>43129</v>
      </c>
      <c r="M85" s="116">
        <v>681.85</v>
      </c>
      <c r="N85" s="116">
        <v>689.45</v>
      </c>
      <c r="O85" s="116">
        <v>680</v>
      </c>
      <c r="P85" s="116">
        <v>682</v>
      </c>
      <c r="Q85" s="116">
        <v>681.85</v>
      </c>
      <c r="R85">
        <v>143914</v>
      </c>
    </row>
    <row r="86" spans="1:18" x14ac:dyDescent="0.25">
      <c r="A86" s="170">
        <v>43130</v>
      </c>
      <c r="B86" s="116">
        <v>681</v>
      </c>
      <c r="C86" s="116">
        <v>669</v>
      </c>
      <c r="D86" s="116">
        <v>665</v>
      </c>
      <c r="E86" s="116">
        <v>680</v>
      </c>
      <c r="F86" s="116">
        <v>669</v>
      </c>
      <c r="G86">
        <v>47679</v>
      </c>
      <c r="H86" s="116"/>
      <c r="I86" s="116"/>
      <c r="L86" s="170">
        <v>43130</v>
      </c>
      <c r="M86" s="116">
        <v>667.9</v>
      </c>
      <c r="N86" s="116">
        <v>681.7</v>
      </c>
      <c r="O86" s="116">
        <v>663.3</v>
      </c>
      <c r="P86" s="116">
        <v>681.7</v>
      </c>
      <c r="Q86" s="116">
        <v>667.9</v>
      </c>
      <c r="R86">
        <v>339031</v>
      </c>
    </row>
    <row r="87" spans="1:18" x14ac:dyDescent="0.25">
      <c r="A87" s="170">
        <v>43131</v>
      </c>
      <c r="B87" s="116">
        <v>679</v>
      </c>
      <c r="C87" s="116">
        <v>659.55</v>
      </c>
      <c r="D87" s="116">
        <v>655.55</v>
      </c>
      <c r="E87" s="116">
        <v>669</v>
      </c>
      <c r="F87" s="116">
        <v>659.55</v>
      </c>
      <c r="G87">
        <v>23243</v>
      </c>
      <c r="H87" s="116"/>
      <c r="I87" s="116"/>
      <c r="L87" s="170">
        <v>43131</v>
      </c>
      <c r="M87" s="116">
        <v>660.65</v>
      </c>
      <c r="N87" s="116">
        <v>681.5</v>
      </c>
      <c r="O87" s="116">
        <v>653.75</v>
      </c>
      <c r="P87" s="116">
        <v>670</v>
      </c>
      <c r="Q87" s="116">
        <v>660.65</v>
      </c>
      <c r="R87">
        <v>324432</v>
      </c>
    </row>
    <row r="88" spans="1:18" x14ac:dyDescent="0.25">
      <c r="A88" s="170">
        <v>43132</v>
      </c>
      <c r="B88" s="116">
        <v>721</v>
      </c>
      <c r="C88" s="116">
        <v>708.25</v>
      </c>
      <c r="D88" s="116">
        <v>661.7</v>
      </c>
      <c r="E88" s="116">
        <v>665</v>
      </c>
      <c r="F88" s="116">
        <v>708.25</v>
      </c>
      <c r="G88">
        <v>192759</v>
      </c>
      <c r="H88" s="116"/>
      <c r="I88" s="116"/>
      <c r="L88" s="170">
        <v>43132</v>
      </c>
      <c r="M88" s="116">
        <v>708.7</v>
      </c>
      <c r="N88" s="116">
        <v>722</v>
      </c>
      <c r="O88" s="116">
        <v>660.5</v>
      </c>
      <c r="P88" s="116">
        <v>665</v>
      </c>
      <c r="Q88" s="116">
        <v>708.7</v>
      </c>
      <c r="R88">
        <v>1539000</v>
      </c>
    </row>
    <row r="89" spans="1:18" x14ac:dyDescent="0.25">
      <c r="A89" s="170">
        <v>43133</v>
      </c>
      <c r="B89" s="116">
        <v>732</v>
      </c>
      <c r="C89" s="116">
        <v>718.55</v>
      </c>
      <c r="D89" s="116">
        <v>692</v>
      </c>
      <c r="E89" s="116">
        <v>705</v>
      </c>
      <c r="F89" s="116">
        <v>718.55</v>
      </c>
      <c r="G89">
        <v>211502</v>
      </c>
      <c r="H89" s="116"/>
      <c r="I89" s="116"/>
      <c r="L89" s="170">
        <v>43133</v>
      </c>
      <c r="M89" s="116">
        <v>718.3</v>
      </c>
      <c r="N89" s="116">
        <v>733.25</v>
      </c>
      <c r="O89" s="116">
        <v>691.1</v>
      </c>
      <c r="P89" s="116">
        <v>708.4</v>
      </c>
      <c r="Q89" s="116">
        <v>718.3</v>
      </c>
      <c r="R89">
        <v>1772440</v>
      </c>
    </row>
    <row r="90" spans="1:18" x14ac:dyDescent="0.25">
      <c r="A90" s="170">
        <v>43136</v>
      </c>
      <c r="B90" s="116">
        <v>716.05</v>
      </c>
      <c r="C90" s="116">
        <v>695</v>
      </c>
      <c r="D90" s="116">
        <v>690</v>
      </c>
      <c r="E90" s="116">
        <v>714.95</v>
      </c>
      <c r="F90" s="116">
        <v>695</v>
      </c>
      <c r="G90">
        <v>28572</v>
      </c>
      <c r="H90" s="116"/>
      <c r="I90" s="116"/>
      <c r="L90" s="170">
        <v>43136</v>
      </c>
      <c r="M90" s="116">
        <v>695.05</v>
      </c>
      <c r="N90" s="116">
        <v>716.45</v>
      </c>
      <c r="O90" s="116">
        <v>690</v>
      </c>
      <c r="P90" s="116">
        <v>716.45</v>
      </c>
      <c r="Q90" s="116">
        <v>695.05</v>
      </c>
      <c r="R90">
        <v>352909</v>
      </c>
    </row>
    <row r="91" spans="1:18" x14ac:dyDescent="0.25">
      <c r="A91" s="170">
        <v>43137</v>
      </c>
      <c r="B91" s="116">
        <v>704.05</v>
      </c>
      <c r="C91" s="116">
        <v>695.45</v>
      </c>
      <c r="D91" s="116">
        <v>666</v>
      </c>
      <c r="E91" s="116">
        <v>679.9</v>
      </c>
      <c r="F91" s="116">
        <v>695.45</v>
      </c>
      <c r="G91">
        <v>34614</v>
      </c>
      <c r="H91" s="116"/>
      <c r="I91" s="116"/>
      <c r="L91" s="170">
        <v>43137</v>
      </c>
      <c r="M91" s="116">
        <v>695.25</v>
      </c>
      <c r="N91" s="116">
        <v>705</v>
      </c>
      <c r="O91" s="116">
        <v>665</v>
      </c>
      <c r="P91" s="116">
        <v>670</v>
      </c>
      <c r="Q91" s="116">
        <v>695.25</v>
      </c>
      <c r="R91">
        <v>399206</v>
      </c>
    </row>
    <row r="92" spans="1:18" x14ac:dyDescent="0.25">
      <c r="A92" s="170">
        <v>43138</v>
      </c>
      <c r="B92" s="116">
        <v>714.6</v>
      </c>
      <c r="C92" s="116">
        <v>711.5</v>
      </c>
      <c r="D92" s="116">
        <v>700</v>
      </c>
      <c r="E92" s="116">
        <v>700</v>
      </c>
      <c r="F92" s="116">
        <v>711.5</v>
      </c>
      <c r="G92">
        <v>31957</v>
      </c>
      <c r="H92" s="116"/>
      <c r="I92" s="116"/>
      <c r="L92" s="170">
        <v>43138</v>
      </c>
      <c r="M92" s="116">
        <v>713.7</v>
      </c>
      <c r="N92" s="116">
        <v>715</v>
      </c>
      <c r="O92" s="116">
        <v>700.05</v>
      </c>
      <c r="P92" s="116">
        <v>700.05</v>
      </c>
      <c r="Q92" s="116">
        <v>713.7</v>
      </c>
      <c r="R92">
        <v>315230</v>
      </c>
    </row>
    <row r="93" spans="1:18" x14ac:dyDescent="0.25">
      <c r="A93" s="170">
        <v>43139</v>
      </c>
      <c r="B93" s="116">
        <v>719.55</v>
      </c>
      <c r="C93" s="116">
        <v>710.75</v>
      </c>
      <c r="D93" s="116">
        <v>708</v>
      </c>
      <c r="E93" s="116">
        <v>715</v>
      </c>
      <c r="F93" s="116">
        <v>710.75</v>
      </c>
      <c r="G93">
        <v>23656</v>
      </c>
      <c r="H93" s="116"/>
      <c r="I93" s="116"/>
      <c r="L93" s="170">
        <v>43139</v>
      </c>
      <c r="M93" s="116">
        <v>715</v>
      </c>
      <c r="N93" s="116">
        <v>720</v>
      </c>
      <c r="O93" s="116">
        <v>711.05</v>
      </c>
      <c r="P93" s="116">
        <v>717.1</v>
      </c>
      <c r="Q93" s="116">
        <v>715</v>
      </c>
      <c r="R93">
        <v>159852</v>
      </c>
    </row>
    <row r="94" spans="1:18" x14ac:dyDescent="0.25">
      <c r="A94" s="170">
        <v>43140</v>
      </c>
      <c r="B94" s="116">
        <v>715.2</v>
      </c>
      <c r="C94" s="116">
        <v>708.35</v>
      </c>
      <c r="D94" s="116">
        <v>698.5</v>
      </c>
      <c r="E94" s="116">
        <v>704.9</v>
      </c>
      <c r="F94" s="116">
        <v>708.35</v>
      </c>
      <c r="G94">
        <v>17728</v>
      </c>
      <c r="H94" s="116"/>
      <c r="I94" s="116"/>
      <c r="L94" s="170">
        <v>43140</v>
      </c>
      <c r="M94" s="116">
        <v>709.9</v>
      </c>
      <c r="N94" s="116">
        <v>717.65</v>
      </c>
      <c r="O94" s="116">
        <v>699</v>
      </c>
      <c r="P94" s="116">
        <v>700</v>
      </c>
      <c r="Q94" s="116">
        <v>709.9</v>
      </c>
      <c r="R94">
        <v>159318</v>
      </c>
    </row>
    <row r="95" spans="1:18" x14ac:dyDescent="0.25">
      <c r="A95" s="170">
        <v>43143</v>
      </c>
      <c r="B95" s="116">
        <v>716.5</v>
      </c>
      <c r="C95" s="116">
        <v>689.25</v>
      </c>
      <c r="D95" s="116">
        <v>685</v>
      </c>
      <c r="E95" s="116">
        <v>710</v>
      </c>
      <c r="F95" s="116">
        <v>689.25</v>
      </c>
      <c r="G95">
        <v>43648</v>
      </c>
      <c r="H95" s="116"/>
      <c r="I95" s="116"/>
      <c r="L95" s="170">
        <v>43143</v>
      </c>
      <c r="M95" s="116">
        <v>685.8</v>
      </c>
      <c r="N95" s="116">
        <v>718</v>
      </c>
      <c r="O95" s="116">
        <v>681.5</v>
      </c>
      <c r="P95" s="116">
        <v>709</v>
      </c>
      <c r="Q95" s="116">
        <v>685.8</v>
      </c>
      <c r="R95">
        <v>689547</v>
      </c>
    </row>
    <row r="96" spans="1:18" x14ac:dyDescent="0.25">
      <c r="A96" s="170">
        <v>43145</v>
      </c>
      <c r="B96" s="116">
        <v>696.35</v>
      </c>
      <c r="C96" s="116">
        <v>685.1</v>
      </c>
      <c r="D96" s="116">
        <v>681.9</v>
      </c>
      <c r="E96" s="116">
        <v>690</v>
      </c>
      <c r="F96" s="116">
        <v>685.1</v>
      </c>
      <c r="G96">
        <v>15663</v>
      </c>
      <c r="H96" s="116"/>
      <c r="I96" s="116"/>
      <c r="L96" s="170">
        <v>43145</v>
      </c>
      <c r="M96" s="116">
        <v>682.25</v>
      </c>
      <c r="N96" s="116">
        <v>695</v>
      </c>
      <c r="O96" s="116">
        <v>679.5</v>
      </c>
      <c r="P96" s="116">
        <v>689</v>
      </c>
      <c r="Q96" s="116">
        <v>682.25</v>
      </c>
      <c r="R96">
        <v>312807</v>
      </c>
    </row>
    <row r="97" spans="1:18" x14ac:dyDescent="0.25">
      <c r="A97" s="170">
        <v>43146</v>
      </c>
      <c r="B97" s="116">
        <v>694.8</v>
      </c>
      <c r="C97" s="116">
        <v>683.2</v>
      </c>
      <c r="D97" s="116">
        <v>675</v>
      </c>
      <c r="E97" s="116">
        <v>685</v>
      </c>
      <c r="F97" s="116">
        <v>683.2</v>
      </c>
      <c r="G97">
        <v>20259</v>
      </c>
      <c r="H97" s="116"/>
      <c r="I97" s="116"/>
      <c r="L97" s="170">
        <v>43146</v>
      </c>
      <c r="M97" s="116">
        <v>682.4</v>
      </c>
      <c r="N97" s="116">
        <v>695</v>
      </c>
      <c r="O97" s="116">
        <v>673.2</v>
      </c>
      <c r="P97" s="116">
        <v>685</v>
      </c>
      <c r="Q97" s="116">
        <v>682.4</v>
      </c>
      <c r="R97">
        <v>282049</v>
      </c>
    </row>
    <row r="98" spans="1:18" x14ac:dyDescent="0.25">
      <c r="A98" s="170">
        <v>43147</v>
      </c>
      <c r="B98" s="116">
        <v>693.75</v>
      </c>
      <c r="C98" s="116">
        <v>689.75</v>
      </c>
      <c r="D98" s="116">
        <v>683.2</v>
      </c>
      <c r="E98" s="116">
        <v>683.2</v>
      </c>
      <c r="F98" s="116">
        <v>689.75</v>
      </c>
      <c r="G98">
        <v>18381</v>
      </c>
      <c r="H98" s="116"/>
      <c r="I98" s="116"/>
      <c r="L98" s="170">
        <v>43147</v>
      </c>
      <c r="M98" s="116">
        <v>689.25</v>
      </c>
      <c r="N98" s="116">
        <v>694.55</v>
      </c>
      <c r="O98" s="116">
        <v>685.65</v>
      </c>
      <c r="P98" s="116">
        <v>688</v>
      </c>
      <c r="Q98" s="116">
        <v>689.25</v>
      </c>
      <c r="R98">
        <v>226925</v>
      </c>
    </row>
    <row r="99" spans="1:18" x14ac:dyDescent="0.25">
      <c r="A99" s="170">
        <v>43150</v>
      </c>
      <c r="B99" s="116">
        <v>704.95</v>
      </c>
      <c r="C99" s="116">
        <v>685.15</v>
      </c>
      <c r="D99" s="116">
        <v>675</v>
      </c>
      <c r="E99" s="116">
        <v>690</v>
      </c>
      <c r="F99" s="116">
        <v>685.15</v>
      </c>
      <c r="G99">
        <v>26493</v>
      </c>
      <c r="H99" s="116"/>
      <c r="I99" s="116"/>
      <c r="L99" s="170">
        <v>43150</v>
      </c>
      <c r="M99" s="116">
        <v>685.25</v>
      </c>
      <c r="N99" s="116">
        <v>705</v>
      </c>
      <c r="O99" s="116">
        <v>678.6</v>
      </c>
      <c r="P99" s="116">
        <v>700</v>
      </c>
      <c r="Q99" s="116">
        <v>685.25</v>
      </c>
      <c r="R99">
        <v>423633</v>
      </c>
    </row>
    <row r="100" spans="1:18" x14ac:dyDescent="0.25">
      <c r="A100" s="170">
        <v>43151</v>
      </c>
      <c r="B100" s="116">
        <v>689.05</v>
      </c>
      <c r="C100" s="116">
        <v>676.1</v>
      </c>
      <c r="D100" s="116">
        <v>670.05</v>
      </c>
      <c r="E100" s="116">
        <v>686.8</v>
      </c>
      <c r="F100" s="116">
        <v>676.1</v>
      </c>
      <c r="G100">
        <v>17921</v>
      </c>
      <c r="H100" s="116"/>
      <c r="I100" s="116"/>
      <c r="L100" s="170">
        <v>43151</v>
      </c>
      <c r="M100" s="116">
        <v>674.65</v>
      </c>
      <c r="N100" s="116">
        <v>690</v>
      </c>
      <c r="O100" s="116">
        <v>670</v>
      </c>
      <c r="P100" s="116">
        <v>687</v>
      </c>
      <c r="Q100" s="116">
        <v>674.65</v>
      </c>
      <c r="R100">
        <v>172882</v>
      </c>
    </row>
    <row r="101" spans="1:18" x14ac:dyDescent="0.25">
      <c r="A101" s="170">
        <v>43152</v>
      </c>
      <c r="B101" s="116">
        <v>683.4</v>
      </c>
      <c r="C101" s="116">
        <v>672.05</v>
      </c>
      <c r="D101" s="116">
        <v>663</v>
      </c>
      <c r="E101" s="116">
        <v>671.1</v>
      </c>
      <c r="F101" s="116">
        <v>672.05</v>
      </c>
      <c r="G101">
        <v>26636</v>
      </c>
      <c r="H101" s="116"/>
      <c r="I101" s="116"/>
      <c r="L101" s="170">
        <v>43152</v>
      </c>
      <c r="M101" s="116">
        <v>675.5</v>
      </c>
      <c r="N101" s="116">
        <v>682.95</v>
      </c>
      <c r="O101" s="116">
        <v>662.45</v>
      </c>
      <c r="P101" s="116">
        <v>680</v>
      </c>
      <c r="Q101" s="116">
        <v>675.5</v>
      </c>
      <c r="R101">
        <v>428939</v>
      </c>
    </row>
    <row r="102" spans="1:18" x14ac:dyDescent="0.25">
      <c r="A102" s="170">
        <v>43153</v>
      </c>
      <c r="B102" s="116">
        <v>676.45</v>
      </c>
      <c r="C102" s="116">
        <v>665.8</v>
      </c>
      <c r="D102" s="116">
        <v>665</v>
      </c>
      <c r="E102" s="116">
        <v>674.7</v>
      </c>
      <c r="F102" s="116">
        <v>665.8</v>
      </c>
      <c r="G102">
        <v>14088</v>
      </c>
      <c r="H102" s="116"/>
      <c r="I102" s="116"/>
      <c r="L102" s="170">
        <v>43153</v>
      </c>
      <c r="M102" s="116">
        <v>666.2</v>
      </c>
      <c r="N102" s="116">
        <v>675.4</v>
      </c>
      <c r="O102" s="116">
        <v>664</v>
      </c>
      <c r="P102" s="116">
        <v>675</v>
      </c>
      <c r="Q102" s="116">
        <v>666.2</v>
      </c>
      <c r="R102">
        <v>235890</v>
      </c>
    </row>
    <row r="103" spans="1:18" x14ac:dyDescent="0.25">
      <c r="A103" s="170">
        <v>43154</v>
      </c>
      <c r="B103" s="116">
        <v>678</v>
      </c>
      <c r="C103" s="116">
        <v>675.05</v>
      </c>
      <c r="D103" s="116">
        <v>664</v>
      </c>
      <c r="E103" s="116">
        <v>664</v>
      </c>
      <c r="F103" s="116">
        <v>675.05</v>
      </c>
      <c r="G103">
        <v>11208</v>
      </c>
      <c r="H103" s="116"/>
      <c r="I103" s="116"/>
      <c r="L103" s="170">
        <v>43154</v>
      </c>
      <c r="M103" s="116">
        <v>675.7</v>
      </c>
      <c r="N103" s="116">
        <v>679.75</v>
      </c>
      <c r="O103" s="116">
        <v>666.15</v>
      </c>
      <c r="P103" s="116">
        <v>670</v>
      </c>
      <c r="Q103" s="116">
        <v>675.7</v>
      </c>
      <c r="R103">
        <v>288608</v>
      </c>
    </row>
    <row r="104" spans="1:18" x14ac:dyDescent="0.25">
      <c r="A104" s="170">
        <v>43157</v>
      </c>
      <c r="B104" s="116">
        <v>688.5</v>
      </c>
      <c r="C104" s="116">
        <v>683.4</v>
      </c>
      <c r="D104" s="116">
        <v>675.2</v>
      </c>
      <c r="E104" s="116">
        <v>680</v>
      </c>
      <c r="F104" s="116">
        <v>683.4</v>
      </c>
      <c r="G104">
        <v>13331</v>
      </c>
      <c r="H104" s="116"/>
      <c r="I104" s="116"/>
      <c r="L104" s="170">
        <v>43157</v>
      </c>
      <c r="M104" s="116">
        <v>682.2</v>
      </c>
      <c r="N104" s="116">
        <v>689.75</v>
      </c>
      <c r="O104" s="116">
        <v>674.25</v>
      </c>
      <c r="P104" s="116">
        <v>680</v>
      </c>
      <c r="Q104" s="116">
        <v>682.2</v>
      </c>
      <c r="R104">
        <v>271771</v>
      </c>
    </row>
    <row r="105" spans="1:18" x14ac:dyDescent="0.25">
      <c r="A105" s="170">
        <v>43158</v>
      </c>
      <c r="B105" s="116">
        <v>687.75</v>
      </c>
      <c r="C105" s="116">
        <v>685.85</v>
      </c>
      <c r="D105" s="116">
        <v>675.6</v>
      </c>
      <c r="E105" s="116">
        <v>683</v>
      </c>
      <c r="F105" s="116">
        <v>685.85</v>
      </c>
      <c r="G105">
        <v>11978</v>
      </c>
      <c r="H105" s="116"/>
      <c r="I105" s="116"/>
      <c r="L105" s="170">
        <v>43158</v>
      </c>
      <c r="M105" s="116">
        <v>689.45</v>
      </c>
      <c r="N105" s="116">
        <v>690.8</v>
      </c>
      <c r="O105" s="116">
        <v>676</v>
      </c>
      <c r="P105" s="116">
        <v>681.5</v>
      </c>
      <c r="Q105" s="116">
        <v>689.45</v>
      </c>
      <c r="R105">
        <v>219932</v>
      </c>
    </row>
    <row r="106" spans="1:18" x14ac:dyDescent="0.25">
      <c r="A106" s="170">
        <v>43159</v>
      </c>
      <c r="B106" s="116">
        <v>696</v>
      </c>
      <c r="C106" s="116">
        <v>692.3</v>
      </c>
      <c r="D106" s="116">
        <v>680.95</v>
      </c>
      <c r="E106" s="116">
        <v>685</v>
      </c>
      <c r="F106" s="116">
        <v>692.3</v>
      </c>
      <c r="G106">
        <v>111223</v>
      </c>
      <c r="H106" s="116"/>
      <c r="I106" s="116"/>
      <c r="L106" s="170">
        <v>43159</v>
      </c>
      <c r="M106" s="116">
        <v>694.5</v>
      </c>
      <c r="N106" s="116">
        <v>698.7</v>
      </c>
      <c r="O106" s="116">
        <v>682.1</v>
      </c>
      <c r="P106" s="116">
        <v>689.4</v>
      </c>
      <c r="Q106" s="116">
        <v>694.5</v>
      </c>
      <c r="R106">
        <v>360647</v>
      </c>
    </row>
    <row r="107" spans="1:18" x14ac:dyDescent="0.25">
      <c r="A107" s="170">
        <v>43160</v>
      </c>
      <c r="B107" s="116">
        <v>695.8</v>
      </c>
      <c r="C107" s="116">
        <v>689.4</v>
      </c>
      <c r="D107" s="116">
        <v>687</v>
      </c>
      <c r="E107" s="116">
        <v>693.85</v>
      </c>
      <c r="F107" s="116">
        <v>689.4</v>
      </c>
      <c r="G107">
        <v>8017</v>
      </c>
      <c r="H107" s="116"/>
      <c r="I107" s="116"/>
      <c r="L107" s="170">
        <v>43160</v>
      </c>
      <c r="M107" s="116">
        <v>690</v>
      </c>
      <c r="N107" s="116">
        <v>696</v>
      </c>
      <c r="O107" s="116">
        <v>686</v>
      </c>
      <c r="P107" s="116">
        <v>695.9</v>
      </c>
      <c r="Q107" s="116">
        <v>690</v>
      </c>
      <c r="R107">
        <v>272512</v>
      </c>
    </row>
    <row r="108" spans="1:18" x14ac:dyDescent="0.25">
      <c r="A108" s="170">
        <v>43164</v>
      </c>
      <c r="B108" s="116">
        <v>688</v>
      </c>
      <c r="C108" s="116">
        <v>673</v>
      </c>
      <c r="D108" s="116">
        <v>670</v>
      </c>
      <c r="E108" s="116">
        <v>688</v>
      </c>
      <c r="F108" s="116">
        <v>673</v>
      </c>
      <c r="G108">
        <v>9011</v>
      </c>
      <c r="H108" s="116"/>
      <c r="I108" s="116"/>
      <c r="L108" s="170">
        <v>43164</v>
      </c>
      <c r="M108" s="116">
        <v>672.55</v>
      </c>
      <c r="N108" s="116">
        <v>689</v>
      </c>
      <c r="O108" s="116">
        <v>666</v>
      </c>
      <c r="P108" s="116">
        <v>689</v>
      </c>
      <c r="Q108" s="116">
        <v>672.55</v>
      </c>
      <c r="R108">
        <v>301455</v>
      </c>
    </row>
    <row r="109" spans="1:18" x14ac:dyDescent="0.25">
      <c r="A109" s="170">
        <v>43165</v>
      </c>
      <c r="B109" s="116">
        <v>686.8</v>
      </c>
      <c r="C109" s="116">
        <v>652.9</v>
      </c>
      <c r="D109" s="116">
        <v>646.1</v>
      </c>
      <c r="E109" s="116">
        <v>676</v>
      </c>
      <c r="F109" s="116">
        <v>652.9</v>
      </c>
      <c r="G109">
        <v>51595</v>
      </c>
      <c r="H109" s="116"/>
      <c r="I109" s="116"/>
      <c r="L109" s="170">
        <v>43165</v>
      </c>
      <c r="M109" s="116">
        <v>655.04999999999995</v>
      </c>
      <c r="N109" s="116">
        <v>682.1</v>
      </c>
      <c r="O109" s="116">
        <v>651</v>
      </c>
      <c r="P109" s="116">
        <v>678</v>
      </c>
      <c r="Q109" s="116">
        <v>655.04999999999995</v>
      </c>
      <c r="R109">
        <v>245988</v>
      </c>
    </row>
    <row r="110" spans="1:18" x14ac:dyDescent="0.25">
      <c r="A110" s="170">
        <v>43166</v>
      </c>
      <c r="B110" s="116">
        <v>664</v>
      </c>
      <c r="C110" s="116">
        <v>650.35</v>
      </c>
      <c r="D110" s="116">
        <v>648.9</v>
      </c>
      <c r="E110" s="116">
        <v>659</v>
      </c>
      <c r="F110" s="116">
        <v>650.35</v>
      </c>
      <c r="G110">
        <v>136746</v>
      </c>
      <c r="H110" s="116"/>
      <c r="I110" s="116"/>
      <c r="L110" s="170">
        <v>43166</v>
      </c>
      <c r="M110" s="116">
        <v>652.6</v>
      </c>
      <c r="N110" s="116">
        <v>659.95</v>
      </c>
      <c r="O110" s="116">
        <v>650.04999999999995</v>
      </c>
      <c r="P110" s="116">
        <v>657</v>
      </c>
      <c r="Q110" s="116">
        <v>652.6</v>
      </c>
      <c r="R110">
        <v>192215</v>
      </c>
    </row>
    <row r="111" spans="1:18" x14ac:dyDescent="0.25">
      <c r="A111" s="170">
        <v>43167</v>
      </c>
      <c r="B111" s="116">
        <v>659</v>
      </c>
      <c r="C111" s="116">
        <v>651.45000000000005</v>
      </c>
      <c r="D111" s="116">
        <v>647.15</v>
      </c>
      <c r="E111" s="116">
        <v>655</v>
      </c>
      <c r="F111" s="116">
        <v>651.45000000000005</v>
      </c>
      <c r="G111">
        <v>14670</v>
      </c>
      <c r="H111" s="116"/>
      <c r="I111" s="116"/>
      <c r="L111" s="170">
        <v>43167</v>
      </c>
      <c r="M111" s="116">
        <v>653.29999999999995</v>
      </c>
      <c r="N111" s="116">
        <v>659.45</v>
      </c>
      <c r="O111" s="116">
        <v>647</v>
      </c>
      <c r="P111" s="116">
        <v>653.6</v>
      </c>
      <c r="Q111" s="116">
        <v>653.29999999999995</v>
      </c>
      <c r="R111">
        <v>113706</v>
      </c>
    </row>
    <row r="112" spans="1:18" x14ac:dyDescent="0.25">
      <c r="A112" s="170">
        <v>43168</v>
      </c>
      <c r="B112" s="116">
        <v>674</v>
      </c>
      <c r="C112" s="116">
        <v>669.5</v>
      </c>
      <c r="D112" s="116">
        <v>651.54999999999995</v>
      </c>
      <c r="E112" s="116">
        <v>652.85</v>
      </c>
      <c r="F112" s="116">
        <v>669.5</v>
      </c>
      <c r="G112">
        <v>27292</v>
      </c>
      <c r="H112" s="116"/>
      <c r="I112" s="116"/>
      <c r="L112" s="170">
        <v>43168</v>
      </c>
      <c r="M112" s="116">
        <v>670.3</v>
      </c>
      <c r="N112" s="116">
        <v>674.4</v>
      </c>
      <c r="O112" s="116">
        <v>650.54999999999995</v>
      </c>
      <c r="P112" s="116">
        <v>657.5</v>
      </c>
      <c r="Q112" s="116">
        <v>670.3</v>
      </c>
      <c r="R112">
        <v>483527</v>
      </c>
    </row>
    <row r="113" spans="1:18" x14ac:dyDescent="0.25">
      <c r="A113" s="170">
        <v>43171</v>
      </c>
      <c r="B113" s="116">
        <v>688.4</v>
      </c>
      <c r="C113" s="116">
        <v>674.15</v>
      </c>
      <c r="D113" s="116">
        <v>668.5</v>
      </c>
      <c r="E113" s="116">
        <v>669</v>
      </c>
      <c r="F113" s="116">
        <v>674.15</v>
      </c>
      <c r="G113">
        <v>13518</v>
      </c>
      <c r="H113" s="116"/>
      <c r="I113" s="116"/>
      <c r="L113" s="170">
        <v>43171</v>
      </c>
      <c r="M113" s="116">
        <v>678.55</v>
      </c>
      <c r="N113" s="116">
        <v>689.9</v>
      </c>
      <c r="O113" s="116">
        <v>668.8</v>
      </c>
      <c r="P113" s="116">
        <v>670.2</v>
      </c>
      <c r="Q113" s="116">
        <v>678.55</v>
      </c>
      <c r="R113">
        <v>163349</v>
      </c>
    </row>
    <row r="114" spans="1:18" x14ac:dyDescent="0.25">
      <c r="A114" s="170">
        <v>43172</v>
      </c>
      <c r="B114" s="116">
        <v>684.9</v>
      </c>
      <c r="C114" s="116">
        <v>679.55</v>
      </c>
      <c r="D114" s="116">
        <v>672.25</v>
      </c>
      <c r="E114" s="116">
        <v>675</v>
      </c>
      <c r="F114" s="116">
        <v>679.55</v>
      </c>
      <c r="G114">
        <v>118838</v>
      </c>
      <c r="H114" s="116"/>
      <c r="I114" s="116"/>
      <c r="L114" s="170">
        <v>43172</v>
      </c>
      <c r="M114" s="116">
        <v>677.5</v>
      </c>
      <c r="N114" s="116">
        <v>685</v>
      </c>
      <c r="O114" s="116">
        <v>672</v>
      </c>
      <c r="P114" s="116">
        <v>677</v>
      </c>
      <c r="Q114" s="116">
        <v>677.5</v>
      </c>
      <c r="R114">
        <v>73256</v>
      </c>
    </row>
    <row r="115" spans="1:18" x14ac:dyDescent="0.25">
      <c r="A115" s="170">
        <v>43173</v>
      </c>
      <c r="B115" s="116">
        <v>682.45</v>
      </c>
      <c r="C115" s="116">
        <v>672.8</v>
      </c>
      <c r="D115" s="116">
        <v>668.5</v>
      </c>
      <c r="E115" s="116">
        <v>677</v>
      </c>
      <c r="F115" s="116">
        <v>672.8</v>
      </c>
      <c r="G115">
        <v>6133</v>
      </c>
      <c r="H115" s="116"/>
      <c r="I115" s="116"/>
      <c r="L115" s="170">
        <v>43173</v>
      </c>
      <c r="M115" s="116">
        <v>674.15</v>
      </c>
      <c r="N115" s="116">
        <v>683.5</v>
      </c>
      <c r="O115" s="116">
        <v>667.5</v>
      </c>
      <c r="P115" s="116">
        <v>673</v>
      </c>
      <c r="Q115" s="116">
        <v>674.15</v>
      </c>
      <c r="R115">
        <v>305570</v>
      </c>
    </row>
    <row r="116" spans="1:18" x14ac:dyDescent="0.25">
      <c r="A116" s="170">
        <v>43174</v>
      </c>
      <c r="B116" s="116">
        <v>675</v>
      </c>
      <c r="C116" s="116">
        <v>672.85</v>
      </c>
      <c r="D116" s="116">
        <v>671.5</v>
      </c>
      <c r="E116" s="116">
        <v>672.25</v>
      </c>
      <c r="F116" s="116">
        <v>672.85</v>
      </c>
      <c r="G116">
        <v>6491</v>
      </c>
      <c r="H116" s="116"/>
      <c r="I116" s="116"/>
      <c r="L116" s="170">
        <v>43174</v>
      </c>
      <c r="M116" s="116">
        <v>675</v>
      </c>
      <c r="N116" s="116">
        <v>676.75</v>
      </c>
      <c r="O116" s="116">
        <v>671.05</v>
      </c>
      <c r="P116" s="116">
        <v>672.5</v>
      </c>
      <c r="Q116" s="116">
        <v>675</v>
      </c>
      <c r="R116">
        <v>140732</v>
      </c>
    </row>
    <row r="117" spans="1:18" x14ac:dyDescent="0.25">
      <c r="A117" s="170">
        <v>43175</v>
      </c>
      <c r="B117" s="116">
        <v>677.35</v>
      </c>
      <c r="C117" s="116">
        <v>666.35</v>
      </c>
      <c r="D117" s="116">
        <v>664.5</v>
      </c>
      <c r="E117" s="116">
        <v>674.55</v>
      </c>
      <c r="F117" s="116">
        <v>666.35</v>
      </c>
      <c r="G117">
        <v>10523</v>
      </c>
      <c r="H117" s="116"/>
      <c r="I117" s="116"/>
      <c r="L117" s="170">
        <v>43175</v>
      </c>
      <c r="M117" s="116">
        <v>668.45</v>
      </c>
      <c r="N117" s="116">
        <v>677.35</v>
      </c>
      <c r="O117" s="116">
        <v>666</v>
      </c>
      <c r="P117" s="116">
        <v>675</v>
      </c>
      <c r="Q117" s="116">
        <v>668.45</v>
      </c>
      <c r="R117">
        <v>150189</v>
      </c>
    </row>
    <row r="118" spans="1:18" x14ac:dyDescent="0.25">
      <c r="A118" s="170">
        <v>43178</v>
      </c>
      <c r="B118" s="116">
        <v>680</v>
      </c>
      <c r="C118" s="116">
        <v>674.05</v>
      </c>
      <c r="D118" s="116">
        <v>666.95</v>
      </c>
      <c r="E118" s="116">
        <v>672.55</v>
      </c>
      <c r="F118" s="116">
        <v>674.05</v>
      </c>
      <c r="G118">
        <v>11275</v>
      </c>
      <c r="H118" s="116"/>
      <c r="I118" s="116"/>
      <c r="L118" s="170">
        <v>43178</v>
      </c>
      <c r="M118" s="116">
        <v>674.1</v>
      </c>
      <c r="N118" s="116">
        <v>681.8</v>
      </c>
      <c r="O118" s="116">
        <v>666.45</v>
      </c>
      <c r="P118" s="116">
        <v>666.45</v>
      </c>
      <c r="Q118" s="116">
        <v>674.1</v>
      </c>
      <c r="R118">
        <v>138766</v>
      </c>
    </row>
    <row r="119" spans="1:18" x14ac:dyDescent="0.25">
      <c r="A119" s="170">
        <v>43179</v>
      </c>
      <c r="B119" s="116">
        <v>689</v>
      </c>
      <c r="C119" s="116">
        <v>686</v>
      </c>
      <c r="D119" s="116">
        <v>668.9</v>
      </c>
      <c r="E119" s="116">
        <v>670</v>
      </c>
      <c r="F119" s="116">
        <v>686</v>
      </c>
      <c r="G119">
        <v>13147</v>
      </c>
      <c r="H119" s="116"/>
      <c r="I119" s="116"/>
      <c r="L119" s="170">
        <v>43179</v>
      </c>
      <c r="M119" s="116">
        <v>686.6</v>
      </c>
      <c r="N119" s="116">
        <v>688.5</v>
      </c>
      <c r="O119" s="116">
        <v>668.4</v>
      </c>
      <c r="P119" s="116">
        <v>669</v>
      </c>
      <c r="Q119" s="116">
        <v>686.6</v>
      </c>
      <c r="R119">
        <v>167488</v>
      </c>
    </row>
    <row r="120" spans="1:18" x14ac:dyDescent="0.25">
      <c r="A120" s="170">
        <v>43180</v>
      </c>
      <c r="B120" s="116">
        <v>690</v>
      </c>
      <c r="C120" s="116">
        <v>671.05</v>
      </c>
      <c r="D120" s="116">
        <v>668</v>
      </c>
      <c r="E120" s="116">
        <v>686</v>
      </c>
      <c r="F120" s="116">
        <v>671.05</v>
      </c>
      <c r="G120">
        <v>52778</v>
      </c>
      <c r="H120" s="116"/>
      <c r="I120" s="116"/>
      <c r="L120" s="170">
        <v>43180</v>
      </c>
      <c r="M120" s="116">
        <v>672.9</v>
      </c>
      <c r="N120" s="116">
        <v>691</v>
      </c>
      <c r="O120" s="116">
        <v>670.55</v>
      </c>
      <c r="P120" s="116">
        <v>686.1</v>
      </c>
      <c r="Q120" s="116">
        <v>672.9</v>
      </c>
      <c r="R120">
        <v>395902</v>
      </c>
    </row>
    <row r="121" spans="1:18" x14ac:dyDescent="0.25">
      <c r="A121" s="170">
        <v>43181</v>
      </c>
      <c r="B121" s="116">
        <v>677.25</v>
      </c>
      <c r="C121" s="116">
        <v>663.9</v>
      </c>
      <c r="D121" s="116">
        <v>661</v>
      </c>
      <c r="E121" s="116">
        <v>673.05</v>
      </c>
      <c r="F121" s="116">
        <v>663.9</v>
      </c>
      <c r="G121">
        <v>14511</v>
      </c>
      <c r="H121" s="116"/>
      <c r="I121" s="116"/>
      <c r="L121" s="170">
        <v>43181</v>
      </c>
      <c r="M121" s="116">
        <v>664.9</v>
      </c>
      <c r="N121" s="116">
        <v>679</v>
      </c>
      <c r="O121" s="116">
        <v>662.05</v>
      </c>
      <c r="P121" s="116">
        <v>675</v>
      </c>
      <c r="Q121" s="116">
        <v>664.9</v>
      </c>
      <c r="R121">
        <v>147381</v>
      </c>
    </row>
    <row r="122" spans="1:18" x14ac:dyDescent="0.25">
      <c r="A122" s="170">
        <v>43182</v>
      </c>
      <c r="B122" s="116">
        <v>671.55</v>
      </c>
      <c r="C122" s="116">
        <v>663.6</v>
      </c>
      <c r="D122" s="116">
        <v>657</v>
      </c>
      <c r="E122" s="116">
        <v>664</v>
      </c>
      <c r="F122" s="116">
        <v>663.6</v>
      </c>
      <c r="G122">
        <v>22512</v>
      </c>
      <c r="H122" s="116"/>
      <c r="I122" s="116"/>
      <c r="L122" s="170">
        <v>43182</v>
      </c>
      <c r="M122" s="116">
        <v>664.5</v>
      </c>
      <c r="N122" s="116">
        <v>673.9</v>
      </c>
      <c r="O122" s="116">
        <v>658</v>
      </c>
      <c r="P122" s="116">
        <v>660.05</v>
      </c>
      <c r="Q122" s="116">
        <v>664.5</v>
      </c>
      <c r="R122">
        <v>225060</v>
      </c>
    </row>
    <row r="123" spans="1:18" x14ac:dyDescent="0.25">
      <c r="A123" s="170">
        <v>43185</v>
      </c>
      <c r="B123" s="116">
        <v>673.9</v>
      </c>
      <c r="C123" s="116">
        <v>662.25</v>
      </c>
      <c r="D123" s="116">
        <v>657.65</v>
      </c>
      <c r="E123" s="116">
        <v>673.9</v>
      </c>
      <c r="F123" s="116">
        <v>662.25</v>
      </c>
      <c r="G123">
        <v>347688</v>
      </c>
      <c r="H123" s="116"/>
      <c r="I123" s="116"/>
      <c r="L123" s="170">
        <v>43185</v>
      </c>
      <c r="M123" s="116">
        <v>663.1</v>
      </c>
      <c r="N123" s="116">
        <v>669.45</v>
      </c>
      <c r="O123" s="116">
        <v>659</v>
      </c>
      <c r="P123" s="116">
        <v>660.15</v>
      </c>
      <c r="Q123" s="116">
        <v>663.1</v>
      </c>
      <c r="R123">
        <v>186540</v>
      </c>
    </row>
    <row r="124" spans="1:18" x14ac:dyDescent="0.25">
      <c r="A124" s="170">
        <v>43186</v>
      </c>
      <c r="B124" s="116">
        <v>680.8</v>
      </c>
      <c r="C124" s="116">
        <v>672.1</v>
      </c>
      <c r="D124" s="116">
        <v>665</v>
      </c>
      <c r="E124" s="116">
        <v>667</v>
      </c>
      <c r="F124" s="116">
        <v>672.1</v>
      </c>
      <c r="G124">
        <v>23539</v>
      </c>
      <c r="H124" s="116"/>
      <c r="I124" s="116"/>
      <c r="L124" s="170">
        <v>43186</v>
      </c>
      <c r="M124" s="116">
        <v>672.95</v>
      </c>
      <c r="N124" s="116">
        <v>680.8</v>
      </c>
      <c r="O124" s="116">
        <v>666.05</v>
      </c>
      <c r="P124" s="116">
        <v>667</v>
      </c>
      <c r="Q124" s="116">
        <v>672.95</v>
      </c>
      <c r="R124">
        <v>369173</v>
      </c>
    </row>
    <row r="125" spans="1:18" x14ac:dyDescent="0.25">
      <c r="A125" s="170">
        <v>43187</v>
      </c>
      <c r="B125" s="116">
        <v>685</v>
      </c>
      <c r="C125" s="116">
        <v>673.45</v>
      </c>
      <c r="D125" s="116">
        <v>665.45</v>
      </c>
      <c r="E125" s="116">
        <v>667.1</v>
      </c>
      <c r="F125" s="116">
        <v>673.45</v>
      </c>
      <c r="G125">
        <v>100989</v>
      </c>
      <c r="H125" s="116"/>
      <c r="I125" s="116"/>
      <c r="L125" s="170">
        <v>43187</v>
      </c>
      <c r="M125" s="116">
        <v>678.25</v>
      </c>
      <c r="N125" s="116">
        <v>711</v>
      </c>
      <c r="O125" s="116">
        <v>664</v>
      </c>
      <c r="P125" s="116">
        <v>668.95</v>
      </c>
      <c r="Q125" s="116">
        <v>678.25</v>
      </c>
      <c r="R125">
        <v>446572</v>
      </c>
    </row>
    <row r="126" spans="1:18" x14ac:dyDescent="0.25">
      <c r="A126" s="170">
        <v>43192</v>
      </c>
      <c r="B126" s="116">
        <v>689.9</v>
      </c>
      <c r="C126" s="116">
        <v>683.5</v>
      </c>
      <c r="D126" s="116">
        <v>679.7</v>
      </c>
      <c r="E126" s="116">
        <v>683.75</v>
      </c>
      <c r="F126" s="116">
        <v>683.5</v>
      </c>
      <c r="G126">
        <v>7898</v>
      </c>
      <c r="H126" s="116"/>
      <c r="I126" s="116"/>
      <c r="L126" s="170">
        <v>43192</v>
      </c>
      <c r="M126" s="116">
        <v>683.9</v>
      </c>
      <c r="N126" s="116">
        <v>695</v>
      </c>
      <c r="O126" s="116">
        <v>681</v>
      </c>
      <c r="P126" s="116">
        <v>681</v>
      </c>
      <c r="Q126" s="116">
        <v>683.9</v>
      </c>
      <c r="R126">
        <v>263227</v>
      </c>
    </row>
    <row r="127" spans="1:18" x14ac:dyDescent="0.25">
      <c r="A127" s="170">
        <v>43193</v>
      </c>
      <c r="B127" s="116">
        <v>684.85</v>
      </c>
      <c r="C127" s="116">
        <v>679.3</v>
      </c>
      <c r="D127" s="116">
        <v>675.55</v>
      </c>
      <c r="E127" s="116">
        <v>684.85</v>
      </c>
      <c r="F127" s="116">
        <v>679.3</v>
      </c>
      <c r="G127">
        <v>16008</v>
      </c>
      <c r="H127" s="116"/>
      <c r="I127" s="116"/>
      <c r="L127" s="170">
        <v>43193</v>
      </c>
      <c r="M127" s="116">
        <v>680</v>
      </c>
      <c r="N127" s="116">
        <v>686</v>
      </c>
      <c r="O127" s="116">
        <v>675</v>
      </c>
      <c r="P127" s="116">
        <v>686</v>
      </c>
      <c r="Q127" s="116">
        <v>680</v>
      </c>
      <c r="R127">
        <v>783770</v>
      </c>
    </row>
    <row r="128" spans="1:18" x14ac:dyDescent="0.25">
      <c r="A128" s="170">
        <v>43194</v>
      </c>
      <c r="B128" s="116">
        <v>689.8</v>
      </c>
      <c r="C128" s="116">
        <v>676.8</v>
      </c>
      <c r="D128" s="116">
        <v>673.15</v>
      </c>
      <c r="E128" s="116">
        <v>683.7</v>
      </c>
      <c r="F128" s="116">
        <v>676.8</v>
      </c>
      <c r="G128">
        <v>8809</v>
      </c>
      <c r="H128" s="116"/>
      <c r="I128" s="116"/>
      <c r="L128" s="170">
        <v>43194</v>
      </c>
      <c r="M128" s="116">
        <v>679.95</v>
      </c>
      <c r="N128" s="116">
        <v>690.95</v>
      </c>
      <c r="O128" s="116">
        <v>677.1</v>
      </c>
      <c r="P128" s="116">
        <v>681.05</v>
      </c>
      <c r="Q128" s="116">
        <v>679.95</v>
      </c>
      <c r="R128">
        <v>520436</v>
      </c>
    </row>
    <row r="129" spans="1:18" x14ac:dyDescent="0.25">
      <c r="A129" s="170">
        <v>43195</v>
      </c>
      <c r="B129" s="116">
        <v>687.6</v>
      </c>
      <c r="C129" s="116">
        <v>676.2</v>
      </c>
      <c r="D129" s="116">
        <v>674</v>
      </c>
      <c r="E129" s="116">
        <v>682.6</v>
      </c>
      <c r="F129" s="116">
        <v>676.2</v>
      </c>
      <c r="G129">
        <v>6741</v>
      </c>
      <c r="H129" s="116"/>
      <c r="I129" s="116"/>
      <c r="L129" s="170">
        <v>43195</v>
      </c>
      <c r="M129" s="116">
        <v>675</v>
      </c>
      <c r="N129" s="116">
        <v>687.65</v>
      </c>
      <c r="O129" s="116">
        <v>674.15</v>
      </c>
      <c r="P129" s="116">
        <v>680.5</v>
      </c>
      <c r="Q129" s="116">
        <v>675</v>
      </c>
      <c r="R129">
        <v>514819</v>
      </c>
    </row>
    <row r="130" spans="1:18" x14ac:dyDescent="0.25">
      <c r="A130" s="170">
        <v>43196</v>
      </c>
      <c r="B130" s="116">
        <v>684.4</v>
      </c>
      <c r="C130" s="116">
        <v>678.95</v>
      </c>
      <c r="D130" s="116">
        <v>675</v>
      </c>
      <c r="E130" s="116">
        <v>677</v>
      </c>
      <c r="F130" s="116">
        <v>678.95</v>
      </c>
      <c r="G130">
        <v>210312</v>
      </c>
      <c r="H130" s="116"/>
      <c r="I130" s="116"/>
      <c r="L130" s="170">
        <v>43196</v>
      </c>
      <c r="M130" s="116">
        <v>679.65</v>
      </c>
      <c r="N130" s="116">
        <v>685</v>
      </c>
      <c r="O130" s="116">
        <v>674</v>
      </c>
      <c r="P130" s="116">
        <v>679.65</v>
      </c>
      <c r="Q130" s="116">
        <v>679.65</v>
      </c>
      <c r="R130">
        <v>667025</v>
      </c>
    </row>
    <row r="131" spans="1:18" x14ac:dyDescent="0.25">
      <c r="A131" s="170">
        <v>43199</v>
      </c>
      <c r="B131" s="116">
        <v>684.95</v>
      </c>
      <c r="C131" s="116">
        <v>676.65</v>
      </c>
      <c r="D131" s="116">
        <v>675.25</v>
      </c>
      <c r="E131" s="116">
        <v>680</v>
      </c>
      <c r="F131" s="116">
        <v>676.65</v>
      </c>
      <c r="G131">
        <v>12152</v>
      </c>
      <c r="H131" s="116"/>
      <c r="I131" s="116"/>
      <c r="L131" s="170">
        <v>43199</v>
      </c>
      <c r="M131" s="116">
        <v>678.7</v>
      </c>
      <c r="N131" s="116">
        <v>685</v>
      </c>
      <c r="O131" s="116">
        <v>675</v>
      </c>
      <c r="P131" s="116">
        <v>675.55</v>
      </c>
      <c r="Q131" s="116">
        <v>678.7</v>
      </c>
      <c r="R131">
        <v>886583</v>
      </c>
    </row>
    <row r="132" spans="1:18" x14ac:dyDescent="0.25">
      <c r="A132" s="170">
        <v>43200</v>
      </c>
      <c r="B132" s="116">
        <v>698.5</v>
      </c>
      <c r="C132" s="116">
        <v>692.75</v>
      </c>
      <c r="D132" s="116">
        <v>672</v>
      </c>
      <c r="E132" s="116">
        <v>672</v>
      </c>
      <c r="F132" s="116">
        <v>692.75</v>
      </c>
      <c r="G132">
        <v>21927</v>
      </c>
      <c r="H132" s="116"/>
      <c r="I132" s="116"/>
      <c r="L132" s="170">
        <v>43200</v>
      </c>
      <c r="M132" s="116">
        <v>695.7</v>
      </c>
      <c r="N132" s="116">
        <v>699.95</v>
      </c>
      <c r="O132" s="116">
        <v>678</v>
      </c>
      <c r="P132" s="116">
        <v>678</v>
      </c>
      <c r="Q132" s="116">
        <v>695.7</v>
      </c>
      <c r="R132">
        <v>955511</v>
      </c>
    </row>
    <row r="133" spans="1:18" x14ac:dyDescent="0.25">
      <c r="A133" s="170">
        <v>43201</v>
      </c>
      <c r="B133" s="116">
        <v>719</v>
      </c>
      <c r="C133" s="116">
        <v>716.55</v>
      </c>
      <c r="D133" s="116">
        <v>690.5</v>
      </c>
      <c r="E133" s="116">
        <v>693.05</v>
      </c>
      <c r="F133" s="116">
        <v>716.55</v>
      </c>
      <c r="G133">
        <v>61122</v>
      </c>
      <c r="H133" s="116"/>
      <c r="I133" s="116"/>
      <c r="L133" s="170">
        <v>43201</v>
      </c>
      <c r="M133" s="116">
        <v>719</v>
      </c>
      <c r="N133" s="116">
        <v>720</v>
      </c>
      <c r="O133" s="116">
        <v>691</v>
      </c>
      <c r="P133" s="116">
        <v>691</v>
      </c>
      <c r="Q133" s="116">
        <v>719</v>
      </c>
      <c r="R133">
        <v>715637</v>
      </c>
    </row>
    <row r="134" spans="1:18" x14ac:dyDescent="0.25">
      <c r="A134" s="170">
        <v>43202</v>
      </c>
      <c r="B134" s="116">
        <v>723.95</v>
      </c>
      <c r="C134" s="116">
        <v>718.75</v>
      </c>
      <c r="D134" s="116">
        <v>705</v>
      </c>
      <c r="E134" s="116">
        <v>705</v>
      </c>
      <c r="F134" s="116">
        <v>718.75</v>
      </c>
      <c r="G134">
        <v>36743</v>
      </c>
      <c r="H134" s="116"/>
      <c r="I134" s="116"/>
      <c r="L134" s="170">
        <v>43202</v>
      </c>
      <c r="M134" s="116">
        <v>719.05</v>
      </c>
      <c r="N134" s="116">
        <v>724.7</v>
      </c>
      <c r="O134" s="116">
        <v>712</v>
      </c>
      <c r="P134" s="116">
        <v>713.55</v>
      </c>
      <c r="Q134" s="116">
        <v>719.05</v>
      </c>
      <c r="R134">
        <v>665026</v>
      </c>
    </row>
    <row r="135" spans="1:18" x14ac:dyDescent="0.25">
      <c r="A135" s="170">
        <v>43203</v>
      </c>
      <c r="B135" s="116">
        <v>717.7</v>
      </c>
      <c r="C135" s="116">
        <v>712.35</v>
      </c>
      <c r="D135" s="116">
        <v>705.65</v>
      </c>
      <c r="E135" s="116">
        <v>716</v>
      </c>
      <c r="F135" s="116">
        <v>712.35</v>
      </c>
      <c r="G135">
        <v>216824</v>
      </c>
      <c r="H135" s="116"/>
      <c r="I135" s="116"/>
      <c r="L135" s="170">
        <v>43203</v>
      </c>
      <c r="M135" s="116">
        <v>711.65</v>
      </c>
      <c r="N135" s="116">
        <v>720</v>
      </c>
      <c r="O135" s="116">
        <v>706.35</v>
      </c>
      <c r="P135" s="116">
        <v>714</v>
      </c>
      <c r="Q135" s="116">
        <v>711.65</v>
      </c>
      <c r="R135">
        <v>681889</v>
      </c>
    </row>
    <row r="136" spans="1:18" x14ac:dyDescent="0.25">
      <c r="A136" s="170">
        <v>43206</v>
      </c>
      <c r="B136" s="116">
        <v>714</v>
      </c>
      <c r="C136" s="116">
        <v>709</v>
      </c>
      <c r="D136" s="116">
        <v>702.05</v>
      </c>
      <c r="E136" s="116">
        <v>705</v>
      </c>
      <c r="F136" s="116">
        <v>709</v>
      </c>
      <c r="G136">
        <v>7138</v>
      </c>
      <c r="H136" s="116"/>
      <c r="I136" s="116"/>
      <c r="L136" s="170">
        <v>43206</v>
      </c>
      <c r="M136" s="116">
        <v>708.9</v>
      </c>
      <c r="N136" s="116">
        <v>712.5</v>
      </c>
      <c r="O136" s="116">
        <v>702</v>
      </c>
      <c r="P136" s="116">
        <v>702</v>
      </c>
      <c r="Q136" s="116">
        <v>708.9</v>
      </c>
      <c r="R136">
        <v>389870</v>
      </c>
    </row>
    <row r="137" spans="1:18" x14ac:dyDescent="0.25">
      <c r="A137" s="170">
        <v>43207</v>
      </c>
      <c r="B137" s="116">
        <v>721</v>
      </c>
      <c r="C137" s="116">
        <v>720.25</v>
      </c>
      <c r="D137" s="116">
        <v>707.85</v>
      </c>
      <c r="E137" s="116">
        <v>712</v>
      </c>
      <c r="F137" s="116">
        <v>720.25</v>
      </c>
      <c r="G137">
        <v>432776</v>
      </c>
      <c r="H137" s="116"/>
      <c r="I137" s="116"/>
      <c r="L137" s="170">
        <v>43207</v>
      </c>
      <c r="M137" s="116">
        <v>721.4</v>
      </c>
      <c r="N137" s="116">
        <v>723</v>
      </c>
      <c r="O137" s="116">
        <v>708.2</v>
      </c>
      <c r="P137" s="116">
        <v>710</v>
      </c>
      <c r="Q137" s="116">
        <v>721.4</v>
      </c>
      <c r="R137">
        <v>307669</v>
      </c>
    </row>
    <row r="138" spans="1:18" x14ac:dyDescent="0.25">
      <c r="A138" s="170">
        <v>43208</v>
      </c>
      <c r="B138" s="116">
        <v>721.3</v>
      </c>
      <c r="C138" s="116">
        <v>719.95</v>
      </c>
      <c r="D138" s="116">
        <v>712.5</v>
      </c>
      <c r="E138" s="116">
        <v>715.55</v>
      </c>
      <c r="F138" s="116">
        <v>719.95</v>
      </c>
      <c r="G138">
        <v>13123</v>
      </c>
      <c r="H138" s="116"/>
      <c r="I138" s="116"/>
      <c r="L138" s="170">
        <v>43208</v>
      </c>
      <c r="M138" s="116">
        <v>721.35</v>
      </c>
      <c r="N138" s="116">
        <v>724.5</v>
      </c>
      <c r="O138" s="116">
        <v>713.05</v>
      </c>
      <c r="P138" s="116">
        <v>715.9</v>
      </c>
      <c r="Q138" s="116">
        <v>721.35</v>
      </c>
      <c r="R138">
        <v>241773</v>
      </c>
    </row>
    <row r="139" spans="1:18" x14ac:dyDescent="0.25">
      <c r="A139" s="170">
        <v>43209</v>
      </c>
      <c r="B139" s="116">
        <v>722</v>
      </c>
      <c r="C139" s="116">
        <v>719.25</v>
      </c>
      <c r="D139" s="116">
        <v>714</v>
      </c>
      <c r="E139" s="116">
        <v>718</v>
      </c>
      <c r="F139" s="116">
        <v>719.25</v>
      </c>
      <c r="G139">
        <v>14003</v>
      </c>
      <c r="H139" s="116"/>
      <c r="I139" s="116"/>
      <c r="L139" s="170">
        <v>43209</v>
      </c>
      <c r="M139" s="116">
        <v>722.9</v>
      </c>
      <c r="N139" s="116">
        <v>724.95</v>
      </c>
      <c r="O139" s="116">
        <v>713.9</v>
      </c>
      <c r="P139" s="116">
        <v>716.05</v>
      </c>
      <c r="Q139" s="116">
        <v>722.9</v>
      </c>
      <c r="R139">
        <v>228583</v>
      </c>
    </row>
    <row r="140" spans="1:18" x14ac:dyDescent="0.25">
      <c r="A140" s="170">
        <v>43210</v>
      </c>
      <c r="B140" s="116">
        <v>718.95</v>
      </c>
      <c r="C140" s="116">
        <v>713.5</v>
      </c>
      <c r="D140" s="116">
        <v>711</v>
      </c>
      <c r="E140" s="116">
        <v>718.35</v>
      </c>
      <c r="F140" s="116">
        <v>713.5</v>
      </c>
      <c r="G140">
        <v>4311</v>
      </c>
      <c r="H140" s="116"/>
      <c r="I140" s="116"/>
      <c r="L140" s="170">
        <v>43210</v>
      </c>
      <c r="M140" s="116">
        <v>716.15</v>
      </c>
      <c r="N140" s="116">
        <v>721.95</v>
      </c>
      <c r="O140" s="116">
        <v>710.1</v>
      </c>
      <c r="P140" s="116">
        <v>718</v>
      </c>
      <c r="Q140" s="116">
        <v>716.15</v>
      </c>
      <c r="R140">
        <v>114992</v>
      </c>
    </row>
    <row r="141" spans="1:18" x14ac:dyDescent="0.25">
      <c r="A141" s="170">
        <v>43213</v>
      </c>
      <c r="B141" s="116">
        <v>724</v>
      </c>
      <c r="C141" s="116">
        <v>715.15</v>
      </c>
      <c r="D141" s="116">
        <v>711.25</v>
      </c>
      <c r="E141" s="116">
        <v>712.45</v>
      </c>
      <c r="F141" s="116">
        <v>715.15</v>
      </c>
      <c r="G141">
        <v>15253</v>
      </c>
      <c r="H141" s="116"/>
      <c r="I141" s="116"/>
      <c r="L141" s="170">
        <v>43213</v>
      </c>
      <c r="M141" s="116">
        <v>716.95</v>
      </c>
      <c r="N141" s="116">
        <v>725</v>
      </c>
      <c r="O141" s="116">
        <v>712.1</v>
      </c>
      <c r="P141" s="116">
        <v>712.1</v>
      </c>
      <c r="Q141" s="116">
        <v>716.95</v>
      </c>
      <c r="R141">
        <v>523622</v>
      </c>
    </row>
    <row r="142" spans="1:18" x14ac:dyDescent="0.25">
      <c r="A142" s="170">
        <v>43214</v>
      </c>
      <c r="B142" s="116">
        <v>752.15</v>
      </c>
      <c r="C142" s="116">
        <v>744.6</v>
      </c>
      <c r="D142" s="116">
        <v>714.45</v>
      </c>
      <c r="E142" s="116">
        <v>717.65</v>
      </c>
      <c r="F142" s="116">
        <v>744.6</v>
      </c>
      <c r="G142">
        <v>111429</v>
      </c>
      <c r="H142" s="116"/>
      <c r="I142" s="116"/>
      <c r="L142" s="170">
        <v>43214</v>
      </c>
      <c r="M142" s="116">
        <v>746</v>
      </c>
      <c r="N142" s="116">
        <v>755</v>
      </c>
      <c r="O142" s="116">
        <v>714.95</v>
      </c>
      <c r="P142" s="116">
        <v>717</v>
      </c>
      <c r="Q142" s="116">
        <v>746</v>
      </c>
      <c r="R142">
        <v>1182526</v>
      </c>
    </row>
    <row r="143" spans="1:18" x14ac:dyDescent="0.25">
      <c r="A143" s="170">
        <v>43215</v>
      </c>
      <c r="B143" s="116">
        <v>767.7</v>
      </c>
      <c r="C143" s="116">
        <v>765.65</v>
      </c>
      <c r="D143" s="116">
        <v>745.9</v>
      </c>
      <c r="E143" s="116">
        <v>750</v>
      </c>
      <c r="F143" s="116">
        <v>765.65</v>
      </c>
      <c r="G143">
        <v>132617</v>
      </c>
      <c r="H143" s="116"/>
      <c r="I143" s="116"/>
      <c r="L143" s="170">
        <v>43215</v>
      </c>
      <c r="M143" s="116">
        <v>766.1</v>
      </c>
      <c r="N143" s="116">
        <v>768.8</v>
      </c>
      <c r="O143" s="116">
        <v>746.05</v>
      </c>
      <c r="P143" s="116">
        <v>749.9</v>
      </c>
      <c r="Q143" s="116">
        <v>766.1</v>
      </c>
      <c r="R143">
        <v>1763048</v>
      </c>
    </row>
    <row r="144" spans="1:18" x14ac:dyDescent="0.25">
      <c r="A144" s="170">
        <v>43216</v>
      </c>
      <c r="B144" s="116">
        <v>770.95</v>
      </c>
      <c r="C144" s="116">
        <v>762.35</v>
      </c>
      <c r="D144" s="116">
        <v>742.8</v>
      </c>
      <c r="E144" s="116">
        <v>770</v>
      </c>
      <c r="F144" s="116">
        <v>762.35</v>
      </c>
      <c r="G144">
        <v>70294</v>
      </c>
      <c r="H144" s="116"/>
      <c r="I144" s="116"/>
      <c r="L144" s="170">
        <v>43216</v>
      </c>
      <c r="M144" s="116">
        <v>762.8</v>
      </c>
      <c r="N144" s="116">
        <v>771.05</v>
      </c>
      <c r="O144" s="116">
        <v>742.65</v>
      </c>
      <c r="P144" s="116">
        <v>767</v>
      </c>
      <c r="Q144" s="116">
        <v>762.8</v>
      </c>
      <c r="R144">
        <v>1352072</v>
      </c>
    </row>
    <row r="145" spans="1:18" x14ac:dyDescent="0.25">
      <c r="A145" s="170">
        <v>43217</v>
      </c>
      <c r="B145" s="116">
        <v>774.75</v>
      </c>
      <c r="C145" s="116">
        <v>758.4</v>
      </c>
      <c r="D145" s="116">
        <v>742.8</v>
      </c>
      <c r="E145" s="116">
        <v>759.95</v>
      </c>
      <c r="F145" s="116">
        <v>758.4</v>
      </c>
      <c r="G145">
        <v>41594</v>
      </c>
      <c r="H145" s="116"/>
      <c r="I145" s="116"/>
      <c r="L145" s="170">
        <v>43217</v>
      </c>
      <c r="M145" s="116">
        <v>758.85</v>
      </c>
      <c r="N145" s="116">
        <v>774.6</v>
      </c>
      <c r="O145" s="116">
        <v>745</v>
      </c>
      <c r="P145" s="116">
        <v>750</v>
      </c>
      <c r="Q145" s="116">
        <v>758.85</v>
      </c>
      <c r="R145">
        <v>700854</v>
      </c>
    </row>
    <row r="146" spans="1:18" x14ac:dyDescent="0.25">
      <c r="A146" s="170">
        <v>43220</v>
      </c>
      <c r="B146" s="116">
        <v>762.1</v>
      </c>
      <c r="C146" s="116">
        <v>742.5</v>
      </c>
      <c r="D146" s="116">
        <v>732.05</v>
      </c>
      <c r="E146" s="116">
        <v>754.6</v>
      </c>
      <c r="F146" s="116">
        <v>742.5</v>
      </c>
      <c r="G146">
        <v>24486</v>
      </c>
      <c r="H146" s="116"/>
      <c r="I146" s="116"/>
      <c r="L146" s="170">
        <v>43220</v>
      </c>
      <c r="M146" s="116">
        <v>743.1</v>
      </c>
      <c r="N146" s="116">
        <v>762.85</v>
      </c>
      <c r="O146" s="116">
        <v>732</v>
      </c>
      <c r="P146" s="116">
        <v>756</v>
      </c>
      <c r="Q146" s="116">
        <v>743.1</v>
      </c>
      <c r="R146">
        <v>448784</v>
      </c>
    </row>
    <row r="147" spans="1:18" x14ac:dyDescent="0.25">
      <c r="A147" s="170">
        <v>43222</v>
      </c>
      <c r="B147" s="116">
        <v>757</v>
      </c>
      <c r="C147" s="116">
        <v>746.1</v>
      </c>
      <c r="D147" s="116">
        <v>740</v>
      </c>
      <c r="E147" s="116">
        <v>740</v>
      </c>
      <c r="F147" s="116">
        <v>746.1</v>
      </c>
      <c r="G147">
        <v>24330</v>
      </c>
      <c r="H147" s="116"/>
      <c r="I147" s="116"/>
      <c r="L147" s="170">
        <v>43222</v>
      </c>
      <c r="M147" s="116">
        <v>746.55</v>
      </c>
      <c r="N147" s="116">
        <v>757.65</v>
      </c>
      <c r="O147" s="116">
        <v>736.5</v>
      </c>
      <c r="P147" s="116">
        <v>736.5</v>
      </c>
      <c r="Q147" s="116">
        <v>746.55</v>
      </c>
      <c r="R147">
        <v>514382</v>
      </c>
    </row>
    <row r="148" spans="1:18" x14ac:dyDescent="0.25">
      <c r="A148" s="170">
        <v>43223</v>
      </c>
      <c r="B148" s="116">
        <v>751.45</v>
      </c>
      <c r="C148" s="116">
        <v>730.9</v>
      </c>
      <c r="D148" s="116">
        <v>720.15</v>
      </c>
      <c r="E148" s="116">
        <v>735.1</v>
      </c>
      <c r="F148" s="116">
        <v>730.9</v>
      </c>
      <c r="G148">
        <v>15225</v>
      </c>
      <c r="H148" s="116"/>
      <c r="I148" s="116"/>
      <c r="L148" s="170">
        <v>43223</v>
      </c>
      <c r="M148" s="116">
        <v>732</v>
      </c>
      <c r="N148" s="116">
        <v>752.05</v>
      </c>
      <c r="O148" s="116">
        <v>716.25</v>
      </c>
      <c r="P148" s="116">
        <v>746.55</v>
      </c>
      <c r="Q148" s="116">
        <v>732</v>
      </c>
      <c r="R148">
        <v>259083</v>
      </c>
    </row>
    <row r="149" spans="1:18" x14ac:dyDescent="0.25">
      <c r="A149" s="170">
        <v>43224</v>
      </c>
      <c r="B149" s="116">
        <v>728</v>
      </c>
      <c r="C149" s="116">
        <v>701.05</v>
      </c>
      <c r="D149" s="116">
        <v>698.2</v>
      </c>
      <c r="E149" s="116">
        <v>727</v>
      </c>
      <c r="F149" s="116">
        <v>701.05</v>
      </c>
      <c r="G149">
        <v>26300</v>
      </c>
      <c r="H149" s="116"/>
      <c r="I149" s="116"/>
      <c r="L149" s="170">
        <v>43224</v>
      </c>
      <c r="M149" s="116">
        <v>702.1</v>
      </c>
      <c r="N149" s="116">
        <v>728.95</v>
      </c>
      <c r="O149" s="116">
        <v>700.1</v>
      </c>
      <c r="P149" s="116">
        <v>725</v>
      </c>
      <c r="Q149" s="116">
        <v>702.1</v>
      </c>
      <c r="R149">
        <v>405214</v>
      </c>
    </row>
    <row r="150" spans="1:18" x14ac:dyDescent="0.25">
      <c r="A150" s="170">
        <v>43227</v>
      </c>
      <c r="B150" s="116">
        <v>725.9</v>
      </c>
      <c r="C150" s="116">
        <v>701.55</v>
      </c>
      <c r="D150" s="116">
        <v>697.05</v>
      </c>
      <c r="E150" s="116">
        <v>704</v>
      </c>
      <c r="F150" s="116">
        <v>701.55</v>
      </c>
      <c r="G150">
        <v>18147</v>
      </c>
      <c r="H150" s="116"/>
      <c r="I150" s="116"/>
      <c r="L150" s="170">
        <v>43227</v>
      </c>
      <c r="M150" s="116">
        <v>703.6</v>
      </c>
      <c r="N150" s="116">
        <v>714.6</v>
      </c>
      <c r="O150" s="116">
        <v>696.3</v>
      </c>
      <c r="P150" s="116">
        <v>704</v>
      </c>
      <c r="Q150" s="116">
        <v>703.6</v>
      </c>
      <c r="R150">
        <v>291749</v>
      </c>
    </row>
    <row r="151" spans="1:18" x14ac:dyDescent="0.25">
      <c r="A151" s="170">
        <v>43228</v>
      </c>
      <c r="B151" s="116">
        <v>705.7</v>
      </c>
      <c r="C151" s="116">
        <v>700.8</v>
      </c>
      <c r="D151" s="116">
        <v>690.05</v>
      </c>
      <c r="E151" s="116">
        <v>701</v>
      </c>
      <c r="F151" s="116">
        <v>700.8</v>
      </c>
      <c r="G151">
        <v>11287</v>
      </c>
      <c r="H151" s="116"/>
      <c r="I151" s="116"/>
      <c r="L151" s="170">
        <v>43228</v>
      </c>
      <c r="M151" s="116">
        <v>702.45</v>
      </c>
      <c r="N151" s="116">
        <v>708.9</v>
      </c>
      <c r="O151" s="116">
        <v>692.25</v>
      </c>
      <c r="P151" s="116">
        <v>708.9</v>
      </c>
      <c r="Q151" s="116">
        <v>702.45</v>
      </c>
      <c r="R151">
        <v>256284</v>
      </c>
    </row>
    <row r="152" spans="1:18" x14ac:dyDescent="0.25">
      <c r="A152" s="170">
        <v>43229</v>
      </c>
      <c r="B152" s="116">
        <v>709.95</v>
      </c>
      <c r="C152" s="116">
        <v>696.1</v>
      </c>
      <c r="D152" s="116">
        <v>691</v>
      </c>
      <c r="E152" s="116">
        <v>703.95</v>
      </c>
      <c r="F152" s="116">
        <v>696.1</v>
      </c>
      <c r="G152">
        <v>12112</v>
      </c>
      <c r="H152" s="116"/>
      <c r="I152" s="116"/>
      <c r="L152" s="170">
        <v>43229</v>
      </c>
      <c r="M152" s="116">
        <v>699.95</v>
      </c>
      <c r="N152" s="116">
        <v>709</v>
      </c>
      <c r="O152" s="116">
        <v>691</v>
      </c>
      <c r="P152" s="116">
        <v>704.9</v>
      </c>
      <c r="Q152" s="116">
        <v>699.95</v>
      </c>
      <c r="R152">
        <v>1771037</v>
      </c>
    </row>
    <row r="153" spans="1:18" x14ac:dyDescent="0.25">
      <c r="A153" s="170">
        <v>43230</v>
      </c>
      <c r="B153" s="116">
        <v>719.4</v>
      </c>
      <c r="C153" s="116">
        <v>712</v>
      </c>
      <c r="D153" s="116">
        <v>695</v>
      </c>
      <c r="E153" s="116">
        <v>709.95</v>
      </c>
      <c r="F153" s="116">
        <v>712</v>
      </c>
      <c r="G153">
        <v>16701</v>
      </c>
      <c r="H153" s="116"/>
      <c r="I153" s="116"/>
      <c r="L153" s="170">
        <v>43230</v>
      </c>
      <c r="M153" s="116">
        <v>713.75</v>
      </c>
      <c r="N153" s="116">
        <v>719</v>
      </c>
      <c r="O153" s="116">
        <v>693</v>
      </c>
      <c r="P153" s="116">
        <v>702.9</v>
      </c>
      <c r="Q153" s="116">
        <v>713.75</v>
      </c>
      <c r="R153">
        <v>589720</v>
      </c>
    </row>
    <row r="154" spans="1:18" x14ac:dyDescent="0.25">
      <c r="A154" s="170">
        <v>43231</v>
      </c>
      <c r="B154" s="116">
        <v>714.65</v>
      </c>
      <c r="C154" s="116">
        <v>697.55</v>
      </c>
      <c r="D154" s="116">
        <v>694.35</v>
      </c>
      <c r="E154" s="116">
        <v>713.6</v>
      </c>
      <c r="F154" s="116">
        <v>697.55</v>
      </c>
      <c r="G154">
        <v>11363</v>
      </c>
      <c r="H154" s="116"/>
      <c r="I154" s="116"/>
      <c r="L154" s="170">
        <v>43231</v>
      </c>
      <c r="M154" s="116">
        <v>698.3</v>
      </c>
      <c r="N154" s="116">
        <v>715.9</v>
      </c>
      <c r="O154" s="116">
        <v>696.05</v>
      </c>
      <c r="P154" s="116">
        <v>711.05</v>
      </c>
      <c r="Q154" s="116">
        <v>698.3</v>
      </c>
      <c r="R154">
        <v>402458</v>
      </c>
    </row>
    <row r="155" spans="1:18" x14ac:dyDescent="0.25">
      <c r="A155" s="170">
        <v>43234</v>
      </c>
      <c r="B155" s="116">
        <v>703.9</v>
      </c>
      <c r="C155" s="116">
        <v>692.9</v>
      </c>
      <c r="D155" s="116">
        <v>690</v>
      </c>
      <c r="E155" s="116">
        <v>699.25</v>
      </c>
      <c r="F155" s="116">
        <v>692.9</v>
      </c>
      <c r="G155">
        <v>7472</v>
      </c>
      <c r="H155" s="116"/>
      <c r="I155" s="116"/>
      <c r="L155" s="170">
        <v>43234</v>
      </c>
      <c r="M155" s="116">
        <v>691.15</v>
      </c>
      <c r="N155" s="116">
        <v>704.55</v>
      </c>
      <c r="O155" s="116">
        <v>688</v>
      </c>
      <c r="P155" s="116">
        <v>702</v>
      </c>
      <c r="Q155" s="116">
        <v>691.15</v>
      </c>
      <c r="R155">
        <v>226655</v>
      </c>
    </row>
    <row r="156" spans="1:18" x14ac:dyDescent="0.25">
      <c r="A156" s="170">
        <v>43235</v>
      </c>
      <c r="B156" s="116">
        <v>690</v>
      </c>
      <c r="C156" s="116">
        <v>678</v>
      </c>
      <c r="D156" s="116">
        <v>674.5</v>
      </c>
      <c r="E156" s="116">
        <v>690</v>
      </c>
      <c r="F156" s="116">
        <v>678</v>
      </c>
      <c r="G156">
        <v>26540</v>
      </c>
      <c r="H156" s="116"/>
      <c r="I156" s="116"/>
      <c r="L156" s="170">
        <v>43235</v>
      </c>
      <c r="M156" s="116">
        <v>678.9</v>
      </c>
      <c r="N156" s="116">
        <v>699</v>
      </c>
      <c r="O156" s="116">
        <v>672.2</v>
      </c>
      <c r="P156" s="116">
        <v>690</v>
      </c>
      <c r="Q156" s="116">
        <v>678.9</v>
      </c>
      <c r="R156">
        <v>579274</v>
      </c>
    </row>
    <row r="157" spans="1:18" x14ac:dyDescent="0.25">
      <c r="A157" s="170">
        <v>43236</v>
      </c>
      <c r="B157" s="116">
        <v>684.9</v>
      </c>
      <c r="C157" s="116">
        <v>666.95</v>
      </c>
      <c r="D157" s="116">
        <v>665.25</v>
      </c>
      <c r="E157" s="116">
        <v>684.9</v>
      </c>
      <c r="F157" s="116">
        <v>666.95</v>
      </c>
      <c r="G157">
        <v>13058</v>
      </c>
      <c r="H157" s="116"/>
      <c r="I157" s="116"/>
      <c r="L157" s="170">
        <v>43236</v>
      </c>
      <c r="M157" s="116">
        <v>667.65</v>
      </c>
      <c r="N157" s="116">
        <v>683</v>
      </c>
      <c r="O157" s="116">
        <v>665.05</v>
      </c>
      <c r="P157" s="116">
        <v>674</v>
      </c>
      <c r="Q157" s="116">
        <v>667.65</v>
      </c>
      <c r="R157">
        <v>632333</v>
      </c>
    </row>
    <row r="158" spans="1:18" x14ac:dyDescent="0.25">
      <c r="A158" s="170">
        <v>43237</v>
      </c>
      <c r="B158" s="116">
        <v>682.2</v>
      </c>
      <c r="C158" s="116">
        <v>671.65</v>
      </c>
      <c r="D158" s="116">
        <v>668</v>
      </c>
      <c r="E158" s="116">
        <v>671.05</v>
      </c>
      <c r="F158" s="116">
        <v>671.65</v>
      </c>
      <c r="G158">
        <v>8026</v>
      </c>
      <c r="H158" s="116"/>
      <c r="I158" s="116"/>
      <c r="L158" s="170">
        <v>43237</v>
      </c>
      <c r="M158" s="116">
        <v>669.7</v>
      </c>
      <c r="N158" s="116">
        <v>679.7</v>
      </c>
      <c r="O158" s="116">
        <v>665.5</v>
      </c>
      <c r="P158" s="116">
        <v>670.1</v>
      </c>
      <c r="Q158" s="116">
        <v>669.7</v>
      </c>
      <c r="R158">
        <v>203078</v>
      </c>
    </row>
    <row r="159" spans="1:18" x14ac:dyDescent="0.25">
      <c r="A159" s="170">
        <v>43238</v>
      </c>
      <c r="B159" s="116">
        <v>675.45</v>
      </c>
      <c r="C159" s="116">
        <v>668.5</v>
      </c>
      <c r="D159" s="116">
        <v>665.1</v>
      </c>
      <c r="E159" s="116">
        <v>675.45</v>
      </c>
      <c r="F159" s="116">
        <v>668.5</v>
      </c>
      <c r="G159">
        <v>9501</v>
      </c>
      <c r="H159" s="116"/>
      <c r="I159" s="116"/>
      <c r="L159" s="170">
        <v>43238</v>
      </c>
      <c r="M159" s="116">
        <v>665.2</v>
      </c>
      <c r="N159" s="116">
        <v>673.7</v>
      </c>
      <c r="O159" s="116">
        <v>663.05</v>
      </c>
      <c r="P159" s="116">
        <v>669</v>
      </c>
      <c r="Q159" s="116">
        <v>665.2</v>
      </c>
      <c r="R159">
        <v>224549</v>
      </c>
    </row>
    <row r="160" spans="1:18" x14ac:dyDescent="0.25">
      <c r="A160" s="170">
        <v>43241</v>
      </c>
      <c r="B160" s="116">
        <v>705</v>
      </c>
      <c r="C160" s="116">
        <v>656.95</v>
      </c>
      <c r="D160" s="116">
        <v>647.6</v>
      </c>
      <c r="E160" s="116">
        <v>667</v>
      </c>
      <c r="F160" s="116">
        <v>656.95</v>
      </c>
      <c r="G160">
        <v>22122</v>
      </c>
      <c r="H160" s="116"/>
      <c r="I160" s="116"/>
      <c r="L160" s="170">
        <v>43241</v>
      </c>
      <c r="M160" s="116">
        <v>655.20000000000005</v>
      </c>
      <c r="N160" s="116">
        <v>706.7</v>
      </c>
      <c r="O160" s="116">
        <v>647</v>
      </c>
      <c r="P160" s="116">
        <v>663</v>
      </c>
      <c r="Q160" s="116">
        <v>655.20000000000005</v>
      </c>
      <c r="R160">
        <v>297261</v>
      </c>
    </row>
    <row r="161" spans="1:18" x14ac:dyDescent="0.25">
      <c r="A161" s="170">
        <v>43242</v>
      </c>
      <c r="B161" s="116">
        <v>668</v>
      </c>
      <c r="C161" s="116">
        <v>659.3</v>
      </c>
      <c r="D161" s="116">
        <v>656.5</v>
      </c>
      <c r="E161" s="116">
        <v>657.4</v>
      </c>
      <c r="F161" s="116">
        <v>659.3</v>
      </c>
      <c r="G161">
        <v>5363</v>
      </c>
      <c r="H161" s="116"/>
      <c r="I161" s="116"/>
      <c r="L161" s="170">
        <v>43242</v>
      </c>
      <c r="M161" s="116">
        <v>659.95</v>
      </c>
      <c r="N161" s="116">
        <v>670</v>
      </c>
      <c r="O161" s="116">
        <v>655.9</v>
      </c>
      <c r="P161" s="116">
        <v>656</v>
      </c>
      <c r="Q161" s="116">
        <v>659.95</v>
      </c>
      <c r="R161">
        <v>403662</v>
      </c>
    </row>
    <row r="162" spans="1:18" x14ac:dyDescent="0.25">
      <c r="A162" s="170">
        <v>43243</v>
      </c>
      <c r="B162" s="116">
        <v>680</v>
      </c>
      <c r="C162" s="116">
        <v>674</v>
      </c>
      <c r="D162" s="116">
        <v>659.45</v>
      </c>
      <c r="E162" s="116">
        <v>670</v>
      </c>
      <c r="F162" s="116">
        <v>674</v>
      </c>
      <c r="G162">
        <v>9983</v>
      </c>
      <c r="H162" s="116"/>
      <c r="I162" s="116"/>
      <c r="L162" s="170">
        <v>43243</v>
      </c>
      <c r="M162" s="116">
        <v>679.05</v>
      </c>
      <c r="N162" s="116">
        <v>684</v>
      </c>
      <c r="O162" s="116">
        <v>659.3</v>
      </c>
      <c r="P162" s="116">
        <v>664.8</v>
      </c>
      <c r="Q162" s="116">
        <v>679.05</v>
      </c>
      <c r="R162">
        <v>355517</v>
      </c>
    </row>
    <row r="163" spans="1:18" x14ac:dyDescent="0.25">
      <c r="A163" s="170">
        <v>43244</v>
      </c>
      <c r="B163" s="116">
        <v>685</v>
      </c>
      <c r="C163" s="116">
        <v>676.25</v>
      </c>
      <c r="D163" s="116">
        <v>668.85</v>
      </c>
      <c r="E163" s="116">
        <v>668.85</v>
      </c>
      <c r="F163" s="116">
        <v>676.25</v>
      </c>
      <c r="G163">
        <v>4888</v>
      </c>
      <c r="H163" s="116"/>
      <c r="I163" s="116"/>
      <c r="L163" s="170">
        <v>43244</v>
      </c>
      <c r="M163" s="116">
        <v>678.3</v>
      </c>
      <c r="N163" s="116">
        <v>686.85</v>
      </c>
      <c r="O163" s="116">
        <v>671.6</v>
      </c>
      <c r="P163" s="116">
        <v>673.65</v>
      </c>
      <c r="Q163" s="116">
        <v>678.3</v>
      </c>
      <c r="R163">
        <v>75038</v>
      </c>
    </row>
    <row r="164" spans="1:18" x14ac:dyDescent="0.25">
      <c r="A164" s="170">
        <v>43245</v>
      </c>
      <c r="B164" s="116">
        <v>685</v>
      </c>
      <c r="C164" s="116">
        <v>680.8</v>
      </c>
      <c r="D164" s="116">
        <v>673.8</v>
      </c>
      <c r="E164" s="116">
        <v>674.5</v>
      </c>
      <c r="F164" s="116">
        <v>680.8</v>
      </c>
      <c r="G164">
        <v>5292</v>
      </c>
      <c r="H164" s="116"/>
      <c r="I164" s="116"/>
      <c r="L164" s="170">
        <v>43245</v>
      </c>
      <c r="M164" s="116">
        <v>683.85</v>
      </c>
      <c r="N164" s="116">
        <v>688</v>
      </c>
      <c r="O164" s="116">
        <v>673.05</v>
      </c>
      <c r="P164" s="116">
        <v>675</v>
      </c>
      <c r="Q164" s="116">
        <v>683.85</v>
      </c>
      <c r="R164">
        <v>91418</v>
      </c>
    </row>
    <row r="165" spans="1:18" x14ac:dyDescent="0.25">
      <c r="A165" s="170">
        <v>43248</v>
      </c>
      <c r="B165" s="116">
        <v>698</v>
      </c>
      <c r="C165" s="116">
        <v>685.05</v>
      </c>
      <c r="D165" s="116">
        <v>679</v>
      </c>
      <c r="E165" s="116">
        <v>679</v>
      </c>
      <c r="F165" s="116">
        <v>685.05</v>
      </c>
      <c r="G165">
        <v>18616</v>
      </c>
      <c r="H165" s="116"/>
      <c r="I165" s="116"/>
      <c r="L165" s="170">
        <v>43248</v>
      </c>
      <c r="M165" s="116">
        <v>685.35</v>
      </c>
      <c r="N165" s="116">
        <v>698.35</v>
      </c>
      <c r="O165" s="116">
        <v>679.9</v>
      </c>
      <c r="P165" s="116">
        <v>681.75</v>
      </c>
      <c r="Q165" s="116">
        <v>685.35</v>
      </c>
      <c r="R165">
        <v>824327</v>
      </c>
    </row>
    <row r="166" spans="1:18" x14ac:dyDescent="0.25">
      <c r="A166" s="170">
        <v>43249</v>
      </c>
      <c r="B166" s="116">
        <v>701.6</v>
      </c>
      <c r="C166" s="116">
        <v>693.6</v>
      </c>
      <c r="D166" s="116">
        <v>682.25</v>
      </c>
      <c r="E166" s="116">
        <v>685.6</v>
      </c>
      <c r="F166" s="116">
        <v>693.6</v>
      </c>
      <c r="G166">
        <v>11141</v>
      </c>
      <c r="H166" s="116"/>
      <c r="I166" s="116"/>
      <c r="L166" s="170">
        <v>43249</v>
      </c>
      <c r="M166" s="116">
        <v>695.3</v>
      </c>
      <c r="N166" s="116">
        <v>702.5</v>
      </c>
      <c r="O166" s="116">
        <v>680</v>
      </c>
      <c r="P166" s="116">
        <v>680.4</v>
      </c>
      <c r="Q166" s="116">
        <v>695.3</v>
      </c>
      <c r="R166">
        <v>1042346</v>
      </c>
    </row>
    <row r="167" spans="1:18" x14ac:dyDescent="0.25">
      <c r="A167" s="170">
        <v>43250</v>
      </c>
      <c r="B167" s="116">
        <v>697.5</v>
      </c>
      <c r="C167" s="116">
        <v>693.8</v>
      </c>
      <c r="D167" s="116">
        <v>685.3</v>
      </c>
      <c r="E167" s="116">
        <v>689.6</v>
      </c>
      <c r="F167" s="116">
        <v>693.8</v>
      </c>
      <c r="G167">
        <v>7209</v>
      </c>
      <c r="H167" s="116"/>
      <c r="I167" s="116"/>
      <c r="L167" s="170">
        <v>43250</v>
      </c>
      <c r="M167" s="116">
        <v>694.3</v>
      </c>
      <c r="N167" s="116">
        <v>698.8</v>
      </c>
      <c r="O167" s="116">
        <v>685.1</v>
      </c>
      <c r="P167" s="116">
        <v>694.5</v>
      </c>
      <c r="Q167" s="116">
        <v>694.3</v>
      </c>
      <c r="R167">
        <v>209019</v>
      </c>
    </row>
    <row r="168" spans="1:18" x14ac:dyDescent="0.25">
      <c r="A168" s="170">
        <v>43251</v>
      </c>
      <c r="B168" s="116">
        <v>697.85</v>
      </c>
      <c r="C168" s="116">
        <v>690.4</v>
      </c>
      <c r="D168" s="116">
        <v>672.35</v>
      </c>
      <c r="E168" s="116">
        <v>693.9</v>
      </c>
      <c r="F168" s="116">
        <v>690.4</v>
      </c>
      <c r="G168">
        <v>8569</v>
      </c>
      <c r="H168" s="116"/>
      <c r="I168" s="116"/>
      <c r="L168" s="170">
        <v>43251</v>
      </c>
      <c r="M168" s="116">
        <v>689.8</v>
      </c>
      <c r="N168" s="116">
        <v>698.25</v>
      </c>
      <c r="O168" s="116">
        <v>670.55</v>
      </c>
      <c r="P168" s="116">
        <v>690.35</v>
      </c>
      <c r="Q168" s="116">
        <v>689.8</v>
      </c>
      <c r="R168">
        <v>205322</v>
      </c>
    </row>
    <row r="169" spans="1:18" x14ac:dyDescent="0.25">
      <c r="A169" s="170">
        <v>43252</v>
      </c>
      <c r="B169" s="116">
        <v>689.9</v>
      </c>
      <c r="C169" s="116">
        <v>674.1</v>
      </c>
      <c r="D169" s="116">
        <v>672</v>
      </c>
      <c r="E169" s="116">
        <v>689.9</v>
      </c>
      <c r="F169" s="116">
        <v>674.1</v>
      </c>
      <c r="G169">
        <v>4067</v>
      </c>
      <c r="H169" s="116"/>
      <c r="I169" s="116"/>
      <c r="L169" s="170">
        <v>43252</v>
      </c>
      <c r="M169" s="116">
        <v>676</v>
      </c>
      <c r="N169" s="116">
        <v>692.65</v>
      </c>
      <c r="O169" s="116">
        <v>673.65</v>
      </c>
      <c r="P169" s="116">
        <v>688.9</v>
      </c>
      <c r="Q169" s="116">
        <v>676</v>
      </c>
      <c r="R169">
        <v>250207</v>
      </c>
    </row>
    <row r="170" spans="1:18" x14ac:dyDescent="0.25">
      <c r="A170" s="170">
        <v>43255</v>
      </c>
      <c r="B170" s="116">
        <v>677.65</v>
      </c>
      <c r="C170" s="116">
        <v>660.75</v>
      </c>
      <c r="D170" s="116">
        <v>660</v>
      </c>
      <c r="E170" s="116">
        <v>676</v>
      </c>
      <c r="F170" s="116">
        <v>660.75</v>
      </c>
      <c r="G170">
        <v>13639</v>
      </c>
      <c r="H170" s="116"/>
      <c r="I170" s="116"/>
      <c r="L170" s="170">
        <v>43255</v>
      </c>
      <c r="M170" s="116">
        <v>660.05</v>
      </c>
      <c r="N170" s="116">
        <v>680</v>
      </c>
      <c r="O170" s="116">
        <v>658.5</v>
      </c>
      <c r="P170" s="116">
        <v>676.2</v>
      </c>
      <c r="Q170" s="116">
        <v>660.05</v>
      </c>
      <c r="R170">
        <v>635824</v>
      </c>
    </row>
    <row r="171" spans="1:18" x14ac:dyDescent="0.25">
      <c r="A171" s="170">
        <v>43256</v>
      </c>
      <c r="B171" s="116">
        <v>670</v>
      </c>
      <c r="C171" s="116">
        <v>663.5</v>
      </c>
      <c r="D171" s="116">
        <v>660.05</v>
      </c>
      <c r="E171" s="116">
        <v>664.6</v>
      </c>
      <c r="F171" s="116">
        <v>663.5</v>
      </c>
      <c r="G171">
        <v>3526</v>
      </c>
      <c r="H171" s="116"/>
      <c r="I171" s="116"/>
      <c r="L171" s="170">
        <v>43256</v>
      </c>
      <c r="M171" s="116">
        <v>665</v>
      </c>
      <c r="N171" s="116">
        <v>672.8</v>
      </c>
      <c r="O171" s="116">
        <v>660</v>
      </c>
      <c r="P171" s="116">
        <v>660.05</v>
      </c>
      <c r="Q171" s="116">
        <v>665</v>
      </c>
      <c r="R171">
        <v>189718</v>
      </c>
    </row>
    <row r="172" spans="1:18" x14ac:dyDescent="0.25">
      <c r="A172" s="170">
        <v>43257</v>
      </c>
      <c r="B172" s="116">
        <v>683.85</v>
      </c>
      <c r="C172" s="116">
        <v>678.35</v>
      </c>
      <c r="D172" s="116">
        <v>666</v>
      </c>
      <c r="E172" s="116">
        <v>667</v>
      </c>
      <c r="F172" s="116">
        <v>678.35</v>
      </c>
      <c r="G172">
        <v>8304</v>
      </c>
      <c r="H172" s="116"/>
      <c r="I172" s="116"/>
      <c r="L172" s="170">
        <v>43257</v>
      </c>
      <c r="M172" s="116">
        <v>683.1</v>
      </c>
      <c r="N172" s="116">
        <v>686.4</v>
      </c>
      <c r="O172" s="116">
        <v>662</v>
      </c>
      <c r="P172" s="116">
        <v>669</v>
      </c>
      <c r="Q172" s="116">
        <v>683.1</v>
      </c>
      <c r="R172">
        <v>174179</v>
      </c>
    </row>
    <row r="173" spans="1:18" x14ac:dyDescent="0.25">
      <c r="A173" s="170">
        <v>43258</v>
      </c>
      <c r="B173" s="116">
        <v>698.3</v>
      </c>
      <c r="C173" s="116">
        <v>687.3</v>
      </c>
      <c r="D173" s="116">
        <v>680.8</v>
      </c>
      <c r="E173" s="116">
        <v>685.5</v>
      </c>
      <c r="F173" s="116">
        <v>687.3</v>
      </c>
      <c r="G173">
        <v>13247</v>
      </c>
      <c r="H173" s="116"/>
      <c r="I173" s="116"/>
      <c r="L173" s="170">
        <v>43258</v>
      </c>
      <c r="M173" s="116">
        <v>692</v>
      </c>
      <c r="N173" s="116">
        <v>697</v>
      </c>
      <c r="O173" s="116">
        <v>681.1</v>
      </c>
      <c r="P173" s="116">
        <v>689.95</v>
      </c>
      <c r="Q173" s="116">
        <v>692</v>
      </c>
      <c r="R173">
        <v>339268</v>
      </c>
    </row>
    <row r="174" spans="1:18" x14ac:dyDescent="0.25">
      <c r="A174" s="170">
        <v>43259</v>
      </c>
      <c r="B174" s="116">
        <v>693.9</v>
      </c>
      <c r="C174" s="116">
        <v>691.4</v>
      </c>
      <c r="D174" s="116">
        <v>682.8</v>
      </c>
      <c r="E174" s="116">
        <v>684.15</v>
      </c>
      <c r="F174" s="116">
        <v>691.4</v>
      </c>
      <c r="G174">
        <v>3819</v>
      </c>
      <c r="H174" s="116"/>
      <c r="I174" s="116"/>
      <c r="L174" s="170">
        <v>43259</v>
      </c>
      <c r="M174" s="116">
        <v>692.35</v>
      </c>
      <c r="N174" s="116">
        <v>696.9</v>
      </c>
      <c r="O174" s="116">
        <v>681.55</v>
      </c>
      <c r="P174" s="116">
        <v>685.5</v>
      </c>
      <c r="Q174" s="116">
        <v>692.35</v>
      </c>
      <c r="R174">
        <v>231427</v>
      </c>
    </row>
    <row r="175" spans="1:18" x14ac:dyDescent="0.25">
      <c r="A175" s="170">
        <v>43262</v>
      </c>
      <c r="B175" s="116">
        <v>711.45</v>
      </c>
      <c r="C175" s="116">
        <v>709.45</v>
      </c>
      <c r="D175" s="116">
        <v>688.9</v>
      </c>
      <c r="E175" s="116">
        <v>690.75</v>
      </c>
      <c r="F175" s="116">
        <v>709.45</v>
      </c>
      <c r="G175">
        <v>29314</v>
      </c>
      <c r="H175" s="116"/>
      <c r="I175" s="116"/>
      <c r="L175" s="170">
        <v>43262</v>
      </c>
      <c r="M175" s="116">
        <v>712.5</v>
      </c>
      <c r="N175" s="116">
        <v>714</v>
      </c>
      <c r="O175" s="116">
        <v>688.2</v>
      </c>
      <c r="P175" s="116">
        <v>688.5</v>
      </c>
      <c r="Q175" s="116">
        <v>712.5</v>
      </c>
      <c r="R175">
        <v>872476</v>
      </c>
    </row>
    <row r="176" spans="1:18" x14ac:dyDescent="0.25">
      <c r="A176" s="170">
        <v>43263</v>
      </c>
      <c r="B176" s="116">
        <v>727.35</v>
      </c>
      <c r="C176" s="116">
        <v>717.6</v>
      </c>
      <c r="D176" s="116">
        <v>708</v>
      </c>
      <c r="E176" s="116">
        <v>708</v>
      </c>
      <c r="F176" s="116">
        <v>717.6</v>
      </c>
      <c r="G176">
        <v>26612</v>
      </c>
      <c r="H176" s="116"/>
      <c r="I176" s="116"/>
      <c r="L176" s="170">
        <v>43263</v>
      </c>
      <c r="M176" s="116">
        <v>719.9</v>
      </c>
      <c r="N176" s="116">
        <v>729.9</v>
      </c>
      <c r="O176" s="116">
        <v>708.2</v>
      </c>
      <c r="P176" s="116">
        <v>708.2</v>
      </c>
      <c r="Q176" s="116">
        <v>719.9</v>
      </c>
      <c r="R176">
        <v>678290</v>
      </c>
    </row>
    <row r="177" spans="1:18" x14ac:dyDescent="0.25">
      <c r="A177" s="170">
        <v>43264</v>
      </c>
      <c r="B177" s="116">
        <v>720.15</v>
      </c>
      <c r="C177" s="116">
        <v>701</v>
      </c>
      <c r="D177" s="116">
        <v>700</v>
      </c>
      <c r="E177" s="116">
        <v>719</v>
      </c>
      <c r="F177" s="116">
        <v>701</v>
      </c>
      <c r="G177">
        <v>6831</v>
      </c>
      <c r="H177" s="116"/>
      <c r="I177" s="116"/>
      <c r="L177" s="170">
        <v>43264</v>
      </c>
      <c r="M177" s="116">
        <v>702.25</v>
      </c>
      <c r="N177" s="116">
        <v>729.9</v>
      </c>
      <c r="O177" s="116">
        <v>700</v>
      </c>
      <c r="P177" s="116">
        <v>715.7</v>
      </c>
      <c r="Q177" s="116">
        <v>702.25</v>
      </c>
      <c r="R177">
        <v>584484</v>
      </c>
    </row>
    <row r="178" spans="1:18" x14ac:dyDescent="0.25">
      <c r="A178" s="170">
        <v>43265</v>
      </c>
      <c r="B178" s="116">
        <v>698</v>
      </c>
      <c r="C178" s="116">
        <v>689.6</v>
      </c>
      <c r="D178" s="116">
        <v>686.5</v>
      </c>
      <c r="E178" s="116">
        <v>698</v>
      </c>
      <c r="F178" s="116">
        <v>689.6</v>
      </c>
      <c r="G178">
        <v>152040</v>
      </c>
      <c r="H178" s="116"/>
      <c r="I178" s="116"/>
      <c r="L178" s="170">
        <v>43265</v>
      </c>
      <c r="M178" s="116">
        <v>689.9</v>
      </c>
      <c r="N178" s="116">
        <v>701.95</v>
      </c>
      <c r="O178" s="116">
        <v>686</v>
      </c>
      <c r="P178" s="116">
        <v>701.95</v>
      </c>
      <c r="Q178" s="116">
        <v>689.9</v>
      </c>
      <c r="R178">
        <v>463811</v>
      </c>
    </row>
    <row r="179" spans="1:18" x14ac:dyDescent="0.25">
      <c r="A179" s="170">
        <v>43266</v>
      </c>
      <c r="B179" s="116">
        <v>686.1</v>
      </c>
      <c r="C179" s="116">
        <v>672.35</v>
      </c>
      <c r="D179" s="116">
        <v>668</v>
      </c>
      <c r="E179" s="116">
        <v>685</v>
      </c>
      <c r="F179" s="116">
        <v>672.35</v>
      </c>
      <c r="G179">
        <v>27630</v>
      </c>
      <c r="H179" s="116"/>
      <c r="I179" s="116"/>
      <c r="L179" s="170">
        <v>43266</v>
      </c>
      <c r="M179" s="116">
        <v>671.8</v>
      </c>
      <c r="N179" s="116">
        <v>689.1</v>
      </c>
      <c r="O179" s="116">
        <v>668.1</v>
      </c>
      <c r="P179" s="116">
        <v>685.35</v>
      </c>
      <c r="Q179" s="116">
        <v>671.8</v>
      </c>
      <c r="R179">
        <v>4172714</v>
      </c>
    </row>
    <row r="180" spans="1:18" x14ac:dyDescent="0.25">
      <c r="A180" s="170">
        <v>43269</v>
      </c>
      <c r="B180" s="116">
        <v>683.2</v>
      </c>
      <c r="C180" s="116">
        <v>671.25</v>
      </c>
      <c r="D180" s="116">
        <v>670</v>
      </c>
      <c r="E180" s="116">
        <v>673</v>
      </c>
      <c r="F180" s="116">
        <v>671.25</v>
      </c>
      <c r="G180">
        <v>8062</v>
      </c>
      <c r="H180" s="116"/>
      <c r="I180" s="116"/>
      <c r="L180" s="170">
        <v>43269</v>
      </c>
      <c r="M180" s="116">
        <v>671.85</v>
      </c>
      <c r="N180" s="116">
        <v>684.05</v>
      </c>
      <c r="O180" s="116">
        <v>670</v>
      </c>
      <c r="P180" s="116">
        <v>676.7</v>
      </c>
      <c r="Q180" s="116">
        <v>671.85</v>
      </c>
      <c r="R180">
        <v>159457</v>
      </c>
    </row>
    <row r="181" spans="1:18" x14ac:dyDescent="0.25">
      <c r="A181" s="170">
        <v>43270</v>
      </c>
      <c r="B181" s="116">
        <v>678</v>
      </c>
      <c r="C181" s="116">
        <v>671.95</v>
      </c>
      <c r="D181" s="116">
        <v>668.2</v>
      </c>
      <c r="E181" s="116">
        <v>670</v>
      </c>
      <c r="F181" s="116">
        <v>671.95</v>
      </c>
      <c r="G181">
        <v>6208</v>
      </c>
      <c r="H181" s="116"/>
      <c r="I181" s="116"/>
      <c r="L181" s="170">
        <v>43270</v>
      </c>
      <c r="M181" s="116">
        <v>673.45</v>
      </c>
      <c r="N181" s="116">
        <v>680</v>
      </c>
      <c r="O181" s="116">
        <v>667</v>
      </c>
      <c r="P181" s="116">
        <v>667</v>
      </c>
      <c r="Q181" s="116">
        <v>673.45</v>
      </c>
      <c r="R181">
        <v>382091</v>
      </c>
    </row>
    <row r="182" spans="1:18" x14ac:dyDescent="0.25">
      <c r="A182" s="170">
        <v>43271</v>
      </c>
      <c r="B182" s="116">
        <v>685.6</v>
      </c>
      <c r="C182" s="116">
        <v>675.95</v>
      </c>
      <c r="D182" s="116">
        <v>671.95</v>
      </c>
      <c r="E182" s="116">
        <v>671.95</v>
      </c>
      <c r="F182" s="116">
        <v>675.95</v>
      </c>
      <c r="G182">
        <v>4691</v>
      </c>
      <c r="H182" s="116"/>
      <c r="I182" s="116"/>
      <c r="L182" s="170">
        <v>43271</v>
      </c>
      <c r="M182" s="116">
        <v>676.2</v>
      </c>
      <c r="N182" s="116">
        <v>686</v>
      </c>
      <c r="O182" s="116">
        <v>673.45</v>
      </c>
      <c r="P182" s="116">
        <v>673.45</v>
      </c>
      <c r="Q182" s="116">
        <v>676.2</v>
      </c>
      <c r="R182">
        <v>294569</v>
      </c>
    </row>
    <row r="183" spans="1:18" x14ac:dyDescent="0.25">
      <c r="A183" s="170">
        <v>43272</v>
      </c>
      <c r="B183" s="116">
        <v>684.75</v>
      </c>
      <c r="C183" s="116">
        <v>674.5</v>
      </c>
      <c r="D183" s="116">
        <v>673.6</v>
      </c>
      <c r="E183" s="116">
        <v>675</v>
      </c>
      <c r="F183" s="116">
        <v>674.5</v>
      </c>
      <c r="G183">
        <v>4664</v>
      </c>
      <c r="H183" s="116"/>
      <c r="I183" s="116"/>
      <c r="L183" s="170">
        <v>43272</v>
      </c>
      <c r="M183" s="116">
        <v>675.45</v>
      </c>
      <c r="N183" s="116">
        <v>685.75</v>
      </c>
      <c r="O183" s="116">
        <v>675</v>
      </c>
      <c r="P183" s="116">
        <v>676.2</v>
      </c>
      <c r="Q183" s="116">
        <v>675.45</v>
      </c>
      <c r="R183">
        <v>192773</v>
      </c>
    </row>
    <row r="184" spans="1:18" x14ac:dyDescent="0.25">
      <c r="A184" s="170">
        <v>43273</v>
      </c>
      <c r="B184" s="116">
        <v>691.8</v>
      </c>
      <c r="C184" s="116">
        <v>684.65</v>
      </c>
      <c r="D184" s="116">
        <v>672.85</v>
      </c>
      <c r="E184" s="116">
        <v>678.85</v>
      </c>
      <c r="F184" s="116">
        <v>684.65</v>
      </c>
      <c r="G184">
        <v>8923</v>
      </c>
      <c r="H184" s="116"/>
      <c r="I184" s="116"/>
      <c r="L184" s="170">
        <v>43273</v>
      </c>
      <c r="M184" s="116">
        <v>685.2</v>
      </c>
      <c r="N184" s="116">
        <v>692.5</v>
      </c>
      <c r="O184" s="116">
        <v>678.8</v>
      </c>
      <c r="P184" s="116">
        <v>678.8</v>
      </c>
      <c r="Q184" s="116">
        <v>685.2</v>
      </c>
      <c r="R184">
        <v>159149</v>
      </c>
    </row>
    <row r="185" spans="1:18" x14ac:dyDescent="0.25">
      <c r="A185" s="170">
        <v>43276</v>
      </c>
      <c r="B185" s="116">
        <v>697.95</v>
      </c>
      <c r="C185" s="116">
        <v>688.4</v>
      </c>
      <c r="D185" s="116">
        <v>682</v>
      </c>
      <c r="E185" s="116">
        <v>686.45</v>
      </c>
      <c r="F185" s="116">
        <v>688.4</v>
      </c>
      <c r="G185">
        <v>7034</v>
      </c>
      <c r="H185" s="116"/>
      <c r="I185" s="116"/>
      <c r="L185" s="170">
        <v>43276</v>
      </c>
      <c r="M185" s="116">
        <v>689.75</v>
      </c>
      <c r="N185" s="116">
        <v>698.9</v>
      </c>
      <c r="O185" s="116">
        <v>677.7</v>
      </c>
      <c r="P185" s="116">
        <v>686</v>
      </c>
      <c r="Q185" s="116">
        <v>689.75</v>
      </c>
      <c r="R185">
        <v>173207</v>
      </c>
    </row>
    <row r="186" spans="1:18" x14ac:dyDescent="0.25">
      <c r="A186" s="170">
        <v>43277</v>
      </c>
      <c r="B186" s="116">
        <v>692.35</v>
      </c>
      <c r="C186" s="116">
        <v>682.8</v>
      </c>
      <c r="D186" s="116">
        <v>679.05</v>
      </c>
      <c r="E186" s="116">
        <v>682</v>
      </c>
      <c r="F186" s="116">
        <v>682.8</v>
      </c>
      <c r="G186">
        <v>4488</v>
      </c>
      <c r="H186" s="116"/>
      <c r="I186" s="116"/>
      <c r="L186" s="170">
        <v>43277</v>
      </c>
      <c r="M186" s="116">
        <v>684.7</v>
      </c>
      <c r="N186" s="116">
        <v>694.35</v>
      </c>
      <c r="O186" s="116">
        <v>678.4</v>
      </c>
      <c r="P186" s="116">
        <v>689.75</v>
      </c>
      <c r="Q186" s="116">
        <v>684.7</v>
      </c>
      <c r="R186">
        <v>141038</v>
      </c>
    </row>
    <row r="187" spans="1:18" x14ac:dyDescent="0.25">
      <c r="A187" s="170">
        <v>43278</v>
      </c>
      <c r="B187" s="116">
        <v>682.25</v>
      </c>
      <c r="C187" s="116">
        <v>676.85</v>
      </c>
      <c r="D187" s="116">
        <v>671.85</v>
      </c>
      <c r="E187" s="116">
        <v>681.4</v>
      </c>
      <c r="F187" s="116">
        <v>676.85</v>
      </c>
      <c r="G187">
        <v>4030</v>
      </c>
      <c r="H187" s="116"/>
      <c r="I187" s="116"/>
      <c r="L187" s="170">
        <v>43278</v>
      </c>
      <c r="M187" s="116">
        <v>677.75</v>
      </c>
      <c r="N187" s="116">
        <v>688.85</v>
      </c>
      <c r="O187" s="116">
        <v>674.5</v>
      </c>
      <c r="P187" s="116">
        <v>681.55</v>
      </c>
      <c r="Q187" s="116">
        <v>677.75</v>
      </c>
      <c r="R187">
        <v>216975</v>
      </c>
    </row>
    <row r="188" spans="1:18" x14ac:dyDescent="0.25">
      <c r="A188" s="170">
        <v>43279</v>
      </c>
      <c r="B188" s="116">
        <v>681.4</v>
      </c>
      <c r="C188" s="116">
        <v>666.65</v>
      </c>
      <c r="D188" s="116">
        <v>659.25</v>
      </c>
      <c r="E188" s="116">
        <v>673.7</v>
      </c>
      <c r="F188" s="116">
        <v>666.65</v>
      </c>
      <c r="G188">
        <v>10135</v>
      </c>
      <c r="H188" s="116"/>
      <c r="I188" s="116"/>
      <c r="L188" s="170">
        <v>43279</v>
      </c>
      <c r="M188" s="116">
        <v>666.4</v>
      </c>
      <c r="N188" s="116">
        <v>681.1</v>
      </c>
      <c r="O188" s="116">
        <v>658.05</v>
      </c>
      <c r="P188" s="116">
        <v>681.1</v>
      </c>
      <c r="Q188" s="116">
        <v>666.4</v>
      </c>
      <c r="R188">
        <v>255422</v>
      </c>
    </row>
    <row r="189" spans="1:18" x14ac:dyDescent="0.25">
      <c r="A189" s="170">
        <v>43280</v>
      </c>
      <c r="B189" s="116">
        <v>693</v>
      </c>
      <c r="C189" s="116">
        <v>671.75</v>
      </c>
      <c r="D189" s="116">
        <v>663.3</v>
      </c>
      <c r="E189" s="116">
        <v>666.9</v>
      </c>
      <c r="F189" s="116">
        <v>671.75</v>
      </c>
      <c r="G189">
        <v>5902</v>
      </c>
      <c r="H189" s="116"/>
      <c r="I189" s="116"/>
      <c r="L189" s="170">
        <v>43280</v>
      </c>
      <c r="M189" s="116">
        <v>674.35</v>
      </c>
      <c r="N189" s="116">
        <v>685</v>
      </c>
      <c r="O189" s="116">
        <v>666</v>
      </c>
      <c r="P189" s="116">
        <v>666</v>
      </c>
      <c r="Q189" s="116">
        <v>674.35</v>
      </c>
      <c r="R189">
        <v>162407</v>
      </c>
    </row>
    <row r="190" spans="1:18" x14ac:dyDescent="0.25">
      <c r="A190" s="170">
        <v>43283</v>
      </c>
      <c r="B190" s="116">
        <v>681.3</v>
      </c>
      <c r="C190" s="116">
        <v>667.9</v>
      </c>
      <c r="D190" s="116">
        <v>661.1</v>
      </c>
      <c r="E190" s="116">
        <v>679</v>
      </c>
      <c r="F190" s="116">
        <v>667.9</v>
      </c>
      <c r="G190">
        <v>4343</v>
      </c>
      <c r="H190" s="116"/>
      <c r="I190" s="116"/>
      <c r="L190" s="170">
        <v>43283</v>
      </c>
      <c r="M190" s="116">
        <v>669.4</v>
      </c>
      <c r="N190" s="116">
        <v>683.85</v>
      </c>
      <c r="O190" s="116">
        <v>660.85</v>
      </c>
      <c r="P190" s="116">
        <v>675.3</v>
      </c>
      <c r="Q190" s="116">
        <v>669.4</v>
      </c>
      <c r="R190">
        <v>125314</v>
      </c>
    </row>
    <row r="191" spans="1:18" x14ac:dyDescent="0.25">
      <c r="A191" s="170">
        <v>43284</v>
      </c>
      <c r="B191" s="116">
        <v>689.9</v>
      </c>
      <c r="C191" s="116">
        <v>669.9</v>
      </c>
      <c r="D191" s="116">
        <v>668</v>
      </c>
      <c r="E191" s="116">
        <v>670</v>
      </c>
      <c r="F191" s="116">
        <v>669.9</v>
      </c>
      <c r="G191">
        <v>2358</v>
      </c>
      <c r="H191" s="116"/>
      <c r="I191" s="116"/>
      <c r="L191" s="170">
        <v>43284</v>
      </c>
      <c r="M191" s="116">
        <v>670.25</v>
      </c>
      <c r="N191" s="116">
        <v>674.4</v>
      </c>
      <c r="O191" s="116">
        <v>665.65</v>
      </c>
      <c r="P191" s="116">
        <v>670.5</v>
      </c>
      <c r="Q191" s="116">
        <v>670.25</v>
      </c>
      <c r="R191">
        <v>84524</v>
      </c>
    </row>
    <row r="192" spans="1:18" x14ac:dyDescent="0.25">
      <c r="A192" s="170">
        <v>43285</v>
      </c>
      <c r="B192" s="116">
        <v>672.55</v>
      </c>
      <c r="C192" s="116">
        <v>664.6</v>
      </c>
      <c r="D192" s="116">
        <v>662</v>
      </c>
      <c r="E192" s="116">
        <v>668.4</v>
      </c>
      <c r="F192" s="116">
        <v>664.6</v>
      </c>
      <c r="G192">
        <v>2590</v>
      </c>
      <c r="H192" s="116"/>
      <c r="I192" s="116"/>
      <c r="L192" s="170">
        <v>43285</v>
      </c>
      <c r="M192" s="116">
        <v>664.05</v>
      </c>
      <c r="N192" s="116">
        <v>672</v>
      </c>
      <c r="O192" s="116">
        <v>661.4</v>
      </c>
      <c r="P192" s="116">
        <v>668</v>
      </c>
      <c r="Q192" s="116">
        <v>664.05</v>
      </c>
      <c r="R192">
        <v>133985</v>
      </c>
    </row>
    <row r="193" spans="1:18" x14ac:dyDescent="0.25">
      <c r="A193" s="170">
        <v>43286</v>
      </c>
      <c r="B193" s="116">
        <v>670.2</v>
      </c>
      <c r="C193" s="116">
        <v>663.15</v>
      </c>
      <c r="D193" s="116">
        <v>662.25</v>
      </c>
      <c r="E193" s="116">
        <v>663.05</v>
      </c>
      <c r="F193" s="116">
        <v>663.15</v>
      </c>
      <c r="G193">
        <v>5242</v>
      </c>
      <c r="H193" s="116"/>
      <c r="I193" s="116"/>
      <c r="L193" s="170">
        <v>43286</v>
      </c>
      <c r="M193" s="116">
        <v>665.1</v>
      </c>
      <c r="N193" s="116">
        <v>670.5</v>
      </c>
      <c r="O193" s="116">
        <v>663</v>
      </c>
      <c r="P193" s="116">
        <v>670</v>
      </c>
      <c r="Q193" s="116">
        <v>665.1</v>
      </c>
      <c r="R193">
        <v>134614</v>
      </c>
    </row>
    <row r="194" spans="1:18" x14ac:dyDescent="0.25">
      <c r="A194" s="170">
        <v>43287</v>
      </c>
      <c r="B194" s="116">
        <v>672</v>
      </c>
      <c r="C194" s="116">
        <v>667.4</v>
      </c>
      <c r="D194" s="116">
        <v>660.15</v>
      </c>
      <c r="E194" s="116">
        <v>662.15</v>
      </c>
      <c r="F194" s="116">
        <v>667.4</v>
      </c>
      <c r="G194">
        <v>4295</v>
      </c>
      <c r="H194" s="116"/>
      <c r="I194" s="116"/>
      <c r="L194" s="170">
        <v>43287</v>
      </c>
      <c r="M194" s="116">
        <v>668.05</v>
      </c>
      <c r="N194" s="116">
        <v>670</v>
      </c>
      <c r="O194" s="116">
        <v>664.25</v>
      </c>
      <c r="P194" s="116">
        <v>669.8</v>
      </c>
      <c r="Q194" s="116">
        <v>668.05</v>
      </c>
      <c r="R194">
        <v>166887</v>
      </c>
    </row>
    <row r="195" spans="1:18" x14ac:dyDescent="0.25">
      <c r="A195" s="170">
        <v>43290</v>
      </c>
      <c r="B195" s="116">
        <v>668.9</v>
      </c>
      <c r="C195" s="116">
        <v>664.9</v>
      </c>
      <c r="D195" s="116">
        <v>661.55</v>
      </c>
      <c r="E195" s="116">
        <v>668.9</v>
      </c>
      <c r="F195" s="116">
        <v>664.9</v>
      </c>
      <c r="G195">
        <v>656797</v>
      </c>
      <c r="H195" s="116"/>
      <c r="I195" s="116"/>
      <c r="L195" s="170">
        <v>43290</v>
      </c>
      <c r="M195" s="116">
        <v>664.85</v>
      </c>
      <c r="N195" s="116">
        <v>670</v>
      </c>
      <c r="O195" s="116">
        <v>660.75</v>
      </c>
      <c r="P195" s="116">
        <v>665</v>
      </c>
      <c r="Q195" s="116">
        <v>664.85</v>
      </c>
      <c r="R195">
        <v>134065</v>
      </c>
    </row>
    <row r="196" spans="1:18" x14ac:dyDescent="0.25">
      <c r="A196" s="170">
        <v>43291</v>
      </c>
      <c r="B196" s="116">
        <v>667</v>
      </c>
      <c r="C196" s="116">
        <v>660</v>
      </c>
      <c r="D196" s="116">
        <v>658.6</v>
      </c>
      <c r="E196" s="116">
        <v>665.9</v>
      </c>
      <c r="F196" s="116">
        <v>660</v>
      </c>
      <c r="G196">
        <v>10678</v>
      </c>
      <c r="H196" s="116"/>
      <c r="I196" s="116"/>
      <c r="L196" s="170">
        <v>43291</v>
      </c>
      <c r="M196" s="116">
        <v>661.35</v>
      </c>
      <c r="N196" s="116">
        <v>669.7</v>
      </c>
      <c r="O196" s="116">
        <v>660</v>
      </c>
      <c r="P196" s="116">
        <v>669.7</v>
      </c>
      <c r="Q196" s="116">
        <v>661.35</v>
      </c>
      <c r="R196">
        <v>330679</v>
      </c>
    </row>
    <row r="197" spans="1:18" x14ac:dyDescent="0.25">
      <c r="A197" s="170">
        <v>43292</v>
      </c>
      <c r="B197" s="116">
        <v>663.55</v>
      </c>
      <c r="C197" s="116">
        <v>660.95</v>
      </c>
      <c r="D197" s="116">
        <v>658.35</v>
      </c>
      <c r="E197" s="116">
        <v>658.4</v>
      </c>
      <c r="F197" s="116">
        <v>660.95</v>
      </c>
      <c r="G197">
        <v>3050</v>
      </c>
      <c r="H197" s="116"/>
      <c r="I197" s="116"/>
      <c r="L197" s="170">
        <v>43292</v>
      </c>
      <c r="M197" s="116">
        <v>662.1</v>
      </c>
      <c r="N197" s="116">
        <v>664.05</v>
      </c>
      <c r="O197" s="116">
        <v>659.95</v>
      </c>
      <c r="P197" s="116">
        <v>659.95</v>
      </c>
      <c r="Q197" s="116">
        <v>662.1</v>
      </c>
      <c r="R197">
        <v>294280</v>
      </c>
    </row>
    <row r="198" spans="1:18" x14ac:dyDescent="0.25">
      <c r="A198" s="170">
        <v>43293</v>
      </c>
      <c r="B198" s="116">
        <v>675.15</v>
      </c>
      <c r="C198" s="116">
        <v>664.35</v>
      </c>
      <c r="D198" s="116">
        <v>661.15</v>
      </c>
      <c r="E198" s="116">
        <v>661.15</v>
      </c>
      <c r="F198" s="116">
        <v>664.35</v>
      </c>
      <c r="G198">
        <v>5563</v>
      </c>
      <c r="H198" s="116"/>
      <c r="I198" s="116"/>
      <c r="L198" s="170">
        <v>43293</v>
      </c>
      <c r="M198" s="116">
        <v>664.7</v>
      </c>
      <c r="N198" s="116">
        <v>667.35</v>
      </c>
      <c r="O198" s="116">
        <v>661.4</v>
      </c>
      <c r="P198" s="116">
        <v>664.25</v>
      </c>
      <c r="Q198" s="116">
        <v>664.7</v>
      </c>
      <c r="R198">
        <v>138269</v>
      </c>
    </row>
    <row r="199" spans="1:18" x14ac:dyDescent="0.25">
      <c r="A199" s="170">
        <v>43294</v>
      </c>
      <c r="B199" s="116">
        <v>665</v>
      </c>
      <c r="C199" s="116">
        <v>660.45</v>
      </c>
      <c r="D199" s="116">
        <v>659.85</v>
      </c>
      <c r="E199" s="116">
        <v>660.8</v>
      </c>
      <c r="F199" s="116">
        <v>660.45</v>
      </c>
      <c r="G199">
        <v>3121</v>
      </c>
      <c r="H199" s="116"/>
      <c r="I199" s="116"/>
      <c r="L199" s="170">
        <v>43294</v>
      </c>
      <c r="M199" s="116">
        <v>661.05</v>
      </c>
      <c r="N199" s="116">
        <v>665</v>
      </c>
      <c r="O199" s="116">
        <v>659</v>
      </c>
      <c r="P199" s="116">
        <v>662</v>
      </c>
      <c r="Q199" s="116">
        <v>661.05</v>
      </c>
      <c r="R199">
        <v>98347</v>
      </c>
    </row>
    <row r="200" spans="1:18" x14ac:dyDescent="0.25">
      <c r="A200" s="170">
        <v>43297</v>
      </c>
      <c r="B200" s="116">
        <v>669.8</v>
      </c>
      <c r="C200" s="116">
        <v>654.95000000000005</v>
      </c>
      <c r="D200" s="116">
        <v>654.29999999999995</v>
      </c>
      <c r="E200" s="116">
        <v>669.8</v>
      </c>
      <c r="F200" s="116">
        <v>654.95000000000005</v>
      </c>
      <c r="G200">
        <v>3530</v>
      </c>
      <c r="H200" s="116"/>
      <c r="I200" s="116"/>
      <c r="L200" s="170">
        <v>43297</v>
      </c>
      <c r="M200" s="116">
        <v>656.2</v>
      </c>
      <c r="N200" s="116">
        <v>661.55</v>
      </c>
      <c r="O200" s="116">
        <v>655</v>
      </c>
      <c r="P200" s="116">
        <v>661.1</v>
      </c>
      <c r="Q200" s="116">
        <v>656.2</v>
      </c>
      <c r="R200">
        <v>55711</v>
      </c>
    </row>
    <row r="201" spans="1:18" x14ac:dyDescent="0.25">
      <c r="A201" s="170">
        <v>43298</v>
      </c>
      <c r="B201" s="116">
        <v>664.85</v>
      </c>
      <c r="C201" s="116">
        <v>663.15</v>
      </c>
      <c r="D201" s="116">
        <v>655.1</v>
      </c>
      <c r="E201" s="116">
        <v>655.15</v>
      </c>
      <c r="F201" s="116">
        <v>663.15</v>
      </c>
      <c r="G201">
        <v>3802</v>
      </c>
      <c r="H201" s="116"/>
      <c r="I201" s="116"/>
      <c r="L201" s="170">
        <v>43298</v>
      </c>
      <c r="M201" s="116">
        <v>664.55</v>
      </c>
      <c r="N201" s="116">
        <v>666</v>
      </c>
      <c r="O201" s="116">
        <v>654.5</v>
      </c>
      <c r="P201" s="116">
        <v>655.20000000000005</v>
      </c>
      <c r="Q201" s="116">
        <v>664.55</v>
      </c>
      <c r="R201">
        <v>56942</v>
      </c>
    </row>
    <row r="202" spans="1:18" x14ac:dyDescent="0.25">
      <c r="A202" s="170">
        <v>43299</v>
      </c>
      <c r="B202" s="116">
        <v>665.35</v>
      </c>
      <c r="C202" s="116">
        <v>650.29999999999995</v>
      </c>
      <c r="D202" s="116">
        <v>642.04999999999995</v>
      </c>
      <c r="E202" s="116">
        <v>665.2</v>
      </c>
      <c r="F202" s="116">
        <v>650.29999999999995</v>
      </c>
      <c r="G202">
        <v>7553</v>
      </c>
      <c r="H202" s="116"/>
      <c r="I202" s="116"/>
      <c r="L202" s="170">
        <v>43299</v>
      </c>
      <c r="M202" s="116">
        <v>649.20000000000005</v>
      </c>
      <c r="N202" s="116">
        <v>668</v>
      </c>
      <c r="O202" s="116">
        <v>640</v>
      </c>
      <c r="P202" s="116">
        <v>667</v>
      </c>
      <c r="Q202" s="116">
        <v>649.20000000000005</v>
      </c>
      <c r="R202">
        <v>273188</v>
      </c>
    </row>
    <row r="203" spans="1:18" x14ac:dyDescent="0.25">
      <c r="A203" s="170">
        <v>43300</v>
      </c>
      <c r="B203" s="116">
        <v>656.35</v>
      </c>
      <c r="C203" s="116">
        <v>635</v>
      </c>
      <c r="D203" s="116">
        <v>633.04999999999995</v>
      </c>
      <c r="E203" s="116">
        <v>653.65</v>
      </c>
      <c r="F203" s="116">
        <v>635</v>
      </c>
      <c r="G203">
        <v>309321</v>
      </c>
      <c r="H203" s="116"/>
      <c r="I203" s="116"/>
      <c r="L203" s="170">
        <v>43300</v>
      </c>
      <c r="M203" s="116">
        <v>633.75</v>
      </c>
      <c r="N203" s="116">
        <v>656.95</v>
      </c>
      <c r="O203" s="116">
        <v>631</v>
      </c>
      <c r="P203" s="116">
        <v>650</v>
      </c>
      <c r="Q203" s="116">
        <v>633.75</v>
      </c>
      <c r="R203">
        <v>190097</v>
      </c>
    </row>
    <row r="204" spans="1:18" x14ac:dyDescent="0.25">
      <c r="A204" s="170">
        <v>43301</v>
      </c>
      <c r="B204" s="116">
        <v>639.5</v>
      </c>
      <c r="C204" s="116">
        <v>632.95000000000005</v>
      </c>
      <c r="D204" s="116">
        <v>628.04999999999995</v>
      </c>
      <c r="E204" s="116">
        <v>631.79999999999995</v>
      </c>
      <c r="F204" s="116">
        <v>632.95000000000005</v>
      </c>
      <c r="G204">
        <v>7650</v>
      </c>
      <c r="H204" s="116"/>
      <c r="I204" s="116"/>
      <c r="L204" s="170">
        <v>43301</v>
      </c>
      <c r="M204" s="116">
        <v>633.04999999999995</v>
      </c>
      <c r="N204" s="116">
        <v>638</v>
      </c>
      <c r="O204" s="116">
        <v>628</v>
      </c>
      <c r="P204" s="116">
        <v>632</v>
      </c>
      <c r="Q204" s="116">
        <v>633.04999999999995</v>
      </c>
      <c r="R204">
        <v>295830</v>
      </c>
    </row>
    <row r="205" spans="1:18" x14ac:dyDescent="0.25">
      <c r="A205" s="170">
        <v>43304</v>
      </c>
      <c r="B205" s="116">
        <v>657.25</v>
      </c>
      <c r="C205" s="116">
        <v>651.45000000000005</v>
      </c>
      <c r="D205" s="116">
        <v>625</v>
      </c>
      <c r="E205" s="116">
        <v>628.15</v>
      </c>
      <c r="F205" s="116">
        <v>651.45000000000005</v>
      </c>
      <c r="G205">
        <v>5856</v>
      </c>
      <c r="H205" s="116"/>
      <c r="I205" s="116"/>
      <c r="L205" s="170">
        <v>43304</v>
      </c>
      <c r="M205" s="116">
        <v>652.75</v>
      </c>
      <c r="N205" s="116">
        <v>657.2</v>
      </c>
      <c r="O205" s="116">
        <v>630</v>
      </c>
      <c r="P205" s="116">
        <v>633.5</v>
      </c>
      <c r="Q205" s="116">
        <v>652.75</v>
      </c>
      <c r="R205">
        <v>128365</v>
      </c>
    </row>
    <row r="206" spans="1:18" x14ac:dyDescent="0.25">
      <c r="A206" s="170">
        <v>43305</v>
      </c>
      <c r="B206" s="116">
        <v>657.3</v>
      </c>
      <c r="C206" s="116">
        <v>653.35</v>
      </c>
      <c r="D206" s="116">
        <v>647.4</v>
      </c>
      <c r="E206" s="116">
        <v>651.45000000000005</v>
      </c>
      <c r="F206" s="116">
        <v>653.35</v>
      </c>
      <c r="G206">
        <v>3864</v>
      </c>
      <c r="H206" s="116"/>
      <c r="I206" s="116"/>
      <c r="L206" s="170">
        <v>43305</v>
      </c>
      <c r="M206" s="116">
        <v>654.65</v>
      </c>
      <c r="N206" s="116">
        <v>658.15</v>
      </c>
      <c r="O206" s="116">
        <v>647.4</v>
      </c>
      <c r="P206" s="116">
        <v>652.5</v>
      </c>
      <c r="Q206" s="116">
        <v>654.65</v>
      </c>
      <c r="R206">
        <v>98615</v>
      </c>
    </row>
    <row r="207" spans="1:18" x14ac:dyDescent="0.25">
      <c r="A207" s="170">
        <v>43306</v>
      </c>
      <c r="B207" s="116">
        <v>664</v>
      </c>
      <c r="C207" s="116">
        <v>658.55</v>
      </c>
      <c r="D207" s="116">
        <v>651.20000000000005</v>
      </c>
      <c r="E207" s="116">
        <v>657</v>
      </c>
      <c r="F207" s="116">
        <v>658.55</v>
      </c>
      <c r="G207">
        <v>3448</v>
      </c>
      <c r="H207" s="116"/>
      <c r="I207" s="116"/>
      <c r="L207" s="170">
        <v>43306</v>
      </c>
      <c r="M207" s="116">
        <v>659.75</v>
      </c>
      <c r="N207" s="116">
        <v>664.8</v>
      </c>
      <c r="O207" s="116">
        <v>651.1</v>
      </c>
      <c r="P207" s="116">
        <v>655.7</v>
      </c>
      <c r="Q207" s="116">
        <v>659.75</v>
      </c>
      <c r="R207">
        <v>309730</v>
      </c>
    </row>
    <row r="208" spans="1:18" x14ac:dyDescent="0.25">
      <c r="A208" s="170">
        <v>43307</v>
      </c>
      <c r="B208" s="116">
        <v>681.75</v>
      </c>
      <c r="C208" s="116">
        <v>672.7</v>
      </c>
      <c r="D208" s="116">
        <v>657</v>
      </c>
      <c r="E208" s="116">
        <v>664.8</v>
      </c>
      <c r="F208" s="116">
        <v>672.7</v>
      </c>
      <c r="G208">
        <v>9458</v>
      </c>
      <c r="H208" s="116"/>
      <c r="I208" s="116"/>
      <c r="L208" s="170">
        <v>43307</v>
      </c>
      <c r="M208" s="116">
        <v>673.2</v>
      </c>
      <c r="N208" s="116">
        <v>682</v>
      </c>
      <c r="O208" s="116">
        <v>658.25</v>
      </c>
      <c r="P208" s="116">
        <v>663</v>
      </c>
      <c r="Q208" s="116">
        <v>673.2</v>
      </c>
      <c r="R208">
        <v>349706</v>
      </c>
    </row>
    <row r="209" spans="1:18" x14ac:dyDescent="0.25">
      <c r="A209" s="170">
        <v>43308</v>
      </c>
      <c r="B209" s="116">
        <v>696</v>
      </c>
      <c r="C209" s="116">
        <v>692.3</v>
      </c>
      <c r="D209" s="116">
        <v>673.15</v>
      </c>
      <c r="E209" s="116">
        <v>681</v>
      </c>
      <c r="F209" s="116">
        <v>692.3</v>
      </c>
      <c r="G209">
        <v>18641</v>
      </c>
      <c r="H209" s="116"/>
      <c r="I209" s="116"/>
      <c r="L209" s="170">
        <v>43308</v>
      </c>
      <c r="M209" s="116">
        <v>694.05</v>
      </c>
      <c r="N209" s="116">
        <v>697.7</v>
      </c>
      <c r="O209" s="116">
        <v>672.65</v>
      </c>
      <c r="P209" s="116">
        <v>684.8</v>
      </c>
      <c r="Q209" s="116">
        <v>694.05</v>
      </c>
      <c r="R209">
        <v>378854</v>
      </c>
    </row>
    <row r="210" spans="1:18" x14ac:dyDescent="0.25">
      <c r="A210" s="170">
        <v>43311</v>
      </c>
      <c r="B210" s="116">
        <v>703</v>
      </c>
      <c r="C210" s="116">
        <v>689.75</v>
      </c>
      <c r="D210" s="116">
        <v>685.2</v>
      </c>
      <c r="E210" s="116">
        <v>694.65</v>
      </c>
      <c r="F210" s="116">
        <v>689.75</v>
      </c>
      <c r="G210">
        <v>8458</v>
      </c>
      <c r="H210" s="116"/>
      <c r="I210" s="116"/>
      <c r="L210" s="170">
        <v>43311</v>
      </c>
      <c r="M210" s="116">
        <v>689.35</v>
      </c>
      <c r="N210" s="116">
        <v>703.55</v>
      </c>
      <c r="O210" s="116">
        <v>684.5</v>
      </c>
      <c r="P210" s="116">
        <v>694.05</v>
      </c>
      <c r="Q210" s="116">
        <v>689.35</v>
      </c>
      <c r="R210">
        <v>111734</v>
      </c>
    </row>
    <row r="211" spans="1:18" x14ac:dyDescent="0.25">
      <c r="A211" s="170">
        <v>43312</v>
      </c>
      <c r="B211" s="116">
        <v>710</v>
      </c>
      <c r="C211" s="116">
        <v>688.2</v>
      </c>
      <c r="D211" s="116">
        <v>675.1</v>
      </c>
      <c r="E211" s="116">
        <v>675.1</v>
      </c>
      <c r="F211" s="116">
        <v>688.2</v>
      </c>
      <c r="G211">
        <v>14003</v>
      </c>
      <c r="H211" s="116"/>
      <c r="I211" s="116"/>
      <c r="L211" s="170">
        <v>43312</v>
      </c>
      <c r="M211" s="116">
        <v>686</v>
      </c>
      <c r="N211" s="116">
        <v>711.7</v>
      </c>
      <c r="O211" s="116">
        <v>682.55</v>
      </c>
      <c r="P211" s="116">
        <v>683.2</v>
      </c>
      <c r="Q211" s="116">
        <v>686</v>
      </c>
      <c r="R211">
        <v>300404</v>
      </c>
    </row>
    <row r="212" spans="1:18" x14ac:dyDescent="0.25">
      <c r="A212" s="170">
        <v>43313</v>
      </c>
      <c r="B212" s="116">
        <v>706.85</v>
      </c>
      <c r="C212" s="116">
        <v>695.85</v>
      </c>
      <c r="D212" s="116">
        <v>678.95</v>
      </c>
      <c r="E212" s="116">
        <v>690</v>
      </c>
      <c r="F212" s="116">
        <v>695.85</v>
      </c>
      <c r="G212">
        <v>8319</v>
      </c>
      <c r="H212" s="116"/>
      <c r="I212" s="116"/>
      <c r="L212" s="170">
        <v>43313</v>
      </c>
      <c r="M212" s="116">
        <v>695.35</v>
      </c>
      <c r="N212" s="116">
        <v>708.25</v>
      </c>
      <c r="O212" s="116">
        <v>686.95</v>
      </c>
      <c r="P212" s="116">
        <v>691.1</v>
      </c>
      <c r="Q212" s="116">
        <v>695.35</v>
      </c>
      <c r="R212">
        <v>141857</v>
      </c>
    </row>
    <row r="213" spans="1:18" x14ac:dyDescent="0.25">
      <c r="A213" s="170">
        <v>43314</v>
      </c>
      <c r="B213" s="116">
        <v>703.6</v>
      </c>
      <c r="C213" s="116">
        <v>693.55</v>
      </c>
      <c r="D213" s="116">
        <v>686.15</v>
      </c>
      <c r="E213" s="116">
        <v>695.5</v>
      </c>
      <c r="F213" s="116">
        <v>693.55</v>
      </c>
      <c r="G213">
        <v>8132</v>
      </c>
      <c r="H213" s="116"/>
      <c r="I213" s="116"/>
      <c r="L213" s="170">
        <v>43314</v>
      </c>
      <c r="M213" s="116">
        <v>695.2</v>
      </c>
      <c r="N213" s="116">
        <v>705</v>
      </c>
      <c r="O213" s="116">
        <v>685.55</v>
      </c>
      <c r="P213" s="116">
        <v>691.2</v>
      </c>
      <c r="Q213" s="116">
        <v>695.2</v>
      </c>
      <c r="R213">
        <v>156616</v>
      </c>
    </row>
    <row r="214" spans="1:18" x14ac:dyDescent="0.25">
      <c r="A214" s="170">
        <v>43315</v>
      </c>
      <c r="B214" s="116">
        <v>699.9</v>
      </c>
      <c r="C214" s="116">
        <v>691.3</v>
      </c>
      <c r="D214" s="116">
        <v>687</v>
      </c>
      <c r="E214" s="116">
        <v>697</v>
      </c>
      <c r="F214" s="116">
        <v>691.3</v>
      </c>
      <c r="G214">
        <v>11041</v>
      </c>
      <c r="H214" s="116"/>
      <c r="I214" s="116"/>
      <c r="L214" s="170">
        <v>43315</v>
      </c>
      <c r="M214" s="116">
        <v>689.8</v>
      </c>
      <c r="N214" s="116">
        <v>704</v>
      </c>
      <c r="O214" s="116">
        <v>686</v>
      </c>
      <c r="P214" s="116">
        <v>704</v>
      </c>
      <c r="Q214" s="116">
        <v>689.8</v>
      </c>
      <c r="R214">
        <v>86846</v>
      </c>
    </row>
    <row r="215" spans="1:18" x14ac:dyDescent="0.25">
      <c r="A215" s="170">
        <v>43318</v>
      </c>
      <c r="B215" s="116">
        <v>694.95</v>
      </c>
      <c r="C215" s="116">
        <v>687.65</v>
      </c>
      <c r="D215" s="116">
        <v>680.5</v>
      </c>
      <c r="E215" s="116">
        <v>687</v>
      </c>
      <c r="F215" s="116">
        <v>687.65</v>
      </c>
      <c r="G215">
        <v>8464</v>
      </c>
      <c r="H215" s="116"/>
      <c r="I215" s="116"/>
      <c r="L215" s="170">
        <v>43318</v>
      </c>
      <c r="M215" s="116">
        <v>686.6</v>
      </c>
      <c r="N215" s="116">
        <v>697.4</v>
      </c>
      <c r="O215" s="116">
        <v>680.1</v>
      </c>
      <c r="P215" s="116">
        <v>691</v>
      </c>
      <c r="Q215" s="116">
        <v>686.6</v>
      </c>
      <c r="R215">
        <v>137689</v>
      </c>
    </row>
    <row r="216" spans="1:18" x14ac:dyDescent="0.25">
      <c r="A216" s="170">
        <v>43319</v>
      </c>
      <c r="B216" s="116">
        <v>693</v>
      </c>
      <c r="C216" s="116">
        <v>686.75</v>
      </c>
      <c r="D216" s="116">
        <v>679</v>
      </c>
      <c r="E216" s="116">
        <v>680</v>
      </c>
      <c r="F216" s="116">
        <v>686.75</v>
      </c>
      <c r="G216">
        <v>5320</v>
      </c>
      <c r="H216" s="116"/>
      <c r="I216" s="116"/>
      <c r="L216" s="170">
        <v>43319</v>
      </c>
      <c r="M216" s="116">
        <v>686.1</v>
      </c>
      <c r="N216" s="116">
        <v>695.8</v>
      </c>
      <c r="O216" s="116">
        <v>683</v>
      </c>
      <c r="P216" s="116">
        <v>695.8</v>
      </c>
      <c r="Q216" s="116">
        <v>686.1</v>
      </c>
      <c r="R216">
        <v>186264</v>
      </c>
    </row>
    <row r="217" spans="1:18" x14ac:dyDescent="0.25">
      <c r="A217" s="170">
        <v>43320</v>
      </c>
      <c r="B217" s="116">
        <v>690</v>
      </c>
      <c r="C217" s="116">
        <v>676.95</v>
      </c>
      <c r="D217" s="116">
        <v>672.15</v>
      </c>
      <c r="E217" s="116">
        <v>690</v>
      </c>
      <c r="F217" s="116">
        <v>676.95</v>
      </c>
      <c r="G217">
        <v>49577</v>
      </c>
      <c r="H217" s="116"/>
      <c r="I217" s="116"/>
      <c r="L217" s="170">
        <v>43320</v>
      </c>
      <c r="M217" s="116">
        <v>677.2</v>
      </c>
      <c r="N217" s="116">
        <v>689.05</v>
      </c>
      <c r="O217" s="116">
        <v>673.75</v>
      </c>
      <c r="P217" s="116">
        <v>686.1</v>
      </c>
      <c r="Q217" s="116">
        <v>677.2</v>
      </c>
      <c r="R217">
        <v>86449</v>
      </c>
    </row>
    <row r="218" spans="1:18" x14ac:dyDescent="0.25">
      <c r="A218" s="170">
        <v>43321</v>
      </c>
      <c r="B218" s="116">
        <v>682.45</v>
      </c>
      <c r="C218" s="116">
        <v>674.55</v>
      </c>
      <c r="D218" s="116">
        <v>670</v>
      </c>
      <c r="E218" s="116">
        <v>676.95</v>
      </c>
      <c r="F218" s="116">
        <v>674.55</v>
      </c>
      <c r="G218">
        <v>2779</v>
      </c>
      <c r="H218" s="116"/>
      <c r="I218" s="116"/>
      <c r="L218" s="170">
        <v>43321</v>
      </c>
      <c r="M218" s="116">
        <v>673.4</v>
      </c>
      <c r="N218" s="116">
        <v>684.4</v>
      </c>
      <c r="O218" s="116">
        <v>669</v>
      </c>
      <c r="P218" s="116">
        <v>684.4</v>
      </c>
      <c r="Q218" s="116">
        <v>673.4</v>
      </c>
      <c r="R218">
        <v>136388</v>
      </c>
    </row>
    <row r="219" spans="1:18" x14ac:dyDescent="0.25">
      <c r="A219" s="170">
        <v>43322</v>
      </c>
      <c r="B219" s="116">
        <v>674.55</v>
      </c>
      <c r="C219" s="116">
        <v>651.75</v>
      </c>
      <c r="D219" s="116">
        <v>646.1</v>
      </c>
      <c r="E219" s="116">
        <v>674.55</v>
      </c>
      <c r="F219" s="116">
        <v>651.75</v>
      </c>
      <c r="G219">
        <v>18012</v>
      </c>
      <c r="H219" s="116"/>
      <c r="I219" s="116"/>
      <c r="L219" s="170">
        <v>43322</v>
      </c>
      <c r="M219" s="116">
        <v>649.9</v>
      </c>
      <c r="N219" s="116">
        <v>675.95</v>
      </c>
      <c r="O219" s="116">
        <v>644</v>
      </c>
      <c r="P219" s="116">
        <v>675</v>
      </c>
      <c r="Q219" s="116">
        <v>649.9</v>
      </c>
      <c r="R219">
        <v>357324</v>
      </c>
    </row>
    <row r="220" spans="1:18" x14ac:dyDescent="0.25">
      <c r="A220" s="170">
        <v>43325</v>
      </c>
      <c r="B220" s="116">
        <v>660</v>
      </c>
      <c r="C220" s="116">
        <v>653</v>
      </c>
      <c r="D220" s="116">
        <v>649.95000000000005</v>
      </c>
      <c r="E220" s="116">
        <v>650</v>
      </c>
      <c r="F220" s="116">
        <v>653</v>
      </c>
      <c r="G220">
        <v>19681</v>
      </c>
      <c r="H220" s="116"/>
      <c r="I220" s="116"/>
      <c r="L220" s="170">
        <v>43325</v>
      </c>
      <c r="M220" s="116">
        <v>653.70000000000005</v>
      </c>
      <c r="N220" s="116">
        <v>661.55</v>
      </c>
      <c r="O220" s="116">
        <v>651</v>
      </c>
      <c r="P220" s="116">
        <v>653</v>
      </c>
      <c r="Q220" s="116">
        <v>653.70000000000005</v>
      </c>
      <c r="R220">
        <v>227848</v>
      </c>
    </row>
    <row r="221" spans="1:18" x14ac:dyDescent="0.25">
      <c r="A221" s="170">
        <v>43326</v>
      </c>
      <c r="B221" s="116">
        <v>661.6</v>
      </c>
      <c r="C221" s="116">
        <v>658.25</v>
      </c>
      <c r="D221" s="116">
        <v>653</v>
      </c>
      <c r="E221" s="116">
        <v>653</v>
      </c>
      <c r="F221" s="116">
        <v>658.25</v>
      </c>
      <c r="G221">
        <v>4131</v>
      </c>
      <c r="H221" s="116"/>
      <c r="I221" s="116"/>
      <c r="L221" s="170">
        <v>43326</v>
      </c>
      <c r="M221" s="116">
        <v>658.85</v>
      </c>
      <c r="N221" s="116">
        <v>662</v>
      </c>
      <c r="O221" s="116">
        <v>653.75</v>
      </c>
      <c r="P221" s="116">
        <v>655</v>
      </c>
      <c r="Q221" s="116">
        <v>658.85</v>
      </c>
      <c r="R221">
        <v>40999</v>
      </c>
    </row>
    <row r="222" spans="1:18" x14ac:dyDescent="0.25">
      <c r="A222" s="170">
        <v>43328</v>
      </c>
      <c r="B222" s="116">
        <v>662.75</v>
      </c>
      <c r="C222" s="116">
        <v>649.20000000000005</v>
      </c>
      <c r="D222" s="116">
        <v>646.04999999999995</v>
      </c>
      <c r="E222" s="116">
        <v>655.25</v>
      </c>
      <c r="F222" s="116">
        <v>649.20000000000005</v>
      </c>
      <c r="G222">
        <v>8264</v>
      </c>
      <c r="H222" s="116"/>
      <c r="I222" s="116"/>
      <c r="L222" s="170">
        <v>43328</v>
      </c>
      <c r="M222" s="116">
        <v>648.54999999999995</v>
      </c>
      <c r="N222" s="116">
        <v>663.35</v>
      </c>
      <c r="O222" s="116">
        <v>646.15</v>
      </c>
      <c r="P222" s="116">
        <v>661</v>
      </c>
      <c r="Q222" s="116">
        <v>648.54999999999995</v>
      </c>
      <c r="R222">
        <v>310896</v>
      </c>
    </row>
    <row r="223" spans="1:18" x14ac:dyDescent="0.25">
      <c r="A223" s="170">
        <v>43329</v>
      </c>
      <c r="B223" s="116">
        <v>658</v>
      </c>
      <c r="C223" s="116">
        <v>654.25</v>
      </c>
      <c r="D223" s="116">
        <v>650.15</v>
      </c>
      <c r="E223" s="116">
        <v>653.54999999999995</v>
      </c>
      <c r="F223" s="116">
        <v>654.25</v>
      </c>
      <c r="G223">
        <v>4078</v>
      </c>
      <c r="H223" s="116"/>
      <c r="I223" s="116"/>
      <c r="L223" s="170">
        <v>43329</v>
      </c>
      <c r="M223" s="116">
        <v>654.95000000000005</v>
      </c>
      <c r="N223" s="116">
        <v>658.7</v>
      </c>
      <c r="O223" s="116">
        <v>652.04999999999995</v>
      </c>
      <c r="P223" s="116">
        <v>653.75</v>
      </c>
      <c r="Q223" s="116">
        <v>654.95000000000005</v>
      </c>
      <c r="R223">
        <v>151040</v>
      </c>
    </row>
    <row r="224" spans="1:18" x14ac:dyDescent="0.25">
      <c r="A224" s="170">
        <v>43332</v>
      </c>
      <c r="B224" s="116">
        <v>675</v>
      </c>
      <c r="C224" s="116">
        <v>672.8</v>
      </c>
      <c r="D224" s="116">
        <v>660.35</v>
      </c>
      <c r="E224" s="116">
        <v>667.95</v>
      </c>
      <c r="F224" s="116">
        <v>672.8</v>
      </c>
      <c r="G224">
        <v>10681</v>
      </c>
      <c r="H224" s="116"/>
      <c r="I224" s="116"/>
      <c r="L224" s="170">
        <v>43332</v>
      </c>
      <c r="M224" s="116">
        <v>672.55</v>
      </c>
      <c r="N224" s="116">
        <v>674</v>
      </c>
      <c r="O224" s="116">
        <v>660.05</v>
      </c>
      <c r="P224" s="116">
        <v>661</v>
      </c>
      <c r="Q224" s="116">
        <v>672.55</v>
      </c>
      <c r="R224">
        <v>171665</v>
      </c>
    </row>
    <row r="225" spans="1:18" x14ac:dyDescent="0.25">
      <c r="A225" s="170">
        <v>43333</v>
      </c>
      <c r="B225" s="116">
        <v>683.85</v>
      </c>
      <c r="C225" s="116">
        <v>669.5</v>
      </c>
      <c r="D225" s="116">
        <v>664.9</v>
      </c>
      <c r="E225" s="116">
        <v>674.5</v>
      </c>
      <c r="F225" s="116">
        <v>669.5</v>
      </c>
      <c r="G225">
        <v>10419</v>
      </c>
      <c r="H225" s="116"/>
      <c r="I225" s="116"/>
      <c r="L225" s="170">
        <v>43333</v>
      </c>
      <c r="M225" s="116">
        <v>670.1</v>
      </c>
      <c r="N225" s="116">
        <v>684</v>
      </c>
      <c r="O225" s="116">
        <v>663.6</v>
      </c>
      <c r="P225" s="116">
        <v>672.6</v>
      </c>
      <c r="Q225" s="116">
        <v>670.1</v>
      </c>
      <c r="R225">
        <v>118889</v>
      </c>
    </row>
    <row r="226" spans="1:18" x14ac:dyDescent="0.25">
      <c r="A226" s="170">
        <v>43335</v>
      </c>
      <c r="B226" s="116">
        <v>673.95</v>
      </c>
      <c r="C226" s="116">
        <v>669.7</v>
      </c>
      <c r="D226" s="116">
        <v>667.1</v>
      </c>
      <c r="E226" s="116">
        <v>670.3</v>
      </c>
      <c r="F226" s="116">
        <v>669.7</v>
      </c>
      <c r="G226">
        <v>3515</v>
      </c>
      <c r="H226" s="116"/>
      <c r="I226" s="116"/>
      <c r="L226" s="170">
        <v>43335</v>
      </c>
      <c r="M226" s="116">
        <v>670.05</v>
      </c>
      <c r="N226" s="116">
        <v>675.1</v>
      </c>
      <c r="O226" s="116">
        <v>667.05</v>
      </c>
      <c r="P226" s="116">
        <v>675.1</v>
      </c>
      <c r="Q226" s="116">
        <v>670.05</v>
      </c>
      <c r="R226">
        <v>77770</v>
      </c>
    </row>
    <row r="227" spans="1:18" x14ac:dyDescent="0.25">
      <c r="A227" s="170">
        <v>43336</v>
      </c>
      <c r="B227" s="116">
        <v>670.25</v>
      </c>
      <c r="C227" s="116">
        <v>661.3</v>
      </c>
      <c r="D227" s="116">
        <v>660</v>
      </c>
      <c r="E227" s="116">
        <v>667</v>
      </c>
      <c r="F227" s="116">
        <v>661.3</v>
      </c>
      <c r="G227">
        <v>2459</v>
      </c>
      <c r="H227" s="116"/>
      <c r="I227" s="116"/>
      <c r="L227" s="170">
        <v>43336</v>
      </c>
      <c r="M227" s="116">
        <v>660.85</v>
      </c>
      <c r="N227" s="116">
        <v>673.6</v>
      </c>
      <c r="O227" s="116">
        <v>660.1</v>
      </c>
      <c r="P227" s="116">
        <v>666.6</v>
      </c>
      <c r="Q227" s="116">
        <v>660.85</v>
      </c>
      <c r="R227">
        <v>136148</v>
      </c>
    </row>
    <row r="228" spans="1:18" x14ac:dyDescent="0.25">
      <c r="A228" s="170">
        <v>43339</v>
      </c>
      <c r="B228" s="116">
        <v>669.95</v>
      </c>
      <c r="C228" s="116">
        <v>659.65</v>
      </c>
      <c r="D228" s="116">
        <v>657</v>
      </c>
      <c r="E228" s="116">
        <v>661.3</v>
      </c>
      <c r="F228" s="116">
        <v>659.65</v>
      </c>
      <c r="G228">
        <v>852027</v>
      </c>
      <c r="H228" s="116"/>
      <c r="I228" s="116"/>
      <c r="L228" s="170">
        <v>43339</v>
      </c>
      <c r="M228" s="116">
        <v>660.4</v>
      </c>
      <c r="N228" s="116">
        <v>670</v>
      </c>
      <c r="O228" s="116">
        <v>657</v>
      </c>
      <c r="P228" s="116">
        <v>665</v>
      </c>
      <c r="Q228" s="116">
        <v>660.4</v>
      </c>
      <c r="R228">
        <v>105281</v>
      </c>
    </row>
    <row r="229" spans="1:18" x14ac:dyDescent="0.25">
      <c r="A229" s="170">
        <v>43340</v>
      </c>
      <c r="B229" s="116">
        <v>669</v>
      </c>
      <c r="C229" s="116">
        <v>656.8</v>
      </c>
      <c r="D229" s="116">
        <v>655</v>
      </c>
      <c r="E229" s="116">
        <v>669</v>
      </c>
      <c r="F229" s="116">
        <v>656.8</v>
      </c>
      <c r="G229">
        <v>6437</v>
      </c>
      <c r="H229" s="116"/>
      <c r="I229" s="116"/>
      <c r="L229" s="170">
        <v>43340</v>
      </c>
      <c r="M229" s="116">
        <v>658.25</v>
      </c>
      <c r="N229" s="116">
        <v>663.4</v>
      </c>
      <c r="O229" s="116">
        <v>654</v>
      </c>
      <c r="P229" s="116">
        <v>660</v>
      </c>
      <c r="Q229" s="116">
        <v>658.25</v>
      </c>
      <c r="R229">
        <v>164292</v>
      </c>
    </row>
    <row r="230" spans="1:18" x14ac:dyDescent="0.25">
      <c r="A230" s="170">
        <v>43341</v>
      </c>
      <c r="B230" s="116">
        <v>671</v>
      </c>
      <c r="C230" s="116">
        <v>667.65</v>
      </c>
      <c r="D230" s="116">
        <v>659.5</v>
      </c>
      <c r="E230" s="116">
        <v>660</v>
      </c>
      <c r="F230" s="116">
        <v>667.65</v>
      </c>
      <c r="G230">
        <v>6779</v>
      </c>
      <c r="H230" s="116"/>
      <c r="I230" s="116"/>
      <c r="L230" s="170">
        <v>43341</v>
      </c>
      <c r="M230" s="116">
        <v>669.3</v>
      </c>
      <c r="N230" s="116">
        <v>673.5</v>
      </c>
      <c r="O230" s="116">
        <v>658.25</v>
      </c>
      <c r="P230" s="116">
        <v>660</v>
      </c>
      <c r="Q230" s="116">
        <v>669.3</v>
      </c>
      <c r="R230">
        <v>215118</v>
      </c>
    </row>
    <row r="231" spans="1:18" x14ac:dyDescent="0.25">
      <c r="A231" s="170">
        <v>43342</v>
      </c>
      <c r="B231" s="116">
        <v>672.95</v>
      </c>
      <c r="C231" s="116">
        <v>658.75</v>
      </c>
      <c r="D231" s="116">
        <v>649</v>
      </c>
      <c r="E231" s="116">
        <v>671</v>
      </c>
      <c r="F231" s="116">
        <v>658.75</v>
      </c>
      <c r="G231">
        <v>5516</v>
      </c>
      <c r="H231" s="116"/>
      <c r="I231" s="116"/>
      <c r="L231" s="170">
        <v>43342</v>
      </c>
      <c r="M231" s="116">
        <v>664.2</v>
      </c>
      <c r="N231" s="116">
        <v>674.8</v>
      </c>
      <c r="O231" s="116">
        <v>650.54999999999995</v>
      </c>
      <c r="P231" s="116">
        <v>672.85</v>
      </c>
      <c r="Q231" s="116">
        <v>664.2</v>
      </c>
      <c r="R231">
        <v>325212</v>
      </c>
    </row>
    <row r="232" spans="1:18" x14ac:dyDescent="0.25">
      <c r="A232" s="170">
        <v>43343</v>
      </c>
      <c r="B232" s="116">
        <v>676.5</v>
      </c>
      <c r="C232" s="116">
        <v>670.8</v>
      </c>
      <c r="D232" s="116">
        <v>658.75</v>
      </c>
      <c r="E232" s="116">
        <v>658.8</v>
      </c>
      <c r="F232" s="116">
        <v>670.8</v>
      </c>
      <c r="G232">
        <v>5020</v>
      </c>
      <c r="H232" s="116"/>
      <c r="I232" s="116"/>
      <c r="L232" s="170">
        <v>43343</v>
      </c>
      <c r="M232" s="116">
        <v>672.4</v>
      </c>
      <c r="N232" s="116">
        <v>678</v>
      </c>
      <c r="O232" s="116">
        <v>659.2</v>
      </c>
      <c r="P232" s="116">
        <v>664.15</v>
      </c>
      <c r="Q232" s="116">
        <v>672.4</v>
      </c>
      <c r="R232">
        <v>121399</v>
      </c>
    </row>
    <row r="233" spans="1:18" x14ac:dyDescent="0.25">
      <c r="A233" s="170">
        <v>43346</v>
      </c>
      <c r="B233" s="116">
        <v>673.75</v>
      </c>
      <c r="C233" s="116">
        <v>665.95</v>
      </c>
      <c r="D233" s="116">
        <v>665</v>
      </c>
      <c r="E233" s="116">
        <v>673.75</v>
      </c>
      <c r="F233" s="116">
        <v>665.95</v>
      </c>
      <c r="G233">
        <v>3004</v>
      </c>
      <c r="H233" s="116"/>
      <c r="I233" s="116"/>
      <c r="L233" s="170">
        <v>43346</v>
      </c>
      <c r="M233" s="116">
        <v>666.95</v>
      </c>
      <c r="N233" s="116">
        <v>675</v>
      </c>
      <c r="O233" s="116">
        <v>665</v>
      </c>
      <c r="P233" s="116">
        <v>668.6</v>
      </c>
      <c r="Q233" s="116">
        <v>666.95</v>
      </c>
      <c r="R233">
        <v>88542</v>
      </c>
    </row>
    <row r="234" spans="1:18" x14ac:dyDescent="0.25">
      <c r="A234" s="170">
        <v>43347</v>
      </c>
      <c r="B234" s="116">
        <v>674</v>
      </c>
      <c r="C234" s="116">
        <v>664.3</v>
      </c>
      <c r="D234" s="116">
        <v>656.45</v>
      </c>
      <c r="E234" s="116">
        <v>667.05</v>
      </c>
      <c r="F234" s="116">
        <v>664.3</v>
      </c>
      <c r="G234">
        <v>4967</v>
      </c>
      <c r="H234" s="116"/>
      <c r="I234" s="116"/>
      <c r="L234" s="170">
        <v>43347</v>
      </c>
      <c r="M234" s="116">
        <v>664.85</v>
      </c>
      <c r="N234" s="116">
        <v>675</v>
      </c>
      <c r="O234" s="116">
        <v>663.05</v>
      </c>
      <c r="P234" s="116">
        <v>671.4</v>
      </c>
      <c r="Q234" s="116">
        <v>664.85</v>
      </c>
      <c r="R234">
        <v>82766</v>
      </c>
    </row>
    <row r="235" spans="1:18" x14ac:dyDescent="0.25">
      <c r="A235" s="170">
        <v>43348</v>
      </c>
      <c r="B235" s="116">
        <v>672.95</v>
      </c>
      <c r="C235" s="116">
        <v>670</v>
      </c>
      <c r="D235" s="116">
        <v>652</v>
      </c>
      <c r="E235" s="116">
        <v>664.3</v>
      </c>
      <c r="F235" s="116">
        <v>670</v>
      </c>
      <c r="G235">
        <v>11229</v>
      </c>
      <c r="H235" s="116"/>
      <c r="I235" s="116"/>
      <c r="L235" s="170">
        <v>43348</v>
      </c>
      <c r="M235" s="116">
        <v>669.4</v>
      </c>
      <c r="N235" s="116">
        <v>672.45</v>
      </c>
      <c r="O235" s="116">
        <v>660.05</v>
      </c>
      <c r="P235" s="116">
        <v>660.05</v>
      </c>
      <c r="Q235" s="116">
        <v>669.4</v>
      </c>
      <c r="R235">
        <v>169872</v>
      </c>
    </row>
    <row r="236" spans="1:18" x14ac:dyDescent="0.25">
      <c r="A236" s="170">
        <v>43349</v>
      </c>
      <c r="B236" s="116">
        <v>679</v>
      </c>
      <c r="C236" s="116">
        <v>677.1</v>
      </c>
      <c r="D236" s="116">
        <v>662.15</v>
      </c>
      <c r="E236" s="116">
        <v>662.15</v>
      </c>
      <c r="F236" s="116">
        <v>677.1</v>
      </c>
      <c r="G236">
        <v>49377</v>
      </c>
      <c r="H236" s="116"/>
      <c r="I236" s="116"/>
      <c r="L236" s="170">
        <v>43349</v>
      </c>
      <c r="M236" s="116">
        <v>679.05</v>
      </c>
      <c r="N236" s="116">
        <v>681.9</v>
      </c>
      <c r="O236" s="116">
        <v>666.45</v>
      </c>
      <c r="P236" s="116">
        <v>669.4</v>
      </c>
      <c r="Q236" s="116">
        <v>679.05</v>
      </c>
      <c r="R236">
        <v>139910</v>
      </c>
    </row>
    <row r="237" spans="1:18" x14ac:dyDescent="0.25">
      <c r="A237" s="170">
        <v>43350</v>
      </c>
      <c r="B237" s="116">
        <v>683</v>
      </c>
      <c r="C237" s="116">
        <v>675.95</v>
      </c>
      <c r="D237" s="116">
        <v>670.75</v>
      </c>
      <c r="E237" s="116">
        <v>674.25</v>
      </c>
      <c r="F237" s="116">
        <v>675.95</v>
      </c>
      <c r="G237">
        <v>5624</v>
      </c>
      <c r="H237" s="116"/>
      <c r="I237" s="116"/>
      <c r="L237" s="170">
        <v>43350</v>
      </c>
      <c r="M237" s="116">
        <v>676.1</v>
      </c>
      <c r="N237" s="116">
        <v>685</v>
      </c>
      <c r="O237" s="116">
        <v>671.1</v>
      </c>
      <c r="P237" s="116">
        <v>680.5</v>
      </c>
      <c r="Q237" s="116">
        <v>676.1</v>
      </c>
      <c r="R237">
        <v>1353205</v>
      </c>
    </row>
    <row r="238" spans="1:18" x14ac:dyDescent="0.25">
      <c r="A238" s="170">
        <v>43353</v>
      </c>
      <c r="B238" s="116">
        <v>685.25</v>
      </c>
      <c r="C238" s="116">
        <v>674.85</v>
      </c>
      <c r="D238" s="116">
        <v>670.05</v>
      </c>
      <c r="E238" s="116">
        <v>675.6</v>
      </c>
      <c r="F238" s="116">
        <v>674.85</v>
      </c>
      <c r="G238">
        <v>5219</v>
      </c>
      <c r="H238" s="116"/>
      <c r="I238" s="116"/>
      <c r="L238" s="170">
        <v>43353</v>
      </c>
      <c r="M238" s="116">
        <v>676</v>
      </c>
      <c r="N238" s="116">
        <v>686.85</v>
      </c>
      <c r="O238" s="116">
        <v>671.2</v>
      </c>
      <c r="P238" s="116">
        <v>671.2</v>
      </c>
      <c r="Q238" s="116">
        <v>676</v>
      </c>
      <c r="R238">
        <v>125634</v>
      </c>
    </row>
    <row r="239" spans="1:18" x14ac:dyDescent="0.25">
      <c r="A239" s="170">
        <v>43354</v>
      </c>
      <c r="B239" s="116">
        <v>679.8</v>
      </c>
      <c r="C239" s="116">
        <v>674.3</v>
      </c>
      <c r="D239" s="116">
        <v>671.5</v>
      </c>
      <c r="E239" s="116">
        <v>674.6</v>
      </c>
      <c r="F239" s="116">
        <v>674.3</v>
      </c>
      <c r="G239">
        <v>5167</v>
      </c>
      <c r="H239" s="116"/>
      <c r="I239" s="116"/>
      <c r="L239" s="170">
        <v>43354</v>
      </c>
      <c r="M239" s="116">
        <v>676.6</v>
      </c>
      <c r="N239" s="116">
        <v>682</v>
      </c>
      <c r="O239" s="116">
        <v>671.4</v>
      </c>
      <c r="P239" s="116">
        <v>674.05</v>
      </c>
      <c r="Q239" s="116">
        <v>676.6</v>
      </c>
      <c r="R239">
        <v>391766</v>
      </c>
    </row>
    <row r="240" spans="1:18" x14ac:dyDescent="0.25">
      <c r="A240" s="170">
        <v>43355</v>
      </c>
      <c r="B240" s="116">
        <v>683.95</v>
      </c>
      <c r="C240" s="116">
        <v>668.9</v>
      </c>
      <c r="D240" s="116">
        <v>662.1</v>
      </c>
      <c r="E240" s="116">
        <v>683.95</v>
      </c>
      <c r="F240" s="116">
        <v>668.9</v>
      </c>
      <c r="G240">
        <v>11915</v>
      </c>
      <c r="H240" s="116"/>
      <c r="I240" s="116"/>
      <c r="L240" s="170">
        <v>43355</v>
      </c>
      <c r="M240" s="116">
        <v>673.3</v>
      </c>
      <c r="N240" s="116">
        <v>675.85</v>
      </c>
      <c r="O240" s="116">
        <v>663</v>
      </c>
      <c r="P240" s="116">
        <v>673.4</v>
      </c>
      <c r="Q240" s="116">
        <v>673.3</v>
      </c>
      <c r="R240">
        <v>232965</v>
      </c>
    </row>
    <row r="241" spans="1:18" x14ac:dyDescent="0.25">
      <c r="A241" s="170">
        <v>43357</v>
      </c>
      <c r="B241" s="116">
        <v>676.35</v>
      </c>
      <c r="C241" s="116">
        <v>669.15</v>
      </c>
      <c r="D241" s="116">
        <v>666.05</v>
      </c>
      <c r="E241" s="116">
        <v>674.3</v>
      </c>
      <c r="F241" s="116">
        <v>669.15</v>
      </c>
      <c r="G241">
        <v>2788</v>
      </c>
      <c r="H241" s="116"/>
      <c r="I241" s="116"/>
      <c r="L241" s="170">
        <v>43357</v>
      </c>
      <c r="M241" s="116">
        <v>670.05</v>
      </c>
      <c r="N241" s="116">
        <v>678</v>
      </c>
      <c r="O241" s="116">
        <v>666.3</v>
      </c>
      <c r="P241" s="116">
        <v>671.25</v>
      </c>
      <c r="Q241" s="116">
        <v>670.05</v>
      </c>
      <c r="R241">
        <v>717060</v>
      </c>
    </row>
    <row r="242" spans="1:18" x14ac:dyDescent="0.25">
      <c r="A242" s="170">
        <v>43360</v>
      </c>
      <c r="B242" s="116">
        <v>666.85</v>
      </c>
      <c r="C242" s="116">
        <v>645.04999999999995</v>
      </c>
      <c r="D242" s="116">
        <v>635.95000000000005</v>
      </c>
      <c r="E242" s="116">
        <v>665.05</v>
      </c>
      <c r="F242" s="116">
        <v>645.04999999999995</v>
      </c>
      <c r="G242">
        <v>19982</v>
      </c>
      <c r="H242" s="116"/>
      <c r="I242" s="116"/>
      <c r="L242" s="170">
        <v>43360</v>
      </c>
      <c r="M242" s="116">
        <v>642.65</v>
      </c>
      <c r="N242" s="116">
        <v>668.6</v>
      </c>
      <c r="O242" s="116">
        <v>633</v>
      </c>
      <c r="P242" s="116">
        <v>664.65</v>
      </c>
      <c r="Q242" s="116">
        <v>642.65</v>
      </c>
      <c r="R242">
        <v>1979234</v>
      </c>
    </row>
    <row r="243" spans="1:18" x14ac:dyDescent="0.25">
      <c r="A243" s="170">
        <v>43361</v>
      </c>
      <c r="B243" s="116">
        <v>644</v>
      </c>
      <c r="C243" s="116">
        <v>623.04999999999995</v>
      </c>
      <c r="D243" s="116">
        <v>618.70000000000005</v>
      </c>
      <c r="E243" s="116">
        <v>643</v>
      </c>
      <c r="F243" s="116">
        <v>623.04999999999995</v>
      </c>
      <c r="G243">
        <v>42415</v>
      </c>
      <c r="H243" s="116"/>
      <c r="I243" s="116"/>
      <c r="L243" s="170">
        <v>43361</v>
      </c>
      <c r="M243" s="116">
        <v>623</v>
      </c>
      <c r="N243" s="116">
        <v>642</v>
      </c>
      <c r="O243" s="116">
        <v>619.9</v>
      </c>
      <c r="P243" s="116">
        <v>642</v>
      </c>
      <c r="Q243" s="116">
        <v>623</v>
      </c>
      <c r="R243">
        <v>350633</v>
      </c>
    </row>
    <row r="244" spans="1:18" x14ac:dyDescent="0.25">
      <c r="A244" s="170">
        <v>43362</v>
      </c>
      <c r="B244" s="116">
        <v>633.9</v>
      </c>
      <c r="C244" s="116">
        <v>616.65</v>
      </c>
      <c r="D244" s="116">
        <v>610.20000000000005</v>
      </c>
      <c r="E244" s="116">
        <v>633.9</v>
      </c>
      <c r="F244" s="116">
        <v>616.65</v>
      </c>
      <c r="G244">
        <v>33028</v>
      </c>
      <c r="H244" s="116"/>
      <c r="I244" s="116"/>
      <c r="L244" s="170">
        <v>43362</v>
      </c>
      <c r="M244" s="116">
        <v>612.45000000000005</v>
      </c>
      <c r="N244" s="116">
        <v>635</v>
      </c>
      <c r="O244" s="116">
        <v>610</v>
      </c>
      <c r="P244" s="116">
        <v>623.35</v>
      </c>
      <c r="Q244" s="116">
        <v>612.45000000000005</v>
      </c>
      <c r="R244">
        <v>208275</v>
      </c>
    </row>
    <row r="245" spans="1:18" x14ac:dyDescent="0.25">
      <c r="A245" s="170">
        <v>43364</v>
      </c>
      <c r="B245" s="116">
        <v>629.4</v>
      </c>
      <c r="C245" s="116">
        <v>610</v>
      </c>
      <c r="D245" s="116">
        <v>588.04999999999995</v>
      </c>
      <c r="E245" s="116">
        <v>617</v>
      </c>
      <c r="F245" s="116">
        <v>610</v>
      </c>
      <c r="G245">
        <v>114653</v>
      </c>
      <c r="H245" s="116"/>
      <c r="I245" s="116"/>
      <c r="L245" s="170">
        <v>43364</v>
      </c>
      <c r="M245" s="116">
        <v>613.35</v>
      </c>
      <c r="N245" s="116">
        <v>629.70000000000005</v>
      </c>
      <c r="O245" s="116">
        <v>589.5</v>
      </c>
      <c r="P245" s="116">
        <v>616</v>
      </c>
      <c r="Q245" s="116">
        <v>613.35</v>
      </c>
      <c r="R245">
        <v>1139496</v>
      </c>
    </row>
    <row r="246" spans="1:18" x14ac:dyDescent="0.25">
      <c r="A246" s="170">
        <v>43367</v>
      </c>
      <c r="B246" s="116">
        <v>611.25</v>
      </c>
      <c r="C246" s="116">
        <v>587.5</v>
      </c>
      <c r="D246" s="116">
        <v>584</v>
      </c>
      <c r="E246" s="116">
        <v>611</v>
      </c>
      <c r="F246" s="116">
        <v>587.5</v>
      </c>
      <c r="G246">
        <v>36068</v>
      </c>
      <c r="H246" s="116"/>
      <c r="I246" s="116"/>
      <c r="L246" s="170">
        <v>43367</v>
      </c>
      <c r="M246" s="116">
        <v>586.9</v>
      </c>
      <c r="N246" s="116">
        <v>610</v>
      </c>
      <c r="O246" s="116">
        <v>582</v>
      </c>
      <c r="P246" s="116">
        <v>610</v>
      </c>
      <c r="Q246" s="116">
        <v>586.9</v>
      </c>
      <c r="R246">
        <v>287803</v>
      </c>
    </row>
    <row r="247" spans="1:18" x14ac:dyDescent="0.25">
      <c r="A247" s="170">
        <v>43368</v>
      </c>
      <c r="B247" s="116">
        <v>586</v>
      </c>
      <c r="C247" s="116">
        <v>570.20000000000005</v>
      </c>
      <c r="D247" s="116">
        <v>552.75</v>
      </c>
      <c r="E247" s="116">
        <v>586</v>
      </c>
      <c r="F247" s="116">
        <v>570.20000000000005</v>
      </c>
      <c r="G247">
        <v>155308</v>
      </c>
      <c r="H247" s="116"/>
      <c r="I247" s="116"/>
      <c r="L247" s="170">
        <v>43368</v>
      </c>
      <c r="M247" s="116">
        <v>566.04999999999995</v>
      </c>
      <c r="N247" s="116">
        <v>582</v>
      </c>
      <c r="O247" s="116">
        <v>555</v>
      </c>
      <c r="P247" s="116">
        <v>575</v>
      </c>
      <c r="Q247" s="116">
        <v>566.04999999999995</v>
      </c>
      <c r="R247">
        <v>367015</v>
      </c>
    </row>
    <row r="248" spans="1:18" x14ac:dyDescent="0.25">
      <c r="A248" s="170">
        <v>43369</v>
      </c>
      <c r="B248" s="116">
        <v>589.95000000000005</v>
      </c>
      <c r="C248" s="116">
        <v>578.54999999999995</v>
      </c>
      <c r="D248" s="116">
        <v>570.15</v>
      </c>
      <c r="E248" s="116">
        <v>570.15</v>
      </c>
      <c r="F248" s="116">
        <v>578.54999999999995</v>
      </c>
      <c r="G248">
        <v>12322</v>
      </c>
      <c r="H248" s="116"/>
      <c r="I248" s="116"/>
      <c r="L248" s="170">
        <v>43369</v>
      </c>
      <c r="M248" s="116">
        <v>577.25</v>
      </c>
      <c r="N248" s="116">
        <v>590</v>
      </c>
      <c r="O248" s="116">
        <v>571.35</v>
      </c>
      <c r="P248" s="116">
        <v>574.95000000000005</v>
      </c>
      <c r="Q248" s="116">
        <v>577.25</v>
      </c>
      <c r="R248">
        <v>141456</v>
      </c>
    </row>
    <row r="249" spans="1:18" x14ac:dyDescent="0.25">
      <c r="A249" s="170">
        <v>43370</v>
      </c>
      <c r="B249" s="116">
        <v>580.35</v>
      </c>
      <c r="C249" s="116">
        <v>555</v>
      </c>
      <c r="D249" s="116">
        <v>549.6</v>
      </c>
      <c r="E249" s="116">
        <v>576.04999999999995</v>
      </c>
      <c r="F249" s="116">
        <v>555</v>
      </c>
      <c r="G249">
        <v>36355</v>
      </c>
      <c r="H249" s="116"/>
      <c r="I249" s="116"/>
      <c r="L249" s="170">
        <v>43370</v>
      </c>
      <c r="M249" s="116">
        <v>551.79999999999995</v>
      </c>
      <c r="N249" s="116">
        <v>581.54999999999995</v>
      </c>
      <c r="O249" s="116">
        <v>546</v>
      </c>
      <c r="P249" s="116">
        <v>581.54999999999995</v>
      </c>
      <c r="Q249" s="116">
        <v>551.79999999999995</v>
      </c>
      <c r="R249">
        <v>615329</v>
      </c>
    </row>
    <row r="250" spans="1:18" x14ac:dyDescent="0.25">
      <c r="A250" s="170">
        <v>43371</v>
      </c>
      <c r="B250" s="116">
        <v>558.85</v>
      </c>
      <c r="C250" s="116">
        <v>509.3</v>
      </c>
      <c r="D250" s="116">
        <v>502.8</v>
      </c>
      <c r="E250" s="116">
        <v>555</v>
      </c>
      <c r="F250" s="116">
        <v>509.3</v>
      </c>
      <c r="G250">
        <v>34435</v>
      </c>
      <c r="H250" s="116"/>
      <c r="I250" s="116"/>
      <c r="L250" s="170">
        <v>43371</v>
      </c>
      <c r="M250" s="116">
        <v>511.6</v>
      </c>
      <c r="N250" s="116">
        <v>560</v>
      </c>
      <c r="O250" s="116">
        <v>508</v>
      </c>
      <c r="P250" s="116">
        <v>560</v>
      </c>
      <c r="Q250" s="116">
        <v>511.6</v>
      </c>
      <c r="R250">
        <v>527415</v>
      </c>
    </row>
    <row r="251" spans="1:18" x14ac:dyDescent="0.25">
      <c r="A251" s="170">
        <v>43374</v>
      </c>
      <c r="B251" s="116">
        <v>527.95000000000005</v>
      </c>
      <c r="C251" s="116">
        <v>519.70000000000005</v>
      </c>
      <c r="D251" s="116">
        <v>487</v>
      </c>
      <c r="E251" s="116">
        <v>513</v>
      </c>
      <c r="F251" s="116">
        <v>519.70000000000005</v>
      </c>
      <c r="G251">
        <v>555811</v>
      </c>
      <c r="H251" s="116"/>
      <c r="I251" s="116"/>
      <c r="L251" s="170">
        <v>43374</v>
      </c>
      <c r="M251" s="116">
        <v>521.35</v>
      </c>
      <c r="N251" s="116">
        <v>533</v>
      </c>
      <c r="O251" s="116">
        <v>485</v>
      </c>
      <c r="P251" s="116">
        <v>512</v>
      </c>
      <c r="Q251" s="116">
        <v>521.35</v>
      </c>
      <c r="R251">
        <v>568704</v>
      </c>
    </row>
    <row r="252" spans="1:18" x14ac:dyDescent="0.25">
      <c r="A252" s="170">
        <v>43376</v>
      </c>
      <c r="B252" s="116">
        <v>552</v>
      </c>
      <c r="C252" s="116">
        <v>544.29999999999995</v>
      </c>
      <c r="D252" s="116">
        <v>520.6</v>
      </c>
      <c r="E252" s="116">
        <v>524</v>
      </c>
      <c r="F252" s="116">
        <v>544.29999999999995</v>
      </c>
      <c r="G252">
        <v>14583</v>
      </c>
      <c r="H252" s="116"/>
      <c r="I252" s="116"/>
      <c r="L252" s="170">
        <v>43376</v>
      </c>
      <c r="M252" s="116">
        <v>542.04999999999995</v>
      </c>
      <c r="N252" s="116">
        <v>554.5</v>
      </c>
      <c r="O252" s="116">
        <v>521.35</v>
      </c>
      <c r="P252" s="116">
        <v>525</v>
      </c>
      <c r="Q252" s="116">
        <v>542.04999999999995</v>
      </c>
      <c r="R252">
        <v>1232831</v>
      </c>
    </row>
    <row r="253" spans="1:18" x14ac:dyDescent="0.25">
      <c r="A253" s="170">
        <v>43377</v>
      </c>
      <c r="B253" s="116">
        <v>583.20000000000005</v>
      </c>
      <c r="C253" s="116">
        <v>564.45000000000005</v>
      </c>
      <c r="D253" s="116">
        <v>537.6</v>
      </c>
      <c r="E253" s="116">
        <v>546.9</v>
      </c>
      <c r="F253" s="116">
        <v>564.45000000000005</v>
      </c>
      <c r="G253">
        <v>22823</v>
      </c>
      <c r="H253" s="116"/>
      <c r="I253" s="116"/>
      <c r="L253" s="170">
        <v>43377</v>
      </c>
      <c r="M253" s="116">
        <v>565.4</v>
      </c>
      <c r="N253" s="116">
        <v>584</v>
      </c>
      <c r="O253" s="116">
        <v>535</v>
      </c>
      <c r="P253" s="116">
        <v>542.29999999999995</v>
      </c>
      <c r="Q253" s="116">
        <v>565.4</v>
      </c>
      <c r="R253">
        <v>1801469</v>
      </c>
    </row>
    <row r="254" spans="1:18" x14ac:dyDescent="0.25">
      <c r="A254" s="170">
        <v>43378</v>
      </c>
      <c r="B254" s="116">
        <v>581</v>
      </c>
      <c r="C254" s="116">
        <v>562.20000000000005</v>
      </c>
      <c r="D254" s="116">
        <v>542.6</v>
      </c>
      <c r="E254" s="116">
        <v>564.45000000000005</v>
      </c>
      <c r="F254" s="116">
        <v>562.20000000000005</v>
      </c>
      <c r="G254">
        <v>28856</v>
      </c>
      <c r="H254" s="116"/>
      <c r="I254" s="116"/>
      <c r="L254" s="170">
        <v>43378</v>
      </c>
      <c r="M254" s="116">
        <v>558.29999999999995</v>
      </c>
      <c r="N254" s="116">
        <v>580.70000000000005</v>
      </c>
      <c r="O254" s="116">
        <v>540.04999999999995</v>
      </c>
      <c r="P254" s="116">
        <v>567.6</v>
      </c>
      <c r="Q254" s="116">
        <v>558.29999999999995</v>
      </c>
      <c r="R254">
        <v>874787</v>
      </c>
    </row>
    <row r="255" spans="1:18" x14ac:dyDescent="0.25">
      <c r="A255" s="170">
        <v>43381</v>
      </c>
      <c r="B255" s="116">
        <v>570</v>
      </c>
      <c r="C255" s="116">
        <v>550.5</v>
      </c>
      <c r="D255" s="116">
        <v>530</v>
      </c>
      <c r="E255" s="116">
        <v>560.04999999999995</v>
      </c>
      <c r="F255" s="116">
        <v>550.5</v>
      </c>
      <c r="G255">
        <v>20688</v>
      </c>
      <c r="H255" s="116"/>
      <c r="I255" s="116"/>
      <c r="L255" s="170">
        <v>43381</v>
      </c>
      <c r="M255" s="116">
        <v>549.45000000000005</v>
      </c>
      <c r="N255" s="116">
        <v>566.5</v>
      </c>
      <c r="O255" s="116">
        <v>533.1</v>
      </c>
      <c r="P255" s="116">
        <v>565</v>
      </c>
      <c r="Q255" s="116">
        <v>549.45000000000005</v>
      </c>
      <c r="R255">
        <v>237685</v>
      </c>
    </row>
    <row r="256" spans="1:18" x14ac:dyDescent="0.25">
      <c r="A256" s="170">
        <v>43382</v>
      </c>
      <c r="B256" s="116">
        <v>562.6</v>
      </c>
      <c r="C256" s="116">
        <v>540.29999999999995</v>
      </c>
      <c r="D256" s="116">
        <v>540.04999999999995</v>
      </c>
      <c r="E256" s="116">
        <v>551.04999999999995</v>
      </c>
      <c r="F256" s="116">
        <v>540.29999999999995</v>
      </c>
      <c r="G256">
        <v>18430</v>
      </c>
      <c r="H256" s="116"/>
      <c r="I256" s="116"/>
      <c r="L256" s="170">
        <v>43382</v>
      </c>
      <c r="M256" s="116">
        <v>540.29999999999995</v>
      </c>
      <c r="N256" s="116">
        <v>564.4</v>
      </c>
      <c r="O256" s="116">
        <v>540.04999999999995</v>
      </c>
      <c r="P256" s="116">
        <v>553.85</v>
      </c>
      <c r="Q256" s="116">
        <v>540.29999999999995</v>
      </c>
      <c r="R256">
        <v>205413</v>
      </c>
    </row>
    <row r="257" spans="1:18" x14ac:dyDescent="0.25">
      <c r="A257" s="170">
        <v>43383</v>
      </c>
      <c r="B257" s="116">
        <v>581.1</v>
      </c>
      <c r="C257" s="116">
        <v>562.4</v>
      </c>
      <c r="D257" s="116">
        <v>536.4</v>
      </c>
      <c r="E257" s="116">
        <v>545</v>
      </c>
      <c r="F257" s="116">
        <v>562.4</v>
      </c>
      <c r="G257">
        <v>13100</v>
      </c>
      <c r="H257" s="116"/>
      <c r="I257" s="116"/>
      <c r="L257" s="170">
        <v>43383</v>
      </c>
      <c r="M257" s="116">
        <v>561.04999999999995</v>
      </c>
      <c r="N257" s="116">
        <v>595</v>
      </c>
      <c r="O257" s="116">
        <v>535.95000000000005</v>
      </c>
      <c r="P257" s="116">
        <v>540</v>
      </c>
      <c r="Q257" s="116">
        <v>561.04999999999995</v>
      </c>
      <c r="R257">
        <v>152186</v>
      </c>
    </row>
    <row r="258" spans="1:18" x14ac:dyDescent="0.25">
      <c r="A258" s="170">
        <v>43384</v>
      </c>
      <c r="B258" s="116">
        <v>560</v>
      </c>
      <c r="C258" s="116">
        <v>541.20000000000005</v>
      </c>
      <c r="D258" s="116">
        <v>532.9</v>
      </c>
      <c r="E258" s="116">
        <v>560</v>
      </c>
      <c r="F258" s="116">
        <v>541.20000000000005</v>
      </c>
      <c r="G258">
        <v>14117</v>
      </c>
      <c r="H258" s="116"/>
      <c r="I258" s="116"/>
      <c r="L258" s="170">
        <v>43384</v>
      </c>
      <c r="M258" s="116">
        <v>540.85</v>
      </c>
      <c r="N258" s="116">
        <v>560</v>
      </c>
      <c r="O258" s="116">
        <v>532</v>
      </c>
      <c r="P258" s="116">
        <v>560</v>
      </c>
      <c r="Q258" s="116">
        <v>540.85</v>
      </c>
      <c r="R258">
        <v>223216</v>
      </c>
    </row>
    <row r="259" spans="1:18" x14ac:dyDescent="0.25">
      <c r="A259" s="170">
        <v>43385</v>
      </c>
      <c r="B259" s="116">
        <v>555</v>
      </c>
      <c r="C259" s="116">
        <v>551.04999999999995</v>
      </c>
      <c r="D259" s="116">
        <v>541</v>
      </c>
      <c r="E259" s="116">
        <v>549.85</v>
      </c>
      <c r="F259" s="116">
        <v>551.04999999999995</v>
      </c>
      <c r="G259">
        <v>9265</v>
      </c>
      <c r="H259" s="116"/>
      <c r="I259" s="116"/>
      <c r="L259" s="170">
        <v>43385</v>
      </c>
      <c r="M259" s="116">
        <v>552.5</v>
      </c>
      <c r="N259" s="116">
        <v>554.79999999999995</v>
      </c>
      <c r="O259" s="116">
        <v>540.5</v>
      </c>
      <c r="P259" s="116">
        <v>550</v>
      </c>
      <c r="Q259" s="116">
        <v>552.5</v>
      </c>
      <c r="R259">
        <v>213930</v>
      </c>
    </row>
    <row r="260" spans="1:18" x14ac:dyDescent="0.25">
      <c r="A260" s="170">
        <v>43388</v>
      </c>
      <c r="B260" s="116">
        <v>555</v>
      </c>
      <c r="C260" s="116">
        <v>540.15</v>
      </c>
      <c r="D260" s="116">
        <v>537</v>
      </c>
      <c r="E260" s="116">
        <v>555</v>
      </c>
      <c r="F260" s="116">
        <v>540.15</v>
      </c>
      <c r="G260">
        <v>4413</v>
      </c>
      <c r="H260" s="116"/>
      <c r="I260" s="116"/>
      <c r="L260" s="170">
        <v>43388</v>
      </c>
      <c r="M260" s="116">
        <v>538.70000000000005</v>
      </c>
      <c r="N260" s="116">
        <v>556</v>
      </c>
      <c r="O260" s="116">
        <v>535</v>
      </c>
      <c r="P260" s="116">
        <v>556</v>
      </c>
      <c r="Q260" s="116">
        <v>538.70000000000005</v>
      </c>
      <c r="R260">
        <v>266017</v>
      </c>
    </row>
    <row r="261" spans="1:18" x14ac:dyDescent="0.25">
      <c r="A261" s="170">
        <v>43389</v>
      </c>
      <c r="B261" s="116">
        <v>553</v>
      </c>
      <c r="C261" s="116">
        <v>547.6</v>
      </c>
      <c r="D261" s="116">
        <v>539.70000000000005</v>
      </c>
      <c r="E261" s="116">
        <v>542</v>
      </c>
      <c r="F261" s="116">
        <v>547.6</v>
      </c>
      <c r="G261">
        <v>10498</v>
      </c>
      <c r="H261" s="116"/>
      <c r="I261" s="116"/>
      <c r="L261" s="170">
        <v>43389</v>
      </c>
      <c r="M261" s="116">
        <v>546.6</v>
      </c>
      <c r="N261" s="116">
        <v>549.54999999999995</v>
      </c>
      <c r="O261" s="116">
        <v>538.70000000000005</v>
      </c>
      <c r="P261" s="116">
        <v>542.20000000000005</v>
      </c>
      <c r="Q261" s="116">
        <v>546.6</v>
      </c>
      <c r="R261">
        <v>505786</v>
      </c>
    </row>
    <row r="262" spans="1:18" x14ac:dyDescent="0.25">
      <c r="A262" s="170">
        <v>43390</v>
      </c>
      <c r="B262" s="116">
        <v>566</v>
      </c>
      <c r="C262" s="116">
        <v>562.15</v>
      </c>
      <c r="D262" s="116">
        <v>547.45000000000005</v>
      </c>
      <c r="E262" s="116">
        <v>547.95000000000005</v>
      </c>
      <c r="F262" s="116">
        <v>562.15</v>
      </c>
      <c r="G262">
        <v>300768</v>
      </c>
      <c r="H262" s="116"/>
      <c r="I262" s="116"/>
      <c r="L262" s="170">
        <v>43390</v>
      </c>
      <c r="M262" s="116">
        <v>559.95000000000005</v>
      </c>
      <c r="N262" s="116">
        <v>567</v>
      </c>
      <c r="O262" s="116">
        <v>549</v>
      </c>
      <c r="P262" s="116">
        <v>551</v>
      </c>
      <c r="Q262" s="116">
        <v>559.95000000000005</v>
      </c>
      <c r="R262">
        <v>379784</v>
      </c>
    </row>
    <row r="263" spans="1:18" x14ac:dyDescent="0.25">
      <c r="A263" s="170">
        <v>43392</v>
      </c>
      <c r="B263" s="116">
        <v>580</v>
      </c>
      <c r="C263" s="116">
        <v>561.15</v>
      </c>
      <c r="D263" s="116">
        <v>495</v>
      </c>
      <c r="E263" s="116">
        <v>556.15</v>
      </c>
      <c r="F263" s="116">
        <v>561.15</v>
      </c>
      <c r="G263">
        <v>17558</v>
      </c>
      <c r="H263" s="116"/>
      <c r="I263" s="116"/>
      <c r="L263" s="170">
        <v>43392</v>
      </c>
      <c r="M263" s="116">
        <v>564.15</v>
      </c>
      <c r="N263" s="116">
        <v>581.85</v>
      </c>
      <c r="O263" s="116">
        <v>555.25</v>
      </c>
      <c r="P263" s="116">
        <v>558</v>
      </c>
      <c r="Q263" s="116">
        <v>564.15</v>
      </c>
      <c r="R263">
        <v>1287121</v>
      </c>
    </row>
    <row r="264" spans="1:18" x14ac:dyDescent="0.25">
      <c r="A264" s="170">
        <v>43395</v>
      </c>
      <c r="B264" s="116">
        <v>580</v>
      </c>
      <c r="C264" s="116">
        <v>556.29999999999995</v>
      </c>
      <c r="D264" s="116">
        <v>542</v>
      </c>
      <c r="E264" s="116">
        <v>577</v>
      </c>
      <c r="F264" s="116">
        <v>556.29999999999995</v>
      </c>
      <c r="G264">
        <v>980119</v>
      </c>
      <c r="H264" s="116"/>
      <c r="I264" s="116"/>
      <c r="L264" s="170">
        <v>43395</v>
      </c>
      <c r="M264" s="116">
        <v>557.85</v>
      </c>
      <c r="N264" s="116">
        <v>578</v>
      </c>
      <c r="O264" s="116">
        <v>553.04999999999995</v>
      </c>
      <c r="P264" s="116">
        <v>574</v>
      </c>
      <c r="Q264" s="116">
        <v>557.85</v>
      </c>
      <c r="R264">
        <v>1008814</v>
      </c>
    </row>
    <row r="265" spans="1:18" x14ac:dyDescent="0.25">
      <c r="A265" s="170">
        <v>43396</v>
      </c>
      <c r="B265" s="116">
        <v>585</v>
      </c>
      <c r="C265" s="116">
        <v>578.54999999999995</v>
      </c>
      <c r="D265" s="116">
        <v>546.5</v>
      </c>
      <c r="E265" s="116">
        <v>550</v>
      </c>
      <c r="F265" s="116">
        <v>578.54999999999995</v>
      </c>
      <c r="G265">
        <v>19077</v>
      </c>
      <c r="H265" s="116"/>
      <c r="I265" s="116"/>
      <c r="L265" s="170">
        <v>43396</v>
      </c>
      <c r="M265" s="116">
        <v>579.45000000000005</v>
      </c>
      <c r="N265" s="116">
        <v>586.04999999999995</v>
      </c>
      <c r="O265" s="116">
        <v>545.1</v>
      </c>
      <c r="P265" s="116">
        <v>547.20000000000005</v>
      </c>
      <c r="Q265" s="116">
        <v>579.45000000000005</v>
      </c>
      <c r="R265">
        <v>719595</v>
      </c>
    </row>
    <row r="266" spans="1:18" x14ac:dyDescent="0.25">
      <c r="A266" s="170">
        <v>43397</v>
      </c>
      <c r="B266" s="116">
        <v>599</v>
      </c>
      <c r="C266" s="116">
        <v>564.04999999999995</v>
      </c>
      <c r="D266" s="116">
        <v>559</v>
      </c>
      <c r="E266" s="116">
        <v>578.1</v>
      </c>
      <c r="F266" s="116">
        <v>564.04999999999995</v>
      </c>
      <c r="G266">
        <v>12066</v>
      </c>
      <c r="H266" s="116"/>
      <c r="I266" s="116"/>
      <c r="L266" s="170">
        <v>43397</v>
      </c>
      <c r="M266" s="116">
        <v>563.75</v>
      </c>
      <c r="N266" s="116">
        <v>599.79999999999995</v>
      </c>
      <c r="O266" s="116">
        <v>558.25</v>
      </c>
      <c r="P266" s="116">
        <v>586</v>
      </c>
      <c r="Q266" s="116">
        <v>563.75</v>
      </c>
      <c r="R266">
        <v>226896</v>
      </c>
    </row>
    <row r="267" spans="1:18" x14ac:dyDescent="0.25">
      <c r="A267" s="170">
        <v>43398</v>
      </c>
      <c r="B267" s="116">
        <v>565</v>
      </c>
      <c r="C267" s="116">
        <v>561.29999999999995</v>
      </c>
      <c r="D267" s="116">
        <v>556.95000000000005</v>
      </c>
      <c r="E267" s="116">
        <v>557.70000000000005</v>
      </c>
      <c r="F267" s="116">
        <v>561.29999999999995</v>
      </c>
      <c r="G267">
        <v>2210</v>
      </c>
      <c r="H267" s="116"/>
      <c r="I267" s="116"/>
      <c r="L267" s="170">
        <v>43398</v>
      </c>
      <c r="M267" s="116">
        <v>563.4</v>
      </c>
      <c r="N267" s="116">
        <v>569</v>
      </c>
      <c r="O267" s="116">
        <v>556.85</v>
      </c>
      <c r="P267" s="116">
        <v>563.54999999999995</v>
      </c>
      <c r="Q267" s="116">
        <v>563.4</v>
      </c>
      <c r="R267">
        <v>112717</v>
      </c>
    </row>
    <row r="268" spans="1:18" x14ac:dyDescent="0.25">
      <c r="A268" s="170">
        <v>43399</v>
      </c>
      <c r="B268" s="116">
        <v>575.85</v>
      </c>
      <c r="C268" s="116">
        <v>568.95000000000005</v>
      </c>
      <c r="D268" s="116">
        <v>551.6</v>
      </c>
      <c r="E268" s="116">
        <v>560.45000000000005</v>
      </c>
      <c r="F268" s="116">
        <v>568.95000000000005</v>
      </c>
      <c r="G268">
        <v>6107</v>
      </c>
      <c r="H268" s="116"/>
      <c r="I268" s="116"/>
      <c r="L268" s="170">
        <v>43399</v>
      </c>
      <c r="M268" s="116">
        <v>570.4</v>
      </c>
      <c r="N268" s="116">
        <v>578</v>
      </c>
      <c r="O268" s="116">
        <v>552</v>
      </c>
      <c r="P268" s="116">
        <v>563.04999999999995</v>
      </c>
      <c r="Q268" s="116">
        <v>570.4</v>
      </c>
      <c r="R268">
        <v>587007</v>
      </c>
    </row>
    <row r="269" spans="1:18" x14ac:dyDescent="0.25">
      <c r="A269" s="170">
        <v>43402</v>
      </c>
      <c r="B269" s="116">
        <v>584.70000000000005</v>
      </c>
      <c r="C269" s="116">
        <v>579.9</v>
      </c>
      <c r="D269" s="116">
        <v>548.70000000000005</v>
      </c>
      <c r="E269" s="116">
        <v>573.1</v>
      </c>
      <c r="F269" s="116">
        <v>579.9</v>
      </c>
      <c r="G269">
        <v>23458</v>
      </c>
      <c r="H269" s="116"/>
      <c r="I269" s="116"/>
      <c r="L269" s="170">
        <v>43402</v>
      </c>
      <c r="M269" s="116">
        <v>578.9</v>
      </c>
      <c r="N269" s="116">
        <v>585</v>
      </c>
      <c r="O269" s="116">
        <v>566.04999999999995</v>
      </c>
      <c r="P269" s="116">
        <v>568.04999999999995</v>
      </c>
      <c r="Q269" s="116">
        <v>578.9</v>
      </c>
      <c r="R269">
        <v>398793</v>
      </c>
    </row>
    <row r="270" spans="1:18" x14ac:dyDescent="0.25">
      <c r="A270" s="170">
        <v>43403</v>
      </c>
      <c r="B270" s="116">
        <v>573.29999999999995</v>
      </c>
      <c r="C270" s="116">
        <v>560.29999999999995</v>
      </c>
      <c r="D270" s="116">
        <v>558.45000000000005</v>
      </c>
      <c r="E270" s="116">
        <v>573</v>
      </c>
      <c r="F270" s="116">
        <v>560.29999999999995</v>
      </c>
      <c r="G270">
        <v>5315</v>
      </c>
      <c r="H270" s="116"/>
      <c r="I270" s="116"/>
      <c r="L270" s="170">
        <v>43403</v>
      </c>
      <c r="M270" s="116">
        <v>558.9</v>
      </c>
      <c r="N270" s="116">
        <v>580</v>
      </c>
      <c r="O270" s="116">
        <v>556.15</v>
      </c>
      <c r="P270" s="116">
        <v>580</v>
      </c>
      <c r="Q270" s="116">
        <v>558.9</v>
      </c>
      <c r="R270">
        <v>158937</v>
      </c>
    </row>
    <row r="271" spans="1:18" x14ac:dyDescent="0.25">
      <c r="A271" s="170">
        <v>43404</v>
      </c>
      <c r="B271" s="116">
        <v>565.29999999999995</v>
      </c>
      <c r="C271" s="116">
        <v>560.20000000000005</v>
      </c>
      <c r="D271" s="116">
        <v>547.54999999999995</v>
      </c>
      <c r="E271" s="116">
        <v>561.04999999999995</v>
      </c>
      <c r="F271" s="116">
        <v>560.20000000000005</v>
      </c>
      <c r="G271">
        <v>4513</v>
      </c>
      <c r="H271" s="116"/>
      <c r="I271" s="116"/>
      <c r="L271" s="170">
        <v>43404</v>
      </c>
      <c r="M271" s="116">
        <v>560.4</v>
      </c>
      <c r="N271" s="116">
        <v>567</v>
      </c>
      <c r="O271" s="116">
        <v>547.04999999999995</v>
      </c>
      <c r="P271" s="116">
        <v>558.5</v>
      </c>
      <c r="Q271" s="116">
        <v>560.4</v>
      </c>
      <c r="R271">
        <v>96124</v>
      </c>
    </row>
    <row r="272" spans="1:18" x14ac:dyDescent="0.25">
      <c r="A272" s="170">
        <v>43405</v>
      </c>
      <c r="B272" s="116">
        <v>567.75</v>
      </c>
      <c r="C272" s="116">
        <v>562.9</v>
      </c>
      <c r="D272" s="116">
        <v>558.5</v>
      </c>
      <c r="E272" s="116">
        <v>565.04999999999995</v>
      </c>
      <c r="F272" s="116">
        <v>562.9</v>
      </c>
      <c r="G272">
        <v>5721</v>
      </c>
      <c r="H272" s="116"/>
      <c r="I272" s="116"/>
      <c r="L272" s="170">
        <v>43405</v>
      </c>
      <c r="M272" s="116">
        <v>563.79999999999995</v>
      </c>
      <c r="N272" s="116">
        <v>569</v>
      </c>
      <c r="O272" s="116">
        <v>557.5</v>
      </c>
      <c r="P272" s="116">
        <v>558</v>
      </c>
      <c r="Q272" s="116">
        <v>563.79999999999995</v>
      </c>
      <c r="R272">
        <v>109226</v>
      </c>
    </row>
    <row r="273" spans="1:18" x14ac:dyDescent="0.25">
      <c r="A273" s="170">
        <v>43406</v>
      </c>
      <c r="B273" s="116">
        <v>571</v>
      </c>
      <c r="C273" s="116">
        <v>562.95000000000005</v>
      </c>
      <c r="D273" s="116">
        <v>561.1</v>
      </c>
      <c r="E273" s="116">
        <v>568</v>
      </c>
      <c r="F273" s="116">
        <v>562.95000000000005</v>
      </c>
      <c r="G273">
        <v>2467</v>
      </c>
      <c r="H273" s="116"/>
      <c r="I273" s="116"/>
      <c r="L273" s="170">
        <v>43406</v>
      </c>
      <c r="M273" s="116">
        <v>563.29999999999995</v>
      </c>
      <c r="N273" s="116">
        <v>571.95000000000005</v>
      </c>
      <c r="O273" s="116">
        <v>560.25</v>
      </c>
      <c r="P273" s="116">
        <v>561.20000000000005</v>
      </c>
      <c r="Q273" s="116">
        <v>563.29999999999995</v>
      </c>
      <c r="R273">
        <v>151367</v>
      </c>
    </row>
    <row r="274" spans="1:18" x14ac:dyDescent="0.25">
      <c r="A274" s="170">
        <v>43409</v>
      </c>
      <c r="B274" s="116">
        <v>586.85</v>
      </c>
      <c r="C274" s="116">
        <v>578</v>
      </c>
      <c r="D274" s="116">
        <v>556.79999999999995</v>
      </c>
      <c r="E274" s="116">
        <v>563</v>
      </c>
      <c r="F274" s="116">
        <v>578</v>
      </c>
      <c r="G274">
        <v>8651</v>
      </c>
      <c r="H274" s="116"/>
      <c r="I274" s="116"/>
      <c r="L274" s="170">
        <v>43409</v>
      </c>
      <c r="M274" s="116">
        <v>577.9</v>
      </c>
      <c r="N274" s="116">
        <v>580</v>
      </c>
      <c r="O274" s="116">
        <v>558</v>
      </c>
      <c r="P274" s="116">
        <v>558</v>
      </c>
      <c r="Q274" s="116">
        <v>577.9</v>
      </c>
      <c r="R274">
        <v>140781</v>
      </c>
    </row>
    <row r="275" spans="1:18" x14ac:dyDescent="0.25">
      <c r="A275" s="170">
        <v>43410</v>
      </c>
      <c r="B275" s="116">
        <v>591.15</v>
      </c>
      <c r="C275" s="116">
        <v>578.65</v>
      </c>
      <c r="D275" s="116">
        <v>570.04999999999995</v>
      </c>
      <c r="E275" s="116">
        <v>570.04999999999995</v>
      </c>
      <c r="F275" s="116">
        <v>578.65</v>
      </c>
      <c r="G275">
        <v>4909</v>
      </c>
      <c r="H275" s="116"/>
      <c r="I275" s="116"/>
      <c r="L275" s="170">
        <v>43410</v>
      </c>
      <c r="M275" s="116">
        <v>579.65</v>
      </c>
      <c r="N275" s="116">
        <v>590.9</v>
      </c>
      <c r="O275" s="116">
        <v>573.6</v>
      </c>
      <c r="P275" s="116">
        <v>573.6</v>
      </c>
      <c r="Q275" s="116">
        <v>579.65</v>
      </c>
      <c r="R275">
        <v>259120</v>
      </c>
    </row>
    <row r="276" spans="1:18" x14ac:dyDescent="0.25">
      <c r="A276" s="170">
        <v>43411</v>
      </c>
      <c r="B276" s="116">
        <v>592.9</v>
      </c>
      <c r="C276" s="116">
        <v>580.79999999999995</v>
      </c>
      <c r="D276" s="116">
        <v>577</v>
      </c>
      <c r="E276" s="116">
        <v>590</v>
      </c>
      <c r="F276" s="116">
        <v>580.79999999999995</v>
      </c>
      <c r="G276">
        <v>4853</v>
      </c>
      <c r="H276" s="116"/>
      <c r="I276" s="116"/>
      <c r="L276" s="170">
        <v>43411</v>
      </c>
      <c r="M276" s="116">
        <v>577.75</v>
      </c>
      <c r="N276" s="116">
        <v>589</v>
      </c>
      <c r="O276" s="116">
        <v>575.75</v>
      </c>
      <c r="P276" s="116">
        <v>589</v>
      </c>
      <c r="Q276" s="116">
        <v>577.75</v>
      </c>
      <c r="R276">
        <v>34093</v>
      </c>
    </row>
    <row r="277" spans="1:18" x14ac:dyDescent="0.25">
      <c r="A277" s="170">
        <v>43413</v>
      </c>
      <c r="B277" s="116">
        <v>589.75</v>
      </c>
      <c r="C277" s="116">
        <v>573.1</v>
      </c>
      <c r="D277" s="116">
        <v>565</v>
      </c>
      <c r="E277" s="116">
        <v>589.75</v>
      </c>
      <c r="F277" s="116">
        <v>573.1</v>
      </c>
      <c r="G277">
        <v>4288</v>
      </c>
      <c r="H277" s="116"/>
      <c r="I277" s="116"/>
      <c r="L277" s="170">
        <v>43413</v>
      </c>
      <c r="M277" s="116">
        <v>574.85</v>
      </c>
      <c r="N277" s="116">
        <v>588.79999999999995</v>
      </c>
      <c r="O277" s="116">
        <v>571.1</v>
      </c>
      <c r="P277" s="116">
        <v>580</v>
      </c>
      <c r="Q277" s="116">
        <v>574.85</v>
      </c>
      <c r="R277">
        <v>531454</v>
      </c>
    </row>
    <row r="278" spans="1:18" x14ac:dyDescent="0.25">
      <c r="A278" s="170">
        <v>43416</v>
      </c>
      <c r="B278" s="116">
        <v>581.95000000000005</v>
      </c>
      <c r="C278" s="116">
        <v>575.25</v>
      </c>
      <c r="D278" s="116">
        <v>571.95000000000005</v>
      </c>
      <c r="E278" s="116">
        <v>572.75</v>
      </c>
      <c r="F278" s="116">
        <v>575.25</v>
      </c>
      <c r="G278">
        <v>2668</v>
      </c>
      <c r="H278" s="116"/>
      <c r="I278" s="116"/>
      <c r="L278" s="170">
        <v>43416</v>
      </c>
      <c r="M278" s="116">
        <v>575.04999999999995</v>
      </c>
      <c r="N278" s="116">
        <v>582.75</v>
      </c>
      <c r="O278" s="116">
        <v>570.45000000000005</v>
      </c>
      <c r="P278" s="116">
        <v>572</v>
      </c>
      <c r="Q278" s="116">
        <v>575.04999999999995</v>
      </c>
      <c r="R278">
        <v>359942</v>
      </c>
    </row>
    <row r="279" spans="1:18" x14ac:dyDescent="0.25">
      <c r="A279" s="170">
        <v>43417</v>
      </c>
      <c r="B279" s="116">
        <v>573.20000000000005</v>
      </c>
      <c r="C279" s="116">
        <v>571.04999999999995</v>
      </c>
      <c r="D279" s="116">
        <v>561.15</v>
      </c>
      <c r="E279" s="116">
        <v>568.85</v>
      </c>
      <c r="F279" s="116">
        <v>571.04999999999995</v>
      </c>
      <c r="G279">
        <v>4113</v>
      </c>
      <c r="H279" s="116"/>
      <c r="I279" s="116"/>
      <c r="L279" s="170">
        <v>43417</v>
      </c>
      <c r="M279" s="116">
        <v>572.15</v>
      </c>
      <c r="N279" s="116">
        <v>575.65</v>
      </c>
      <c r="O279" s="116">
        <v>560.85</v>
      </c>
      <c r="P279" s="116">
        <v>571.29999999999995</v>
      </c>
      <c r="Q279" s="116">
        <v>572.15</v>
      </c>
      <c r="R279">
        <v>110885</v>
      </c>
    </row>
    <row r="280" spans="1:18" x14ac:dyDescent="0.25">
      <c r="A280" s="170">
        <v>43418</v>
      </c>
      <c r="B280" s="116">
        <v>585</v>
      </c>
      <c r="C280" s="116">
        <v>583</v>
      </c>
      <c r="D280" s="116">
        <v>573.4</v>
      </c>
      <c r="E280" s="116">
        <v>580</v>
      </c>
      <c r="F280" s="116">
        <v>583</v>
      </c>
      <c r="G280">
        <v>3241</v>
      </c>
      <c r="H280" s="116"/>
      <c r="I280" s="116"/>
      <c r="L280" s="170">
        <v>43418</v>
      </c>
      <c r="M280" s="116">
        <v>583</v>
      </c>
      <c r="N280" s="116">
        <v>585</v>
      </c>
      <c r="O280" s="116">
        <v>572.04999999999995</v>
      </c>
      <c r="P280" s="116">
        <v>576</v>
      </c>
      <c r="Q280" s="116">
        <v>583</v>
      </c>
      <c r="R280">
        <v>431328</v>
      </c>
    </row>
    <row r="281" spans="1:18" x14ac:dyDescent="0.25">
      <c r="A281" s="170">
        <v>43419</v>
      </c>
      <c r="B281" s="116">
        <v>583</v>
      </c>
      <c r="C281" s="116">
        <v>579.54999999999995</v>
      </c>
      <c r="D281" s="116">
        <v>577.20000000000005</v>
      </c>
      <c r="E281" s="116">
        <v>582.95000000000005</v>
      </c>
      <c r="F281" s="116">
        <v>579.54999999999995</v>
      </c>
      <c r="G281">
        <v>3125</v>
      </c>
      <c r="H281" s="116"/>
      <c r="I281" s="116"/>
      <c r="L281" s="170">
        <v>43419</v>
      </c>
      <c r="M281" s="116">
        <v>579.04999999999995</v>
      </c>
      <c r="N281" s="116">
        <v>584</v>
      </c>
      <c r="O281" s="116">
        <v>576.54999999999995</v>
      </c>
      <c r="P281" s="116">
        <v>584</v>
      </c>
      <c r="Q281" s="116">
        <v>579.04999999999995</v>
      </c>
      <c r="R281">
        <v>156975</v>
      </c>
    </row>
    <row r="282" spans="1:18" x14ac:dyDescent="0.25">
      <c r="A282" s="170">
        <v>43420</v>
      </c>
      <c r="B282" s="116">
        <v>578</v>
      </c>
      <c r="C282" s="116">
        <v>576.25</v>
      </c>
      <c r="D282" s="116">
        <v>568.29999999999995</v>
      </c>
      <c r="E282" s="116">
        <v>577</v>
      </c>
      <c r="F282" s="116">
        <v>576.25</v>
      </c>
      <c r="G282">
        <v>3058</v>
      </c>
      <c r="H282" s="116"/>
      <c r="I282" s="116"/>
      <c r="L282" s="170">
        <v>43420</v>
      </c>
      <c r="M282" s="116">
        <v>577.29999999999995</v>
      </c>
      <c r="N282" s="116">
        <v>581.9</v>
      </c>
      <c r="O282" s="116">
        <v>567</v>
      </c>
      <c r="P282" s="116">
        <v>581.9</v>
      </c>
      <c r="Q282" s="116">
        <v>577.29999999999995</v>
      </c>
      <c r="R282">
        <v>64388</v>
      </c>
    </row>
    <row r="283" spans="1:18" x14ac:dyDescent="0.25">
      <c r="A283" s="170">
        <v>43423</v>
      </c>
      <c r="B283" s="116">
        <v>582.35</v>
      </c>
      <c r="C283" s="116">
        <v>565.04999999999995</v>
      </c>
      <c r="D283" s="116">
        <v>556.5</v>
      </c>
      <c r="E283" s="116">
        <v>577.4</v>
      </c>
      <c r="F283" s="116">
        <v>565.04999999999995</v>
      </c>
      <c r="G283">
        <v>306569</v>
      </c>
      <c r="H283" s="116"/>
      <c r="I283" s="116"/>
      <c r="L283" s="170">
        <v>43423</v>
      </c>
      <c r="M283" s="116">
        <v>568.75</v>
      </c>
      <c r="N283" s="116">
        <v>583.9</v>
      </c>
      <c r="O283" s="116">
        <v>566.1</v>
      </c>
      <c r="P283" s="116">
        <v>583.9</v>
      </c>
      <c r="Q283" s="116">
        <v>568.75</v>
      </c>
      <c r="R283">
        <v>438124</v>
      </c>
    </row>
    <row r="284" spans="1:18" x14ac:dyDescent="0.25">
      <c r="A284" s="170">
        <v>43424</v>
      </c>
      <c r="B284" s="116">
        <v>579</v>
      </c>
      <c r="C284" s="116">
        <v>564.95000000000005</v>
      </c>
      <c r="D284" s="116">
        <v>540.5</v>
      </c>
      <c r="E284" s="116">
        <v>568</v>
      </c>
      <c r="F284" s="116">
        <v>564.95000000000005</v>
      </c>
      <c r="G284">
        <v>206790</v>
      </c>
      <c r="H284" s="116"/>
      <c r="I284" s="116"/>
      <c r="L284" s="170">
        <v>43424</v>
      </c>
      <c r="M284" s="116">
        <v>565.54999999999995</v>
      </c>
      <c r="N284" s="116">
        <v>572</v>
      </c>
      <c r="O284" s="116">
        <v>562</v>
      </c>
      <c r="P284" s="116">
        <v>572</v>
      </c>
      <c r="Q284" s="116">
        <v>565.54999999999995</v>
      </c>
      <c r="R284">
        <v>282576</v>
      </c>
    </row>
    <row r="285" spans="1:18" x14ac:dyDescent="0.25">
      <c r="A285" s="170">
        <v>43425</v>
      </c>
      <c r="B285" s="116">
        <v>568.79999999999995</v>
      </c>
      <c r="C285" s="116">
        <v>562.95000000000005</v>
      </c>
      <c r="D285" s="116">
        <v>560</v>
      </c>
      <c r="E285" s="116">
        <v>566.4</v>
      </c>
      <c r="F285" s="116">
        <v>562.95000000000005</v>
      </c>
      <c r="G285">
        <v>293224</v>
      </c>
      <c r="H285" s="116"/>
      <c r="I285" s="116"/>
      <c r="L285" s="170">
        <v>43425</v>
      </c>
      <c r="M285" s="116">
        <v>560.20000000000005</v>
      </c>
      <c r="N285" s="116">
        <v>570.25</v>
      </c>
      <c r="O285" s="116">
        <v>558.1</v>
      </c>
      <c r="P285" s="116">
        <v>566.04999999999995</v>
      </c>
      <c r="Q285" s="116">
        <v>560.20000000000005</v>
      </c>
      <c r="R285">
        <v>215124</v>
      </c>
    </row>
    <row r="286" spans="1:18" x14ac:dyDescent="0.25">
      <c r="A286" s="170">
        <v>43426</v>
      </c>
      <c r="B286" s="116">
        <v>580</v>
      </c>
      <c r="C286" s="116">
        <v>573.70000000000005</v>
      </c>
      <c r="D286" s="116">
        <v>562.5</v>
      </c>
      <c r="E286" s="116">
        <v>563.15</v>
      </c>
      <c r="F286" s="116">
        <v>573.70000000000005</v>
      </c>
      <c r="G286">
        <v>9960</v>
      </c>
      <c r="H286" s="116"/>
      <c r="I286" s="116"/>
      <c r="L286" s="170">
        <v>43426</v>
      </c>
      <c r="M286" s="116">
        <v>572.70000000000005</v>
      </c>
      <c r="N286" s="116">
        <v>579.5</v>
      </c>
      <c r="O286" s="116">
        <v>560</v>
      </c>
      <c r="P286" s="116">
        <v>560</v>
      </c>
      <c r="Q286" s="116">
        <v>572.70000000000005</v>
      </c>
      <c r="R286">
        <v>588100</v>
      </c>
    </row>
    <row r="287" spans="1:18" x14ac:dyDescent="0.25">
      <c r="A287" s="170">
        <v>43430</v>
      </c>
      <c r="B287" s="116">
        <v>575.1</v>
      </c>
      <c r="C287" s="116">
        <v>567.75</v>
      </c>
      <c r="D287" s="116">
        <v>561</v>
      </c>
      <c r="E287" s="116">
        <v>573.75</v>
      </c>
      <c r="F287" s="116">
        <v>567.75</v>
      </c>
      <c r="G287">
        <v>2793</v>
      </c>
      <c r="H287" s="116"/>
      <c r="I287" s="116"/>
      <c r="L287" s="170">
        <v>43430</v>
      </c>
      <c r="M287" s="116">
        <v>568.20000000000005</v>
      </c>
      <c r="N287" s="116">
        <v>574.95000000000005</v>
      </c>
      <c r="O287" s="116">
        <v>560.1</v>
      </c>
      <c r="P287" s="116">
        <v>566.35</v>
      </c>
      <c r="Q287" s="116">
        <v>568.20000000000005</v>
      </c>
      <c r="R287">
        <v>53829</v>
      </c>
    </row>
    <row r="288" spans="1:18" x14ac:dyDescent="0.25">
      <c r="A288" s="170">
        <v>43431</v>
      </c>
      <c r="B288" s="116">
        <v>572.20000000000005</v>
      </c>
      <c r="C288" s="116">
        <v>569.70000000000005</v>
      </c>
      <c r="D288" s="116">
        <v>557.25</v>
      </c>
      <c r="E288" s="116">
        <v>557.25</v>
      </c>
      <c r="F288" s="116">
        <v>569.70000000000005</v>
      </c>
      <c r="G288">
        <v>3162</v>
      </c>
      <c r="H288" s="116"/>
      <c r="I288" s="116"/>
      <c r="L288" s="170">
        <v>43431</v>
      </c>
      <c r="M288" s="116">
        <v>570.5</v>
      </c>
      <c r="N288" s="116">
        <v>574</v>
      </c>
      <c r="O288" s="116">
        <v>563.25</v>
      </c>
      <c r="P288" s="116">
        <v>567</v>
      </c>
      <c r="Q288" s="116">
        <v>570.5</v>
      </c>
      <c r="R288">
        <v>52652</v>
      </c>
    </row>
    <row r="289" spans="1:18" x14ac:dyDescent="0.25">
      <c r="A289" s="170">
        <v>43432</v>
      </c>
      <c r="B289" s="116">
        <v>581.1</v>
      </c>
      <c r="C289" s="116">
        <v>569.1</v>
      </c>
      <c r="D289" s="116">
        <v>565.1</v>
      </c>
      <c r="E289" s="116">
        <v>566.54999999999995</v>
      </c>
      <c r="F289" s="116">
        <v>569.1</v>
      </c>
      <c r="G289">
        <v>4578</v>
      </c>
      <c r="H289" s="116"/>
      <c r="I289" s="116"/>
      <c r="L289" s="170">
        <v>43432</v>
      </c>
      <c r="M289" s="116">
        <v>568.95000000000005</v>
      </c>
      <c r="N289" s="116">
        <v>584</v>
      </c>
      <c r="O289" s="116">
        <v>566</v>
      </c>
      <c r="P289" s="116">
        <v>568</v>
      </c>
      <c r="Q289" s="116">
        <v>568.95000000000005</v>
      </c>
      <c r="R289">
        <v>120739</v>
      </c>
    </row>
    <row r="290" spans="1:18" x14ac:dyDescent="0.25">
      <c r="A290" s="170">
        <v>43433</v>
      </c>
      <c r="B290" s="116">
        <v>574.25</v>
      </c>
      <c r="C290" s="116">
        <v>570.6</v>
      </c>
      <c r="D290" s="116">
        <v>567.29999999999995</v>
      </c>
      <c r="E290" s="116">
        <v>569</v>
      </c>
      <c r="F290" s="116">
        <v>570.6</v>
      </c>
      <c r="G290">
        <v>5639</v>
      </c>
      <c r="H290" s="116"/>
      <c r="I290" s="116"/>
      <c r="L290" s="170">
        <v>43433</v>
      </c>
      <c r="M290" s="116">
        <v>571.65</v>
      </c>
      <c r="N290" s="116">
        <v>574.5</v>
      </c>
      <c r="O290" s="116">
        <v>565</v>
      </c>
      <c r="P290" s="116">
        <v>572.5</v>
      </c>
      <c r="Q290" s="116">
        <v>571.65</v>
      </c>
      <c r="R290">
        <v>150064</v>
      </c>
    </row>
    <row r="291" spans="1:18" x14ac:dyDescent="0.25">
      <c r="A291" s="170">
        <v>43434</v>
      </c>
      <c r="B291" s="116">
        <v>576.70000000000005</v>
      </c>
      <c r="C291" s="116">
        <v>572.29999999999995</v>
      </c>
      <c r="D291" s="116">
        <v>569.9</v>
      </c>
      <c r="E291" s="116">
        <v>573.04999999999995</v>
      </c>
      <c r="F291" s="116">
        <v>572.29999999999995</v>
      </c>
      <c r="G291">
        <v>2698</v>
      </c>
      <c r="H291" s="116"/>
      <c r="I291" s="116"/>
      <c r="L291" s="170">
        <v>43434</v>
      </c>
      <c r="M291" s="116">
        <v>571.4</v>
      </c>
      <c r="N291" s="116">
        <v>577.70000000000005</v>
      </c>
      <c r="O291" s="116">
        <v>569.1</v>
      </c>
      <c r="P291" s="116">
        <v>571.65</v>
      </c>
      <c r="Q291" s="116">
        <v>571.4</v>
      </c>
      <c r="R291">
        <v>40722</v>
      </c>
    </row>
    <row r="292" spans="1:18" x14ac:dyDescent="0.25">
      <c r="A292" s="170">
        <v>43437</v>
      </c>
      <c r="B292" s="116">
        <v>572</v>
      </c>
      <c r="C292" s="116">
        <v>567.5</v>
      </c>
      <c r="D292" s="116">
        <v>554.70000000000005</v>
      </c>
      <c r="E292" s="116">
        <v>562.79999999999995</v>
      </c>
      <c r="F292" s="116">
        <v>567.5</v>
      </c>
      <c r="G292">
        <v>4516</v>
      </c>
      <c r="H292" s="116"/>
      <c r="I292" s="116"/>
      <c r="L292" s="170">
        <v>43437</v>
      </c>
      <c r="M292" s="116">
        <v>569.35</v>
      </c>
      <c r="N292" s="116">
        <v>572</v>
      </c>
      <c r="O292" s="116">
        <v>562</v>
      </c>
      <c r="P292" s="116">
        <v>565.20000000000005</v>
      </c>
      <c r="Q292" s="116">
        <v>569.35</v>
      </c>
      <c r="R292">
        <v>63727</v>
      </c>
    </row>
    <row r="293" spans="1:18" x14ac:dyDescent="0.25">
      <c r="A293" s="170">
        <v>43438</v>
      </c>
      <c r="B293" s="116">
        <v>580.5</v>
      </c>
      <c r="C293" s="116">
        <v>569.4</v>
      </c>
      <c r="D293" s="116">
        <v>566</v>
      </c>
      <c r="E293" s="116">
        <v>568.35</v>
      </c>
      <c r="F293" s="116">
        <v>569.4</v>
      </c>
      <c r="G293">
        <v>5179</v>
      </c>
      <c r="H293" s="116"/>
      <c r="I293" s="116"/>
      <c r="L293" s="170">
        <v>43438</v>
      </c>
      <c r="M293" s="116">
        <v>569.85</v>
      </c>
      <c r="N293" s="116">
        <v>578</v>
      </c>
      <c r="O293" s="116">
        <v>565.15</v>
      </c>
      <c r="P293" s="116">
        <v>569</v>
      </c>
      <c r="Q293" s="116">
        <v>569.85</v>
      </c>
      <c r="R293">
        <v>288155</v>
      </c>
    </row>
    <row r="294" spans="1:18" x14ac:dyDescent="0.25">
      <c r="A294" s="170">
        <v>43439</v>
      </c>
      <c r="B294" s="116">
        <v>573.35</v>
      </c>
      <c r="C294" s="116">
        <v>571.5</v>
      </c>
      <c r="D294" s="116">
        <v>560.5</v>
      </c>
      <c r="E294" s="116">
        <v>560.5</v>
      </c>
      <c r="F294" s="116">
        <v>571.5</v>
      </c>
      <c r="G294">
        <v>3490</v>
      </c>
      <c r="H294" s="116"/>
      <c r="I294" s="116"/>
      <c r="L294" s="170">
        <v>43439</v>
      </c>
      <c r="M294" s="116">
        <v>572.79999999999995</v>
      </c>
      <c r="N294" s="116">
        <v>575</v>
      </c>
      <c r="O294" s="116">
        <v>565</v>
      </c>
      <c r="P294" s="116">
        <v>565</v>
      </c>
      <c r="Q294" s="116">
        <v>572.79999999999995</v>
      </c>
      <c r="R294">
        <v>85850</v>
      </c>
    </row>
    <row r="295" spans="1:18" x14ac:dyDescent="0.25">
      <c r="A295" s="170">
        <v>43440</v>
      </c>
      <c r="B295" s="116">
        <v>572.5</v>
      </c>
      <c r="C295" s="116">
        <v>565.20000000000005</v>
      </c>
      <c r="D295" s="116">
        <v>560.15</v>
      </c>
      <c r="E295" s="116">
        <v>571.45000000000005</v>
      </c>
      <c r="F295" s="116">
        <v>565.20000000000005</v>
      </c>
      <c r="G295">
        <v>1451</v>
      </c>
      <c r="H295" s="116"/>
      <c r="I295" s="116"/>
      <c r="L295" s="170">
        <v>43440</v>
      </c>
      <c r="M295" s="116">
        <v>567.79999999999995</v>
      </c>
      <c r="N295" s="116">
        <v>578</v>
      </c>
      <c r="O295" s="116">
        <v>563</v>
      </c>
      <c r="P295" s="116">
        <v>573</v>
      </c>
      <c r="Q295" s="116">
        <v>567.79999999999995</v>
      </c>
      <c r="R295">
        <v>76272</v>
      </c>
    </row>
    <row r="296" spans="1:18" x14ac:dyDescent="0.25">
      <c r="A296" s="170">
        <v>43441</v>
      </c>
      <c r="B296" s="116">
        <v>569.15</v>
      </c>
      <c r="C296" s="116">
        <v>564.35</v>
      </c>
      <c r="D296" s="116">
        <v>560</v>
      </c>
      <c r="E296" s="116">
        <v>567.25</v>
      </c>
      <c r="F296" s="116">
        <v>564.35</v>
      </c>
      <c r="G296">
        <v>174897</v>
      </c>
      <c r="H296" s="116"/>
      <c r="I296" s="116"/>
      <c r="L296" s="170">
        <v>43441</v>
      </c>
      <c r="M296" s="116">
        <v>562.54999999999995</v>
      </c>
      <c r="N296" s="116">
        <v>571.9</v>
      </c>
      <c r="O296" s="116">
        <v>559.35</v>
      </c>
      <c r="P296" s="116">
        <v>568</v>
      </c>
      <c r="Q296" s="116">
        <v>562.54999999999995</v>
      </c>
      <c r="R296">
        <v>103784</v>
      </c>
    </row>
    <row r="297" spans="1:18" x14ac:dyDescent="0.25">
      <c r="A297" s="170">
        <v>43444</v>
      </c>
      <c r="B297" s="116">
        <v>568.5</v>
      </c>
      <c r="C297" s="116">
        <v>561</v>
      </c>
      <c r="D297" s="116">
        <v>555.70000000000005</v>
      </c>
      <c r="E297" s="116">
        <v>560</v>
      </c>
      <c r="F297" s="116">
        <v>561</v>
      </c>
      <c r="G297">
        <v>2431</v>
      </c>
      <c r="H297" s="116"/>
      <c r="I297" s="116"/>
      <c r="L297" s="170">
        <v>43444</v>
      </c>
      <c r="M297" s="116">
        <v>562.45000000000005</v>
      </c>
      <c r="N297" s="116">
        <v>570</v>
      </c>
      <c r="O297" s="116">
        <v>555</v>
      </c>
      <c r="P297" s="116">
        <v>558</v>
      </c>
      <c r="Q297" s="116">
        <v>562.45000000000005</v>
      </c>
      <c r="R297">
        <v>114905</v>
      </c>
    </row>
    <row r="298" spans="1:18" x14ac:dyDescent="0.25">
      <c r="A298" s="170">
        <v>43445</v>
      </c>
      <c r="B298" s="116">
        <v>565.70000000000005</v>
      </c>
      <c r="C298" s="116">
        <v>563.95000000000005</v>
      </c>
      <c r="D298" s="116">
        <v>556.70000000000005</v>
      </c>
      <c r="E298" s="116">
        <v>558.75</v>
      </c>
      <c r="F298" s="116">
        <v>563.95000000000005</v>
      </c>
      <c r="G298">
        <v>1853</v>
      </c>
      <c r="H298" s="116"/>
      <c r="I298" s="116"/>
      <c r="L298" s="170">
        <v>43445</v>
      </c>
      <c r="M298" s="116">
        <v>562.65</v>
      </c>
      <c r="N298" s="116">
        <v>565.95000000000005</v>
      </c>
      <c r="O298" s="116">
        <v>556.15</v>
      </c>
      <c r="P298" s="116">
        <v>556.15</v>
      </c>
      <c r="Q298" s="116">
        <v>562.65</v>
      </c>
      <c r="R298">
        <v>104981</v>
      </c>
    </row>
    <row r="299" spans="1:18" x14ac:dyDescent="0.25">
      <c r="A299" s="170">
        <v>43446</v>
      </c>
      <c r="B299" s="116">
        <v>572.45000000000005</v>
      </c>
      <c r="C299" s="116">
        <v>570.79999999999995</v>
      </c>
      <c r="D299" s="116">
        <v>561</v>
      </c>
      <c r="E299" s="116">
        <v>561</v>
      </c>
      <c r="F299" s="116">
        <v>570.79999999999995</v>
      </c>
      <c r="G299">
        <v>4969</v>
      </c>
      <c r="H299" s="116"/>
      <c r="I299" s="116"/>
      <c r="L299" s="170">
        <v>43446</v>
      </c>
      <c r="M299" s="116">
        <v>570.25</v>
      </c>
      <c r="N299" s="116">
        <v>572</v>
      </c>
      <c r="O299" s="116">
        <v>562.79999999999995</v>
      </c>
      <c r="P299" s="116">
        <v>567.75</v>
      </c>
      <c r="Q299" s="116">
        <v>570.25</v>
      </c>
      <c r="R299">
        <v>72595</v>
      </c>
    </row>
    <row r="300" spans="1:18" x14ac:dyDescent="0.25">
      <c r="A300" s="170">
        <v>43447</v>
      </c>
      <c r="B300" s="116">
        <v>574</v>
      </c>
      <c r="C300" s="116">
        <v>571.4</v>
      </c>
      <c r="D300" s="116">
        <v>563.95000000000005</v>
      </c>
      <c r="E300" s="116">
        <v>569.65</v>
      </c>
      <c r="F300" s="116">
        <v>571.4</v>
      </c>
      <c r="G300">
        <v>4092</v>
      </c>
      <c r="H300" s="116"/>
      <c r="I300" s="116"/>
      <c r="L300" s="170">
        <v>43447</v>
      </c>
      <c r="M300" s="116">
        <v>571</v>
      </c>
      <c r="N300" s="116">
        <v>575</v>
      </c>
      <c r="O300" s="116">
        <v>562.25</v>
      </c>
      <c r="P300" s="116">
        <v>574.95000000000005</v>
      </c>
      <c r="Q300" s="116">
        <v>571</v>
      </c>
      <c r="R300">
        <v>151320</v>
      </c>
    </row>
    <row r="301" spans="1:18" x14ac:dyDescent="0.25">
      <c r="A301" s="170">
        <v>43448</v>
      </c>
      <c r="B301" s="116">
        <v>573</v>
      </c>
      <c r="C301" s="116">
        <v>566.35</v>
      </c>
      <c r="D301" s="116">
        <v>558.79999999999995</v>
      </c>
      <c r="E301" s="116">
        <v>569.6</v>
      </c>
      <c r="F301" s="116">
        <v>566.35</v>
      </c>
      <c r="G301">
        <v>101563</v>
      </c>
      <c r="H301" s="116"/>
      <c r="I301" s="116"/>
      <c r="L301" s="170">
        <v>43448</v>
      </c>
      <c r="M301" s="116">
        <v>567</v>
      </c>
      <c r="N301" s="116">
        <v>574.79999999999995</v>
      </c>
      <c r="O301" s="116">
        <v>550.5</v>
      </c>
      <c r="P301" s="116">
        <v>571</v>
      </c>
      <c r="Q301" s="116">
        <v>567</v>
      </c>
      <c r="R301">
        <v>98357</v>
      </c>
    </row>
    <row r="302" spans="1:18" x14ac:dyDescent="0.25">
      <c r="A302" s="170">
        <v>43451</v>
      </c>
      <c r="B302" s="116">
        <v>592</v>
      </c>
      <c r="C302" s="116">
        <v>588.85</v>
      </c>
      <c r="D302" s="116">
        <v>564.29999999999995</v>
      </c>
      <c r="E302" s="116">
        <v>567</v>
      </c>
      <c r="F302" s="116">
        <v>588.85</v>
      </c>
      <c r="G302">
        <v>8893</v>
      </c>
      <c r="H302" s="116"/>
      <c r="I302" s="116"/>
      <c r="L302" s="170">
        <v>43451</v>
      </c>
      <c r="M302" s="116">
        <v>589.79999999999995</v>
      </c>
      <c r="N302" s="116">
        <v>594</v>
      </c>
      <c r="O302" s="116">
        <v>567</v>
      </c>
      <c r="P302" s="116">
        <v>567</v>
      </c>
      <c r="Q302" s="116">
        <v>589.79999999999995</v>
      </c>
      <c r="R302">
        <v>230206</v>
      </c>
    </row>
    <row r="303" spans="1:18" x14ac:dyDescent="0.25">
      <c r="A303" s="170">
        <v>43452</v>
      </c>
      <c r="B303" s="116">
        <v>599.9</v>
      </c>
      <c r="C303" s="116">
        <v>587.35</v>
      </c>
      <c r="D303" s="116">
        <v>576.45000000000005</v>
      </c>
      <c r="E303" s="116">
        <v>594</v>
      </c>
      <c r="F303" s="116">
        <v>587.35</v>
      </c>
      <c r="G303">
        <v>14069</v>
      </c>
      <c r="H303" s="116"/>
      <c r="I303" s="116"/>
      <c r="L303" s="170">
        <v>43452</v>
      </c>
      <c r="M303" s="116">
        <v>587.6</v>
      </c>
      <c r="N303" s="116">
        <v>607.15</v>
      </c>
      <c r="O303" s="116">
        <v>576.35</v>
      </c>
      <c r="P303" s="116">
        <v>598</v>
      </c>
      <c r="Q303" s="116">
        <v>587.6</v>
      </c>
      <c r="R303">
        <v>413782</v>
      </c>
    </row>
    <row r="304" spans="1:18" x14ac:dyDescent="0.25">
      <c r="A304" s="170">
        <v>43453</v>
      </c>
      <c r="B304" s="116">
        <v>590</v>
      </c>
      <c r="C304" s="116">
        <v>582</v>
      </c>
      <c r="D304" s="116">
        <v>578.1</v>
      </c>
      <c r="E304" s="116">
        <v>586.45000000000005</v>
      </c>
      <c r="F304" s="116">
        <v>582</v>
      </c>
      <c r="G304">
        <v>4255</v>
      </c>
      <c r="H304" s="116"/>
      <c r="I304" s="116"/>
      <c r="L304" s="170">
        <v>43453</v>
      </c>
      <c r="M304" s="116">
        <v>583.04999999999995</v>
      </c>
      <c r="N304" s="116">
        <v>590.95000000000005</v>
      </c>
      <c r="O304" s="116">
        <v>577.65</v>
      </c>
      <c r="P304" s="116">
        <v>590.95000000000005</v>
      </c>
      <c r="Q304" s="116">
        <v>583.04999999999995</v>
      </c>
      <c r="R304">
        <v>155299</v>
      </c>
    </row>
    <row r="305" spans="1:18" x14ac:dyDescent="0.25">
      <c r="A305" s="170">
        <v>43454</v>
      </c>
      <c r="B305" s="116">
        <v>595</v>
      </c>
      <c r="C305" s="116">
        <v>592.35</v>
      </c>
      <c r="D305" s="116">
        <v>577</v>
      </c>
      <c r="E305" s="116">
        <v>582</v>
      </c>
      <c r="F305" s="116">
        <v>592.35</v>
      </c>
      <c r="G305">
        <v>10250</v>
      </c>
      <c r="H305" s="116"/>
      <c r="I305" s="116"/>
      <c r="L305" s="170">
        <v>43454</v>
      </c>
      <c r="M305" s="116">
        <v>592.45000000000005</v>
      </c>
      <c r="N305" s="116">
        <v>596</v>
      </c>
      <c r="O305" s="116">
        <v>575.65</v>
      </c>
      <c r="P305" s="116">
        <v>580.6</v>
      </c>
      <c r="Q305" s="116">
        <v>592.45000000000005</v>
      </c>
      <c r="R305">
        <v>134271</v>
      </c>
    </row>
    <row r="306" spans="1:18" x14ac:dyDescent="0.25">
      <c r="A306" s="170">
        <v>43455</v>
      </c>
      <c r="B306" s="116">
        <v>603.75</v>
      </c>
      <c r="C306" s="116">
        <v>594.85</v>
      </c>
      <c r="D306" s="116">
        <v>580</v>
      </c>
      <c r="E306" s="116">
        <v>590.35</v>
      </c>
      <c r="F306" s="116">
        <v>594.85</v>
      </c>
      <c r="G306">
        <v>12667</v>
      </c>
      <c r="H306" s="116"/>
      <c r="I306" s="116"/>
      <c r="L306" s="170">
        <v>43455</v>
      </c>
      <c r="M306" s="116">
        <v>597.5</v>
      </c>
      <c r="N306" s="116">
        <v>605.54999999999995</v>
      </c>
      <c r="O306" s="116">
        <v>577.29999999999995</v>
      </c>
      <c r="P306" s="116">
        <v>593.15</v>
      </c>
      <c r="Q306" s="116">
        <v>597.5</v>
      </c>
      <c r="R306">
        <v>2025095</v>
      </c>
    </row>
    <row r="307" spans="1:18" x14ac:dyDescent="0.25">
      <c r="A307" s="170">
        <v>43458</v>
      </c>
      <c r="B307" s="116">
        <v>590.6</v>
      </c>
      <c r="C307" s="116">
        <v>577.6</v>
      </c>
      <c r="D307" s="116">
        <v>575.5</v>
      </c>
      <c r="E307" s="116">
        <v>590</v>
      </c>
      <c r="F307" s="116">
        <v>577.6</v>
      </c>
      <c r="G307">
        <v>6099</v>
      </c>
      <c r="H307" s="116"/>
      <c r="I307" s="116"/>
      <c r="L307" s="170">
        <v>43458</v>
      </c>
      <c r="M307" s="116">
        <v>579.45000000000005</v>
      </c>
      <c r="N307" s="116">
        <v>589.6</v>
      </c>
      <c r="O307" s="116">
        <v>576.54999999999995</v>
      </c>
      <c r="P307" s="116">
        <v>584.9</v>
      </c>
      <c r="Q307" s="116">
        <v>579.45000000000005</v>
      </c>
      <c r="R307">
        <v>144403</v>
      </c>
    </row>
    <row r="308" spans="1:18" x14ac:dyDescent="0.25">
      <c r="A308" s="170">
        <v>43460</v>
      </c>
      <c r="B308" s="116">
        <v>582.75</v>
      </c>
      <c r="C308" s="116">
        <v>573.85</v>
      </c>
      <c r="D308" s="116">
        <v>570.25</v>
      </c>
      <c r="E308" s="116">
        <v>580.20000000000005</v>
      </c>
      <c r="F308" s="116">
        <v>573.85</v>
      </c>
      <c r="G308">
        <v>5875</v>
      </c>
      <c r="H308" s="116"/>
      <c r="I308" s="116"/>
      <c r="L308" s="170">
        <v>43460</v>
      </c>
      <c r="M308" s="116">
        <v>574.85</v>
      </c>
      <c r="N308" s="116">
        <v>584</v>
      </c>
      <c r="O308" s="116">
        <v>570.15</v>
      </c>
      <c r="P308" s="116">
        <v>576</v>
      </c>
      <c r="Q308" s="116">
        <v>574.85</v>
      </c>
      <c r="R308">
        <v>81515</v>
      </c>
    </row>
    <row r="309" spans="1:18" x14ac:dyDescent="0.25">
      <c r="A309" s="170">
        <v>43461</v>
      </c>
      <c r="B309" s="116">
        <v>603</v>
      </c>
      <c r="C309" s="116">
        <v>589.20000000000005</v>
      </c>
      <c r="D309" s="116">
        <v>540.25</v>
      </c>
      <c r="E309" s="116">
        <v>554</v>
      </c>
      <c r="F309" s="116">
        <v>589.20000000000005</v>
      </c>
      <c r="G309">
        <v>50421</v>
      </c>
      <c r="H309" s="116"/>
      <c r="I309" s="116"/>
      <c r="L309" s="170">
        <v>43461</v>
      </c>
      <c r="M309" s="116">
        <v>590.6</v>
      </c>
      <c r="N309" s="116">
        <v>605</v>
      </c>
      <c r="O309" s="116">
        <v>540.35</v>
      </c>
      <c r="P309" s="116">
        <v>544</v>
      </c>
      <c r="Q309" s="116">
        <v>590.6</v>
      </c>
      <c r="R309">
        <v>926443</v>
      </c>
    </row>
    <row r="310" spans="1:18" x14ac:dyDescent="0.25">
      <c r="A310" s="170">
        <v>43462</v>
      </c>
      <c r="B310" s="116">
        <v>603.4</v>
      </c>
      <c r="C310" s="116">
        <v>596.6</v>
      </c>
      <c r="D310" s="116">
        <v>588</v>
      </c>
      <c r="E310" s="116">
        <v>599.85</v>
      </c>
      <c r="F310" s="116">
        <v>596.6</v>
      </c>
      <c r="G310">
        <v>25480</v>
      </c>
      <c r="H310" s="116"/>
      <c r="I310" s="116"/>
      <c r="L310" s="170">
        <v>43462</v>
      </c>
      <c r="M310" s="116">
        <v>598.79999999999995</v>
      </c>
      <c r="N310" s="116">
        <v>605</v>
      </c>
      <c r="O310" s="116">
        <v>587.25</v>
      </c>
      <c r="P310" s="116">
        <v>600</v>
      </c>
      <c r="Q310" s="116">
        <v>598.79999999999995</v>
      </c>
      <c r="R310">
        <v>519520</v>
      </c>
    </row>
    <row r="311" spans="1:18" x14ac:dyDescent="0.25">
      <c r="A311" s="170">
        <v>43465</v>
      </c>
      <c r="B311" s="116">
        <v>604.35</v>
      </c>
      <c r="C311" s="116">
        <v>596.45000000000005</v>
      </c>
      <c r="D311" s="116">
        <v>595.54999999999995</v>
      </c>
      <c r="E311" s="116">
        <v>598.54999999999995</v>
      </c>
      <c r="F311" s="116">
        <v>596.45000000000005</v>
      </c>
      <c r="G311">
        <v>5704</v>
      </c>
      <c r="H311" s="116"/>
      <c r="I311" s="116"/>
      <c r="L311" s="170">
        <v>43465</v>
      </c>
      <c r="M311" s="116">
        <v>597.85</v>
      </c>
      <c r="N311" s="116">
        <v>605.79999999999995</v>
      </c>
      <c r="O311" s="116">
        <v>595</v>
      </c>
      <c r="P311" s="116">
        <v>595</v>
      </c>
      <c r="Q311" s="116">
        <v>597.85</v>
      </c>
      <c r="R311">
        <v>169943</v>
      </c>
    </row>
    <row r="312" spans="1:18" x14ac:dyDescent="0.25">
      <c r="A312" s="170">
        <v>43466</v>
      </c>
      <c r="B312" s="116">
        <v>601.25</v>
      </c>
      <c r="C312" s="116">
        <v>598.95000000000005</v>
      </c>
      <c r="D312" s="116">
        <v>592.5</v>
      </c>
      <c r="E312" s="116">
        <v>597</v>
      </c>
      <c r="F312" s="116">
        <v>598.95000000000005</v>
      </c>
      <c r="G312">
        <v>2720</v>
      </c>
      <c r="H312" s="116"/>
      <c r="I312" s="116"/>
      <c r="L312" s="170">
        <v>43466</v>
      </c>
      <c r="M312" s="116">
        <v>598.85</v>
      </c>
      <c r="N312" s="116">
        <v>601.79999999999995</v>
      </c>
      <c r="O312" s="116">
        <v>592.20000000000005</v>
      </c>
      <c r="P312" s="116">
        <v>595.25</v>
      </c>
      <c r="Q312" s="116">
        <v>598.85</v>
      </c>
      <c r="R312">
        <v>40902</v>
      </c>
    </row>
    <row r="313" spans="1:18" x14ac:dyDescent="0.25">
      <c r="A313" s="170">
        <v>43467</v>
      </c>
      <c r="B313" s="116">
        <v>603.25</v>
      </c>
      <c r="C313" s="116">
        <v>599.35</v>
      </c>
      <c r="D313" s="116">
        <v>593.5</v>
      </c>
      <c r="E313" s="116">
        <v>595.79999999999995</v>
      </c>
      <c r="F313" s="116">
        <v>599.35</v>
      </c>
      <c r="G313">
        <v>2967</v>
      </c>
      <c r="H313" s="116"/>
      <c r="I313" s="116"/>
      <c r="L313" s="170">
        <v>43467</v>
      </c>
      <c r="M313" s="116">
        <v>601.70000000000005</v>
      </c>
      <c r="N313" s="116">
        <v>604</v>
      </c>
      <c r="O313" s="116">
        <v>593.4</v>
      </c>
      <c r="P313" s="116">
        <v>593.4</v>
      </c>
      <c r="Q313" s="116">
        <v>601.70000000000005</v>
      </c>
      <c r="R313">
        <v>115282</v>
      </c>
    </row>
    <row r="314" spans="1:18" x14ac:dyDescent="0.25">
      <c r="A314" s="170">
        <v>43468</v>
      </c>
      <c r="B314" s="116">
        <v>601</v>
      </c>
      <c r="C314" s="116">
        <v>598.65</v>
      </c>
      <c r="D314" s="116">
        <v>590</v>
      </c>
      <c r="E314" s="116">
        <v>600</v>
      </c>
      <c r="F314" s="116">
        <v>598.65</v>
      </c>
      <c r="G314">
        <v>5868</v>
      </c>
      <c r="H314" s="116"/>
      <c r="I314" s="116"/>
      <c r="L314" s="170">
        <v>43468</v>
      </c>
      <c r="M314" s="116">
        <v>600.04999999999995</v>
      </c>
      <c r="N314" s="116">
        <v>603</v>
      </c>
      <c r="O314" s="116">
        <v>590</v>
      </c>
      <c r="P314" s="116">
        <v>598.4</v>
      </c>
      <c r="Q314" s="116">
        <v>600.04999999999995</v>
      </c>
      <c r="R314">
        <v>415471</v>
      </c>
    </row>
    <row r="315" spans="1:18" x14ac:dyDescent="0.25">
      <c r="A315" s="170">
        <v>43469</v>
      </c>
      <c r="B315" s="116">
        <v>614</v>
      </c>
      <c r="C315" s="116">
        <v>602.35</v>
      </c>
      <c r="D315" s="116">
        <v>597.95000000000005</v>
      </c>
      <c r="E315" s="116">
        <v>597.95000000000005</v>
      </c>
      <c r="F315" s="116">
        <v>602.35</v>
      </c>
      <c r="G315">
        <v>8282</v>
      </c>
      <c r="H315" s="116"/>
      <c r="I315" s="116"/>
      <c r="L315" s="170">
        <v>43469</v>
      </c>
      <c r="M315" s="116">
        <v>602.85</v>
      </c>
      <c r="N315" s="116">
        <v>615</v>
      </c>
      <c r="O315" s="116">
        <v>600</v>
      </c>
      <c r="P315" s="116">
        <v>603</v>
      </c>
      <c r="Q315" s="116">
        <v>602.85</v>
      </c>
      <c r="R315">
        <v>119061</v>
      </c>
    </row>
    <row r="316" spans="1:18" x14ac:dyDescent="0.25">
      <c r="A316" s="170">
        <v>43472</v>
      </c>
      <c r="B316" s="116">
        <v>607.35</v>
      </c>
      <c r="C316" s="116">
        <v>601.5</v>
      </c>
      <c r="D316" s="116">
        <v>598.6</v>
      </c>
      <c r="E316" s="116">
        <v>606.15</v>
      </c>
      <c r="F316" s="116">
        <v>601.5</v>
      </c>
      <c r="G316">
        <v>2747</v>
      </c>
      <c r="H316" s="116"/>
      <c r="I316" s="116"/>
      <c r="L316" s="170">
        <v>43472</v>
      </c>
      <c r="M316" s="116">
        <v>602.45000000000005</v>
      </c>
      <c r="N316" s="116">
        <v>608.85</v>
      </c>
      <c r="O316" s="116">
        <v>597.70000000000005</v>
      </c>
      <c r="P316" s="116">
        <v>602.85</v>
      </c>
      <c r="Q316" s="116">
        <v>602.45000000000005</v>
      </c>
      <c r="R316">
        <v>316222</v>
      </c>
    </row>
    <row r="317" spans="1:18" x14ac:dyDescent="0.25">
      <c r="A317" s="170">
        <v>43473</v>
      </c>
      <c r="B317" s="116">
        <v>624.29999999999995</v>
      </c>
      <c r="C317" s="116">
        <v>612.9</v>
      </c>
      <c r="D317" s="116">
        <v>599.95000000000005</v>
      </c>
      <c r="E317" s="116">
        <v>599.95000000000005</v>
      </c>
      <c r="F317" s="116">
        <v>612.9</v>
      </c>
      <c r="G317">
        <v>68852</v>
      </c>
      <c r="H317" s="116"/>
      <c r="I317" s="116"/>
      <c r="L317" s="170">
        <v>43473</v>
      </c>
      <c r="M317" s="116">
        <v>612.5</v>
      </c>
      <c r="N317" s="116">
        <v>626.9</v>
      </c>
      <c r="O317" s="116">
        <v>600</v>
      </c>
      <c r="P317" s="116">
        <v>600</v>
      </c>
      <c r="Q317" s="116">
        <v>612.5</v>
      </c>
      <c r="R317">
        <v>214725</v>
      </c>
    </row>
    <row r="318" spans="1:18" x14ac:dyDescent="0.25">
      <c r="A318" s="170">
        <v>43474</v>
      </c>
      <c r="B318" s="116">
        <v>648.15</v>
      </c>
      <c r="C318" s="116">
        <v>642.20000000000005</v>
      </c>
      <c r="D318" s="116">
        <v>617</v>
      </c>
      <c r="E318" s="116">
        <v>618</v>
      </c>
      <c r="F318" s="116">
        <v>642.20000000000005</v>
      </c>
      <c r="G318">
        <v>20763</v>
      </c>
      <c r="H318" s="116"/>
      <c r="I318" s="116"/>
      <c r="L318" s="170">
        <v>43474</v>
      </c>
      <c r="M318" s="116">
        <v>642.95000000000005</v>
      </c>
      <c r="N318" s="116">
        <v>649.75</v>
      </c>
      <c r="O318" s="116">
        <v>615</v>
      </c>
      <c r="P318" s="116">
        <v>615</v>
      </c>
      <c r="Q318" s="116">
        <v>642.95000000000005</v>
      </c>
      <c r="R318">
        <v>304725</v>
      </c>
    </row>
    <row r="319" spans="1:18" x14ac:dyDescent="0.25">
      <c r="A319" s="170">
        <v>43475</v>
      </c>
      <c r="B319" s="116">
        <v>647.9</v>
      </c>
      <c r="C319" s="116">
        <v>635.04999999999995</v>
      </c>
      <c r="D319" s="116">
        <v>631.85</v>
      </c>
      <c r="E319" s="116">
        <v>642.95000000000005</v>
      </c>
      <c r="F319" s="116">
        <v>635.04999999999995</v>
      </c>
      <c r="G319">
        <v>14632</v>
      </c>
      <c r="H319" s="116"/>
      <c r="I319" s="116"/>
      <c r="L319" s="170">
        <v>43475</v>
      </c>
      <c r="M319" s="116">
        <v>634.75</v>
      </c>
      <c r="N319" s="116">
        <v>648.4</v>
      </c>
      <c r="O319" s="116">
        <v>631</v>
      </c>
      <c r="P319" s="116">
        <v>642.1</v>
      </c>
      <c r="Q319" s="116">
        <v>634.75</v>
      </c>
      <c r="R319">
        <v>165683</v>
      </c>
    </row>
    <row r="320" spans="1:18" x14ac:dyDescent="0.25">
      <c r="A320" s="170">
        <v>43476</v>
      </c>
      <c r="B320" s="116">
        <v>641.54999999999995</v>
      </c>
      <c r="C320" s="116">
        <v>637.29999999999995</v>
      </c>
      <c r="D320" s="116">
        <v>630.45000000000005</v>
      </c>
      <c r="E320" s="116">
        <v>635</v>
      </c>
      <c r="F320" s="116">
        <v>637.29999999999995</v>
      </c>
      <c r="G320">
        <v>10519</v>
      </c>
      <c r="H320" s="116"/>
      <c r="I320" s="116"/>
      <c r="L320" s="170">
        <v>43476</v>
      </c>
      <c r="M320" s="116">
        <v>638.5</v>
      </c>
      <c r="N320" s="116">
        <v>643</v>
      </c>
      <c r="O320" s="116">
        <v>630</v>
      </c>
      <c r="P320" s="116">
        <v>635</v>
      </c>
      <c r="Q320" s="116">
        <v>638.5</v>
      </c>
      <c r="R320">
        <v>171998</v>
      </c>
    </row>
    <row r="321" spans="1:18" x14ac:dyDescent="0.25">
      <c r="A321" s="170">
        <v>43479</v>
      </c>
      <c r="B321" s="116">
        <v>635.15</v>
      </c>
      <c r="C321" s="116">
        <v>621.75</v>
      </c>
      <c r="D321" s="116">
        <v>616.1</v>
      </c>
      <c r="E321" s="116">
        <v>635</v>
      </c>
      <c r="F321" s="116">
        <v>621.75</v>
      </c>
      <c r="G321">
        <v>3582</v>
      </c>
      <c r="H321" s="116"/>
      <c r="I321" s="116"/>
      <c r="L321" s="170">
        <v>43479</v>
      </c>
      <c r="M321" s="116">
        <v>620.1</v>
      </c>
      <c r="N321" s="116">
        <v>636.65</v>
      </c>
      <c r="O321" s="116">
        <v>618.25</v>
      </c>
      <c r="P321" s="116">
        <v>633</v>
      </c>
      <c r="Q321" s="116">
        <v>620.1</v>
      </c>
      <c r="R321">
        <v>366016</v>
      </c>
    </row>
    <row r="322" spans="1:18" x14ac:dyDescent="0.25">
      <c r="A322" s="170">
        <v>43480</v>
      </c>
      <c r="B322" s="116">
        <v>634.5</v>
      </c>
      <c r="C322" s="116">
        <v>622.5</v>
      </c>
      <c r="D322" s="116">
        <v>620.45000000000005</v>
      </c>
      <c r="E322" s="116">
        <v>634.5</v>
      </c>
      <c r="F322" s="116">
        <v>622.5</v>
      </c>
      <c r="G322">
        <v>3887</v>
      </c>
      <c r="H322" s="116"/>
      <c r="I322" s="116"/>
      <c r="L322" s="170">
        <v>43480</v>
      </c>
      <c r="M322" s="116">
        <v>623.9</v>
      </c>
      <c r="N322" s="116">
        <v>631.15</v>
      </c>
      <c r="O322" s="116">
        <v>620</v>
      </c>
      <c r="P322" s="116">
        <v>624</v>
      </c>
      <c r="Q322" s="116">
        <v>623.9</v>
      </c>
      <c r="R322">
        <v>68669</v>
      </c>
    </row>
    <row r="323" spans="1:18" x14ac:dyDescent="0.25">
      <c r="A323" s="170">
        <v>43481</v>
      </c>
      <c r="B323" s="116">
        <v>630</v>
      </c>
      <c r="C323" s="116">
        <v>621.9</v>
      </c>
      <c r="D323" s="116">
        <v>618</v>
      </c>
      <c r="E323" s="116">
        <v>621.85</v>
      </c>
      <c r="F323" s="116">
        <v>621.9</v>
      </c>
      <c r="G323">
        <v>22110</v>
      </c>
      <c r="H323" s="116"/>
      <c r="I323" s="116"/>
      <c r="L323" s="170">
        <v>43481</v>
      </c>
      <c r="M323" s="116">
        <v>621.4</v>
      </c>
      <c r="N323" s="116">
        <v>630.29999999999995</v>
      </c>
      <c r="O323" s="116">
        <v>618</v>
      </c>
      <c r="P323" s="116">
        <v>622.5</v>
      </c>
      <c r="Q323" s="116">
        <v>621.4</v>
      </c>
      <c r="R323">
        <v>440003</v>
      </c>
    </row>
    <row r="324" spans="1:18" x14ac:dyDescent="0.25">
      <c r="A324" s="170">
        <v>43482</v>
      </c>
      <c r="B324" s="116">
        <v>634</v>
      </c>
      <c r="C324" s="116">
        <v>624.6</v>
      </c>
      <c r="D324" s="116">
        <v>617</v>
      </c>
      <c r="E324" s="116">
        <v>622.5</v>
      </c>
      <c r="F324" s="116">
        <v>624.6</v>
      </c>
      <c r="G324">
        <v>7903</v>
      </c>
      <c r="H324" s="116"/>
      <c r="I324" s="116"/>
      <c r="L324" s="170">
        <v>43482</v>
      </c>
      <c r="M324" s="116">
        <v>623.35</v>
      </c>
      <c r="N324" s="116">
        <v>633.54999999999995</v>
      </c>
      <c r="O324" s="116">
        <v>618</v>
      </c>
      <c r="P324" s="116">
        <v>621.5</v>
      </c>
      <c r="Q324" s="116">
        <v>623.35</v>
      </c>
      <c r="R324">
        <v>377003</v>
      </c>
    </row>
    <row r="325" spans="1:18" x14ac:dyDescent="0.25">
      <c r="A325" s="170">
        <v>43483</v>
      </c>
      <c r="B325" s="116">
        <v>628.70000000000005</v>
      </c>
      <c r="C325" s="116">
        <v>619.79999999999995</v>
      </c>
      <c r="D325" s="116">
        <v>609</v>
      </c>
      <c r="E325" s="116">
        <v>625.04999999999995</v>
      </c>
      <c r="F325" s="116">
        <v>619.79999999999995</v>
      </c>
      <c r="G325">
        <v>8546</v>
      </c>
      <c r="H325" s="116"/>
      <c r="I325" s="116"/>
      <c r="L325" s="170">
        <v>43483</v>
      </c>
      <c r="M325" s="116">
        <v>620.20000000000005</v>
      </c>
      <c r="N325" s="116">
        <v>629.5</v>
      </c>
      <c r="O325" s="116">
        <v>615</v>
      </c>
      <c r="P325" s="116">
        <v>627</v>
      </c>
      <c r="Q325" s="116">
        <v>620.20000000000005</v>
      </c>
      <c r="R325">
        <v>107504</v>
      </c>
    </row>
    <row r="326" spans="1:18" x14ac:dyDescent="0.25">
      <c r="A326" s="170">
        <v>43486</v>
      </c>
      <c r="B326" s="116">
        <v>644.35</v>
      </c>
      <c r="C326" s="116">
        <v>617.15</v>
      </c>
      <c r="D326" s="116">
        <v>613.45000000000005</v>
      </c>
      <c r="E326" s="116">
        <v>621</v>
      </c>
      <c r="F326" s="116">
        <v>617.15</v>
      </c>
      <c r="G326">
        <v>20262</v>
      </c>
      <c r="H326" s="116"/>
      <c r="I326" s="116"/>
      <c r="L326" s="170">
        <v>43486</v>
      </c>
      <c r="M326" s="116">
        <v>617.65</v>
      </c>
      <c r="N326" s="116">
        <v>644.70000000000005</v>
      </c>
      <c r="O326" s="116">
        <v>612.5</v>
      </c>
      <c r="P326" s="116">
        <v>625</v>
      </c>
      <c r="Q326" s="116">
        <v>617.65</v>
      </c>
      <c r="R326">
        <v>427431</v>
      </c>
    </row>
    <row r="327" spans="1:18" x14ac:dyDescent="0.25">
      <c r="A327" s="170">
        <v>43487</v>
      </c>
      <c r="B327" s="116">
        <v>628</v>
      </c>
      <c r="C327" s="116">
        <v>618.75</v>
      </c>
      <c r="D327" s="116">
        <v>611.75</v>
      </c>
      <c r="E327" s="116">
        <v>619</v>
      </c>
      <c r="F327" s="116">
        <v>618.75</v>
      </c>
      <c r="G327">
        <v>6315</v>
      </c>
      <c r="H327" s="116"/>
      <c r="I327" s="116"/>
      <c r="L327" s="170">
        <v>43487</v>
      </c>
      <c r="M327" s="116">
        <v>619.9</v>
      </c>
      <c r="N327" s="116">
        <v>629.79999999999995</v>
      </c>
      <c r="O327" s="116">
        <v>611.70000000000005</v>
      </c>
      <c r="P327" s="116">
        <v>620</v>
      </c>
      <c r="Q327" s="116">
        <v>619.9</v>
      </c>
      <c r="R327">
        <v>95583</v>
      </c>
    </row>
    <row r="328" spans="1:18" x14ac:dyDescent="0.25">
      <c r="A328" s="170">
        <v>43488</v>
      </c>
      <c r="B328" s="116">
        <v>627.5</v>
      </c>
      <c r="C328" s="116">
        <v>618.95000000000005</v>
      </c>
      <c r="D328" s="116">
        <v>614.1</v>
      </c>
      <c r="E328" s="116">
        <v>619.4</v>
      </c>
      <c r="F328" s="116">
        <v>618.95000000000005</v>
      </c>
      <c r="G328">
        <v>3618</v>
      </c>
      <c r="H328" s="116"/>
      <c r="I328" s="116"/>
      <c r="L328" s="170">
        <v>43488</v>
      </c>
      <c r="M328" s="116">
        <v>620</v>
      </c>
      <c r="N328" s="116">
        <v>628.9</v>
      </c>
      <c r="O328" s="116">
        <v>612.20000000000005</v>
      </c>
      <c r="P328" s="116">
        <v>623</v>
      </c>
      <c r="Q328" s="116">
        <v>620</v>
      </c>
      <c r="R328">
        <v>159259</v>
      </c>
    </row>
    <row r="329" spans="1:18" x14ac:dyDescent="0.25">
      <c r="A329" s="170">
        <v>43489</v>
      </c>
      <c r="B329" s="116">
        <v>628</v>
      </c>
      <c r="C329" s="116">
        <v>617.35</v>
      </c>
      <c r="D329" s="116">
        <v>615.5</v>
      </c>
      <c r="E329" s="116">
        <v>620.79999999999995</v>
      </c>
      <c r="F329" s="116">
        <v>617.35</v>
      </c>
      <c r="G329">
        <v>6730</v>
      </c>
      <c r="H329" s="116"/>
      <c r="I329" s="116"/>
      <c r="L329" s="170">
        <v>43489</v>
      </c>
      <c r="M329" s="116">
        <v>618.25</v>
      </c>
      <c r="N329" s="116">
        <v>629.4</v>
      </c>
      <c r="O329" s="116">
        <v>615.1</v>
      </c>
      <c r="P329" s="116">
        <v>620</v>
      </c>
      <c r="Q329" s="116">
        <v>618.25</v>
      </c>
      <c r="R329">
        <v>129335</v>
      </c>
    </row>
    <row r="330" spans="1:18" x14ac:dyDescent="0.25">
      <c r="A330" s="170">
        <v>43490</v>
      </c>
      <c r="B330" s="116">
        <v>631.75</v>
      </c>
      <c r="C330" s="116">
        <v>619.65</v>
      </c>
      <c r="D330" s="116">
        <v>617.70000000000005</v>
      </c>
      <c r="E330" s="116">
        <v>622.15</v>
      </c>
      <c r="F330" s="116">
        <v>619.65</v>
      </c>
      <c r="G330">
        <v>10465</v>
      </c>
      <c r="H330" s="116"/>
      <c r="I330" s="116"/>
      <c r="L330" s="170">
        <v>43490</v>
      </c>
      <c r="M330" s="116">
        <v>619.6</v>
      </c>
      <c r="N330" s="116">
        <v>633</v>
      </c>
      <c r="O330" s="116">
        <v>615.65</v>
      </c>
      <c r="P330" s="116">
        <v>627.45000000000005</v>
      </c>
      <c r="Q330" s="116">
        <v>619.6</v>
      </c>
      <c r="R330">
        <v>222746</v>
      </c>
    </row>
    <row r="331" spans="1:18" x14ac:dyDescent="0.25">
      <c r="A331" s="170">
        <v>43493</v>
      </c>
      <c r="B331" s="116">
        <v>624.95000000000005</v>
      </c>
      <c r="C331" s="116">
        <v>599.29999999999995</v>
      </c>
      <c r="D331" s="116">
        <v>596.1</v>
      </c>
      <c r="E331" s="116">
        <v>624.95000000000005</v>
      </c>
      <c r="F331" s="116">
        <v>599.29999999999995</v>
      </c>
      <c r="G331">
        <v>23850</v>
      </c>
      <c r="H331" s="116"/>
      <c r="I331" s="116"/>
      <c r="L331" s="170">
        <v>43493</v>
      </c>
      <c r="M331" s="116">
        <v>599.25</v>
      </c>
      <c r="N331" s="116">
        <v>624.45000000000005</v>
      </c>
      <c r="O331" s="116">
        <v>595.25</v>
      </c>
      <c r="P331" s="116">
        <v>621</v>
      </c>
      <c r="Q331" s="116">
        <v>599.25</v>
      </c>
      <c r="R331">
        <v>285382</v>
      </c>
    </row>
    <row r="332" spans="1:18" x14ac:dyDescent="0.25">
      <c r="A332" s="170">
        <v>43494</v>
      </c>
      <c r="B332" s="116">
        <v>616.95000000000005</v>
      </c>
      <c r="C332" s="116">
        <v>605.04999999999995</v>
      </c>
      <c r="D332" s="116">
        <v>596.04999999999995</v>
      </c>
      <c r="E332" s="116">
        <v>606.9</v>
      </c>
      <c r="F332" s="116">
        <v>605.04999999999995</v>
      </c>
      <c r="G332">
        <v>4269</v>
      </c>
      <c r="H332" s="116"/>
      <c r="I332" s="116"/>
      <c r="L332" s="170">
        <v>43494</v>
      </c>
      <c r="M332" s="116">
        <v>606.1</v>
      </c>
      <c r="N332" s="116">
        <v>617.95000000000005</v>
      </c>
      <c r="O332" s="116">
        <v>595.70000000000005</v>
      </c>
      <c r="P332" s="116">
        <v>600.1</v>
      </c>
      <c r="Q332" s="116">
        <v>606.1</v>
      </c>
      <c r="R332">
        <v>302014</v>
      </c>
    </row>
    <row r="333" spans="1:18" x14ac:dyDescent="0.25">
      <c r="A333" s="170">
        <v>43495</v>
      </c>
      <c r="B333" s="116">
        <v>615.5</v>
      </c>
      <c r="C333" s="116">
        <v>599.45000000000005</v>
      </c>
      <c r="D333" s="116">
        <v>597</v>
      </c>
      <c r="E333" s="116">
        <v>607.15</v>
      </c>
      <c r="F333" s="116">
        <v>599.45000000000005</v>
      </c>
      <c r="G333">
        <v>5196</v>
      </c>
      <c r="H333" s="116"/>
      <c r="I333" s="116"/>
      <c r="L333" s="170">
        <v>43495</v>
      </c>
      <c r="M333" s="116">
        <v>599.95000000000005</v>
      </c>
      <c r="N333" s="116">
        <v>616.4</v>
      </c>
      <c r="O333" s="116">
        <v>596</v>
      </c>
      <c r="P333" s="116">
        <v>607</v>
      </c>
      <c r="Q333" s="116">
        <v>599.95000000000005</v>
      </c>
      <c r="R333">
        <v>260752</v>
      </c>
    </row>
    <row r="334" spans="1:18" x14ac:dyDescent="0.25">
      <c r="A334" s="170">
        <v>43496</v>
      </c>
      <c r="B334" s="116">
        <v>610</v>
      </c>
      <c r="C334" s="116">
        <v>603.25</v>
      </c>
      <c r="D334" s="116">
        <v>597</v>
      </c>
      <c r="E334" s="116">
        <v>599.95000000000005</v>
      </c>
      <c r="F334" s="116">
        <v>603.25</v>
      </c>
      <c r="G334">
        <v>19852</v>
      </c>
      <c r="H334" s="116"/>
      <c r="I334" s="116"/>
      <c r="L334" s="170">
        <v>43496</v>
      </c>
      <c r="M334" s="116">
        <v>595</v>
      </c>
      <c r="N334" s="116">
        <v>607.75</v>
      </c>
      <c r="O334" s="116">
        <v>593.70000000000005</v>
      </c>
      <c r="P334" s="116">
        <v>600.5</v>
      </c>
      <c r="Q334" s="116">
        <v>595</v>
      </c>
      <c r="R334">
        <v>780410</v>
      </c>
    </row>
    <row r="335" spans="1:18" x14ac:dyDescent="0.25">
      <c r="A335" s="170">
        <v>43497</v>
      </c>
      <c r="B335" s="116">
        <v>604</v>
      </c>
      <c r="C335" s="116">
        <v>592.75</v>
      </c>
      <c r="D335" s="116">
        <v>590</v>
      </c>
      <c r="E335" s="116">
        <v>604</v>
      </c>
      <c r="F335" s="116">
        <v>592.75</v>
      </c>
      <c r="G335">
        <v>10652</v>
      </c>
      <c r="H335" s="116"/>
      <c r="I335" s="116"/>
      <c r="L335" s="170">
        <v>43497</v>
      </c>
      <c r="M335" s="116">
        <v>590.95000000000005</v>
      </c>
      <c r="N335" s="116">
        <v>604</v>
      </c>
      <c r="O335" s="116">
        <v>588.1</v>
      </c>
      <c r="P335" s="116">
        <v>600</v>
      </c>
      <c r="Q335" s="116">
        <v>590.95000000000005</v>
      </c>
      <c r="R335">
        <v>546770</v>
      </c>
    </row>
    <row r="336" spans="1:18" x14ac:dyDescent="0.25">
      <c r="A336" s="170">
        <v>43500</v>
      </c>
      <c r="B336" s="116">
        <v>599</v>
      </c>
      <c r="C336" s="116">
        <v>587.9</v>
      </c>
      <c r="D336" s="116">
        <v>573</v>
      </c>
      <c r="E336" s="116">
        <v>592</v>
      </c>
      <c r="F336" s="116">
        <v>587.9</v>
      </c>
      <c r="G336">
        <v>6778</v>
      </c>
      <c r="H336" s="116"/>
      <c r="I336" s="116"/>
      <c r="L336" s="170">
        <v>43500</v>
      </c>
      <c r="M336" s="116">
        <v>589.75</v>
      </c>
      <c r="N336" s="116">
        <v>599</v>
      </c>
      <c r="O336" s="116">
        <v>571.1</v>
      </c>
      <c r="P336" s="116">
        <v>594</v>
      </c>
      <c r="Q336" s="116">
        <v>589.75</v>
      </c>
      <c r="R336">
        <v>146249</v>
      </c>
    </row>
    <row r="337" spans="1:18" x14ac:dyDescent="0.25">
      <c r="A337" s="170">
        <v>43501</v>
      </c>
      <c r="B337" s="116">
        <v>592.1</v>
      </c>
      <c r="C337" s="116">
        <v>582.65</v>
      </c>
      <c r="D337" s="116">
        <v>580</v>
      </c>
      <c r="E337" s="116">
        <v>581.65</v>
      </c>
      <c r="F337" s="116">
        <v>582.65</v>
      </c>
      <c r="G337">
        <v>2921</v>
      </c>
      <c r="H337" s="116"/>
      <c r="I337" s="116"/>
      <c r="L337" s="170">
        <v>43501</v>
      </c>
      <c r="M337" s="116">
        <v>584</v>
      </c>
      <c r="N337" s="116">
        <v>594</v>
      </c>
      <c r="O337" s="116">
        <v>582</v>
      </c>
      <c r="P337" s="116">
        <v>589.75</v>
      </c>
      <c r="Q337" s="116">
        <v>584</v>
      </c>
      <c r="R337">
        <v>53619</v>
      </c>
    </row>
    <row r="338" spans="1:18" x14ac:dyDescent="0.25">
      <c r="A338" s="170">
        <v>43502</v>
      </c>
      <c r="B338" s="116">
        <v>589.20000000000005</v>
      </c>
      <c r="C338" s="116">
        <v>583</v>
      </c>
      <c r="D338" s="116">
        <v>576</v>
      </c>
      <c r="E338" s="116">
        <v>583.20000000000005</v>
      </c>
      <c r="F338" s="116">
        <v>583</v>
      </c>
      <c r="G338">
        <v>40378</v>
      </c>
      <c r="H338" s="116"/>
      <c r="I338" s="116"/>
      <c r="L338" s="170">
        <v>43502</v>
      </c>
      <c r="M338" s="116">
        <v>579.4</v>
      </c>
      <c r="N338" s="116">
        <v>590</v>
      </c>
      <c r="O338" s="116">
        <v>575</v>
      </c>
      <c r="P338" s="116">
        <v>585</v>
      </c>
      <c r="Q338" s="116">
        <v>579.4</v>
      </c>
      <c r="R338">
        <v>690808</v>
      </c>
    </row>
    <row r="339" spans="1:18" x14ac:dyDescent="0.25">
      <c r="A339" s="170">
        <v>43503</v>
      </c>
      <c r="B339" s="116">
        <v>583</v>
      </c>
      <c r="C339" s="116">
        <v>579.29999999999995</v>
      </c>
      <c r="D339" s="116">
        <v>576.95000000000005</v>
      </c>
      <c r="E339" s="116">
        <v>576.95000000000005</v>
      </c>
      <c r="F339" s="116">
        <v>579.29999999999995</v>
      </c>
      <c r="G339">
        <v>3649</v>
      </c>
      <c r="H339" s="116"/>
      <c r="I339" s="116"/>
      <c r="L339" s="170">
        <v>43503</v>
      </c>
      <c r="M339" s="116">
        <v>577.25</v>
      </c>
      <c r="N339" s="116">
        <v>584.4</v>
      </c>
      <c r="O339" s="116">
        <v>575.04999999999995</v>
      </c>
      <c r="P339" s="116">
        <v>580</v>
      </c>
      <c r="Q339" s="116">
        <v>577.25</v>
      </c>
      <c r="R339">
        <v>570245</v>
      </c>
    </row>
    <row r="340" spans="1:18" x14ac:dyDescent="0.25">
      <c r="A340" s="170">
        <v>43504</v>
      </c>
      <c r="B340" s="116">
        <v>582.54999999999995</v>
      </c>
      <c r="C340" s="116">
        <v>577.65</v>
      </c>
      <c r="D340" s="116">
        <v>576.15</v>
      </c>
      <c r="E340" s="116">
        <v>580</v>
      </c>
      <c r="F340" s="116">
        <v>577.65</v>
      </c>
      <c r="G340">
        <v>2632</v>
      </c>
      <c r="H340" s="116"/>
      <c r="I340" s="116"/>
      <c r="L340" s="170">
        <v>43504</v>
      </c>
      <c r="M340" s="116">
        <v>577.54999999999995</v>
      </c>
      <c r="N340" s="116">
        <v>583.95000000000005</v>
      </c>
      <c r="O340" s="116">
        <v>575</v>
      </c>
      <c r="P340" s="116">
        <v>577.25</v>
      </c>
      <c r="Q340" s="116">
        <v>577.54999999999995</v>
      </c>
      <c r="R340">
        <v>130409</v>
      </c>
    </row>
    <row r="341" spans="1:18" x14ac:dyDescent="0.25">
      <c r="A341" s="170">
        <v>43507</v>
      </c>
      <c r="B341" s="116">
        <v>577.1</v>
      </c>
      <c r="C341" s="116">
        <v>567.5</v>
      </c>
      <c r="D341" s="116">
        <v>561.5</v>
      </c>
      <c r="E341" s="116">
        <v>575</v>
      </c>
      <c r="F341" s="116">
        <v>567.5</v>
      </c>
      <c r="G341">
        <v>8115</v>
      </c>
      <c r="H341" s="116"/>
      <c r="I341" s="116"/>
      <c r="L341" s="170">
        <v>43507</v>
      </c>
      <c r="M341" s="116">
        <v>566.85</v>
      </c>
      <c r="N341" s="116">
        <v>579.1</v>
      </c>
      <c r="O341" s="116">
        <v>561.04999999999995</v>
      </c>
      <c r="P341" s="116">
        <v>576</v>
      </c>
      <c r="Q341" s="116">
        <v>566.85</v>
      </c>
      <c r="R341">
        <v>339881</v>
      </c>
    </row>
    <row r="342" spans="1:18" x14ac:dyDescent="0.25">
      <c r="A342" s="170">
        <v>43508</v>
      </c>
      <c r="B342" s="116">
        <v>584.25</v>
      </c>
      <c r="C342" s="116">
        <v>576.29999999999995</v>
      </c>
      <c r="D342" s="116">
        <v>561.15</v>
      </c>
      <c r="E342" s="116">
        <v>565</v>
      </c>
      <c r="F342" s="116">
        <v>576.29999999999995</v>
      </c>
      <c r="G342">
        <v>6896</v>
      </c>
      <c r="H342" s="116"/>
      <c r="I342" s="116"/>
      <c r="L342" s="170">
        <v>43508</v>
      </c>
      <c r="M342" s="116">
        <v>574.70000000000005</v>
      </c>
      <c r="N342" s="116">
        <v>585.65</v>
      </c>
      <c r="O342" s="116">
        <v>562.1</v>
      </c>
      <c r="P342" s="116">
        <v>569.85</v>
      </c>
      <c r="Q342" s="116">
        <v>574.70000000000005</v>
      </c>
      <c r="R342">
        <v>288095</v>
      </c>
    </row>
    <row r="343" spans="1:18" x14ac:dyDescent="0.25">
      <c r="A343" s="170">
        <v>43509</v>
      </c>
      <c r="B343" s="116">
        <v>578.5</v>
      </c>
      <c r="C343" s="116">
        <v>571.4</v>
      </c>
      <c r="D343" s="116">
        <v>565</v>
      </c>
      <c r="E343" s="116">
        <v>571.70000000000005</v>
      </c>
      <c r="F343" s="116">
        <v>571.4</v>
      </c>
      <c r="G343">
        <v>6299</v>
      </c>
      <c r="H343" s="116"/>
      <c r="I343" s="116"/>
      <c r="L343" s="170">
        <v>43509</v>
      </c>
      <c r="M343" s="116">
        <v>569.85</v>
      </c>
      <c r="N343" s="116">
        <v>579.95000000000005</v>
      </c>
      <c r="O343" s="116">
        <v>564</v>
      </c>
      <c r="P343" s="116">
        <v>574</v>
      </c>
      <c r="Q343" s="116">
        <v>569.85</v>
      </c>
      <c r="R343">
        <v>310406</v>
      </c>
    </row>
    <row r="344" spans="1:18" x14ac:dyDescent="0.25">
      <c r="A344" s="170">
        <v>43510</v>
      </c>
      <c r="B344" s="116">
        <v>570.5</v>
      </c>
      <c r="C344" s="116">
        <v>568.85</v>
      </c>
      <c r="D344" s="116">
        <v>564.1</v>
      </c>
      <c r="E344" s="116">
        <v>566.20000000000005</v>
      </c>
      <c r="F344" s="116">
        <v>568.85</v>
      </c>
      <c r="G344">
        <v>2954</v>
      </c>
      <c r="H344" s="116"/>
      <c r="I344" s="116"/>
      <c r="L344" s="170">
        <v>43510</v>
      </c>
      <c r="M344" s="116">
        <v>568.54999999999995</v>
      </c>
      <c r="N344" s="116">
        <v>574.5</v>
      </c>
      <c r="O344" s="116">
        <v>564.9</v>
      </c>
      <c r="P344" s="116">
        <v>569.9</v>
      </c>
      <c r="Q344" s="116">
        <v>568.54999999999995</v>
      </c>
      <c r="R344">
        <v>24238</v>
      </c>
    </row>
    <row r="345" spans="1:18" x14ac:dyDescent="0.25">
      <c r="A345" s="170">
        <v>43511</v>
      </c>
      <c r="B345" s="116">
        <v>575</v>
      </c>
      <c r="C345" s="116">
        <v>569.5</v>
      </c>
      <c r="D345" s="116">
        <v>562</v>
      </c>
      <c r="E345" s="116">
        <v>567.04999999999995</v>
      </c>
      <c r="F345" s="116">
        <v>569.5</v>
      </c>
      <c r="G345">
        <v>2728</v>
      </c>
      <c r="H345" s="116"/>
      <c r="I345" s="116"/>
      <c r="L345" s="170">
        <v>43511</v>
      </c>
      <c r="M345" s="116">
        <v>568.85</v>
      </c>
      <c r="N345" s="116">
        <v>575.79999999999995</v>
      </c>
      <c r="O345" s="116">
        <v>562</v>
      </c>
      <c r="P345" s="116">
        <v>568.54999999999995</v>
      </c>
      <c r="Q345" s="116">
        <v>568.85</v>
      </c>
      <c r="R345">
        <v>72417</v>
      </c>
    </row>
    <row r="346" spans="1:18" x14ac:dyDescent="0.25">
      <c r="A346" s="170">
        <v>43514</v>
      </c>
      <c r="B346" s="116">
        <v>570.20000000000005</v>
      </c>
      <c r="C346" s="116">
        <v>565.5</v>
      </c>
      <c r="D346" s="116">
        <v>563.5</v>
      </c>
      <c r="E346" s="116">
        <v>569.5</v>
      </c>
      <c r="F346" s="116">
        <v>565.5</v>
      </c>
      <c r="G346">
        <v>3266</v>
      </c>
      <c r="H346" s="116"/>
      <c r="I346" s="116"/>
      <c r="L346" s="170">
        <v>43514</v>
      </c>
      <c r="M346" s="116">
        <v>567.45000000000005</v>
      </c>
      <c r="N346" s="116">
        <v>572.1</v>
      </c>
      <c r="O346" s="116">
        <v>563.29999999999995</v>
      </c>
      <c r="P346" s="116">
        <v>569.5</v>
      </c>
      <c r="Q346" s="116">
        <v>567.45000000000005</v>
      </c>
      <c r="R346">
        <v>33962</v>
      </c>
    </row>
    <row r="347" spans="1:18" x14ac:dyDescent="0.25">
      <c r="A347" s="170">
        <v>43515</v>
      </c>
      <c r="B347" s="116">
        <v>571.70000000000005</v>
      </c>
      <c r="C347" s="116">
        <v>563.79999999999995</v>
      </c>
      <c r="D347" s="116">
        <v>561.6</v>
      </c>
      <c r="E347" s="116">
        <v>567</v>
      </c>
      <c r="F347" s="116">
        <v>563.79999999999995</v>
      </c>
      <c r="G347">
        <v>3604</v>
      </c>
      <c r="H347" s="116"/>
      <c r="I347" s="116"/>
      <c r="L347" s="170">
        <v>43515</v>
      </c>
      <c r="M347" s="116">
        <v>562.45000000000005</v>
      </c>
      <c r="N347" s="116">
        <v>573.65</v>
      </c>
      <c r="O347" s="116">
        <v>560.9</v>
      </c>
      <c r="P347" s="116">
        <v>573.65</v>
      </c>
      <c r="Q347" s="116">
        <v>562.45000000000005</v>
      </c>
      <c r="R347">
        <v>91484</v>
      </c>
    </row>
    <row r="348" spans="1:18" x14ac:dyDescent="0.25">
      <c r="A348" s="170">
        <v>43516</v>
      </c>
      <c r="B348" s="116">
        <v>570</v>
      </c>
      <c r="C348" s="116">
        <v>560.65</v>
      </c>
      <c r="D348" s="116">
        <v>557</v>
      </c>
      <c r="E348" s="116">
        <v>570</v>
      </c>
      <c r="F348" s="116">
        <v>560.65</v>
      </c>
      <c r="G348">
        <v>3649</v>
      </c>
      <c r="H348" s="116"/>
      <c r="I348" s="116"/>
      <c r="L348" s="170">
        <v>43516</v>
      </c>
      <c r="M348" s="116">
        <v>561.6</v>
      </c>
      <c r="N348" s="116">
        <v>571.1</v>
      </c>
      <c r="O348" s="116">
        <v>556</v>
      </c>
      <c r="P348" s="116">
        <v>564.6</v>
      </c>
      <c r="Q348" s="116">
        <v>561.6</v>
      </c>
      <c r="R348">
        <v>1156061</v>
      </c>
    </row>
    <row r="349" spans="1:18" x14ac:dyDescent="0.25">
      <c r="A349" s="170">
        <v>43517</v>
      </c>
      <c r="B349" s="116">
        <v>569.95000000000005</v>
      </c>
      <c r="C349" s="116">
        <v>559.20000000000005</v>
      </c>
      <c r="D349" s="116">
        <v>556.70000000000005</v>
      </c>
      <c r="E349" s="116">
        <v>569.95000000000005</v>
      </c>
      <c r="F349" s="116">
        <v>559.20000000000005</v>
      </c>
      <c r="G349">
        <v>3915</v>
      </c>
      <c r="H349" s="116"/>
      <c r="I349" s="116"/>
      <c r="L349" s="170">
        <v>43517</v>
      </c>
      <c r="M349" s="116">
        <v>561.9</v>
      </c>
      <c r="N349" s="116">
        <v>565.70000000000005</v>
      </c>
      <c r="O349" s="116">
        <v>560</v>
      </c>
      <c r="P349" s="116">
        <v>562</v>
      </c>
      <c r="Q349" s="116">
        <v>561.9</v>
      </c>
      <c r="R349">
        <v>97421</v>
      </c>
    </row>
    <row r="350" spans="1:18" x14ac:dyDescent="0.25">
      <c r="A350" s="170">
        <v>43518</v>
      </c>
      <c r="B350" s="116">
        <v>575</v>
      </c>
      <c r="C350" s="116">
        <v>558.85</v>
      </c>
      <c r="D350" s="116">
        <v>554.54999999999995</v>
      </c>
      <c r="E350" s="116">
        <v>575</v>
      </c>
      <c r="F350" s="116">
        <v>558.85</v>
      </c>
      <c r="G350">
        <v>6332</v>
      </c>
      <c r="H350" s="116"/>
      <c r="I350" s="116"/>
      <c r="L350" s="170">
        <v>43518</v>
      </c>
      <c r="M350" s="116">
        <v>559.85</v>
      </c>
      <c r="N350" s="116">
        <v>570</v>
      </c>
      <c r="O350" s="116">
        <v>556.75</v>
      </c>
      <c r="P350" s="116">
        <v>565.25</v>
      </c>
      <c r="Q350" s="116">
        <v>559.85</v>
      </c>
      <c r="R350">
        <v>207746</v>
      </c>
    </row>
    <row r="351" spans="1:18" x14ac:dyDescent="0.25">
      <c r="A351" s="170">
        <v>43521</v>
      </c>
      <c r="B351" s="116">
        <v>564.79999999999995</v>
      </c>
      <c r="C351" s="116">
        <v>560</v>
      </c>
      <c r="D351" s="116">
        <v>556.75</v>
      </c>
      <c r="E351" s="116">
        <v>563.6</v>
      </c>
      <c r="F351" s="116">
        <v>560</v>
      </c>
      <c r="G351">
        <v>3256</v>
      </c>
      <c r="H351" s="116"/>
      <c r="I351" s="116"/>
      <c r="L351" s="170">
        <v>43521</v>
      </c>
      <c r="M351" s="116">
        <v>561</v>
      </c>
      <c r="N351" s="116">
        <v>564.85</v>
      </c>
      <c r="O351" s="116">
        <v>555.35</v>
      </c>
      <c r="P351" s="116">
        <v>563</v>
      </c>
      <c r="Q351" s="116">
        <v>561</v>
      </c>
      <c r="R351">
        <v>256241</v>
      </c>
    </row>
    <row r="352" spans="1:18" x14ac:dyDescent="0.25">
      <c r="A352" s="170">
        <v>43522</v>
      </c>
      <c r="B352" s="116">
        <v>563.70000000000005</v>
      </c>
      <c r="C352" s="116">
        <v>557.85</v>
      </c>
      <c r="D352" s="116">
        <v>555.25</v>
      </c>
      <c r="E352" s="116">
        <v>561.25</v>
      </c>
      <c r="F352" s="116">
        <v>557.85</v>
      </c>
      <c r="G352">
        <v>4999</v>
      </c>
      <c r="H352" s="116"/>
      <c r="I352" s="116"/>
      <c r="L352" s="170">
        <v>43522</v>
      </c>
      <c r="M352" s="116">
        <v>559.4</v>
      </c>
      <c r="N352" s="116">
        <v>564</v>
      </c>
      <c r="O352" s="116">
        <v>555</v>
      </c>
      <c r="P352" s="116">
        <v>561</v>
      </c>
      <c r="Q352" s="116">
        <v>559.4</v>
      </c>
      <c r="R352">
        <v>205333</v>
      </c>
    </row>
    <row r="353" spans="1:18" x14ac:dyDescent="0.25">
      <c r="A353" s="170">
        <v>43523</v>
      </c>
      <c r="B353" s="116">
        <v>572</v>
      </c>
      <c r="C353" s="116">
        <v>565.85</v>
      </c>
      <c r="D353" s="116">
        <v>561.5</v>
      </c>
      <c r="E353" s="116">
        <v>564.6</v>
      </c>
      <c r="F353" s="116">
        <v>565.85</v>
      </c>
      <c r="G353">
        <v>5419</v>
      </c>
      <c r="H353" s="116"/>
      <c r="I353" s="116"/>
      <c r="L353" s="170">
        <v>43523</v>
      </c>
      <c r="M353" s="116">
        <v>563.29999999999995</v>
      </c>
      <c r="N353" s="116">
        <v>565.95000000000005</v>
      </c>
      <c r="O353" s="116">
        <v>561.1</v>
      </c>
      <c r="P353" s="116">
        <v>563</v>
      </c>
      <c r="Q353" s="116">
        <v>563.29999999999995</v>
      </c>
      <c r="R353">
        <v>91914</v>
      </c>
    </row>
    <row r="354" spans="1:18" x14ac:dyDescent="0.25">
      <c r="A354" s="170">
        <v>43524</v>
      </c>
      <c r="B354" s="116">
        <v>583.04999999999995</v>
      </c>
      <c r="C354" s="116">
        <v>580.5</v>
      </c>
      <c r="D354" s="116">
        <v>562.9</v>
      </c>
      <c r="E354" s="116">
        <v>562.9</v>
      </c>
      <c r="F354" s="116">
        <v>580.5</v>
      </c>
      <c r="G354">
        <v>25786</v>
      </c>
      <c r="H354" s="116"/>
      <c r="I354" s="116"/>
      <c r="L354" s="170">
        <v>43524</v>
      </c>
      <c r="M354" s="116">
        <v>578.54999999999995</v>
      </c>
      <c r="N354" s="116">
        <v>582</v>
      </c>
      <c r="O354" s="116">
        <v>565</v>
      </c>
      <c r="P354" s="116">
        <v>565</v>
      </c>
      <c r="Q354" s="116">
        <v>578.54999999999995</v>
      </c>
      <c r="R354">
        <v>232357</v>
      </c>
    </row>
    <row r="355" spans="1:18" x14ac:dyDescent="0.25">
      <c r="A355" s="170">
        <v>43525</v>
      </c>
      <c r="B355" s="116">
        <v>620</v>
      </c>
      <c r="C355" s="116">
        <v>612.25</v>
      </c>
      <c r="D355" s="116">
        <v>510</v>
      </c>
      <c r="E355" s="116">
        <v>580.35</v>
      </c>
      <c r="F355" s="116">
        <v>612.25</v>
      </c>
      <c r="G355">
        <v>98375415</v>
      </c>
      <c r="H355" s="116"/>
      <c r="I355" s="116"/>
      <c r="L355" s="170">
        <v>43525</v>
      </c>
      <c r="M355" s="116">
        <v>607.9</v>
      </c>
      <c r="N355" s="116">
        <v>622.1</v>
      </c>
      <c r="O355" s="116">
        <v>515.54999999999995</v>
      </c>
      <c r="P355" s="116">
        <v>581.95000000000005</v>
      </c>
      <c r="Q355" s="116">
        <v>607.9</v>
      </c>
      <c r="R355">
        <v>11513018</v>
      </c>
    </row>
    <row r="356" spans="1:18" x14ac:dyDescent="0.25">
      <c r="A356" s="170">
        <v>43529</v>
      </c>
      <c r="B356" s="116">
        <v>616.95000000000005</v>
      </c>
      <c r="C356" s="116">
        <v>606.95000000000005</v>
      </c>
      <c r="D356" s="116">
        <v>598</v>
      </c>
      <c r="E356" s="116">
        <v>600.79999999999995</v>
      </c>
      <c r="F356" s="116">
        <v>606.95000000000005</v>
      </c>
      <c r="G356">
        <v>91756</v>
      </c>
      <c r="H356" s="116"/>
      <c r="I356" s="116"/>
      <c r="L356" s="170">
        <v>43529</v>
      </c>
      <c r="M356" s="116">
        <v>607.75</v>
      </c>
      <c r="N356" s="116">
        <v>617</v>
      </c>
      <c r="O356" s="116">
        <v>596.1</v>
      </c>
      <c r="P356" s="116">
        <v>599</v>
      </c>
      <c r="Q356" s="116">
        <v>607.75</v>
      </c>
      <c r="R356">
        <v>967319</v>
      </c>
    </row>
    <row r="357" spans="1:18" x14ac:dyDescent="0.25">
      <c r="A357" s="170">
        <v>43530</v>
      </c>
      <c r="B357" s="116">
        <v>620.45000000000005</v>
      </c>
      <c r="C357" s="116">
        <v>606.1</v>
      </c>
      <c r="D357" s="116">
        <v>600</v>
      </c>
      <c r="E357" s="116">
        <v>607</v>
      </c>
      <c r="F357" s="116">
        <v>606.1</v>
      </c>
      <c r="G357">
        <v>41009</v>
      </c>
      <c r="H357" s="116"/>
      <c r="I357" s="116"/>
      <c r="L357" s="170">
        <v>43530</v>
      </c>
      <c r="M357" s="116">
        <v>607.95000000000005</v>
      </c>
      <c r="N357" s="116">
        <v>621.79999999999995</v>
      </c>
      <c r="O357" s="116">
        <v>602</v>
      </c>
      <c r="P357" s="116">
        <v>608</v>
      </c>
      <c r="Q357" s="116">
        <v>607.95000000000005</v>
      </c>
      <c r="R357">
        <v>594253</v>
      </c>
    </row>
    <row r="358" spans="1:18" x14ac:dyDescent="0.25">
      <c r="A358" s="170">
        <v>43531</v>
      </c>
      <c r="B358" s="116">
        <v>611.9</v>
      </c>
      <c r="C358" s="116">
        <v>593.15</v>
      </c>
      <c r="D358" s="116">
        <v>590</v>
      </c>
      <c r="E358" s="116">
        <v>609.45000000000005</v>
      </c>
      <c r="F358" s="116">
        <v>593.15</v>
      </c>
      <c r="G358">
        <v>110752</v>
      </c>
      <c r="H358" s="116"/>
      <c r="I358" s="116"/>
      <c r="L358" s="170">
        <v>43531</v>
      </c>
      <c r="M358" s="116">
        <v>592.1</v>
      </c>
      <c r="N358" s="116">
        <v>612.4</v>
      </c>
      <c r="O358" s="116">
        <v>590</v>
      </c>
      <c r="P358" s="116">
        <v>610</v>
      </c>
      <c r="Q358" s="116">
        <v>592.1</v>
      </c>
      <c r="R358">
        <v>326651</v>
      </c>
    </row>
    <row r="359" spans="1:18" x14ac:dyDescent="0.25">
      <c r="A359" s="170">
        <v>43532</v>
      </c>
      <c r="B359" s="116">
        <v>596.35</v>
      </c>
      <c r="C359" s="116">
        <v>587.15</v>
      </c>
      <c r="D359" s="116">
        <v>584</v>
      </c>
      <c r="E359" s="116">
        <v>589.95000000000005</v>
      </c>
      <c r="F359" s="116">
        <v>587.15</v>
      </c>
      <c r="G359">
        <v>11355</v>
      </c>
      <c r="H359" s="116"/>
      <c r="I359" s="116"/>
      <c r="L359" s="170">
        <v>43532</v>
      </c>
      <c r="M359" s="116">
        <v>587.15</v>
      </c>
      <c r="N359" s="116">
        <v>596.4</v>
      </c>
      <c r="O359" s="116">
        <v>585.4</v>
      </c>
      <c r="P359" s="116">
        <v>587</v>
      </c>
      <c r="Q359" s="116">
        <v>587.15</v>
      </c>
      <c r="R359">
        <v>195823</v>
      </c>
    </row>
    <row r="360" spans="1:18" x14ac:dyDescent="0.25">
      <c r="A360" s="170">
        <v>43535</v>
      </c>
      <c r="B360" s="116">
        <v>625</v>
      </c>
      <c r="C360" s="116">
        <v>622.20000000000005</v>
      </c>
      <c r="D360" s="116">
        <v>587</v>
      </c>
      <c r="E360" s="116">
        <v>587</v>
      </c>
      <c r="F360" s="116">
        <v>622.20000000000005</v>
      </c>
      <c r="G360">
        <v>66737</v>
      </c>
      <c r="H360" s="116"/>
      <c r="I360" s="116"/>
      <c r="L360" s="170">
        <v>43535</v>
      </c>
      <c r="M360" s="116">
        <v>622.45000000000005</v>
      </c>
      <c r="N360" s="116">
        <v>626.4</v>
      </c>
      <c r="O360" s="116">
        <v>587.4</v>
      </c>
      <c r="P360" s="116">
        <v>589.75</v>
      </c>
      <c r="Q360" s="116">
        <v>622.45000000000005</v>
      </c>
      <c r="R360">
        <v>693313</v>
      </c>
    </row>
    <row r="361" spans="1:18" x14ac:dyDescent="0.25">
      <c r="A361" s="170">
        <v>43536</v>
      </c>
      <c r="B361" s="116">
        <v>634</v>
      </c>
      <c r="C361" s="116">
        <v>619.4</v>
      </c>
      <c r="D361" s="116">
        <v>601.1</v>
      </c>
      <c r="E361" s="116">
        <v>601.1</v>
      </c>
      <c r="F361" s="116">
        <v>619.4</v>
      </c>
      <c r="G361">
        <v>40953</v>
      </c>
      <c r="H361" s="116"/>
      <c r="I361" s="116"/>
      <c r="L361" s="170">
        <v>43536</v>
      </c>
      <c r="M361" s="116">
        <v>622.9</v>
      </c>
      <c r="N361" s="116">
        <v>634.9</v>
      </c>
      <c r="O361" s="116">
        <v>612</v>
      </c>
      <c r="P361" s="116">
        <v>623</v>
      </c>
      <c r="Q361" s="116">
        <v>622.9</v>
      </c>
      <c r="R361">
        <v>398863</v>
      </c>
    </row>
    <row r="362" spans="1:18" x14ac:dyDescent="0.25">
      <c r="A362" s="170">
        <v>43537</v>
      </c>
      <c r="B362" s="116">
        <v>621.15</v>
      </c>
      <c r="C362" s="116">
        <v>614.04999999999995</v>
      </c>
      <c r="D362" s="116">
        <v>609.25</v>
      </c>
      <c r="E362" s="116">
        <v>617.25</v>
      </c>
      <c r="F362" s="116">
        <v>614.04999999999995</v>
      </c>
      <c r="G362">
        <v>15683</v>
      </c>
      <c r="H362" s="116"/>
      <c r="I362" s="116"/>
      <c r="L362" s="170">
        <v>43537</v>
      </c>
      <c r="M362" s="116">
        <v>615.35</v>
      </c>
      <c r="N362" s="116">
        <v>621.5</v>
      </c>
      <c r="O362" s="116">
        <v>610.20000000000005</v>
      </c>
      <c r="P362" s="116">
        <v>618</v>
      </c>
      <c r="Q362" s="116">
        <v>615.35</v>
      </c>
      <c r="R362">
        <v>253418</v>
      </c>
    </row>
    <row r="363" spans="1:18" x14ac:dyDescent="0.25">
      <c r="A363" s="170">
        <v>43538</v>
      </c>
      <c r="B363" s="116">
        <v>620.75</v>
      </c>
      <c r="C363" s="116">
        <v>612.95000000000005</v>
      </c>
      <c r="D363" s="116">
        <v>611</v>
      </c>
      <c r="E363" s="116">
        <v>615</v>
      </c>
      <c r="F363" s="116">
        <v>612.95000000000005</v>
      </c>
      <c r="G363">
        <v>5835</v>
      </c>
      <c r="H363" s="116"/>
      <c r="I363" s="116"/>
      <c r="L363" s="170">
        <v>43538</v>
      </c>
      <c r="M363" s="116">
        <v>614.9</v>
      </c>
      <c r="N363" s="116">
        <v>620.95000000000005</v>
      </c>
      <c r="O363" s="116">
        <v>611</v>
      </c>
      <c r="P363" s="116">
        <v>619</v>
      </c>
      <c r="Q363" s="116">
        <v>614.9</v>
      </c>
      <c r="R363">
        <v>233675</v>
      </c>
    </row>
    <row r="364" spans="1:18" x14ac:dyDescent="0.25">
      <c r="A364" s="170">
        <v>43539</v>
      </c>
      <c r="B364" s="116">
        <v>619.54999999999995</v>
      </c>
      <c r="C364" s="116">
        <v>615.04999999999995</v>
      </c>
      <c r="D364" s="116">
        <v>612</v>
      </c>
      <c r="E364" s="116">
        <v>618.15</v>
      </c>
      <c r="F364" s="116">
        <v>615.04999999999995</v>
      </c>
      <c r="G364">
        <v>5007</v>
      </c>
      <c r="H364" s="116"/>
      <c r="I364" s="116"/>
      <c r="L364" s="170">
        <v>43539</v>
      </c>
      <c r="M364" s="116">
        <v>615.04999999999995</v>
      </c>
      <c r="N364" s="116">
        <v>619.75</v>
      </c>
      <c r="O364" s="116">
        <v>611</v>
      </c>
      <c r="P364" s="116">
        <v>613.1</v>
      </c>
      <c r="Q364" s="116">
        <v>615.04999999999995</v>
      </c>
      <c r="R364">
        <v>505837</v>
      </c>
    </row>
    <row r="365" spans="1:18" x14ac:dyDescent="0.25">
      <c r="A365" s="170">
        <v>43542</v>
      </c>
      <c r="B365" s="116">
        <v>619.25</v>
      </c>
      <c r="C365" s="116">
        <v>610.15</v>
      </c>
      <c r="D365" s="116">
        <v>606.04999999999995</v>
      </c>
      <c r="E365" s="116">
        <v>618</v>
      </c>
      <c r="F365" s="116">
        <v>610.15</v>
      </c>
      <c r="G365">
        <v>7828</v>
      </c>
      <c r="H365" s="116"/>
      <c r="I365" s="116"/>
      <c r="L365" s="170">
        <v>43542</v>
      </c>
      <c r="M365" s="116">
        <v>610.79999999999995</v>
      </c>
      <c r="N365" s="116">
        <v>620.9</v>
      </c>
      <c r="O365" s="116">
        <v>606.04999999999995</v>
      </c>
      <c r="P365" s="116">
        <v>616.04999999999995</v>
      </c>
      <c r="Q365" s="116">
        <v>610.79999999999995</v>
      </c>
      <c r="R365">
        <v>91435</v>
      </c>
    </row>
    <row r="366" spans="1:18" x14ac:dyDescent="0.25">
      <c r="A366" s="170">
        <v>43543</v>
      </c>
      <c r="B366" s="116">
        <v>618.70000000000005</v>
      </c>
      <c r="C366" s="116">
        <v>608.5</v>
      </c>
      <c r="D366" s="116">
        <v>604</v>
      </c>
      <c r="E366" s="116">
        <v>614.35</v>
      </c>
      <c r="F366" s="116">
        <v>608.5</v>
      </c>
      <c r="G366">
        <v>3959</v>
      </c>
      <c r="H366" s="116"/>
      <c r="I366" s="116"/>
      <c r="L366" s="170">
        <v>43543</v>
      </c>
      <c r="M366" s="116">
        <v>611.9</v>
      </c>
      <c r="N366" s="116">
        <v>622.75</v>
      </c>
      <c r="O366" s="116">
        <v>602</v>
      </c>
      <c r="P366" s="116">
        <v>613</v>
      </c>
      <c r="Q366" s="116">
        <v>611.9</v>
      </c>
      <c r="R366">
        <v>1038136</v>
      </c>
    </row>
    <row r="367" spans="1:18" x14ac:dyDescent="0.25">
      <c r="A367" s="170">
        <v>43544</v>
      </c>
      <c r="B367" s="116">
        <v>618.70000000000005</v>
      </c>
      <c r="C367" s="116">
        <v>612.70000000000005</v>
      </c>
      <c r="D367" s="116">
        <v>608.54999999999995</v>
      </c>
      <c r="E367" s="116">
        <v>610.85</v>
      </c>
      <c r="F367" s="116">
        <v>612.70000000000005</v>
      </c>
      <c r="G367">
        <v>7023</v>
      </c>
      <c r="H367" s="116"/>
      <c r="I367" s="116"/>
      <c r="L367" s="170">
        <v>43544</v>
      </c>
      <c r="M367" s="116">
        <v>612.85</v>
      </c>
      <c r="N367" s="116">
        <v>620</v>
      </c>
      <c r="O367" s="116">
        <v>607.6</v>
      </c>
      <c r="P367" s="116">
        <v>613.85</v>
      </c>
      <c r="Q367" s="116">
        <v>612.85</v>
      </c>
      <c r="R367">
        <v>816543</v>
      </c>
    </row>
    <row r="368" spans="1:18" x14ac:dyDescent="0.25">
      <c r="A368" s="170">
        <v>43546</v>
      </c>
      <c r="B368" s="116">
        <v>620</v>
      </c>
      <c r="C368" s="116">
        <v>615.70000000000005</v>
      </c>
      <c r="D368" s="116">
        <v>605.4</v>
      </c>
      <c r="E368" s="116">
        <v>614</v>
      </c>
      <c r="F368" s="116">
        <v>615.70000000000005</v>
      </c>
      <c r="G368">
        <v>14571</v>
      </c>
      <c r="H368" s="116"/>
      <c r="I368" s="116"/>
      <c r="L368" s="170">
        <v>43546</v>
      </c>
      <c r="M368" s="116">
        <v>615.5</v>
      </c>
      <c r="N368" s="116">
        <v>619</v>
      </c>
      <c r="O368" s="116">
        <v>605</v>
      </c>
      <c r="P368" s="116">
        <v>610</v>
      </c>
      <c r="Q368" s="116">
        <v>615.5</v>
      </c>
      <c r="R368">
        <v>741217</v>
      </c>
    </row>
    <row r="369" spans="1:18" x14ac:dyDescent="0.25">
      <c r="A369" s="170">
        <v>43549</v>
      </c>
      <c r="B369" s="116">
        <v>616.9</v>
      </c>
      <c r="C369" s="116">
        <v>610.95000000000005</v>
      </c>
      <c r="D369" s="116">
        <v>607.20000000000005</v>
      </c>
      <c r="E369" s="116">
        <v>609.5</v>
      </c>
      <c r="F369" s="116">
        <v>610.95000000000005</v>
      </c>
      <c r="G369">
        <v>5088</v>
      </c>
      <c r="H369" s="116"/>
      <c r="I369" s="116"/>
      <c r="L369" s="170">
        <v>43549</v>
      </c>
      <c r="M369" s="116">
        <v>611.04999999999995</v>
      </c>
      <c r="N369" s="116">
        <v>616.95000000000005</v>
      </c>
      <c r="O369" s="116">
        <v>602.04999999999995</v>
      </c>
      <c r="P369" s="116">
        <v>602.04999999999995</v>
      </c>
      <c r="Q369" s="116">
        <v>611.04999999999995</v>
      </c>
      <c r="R369">
        <v>93192</v>
      </c>
    </row>
    <row r="370" spans="1:18" x14ac:dyDescent="0.25">
      <c r="A370" s="170">
        <v>43550</v>
      </c>
      <c r="B370" s="116">
        <v>617.79999999999995</v>
      </c>
      <c r="C370" s="116">
        <v>605.20000000000005</v>
      </c>
      <c r="D370" s="116">
        <v>600.54999999999995</v>
      </c>
      <c r="E370" s="116">
        <v>613</v>
      </c>
      <c r="F370" s="116">
        <v>605.20000000000005</v>
      </c>
      <c r="G370">
        <v>28757</v>
      </c>
      <c r="H370" s="116"/>
      <c r="I370" s="116"/>
      <c r="L370" s="170">
        <v>43550</v>
      </c>
      <c r="M370" s="116">
        <v>609.6</v>
      </c>
      <c r="N370" s="116">
        <v>617.9</v>
      </c>
      <c r="O370" s="116">
        <v>606.79999999999995</v>
      </c>
      <c r="P370" s="116">
        <v>612</v>
      </c>
      <c r="Q370" s="116">
        <v>609.6</v>
      </c>
      <c r="R370">
        <v>167512</v>
      </c>
    </row>
    <row r="371" spans="1:18" x14ac:dyDescent="0.25">
      <c r="A371" s="170">
        <v>43551</v>
      </c>
      <c r="B371" s="116">
        <v>621.5</v>
      </c>
      <c r="C371" s="116">
        <v>618.35</v>
      </c>
      <c r="D371" s="116">
        <v>605.54999999999995</v>
      </c>
      <c r="E371" s="116">
        <v>609.70000000000005</v>
      </c>
      <c r="F371" s="116">
        <v>618.35</v>
      </c>
      <c r="G371">
        <v>18452</v>
      </c>
      <c r="H371" s="116"/>
      <c r="I371" s="116"/>
      <c r="L371" s="170">
        <v>43551</v>
      </c>
      <c r="M371" s="116">
        <v>618.70000000000005</v>
      </c>
      <c r="N371" s="116">
        <v>620.79999999999995</v>
      </c>
      <c r="O371" s="116">
        <v>607.45000000000005</v>
      </c>
      <c r="P371" s="116">
        <v>607.45000000000005</v>
      </c>
      <c r="Q371" s="116">
        <v>618.70000000000005</v>
      </c>
      <c r="R371">
        <v>302382</v>
      </c>
    </row>
    <row r="372" spans="1:18" x14ac:dyDescent="0.25">
      <c r="A372" s="170">
        <v>43552</v>
      </c>
      <c r="B372" s="116">
        <v>623.54999999999995</v>
      </c>
      <c r="C372" s="116">
        <v>616.75</v>
      </c>
      <c r="D372" s="116">
        <v>614.04999999999995</v>
      </c>
      <c r="E372" s="116">
        <v>621.5</v>
      </c>
      <c r="F372" s="116">
        <v>616.75</v>
      </c>
      <c r="G372">
        <v>5828</v>
      </c>
      <c r="H372" s="116"/>
      <c r="I372" s="116"/>
      <c r="L372" s="170">
        <v>43552</v>
      </c>
      <c r="M372" s="116">
        <v>616.20000000000005</v>
      </c>
      <c r="N372" s="116">
        <v>624.79999999999995</v>
      </c>
      <c r="O372" s="116">
        <v>613.6</v>
      </c>
      <c r="P372" s="116">
        <v>620</v>
      </c>
      <c r="Q372" s="116">
        <v>616.20000000000005</v>
      </c>
      <c r="R372">
        <v>89907</v>
      </c>
    </row>
    <row r="373" spans="1:18" x14ac:dyDescent="0.25">
      <c r="A373" s="170">
        <v>43553</v>
      </c>
      <c r="B373" s="116">
        <v>616</v>
      </c>
      <c r="C373" s="116">
        <v>579.54999999999995</v>
      </c>
      <c r="D373" s="116">
        <v>577.5</v>
      </c>
      <c r="E373" s="116">
        <v>616</v>
      </c>
      <c r="F373" s="116">
        <v>579.54999999999995</v>
      </c>
      <c r="G373">
        <v>61491653</v>
      </c>
      <c r="H373" s="116"/>
      <c r="I373" s="116"/>
      <c r="L373" s="170">
        <v>43553</v>
      </c>
      <c r="M373" s="116">
        <v>583.4</v>
      </c>
      <c r="N373" s="116">
        <v>614</v>
      </c>
      <c r="O373" s="116">
        <v>581.6</v>
      </c>
      <c r="P373" s="116">
        <v>614</v>
      </c>
      <c r="Q373" s="116">
        <v>583.4</v>
      </c>
      <c r="R373">
        <v>6792156</v>
      </c>
    </row>
    <row r="374" spans="1:18" x14ac:dyDescent="0.25">
      <c r="A374" s="170">
        <v>43556</v>
      </c>
      <c r="B374" s="116">
        <v>600</v>
      </c>
      <c r="C374" s="116">
        <v>598.35</v>
      </c>
      <c r="D374" s="116">
        <v>583.75</v>
      </c>
      <c r="E374" s="116">
        <v>583.75</v>
      </c>
      <c r="F374" s="116">
        <v>598.35</v>
      </c>
      <c r="G374">
        <v>130002</v>
      </c>
      <c r="H374" s="116"/>
      <c r="I374" s="116"/>
      <c r="L374" s="170">
        <v>43556</v>
      </c>
      <c r="M374" s="116">
        <v>598.20000000000005</v>
      </c>
      <c r="N374" s="116">
        <v>599.9</v>
      </c>
      <c r="O374" s="116">
        <v>583.4</v>
      </c>
      <c r="P374" s="116">
        <v>584.9</v>
      </c>
      <c r="Q374" s="116">
        <v>598.20000000000005</v>
      </c>
      <c r="R374">
        <v>953998</v>
      </c>
    </row>
    <row r="375" spans="1:18" x14ac:dyDescent="0.25">
      <c r="A375" s="170">
        <v>43557</v>
      </c>
      <c r="B375" s="116">
        <v>603</v>
      </c>
      <c r="C375" s="116">
        <v>601.29999999999995</v>
      </c>
      <c r="D375" s="116">
        <v>590.1</v>
      </c>
      <c r="E375" s="116">
        <v>599.9</v>
      </c>
      <c r="F375" s="116">
        <v>601.29999999999995</v>
      </c>
      <c r="G375">
        <v>130088</v>
      </c>
      <c r="H375" s="116"/>
      <c r="I375" s="116"/>
      <c r="L375" s="170">
        <v>43557</v>
      </c>
      <c r="M375" s="116">
        <v>601.15</v>
      </c>
      <c r="N375" s="116">
        <v>603.9</v>
      </c>
      <c r="O375" s="116">
        <v>591.04999999999995</v>
      </c>
      <c r="P375" s="116">
        <v>600</v>
      </c>
      <c r="Q375" s="116">
        <v>601.15</v>
      </c>
      <c r="R375">
        <v>687704</v>
      </c>
    </row>
    <row r="376" spans="1:18" x14ac:dyDescent="0.25">
      <c r="A376" s="170">
        <v>43558</v>
      </c>
      <c r="B376" s="116">
        <v>615</v>
      </c>
      <c r="C376" s="116">
        <v>603.04999999999995</v>
      </c>
      <c r="D376" s="116">
        <v>600</v>
      </c>
      <c r="E376" s="116">
        <v>601.15</v>
      </c>
      <c r="F376" s="116">
        <v>603.04999999999995</v>
      </c>
      <c r="G376">
        <v>101293</v>
      </c>
      <c r="H376" s="116"/>
      <c r="I376" s="116"/>
      <c r="L376" s="170">
        <v>43558</v>
      </c>
      <c r="M376" s="116">
        <v>601.95000000000005</v>
      </c>
      <c r="N376" s="116">
        <v>615</v>
      </c>
      <c r="O376" s="116">
        <v>595</v>
      </c>
      <c r="P376" s="116">
        <v>600</v>
      </c>
      <c r="Q376" s="116">
        <v>601.95000000000005</v>
      </c>
      <c r="R376">
        <v>999883</v>
      </c>
    </row>
    <row r="377" spans="1:18" x14ac:dyDescent="0.25">
      <c r="A377" s="170">
        <v>43559</v>
      </c>
      <c r="B377" s="116">
        <v>604.9</v>
      </c>
      <c r="C377" s="116">
        <v>595</v>
      </c>
      <c r="D377" s="116">
        <v>590</v>
      </c>
      <c r="E377" s="116">
        <v>603</v>
      </c>
      <c r="F377" s="116">
        <v>595</v>
      </c>
      <c r="G377">
        <v>44741</v>
      </c>
      <c r="H377" s="116"/>
      <c r="I377" s="116"/>
      <c r="L377" s="170">
        <v>43559</v>
      </c>
      <c r="M377" s="116">
        <v>594.70000000000005</v>
      </c>
      <c r="N377" s="116">
        <v>603.9</v>
      </c>
      <c r="O377" s="116">
        <v>590</v>
      </c>
      <c r="P377" s="116">
        <v>603.9</v>
      </c>
      <c r="Q377" s="116">
        <v>594.70000000000005</v>
      </c>
      <c r="R377">
        <v>1064749</v>
      </c>
    </row>
    <row r="378" spans="1:18" x14ac:dyDescent="0.25">
      <c r="A378" s="170">
        <v>43560</v>
      </c>
      <c r="B378" s="116">
        <v>612.35</v>
      </c>
      <c r="C378" s="116">
        <v>610.5</v>
      </c>
      <c r="D378" s="116">
        <v>595.04999999999995</v>
      </c>
      <c r="E378" s="116">
        <v>595.04999999999995</v>
      </c>
      <c r="F378" s="116">
        <v>610.5</v>
      </c>
      <c r="G378">
        <v>45811</v>
      </c>
      <c r="H378" s="116"/>
      <c r="I378" s="116"/>
      <c r="L378" s="170">
        <v>43560</v>
      </c>
      <c r="M378" s="116">
        <v>612.1</v>
      </c>
      <c r="N378" s="116">
        <v>613.9</v>
      </c>
      <c r="O378" s="116">
        <v>596.1</v>
      </c>
      <c r="P378" s="116">
        <v>598</v>
      </c>
      <c r="Q378" s="116">
        <v>612.1</v>
      </c>
      <c r="R378">
        <v>855081</v>
      </c>
    </row>
    <row r="379" spans="1:18" x14ac:dyDescent="0.25">
      <c r="A379" s="170">
        <v>43563</v>
      </c>
      <c r="B379" s="116">
        <v>627.6</v>
      </c>
      <c r="C379" s="116">
        <v>618.9</v>
      </c>
      <c r="D379" s="116">
        <v>609.70000000000005</v>
      </c>
      <c r="E379" s="116">
        <v>611</v>
      </c>
      <c r="F379" s="116">
        <v>618.9</v>
      </c>
      <c r="G379">
        <v>110743</v>
      </c>
      <c r="H379" s="116"/>
      <c r="I379" s="116"/>
      <c r="L379" s="170">
        <v>43563</v>
      </c>
      <c r="M379" s="116">
        <v>619.79999999999995</v>
      </c>
      <c r="N379" s="116">
        <v>628</v>
      </c>
      <c r="O379" s="116">
        <v>610.54999999999995</v>
      </c>
      <c r="P379" s="116">
        <v>611</v>
      </c>
      <c r="Q379" s="116">
        <v>619.79999999999995</v>
      </c>
      <c r="R379">
        <v>1180323</v>
      </c>
    </row>
    <row r="380" spans="1:18" x14ac:dyDescent="0.25">
      <c r="A380" s="170">
        <v>43564</v>
      </c>
      <c r="B380" s="116">
        <v>628.6</v>
      </c>
      <c r="C380" s="116">
        <v>619.6</v>
      </c>
      <c r="D380" s="116">
        <v>614.65</v>
      </c>
      <c r="E380" s="116">
        <v>619.9</v>
      </c>
      <c r="F380" s="116">
        <v>619.6</v>
      </c>
      <c r="G380">
        <v>41799</v>
      </c>
      <c r="H380" s="116"/>
      <c r="I380" s="116"/>
      <c r="L380" s="170">
        <v>43564</v>
      </c>
      <c r="M380" s="116">
        <v>618.20000000000005</v>
      </c>
      <c r="N380" s="116">
        <v>629.5</v>
      </c>
      <c r="O380" s="116">
        <v>615</v>
      </c>
      <c r="P380" s="116">
        <v>629.5</v>
      </c>
      <c r="Q380" s="116">
        <v>618.20000000000005</v>
      </c>
      <c r="R380">
        <v>391977</v>
      </c>
    </row>
    <row r="381" spans="1:18" x14ac:dyDescent="0.25">
      <c r="A381" s="170">
        <v>43565</v>
      </c>
      <c r="B381" s="116">
        <v>623.79999999999995</v>
      </c>
      <c r="C381" s="116">
        <v>622.70000000000005</v>
      </c>
      <c r="D381" s="116">
        <v>618</v>
      </c>
      <c r="E381" s="116">
        <v>620.79999999999995</v>
      </c>
      <c r="F381" s="116">
        <v>622.70000000000005</v>
      </c>
      <c r="G381">
        <v>102389</v>
      </c>
      <c r="H381" s="116"/>
      <c r="I381" s="116"/>
      <c r="L381" s="170">
        <v>43565</v>
      </c>
      <c r="M381" s="116">
        <v>621.35</v>
      </c>
      <c r="N381" s="116">
        <v>626.5</v>
      </c>
      <c r="O381" s="116">
        <v>617</v>
      </c>
      <c r="P381" s="116">
        <v>621</v>
      </c>
      <c r="Q381" s="116">
        <v>621.35</v>
      </c>
      <c r="R381">
        <v>471405</v>
      </c>
    </row>
    <row r="382" spans="1:18" x14ac:dyDescent="0.25">
      <c r="A382" s="170">
        <v>43566</v>
      </c>
      <c r="B382" s="116">
        <v>629</v>
      </c>
      <c r="C382" s="116">
        <v>623.15</v>
      </c>
      <c r="D382" s="116">
        <v>622</v>
      </c>
      <c r="E382" s="116">
        <v>622.70000000000005</v>
      </c>
      <c r="F382" s="116">
        <v>623.15</v>
      </c>
      <c r="G382">
        <v>17918</v>
      </c>
      <c r="H382" s="116"/>
      <c r="I382" s="116"/>
      <c r="L382" s="170">
        <v>43566</v>
      </c>
      <c r="M382" s="116">
        <v>624.95000000000005</v>
      </c>
      <c r="N382" s="116">
        <v>629.70000000000005</v>
      </c>
      <c r="O382" s="116">
        <v>621.54999999999995</v>
      </c>
      <c r="P382" s="116">
        <v>624.9</v>
      </c>
      <c r="Q382" s="116">
        <v>624.95000000000005</v>
      </c>
      <c r="R382">
        <v>1717441</v>
      </c>
    </row>
    <row r="383" spans="1:18" x14ac:dyDescent="0.25">
      <c r="A383" s="170">
        <v>43567</v>
      </c>
      <c r="B383" s="116">
        <v>626.70000000000005</v>
      </c>
      <c r="C383" s="116">
        <v>624.45000000000005</v>
      </c>
      <c r="D383" s="116">
        <v>620.1</v>
      </c>
      <c r="E383" s="116">
        <v>624.54999999999995</v>
      </c>
      <c r="F383" s="116">
        <v>624.45000000000005</v>
      </c>
      <c r="G383">
        <v>42337</v>
      </c>
      <c r="H383" s="116"/>
      <c r="I383" s="116"/>
      <c r="L383" s="170">
        <v>43567</v>
      </c>
      <c r="M383" s="116">
        <v>625.20000000000005</v>
      </c>
      <c r="N383" s="116">
        <v>627.35</v>
      </c>
      <c r="O383" s="116">
        <v>620.29999999999995</v>
      </c>
      <c r="P383" s="116">
        <v>627.29999999999995</v>
      </c>
      <c r="Q383" s="116">
        <v>625.20000000000005</v>
      </c>
      <c r="R383">
        <v>201752</v>
      </c>
    </row>
    <row r="384" spans="1:18" x14ac:dyDescent="0.25">
      <c r="A384" s="170">
        <v>43570</v>
      </c>
      <c r="B384" s="116">
        <v>627</v>
      </c>
      <c r="C384" s="116">
        <v>624.54999999999995</v>
      </c>
      <c r="D384" s="116">
        <v>617.95000000000005</v>
      </c>
      <c r="E384" s="116">
        <v>627</v>
      </c>
      <c r="F384" s="116">
        <v>624.54999999999995</v>
      </c>
      <c r="G384">
        <v>49023</v>
      </c>
      <c r="H384" s="116"/>
      <c r="I384" s="116"/>
      <c r="L384" s="170">
        <v>43570</v>
      </c>
      <c r="M384" s="116">
        <v>623.35</v>
      </c>
      <c r="N384" s="116">
        <v>627.5</v>
      </c>
      <c r="O384" s="116">
        <v>618.15</v>
      </c>
      <c r="P384" s="116">
        <v>626.9</v>
      </c>
      <c r="Q384" s="116">
        <v>623.35</v>
      </c>
      <c r="R384">
        <v>137884</v>
      </c>
    </row>
    <row r="385" spans="1:18" x14ac:dyDescent="0.25">
      <c r="A385" s="170">
        <v>43571</v>
      </c>
      <c r="B385" s="116">
        <v>625.29999999999995</v>
      </c>
      <c r="C385" s="116">
        <v>620</v>
      </c>
      <c r="D385" s="116">
        <v>618.04999999999995</v>
      </c>
      <c r="E385" s="116">
        <v>625.04999999999995</v>
      </c>
      <c r="F385" s="116">
        <v>620</v>
      </c>
      <c r="G385">
        <v>27894</v>
      </c>
      <c r="H385" s="116"/>
      <c r="I385" s="116"/>
      <c r="L385" s="170">
        <v>43571</v>
      </c>
      <c r="M385" s="116">
        <v>617.70000000000005</v>
      </c>
      <c r="N385" s="116">
        <v>626</v>
      </c>
      <c r="O385" s="116">
        <v>615.1</v>
      </c>
      <c r="P385" s="116">
        <v>626</v>
      </c>
      <c r="Q385" s="116">
        <v>617.70000000000005</v>
      </c>
      <c r="R385">
        <v>382679</v>
      </c>
    </row>
    <row r="386" spans="1:18" x14ac:dyDescent="0.25">
      <c r="A386" s="170">
        <v>43573</v>
      </c>
      <c r="B386" s="116">
        <v>621.9</v>
      </c>
      <c r="C386" s="116">
        <v>615.6</v>
      </c>
      <c r="D386" s="116">
        <v>612.79999999999995</v>
      </c>
      <c r="E386" s="116">
        <v>620</v>
      </c>
      <c r="F386" s="116">
        <v>615.6</v>
      </c>
      <c r="G386">
        <v>11219</v>
      </c>
      <c r="H386" s="116"/>
      <c r="I386" s="116"/>
      <c r="L386" s="170">
        <v>43573</v>
      </c>
      <c r="M386" s="116">
        <v>614.9</v>
      </c>
      <c r="N386" s="116">
        <v>621.4</v>
      </c>
      <c r="O386" s="116">
        <v>611.75</v>
      </c>
      <c r="P386" s="116">
        <v>621</v>
      </c>
      <c r="Q386" s="116">
        <v>614.9</v>
      </c>
      <c r="R386">
        <v>322285</v>
      </c>
    </row>
    <row r="387" spans="1:18" x14ac:dyDescent="0.25">
      <c r="A387" s="170">
        <v>43577</v>
      </c>
      <c r="B387" s="116">
        <v>624.35</v>
      </c>
      <c r="C387" s="116">
        <v>616.75</v>
      </c>
      <c r="D387" s="116">
        <v>606</v>
      </c>
      <c r="E387" s="116">
        <v>615</v>
      </c>
      <c r="F387" s="116">
        <v>616.75</v>
      </c>
      <c r="G387">
        <v>64824</v>
      </c>
      <c r="H387" s="116"/>
      <c r="I387" s="116"/>
      <c r="L387" s="170">
        <v>43577</v>
      </c>
      <c r="M387" s="116">
        <v>616.29999999999995</v>
      </c>
      <c r="N387" s="116">
        <v>624.70000000000005</v>
      </c>
      <c r="O387" s="116">
        <v>605.25</v>
      </c>
      <c r="P387" s="116">
        <v>617.85</v>
      </c>
      <c r="Q387" s="116">
        <v>616.29999999999995</v>
      </c>
      <c r="R387">
        <v>427291</v>
      </c>
    </row>
    <row r="388" spans="1:18" x14ac:dyDescent="0.25">
      <c r="A388" s="170">
        <v>43578</v>
      </c>
      <c r="B388" s="116">
        <v>618</v>
      </c>
      <c r="C388" s="116">
        <v>599.35</v>
      </c>
      <c r="D388" s="116">
        <v>597.4</v>
      </c>
      <c r="E388" s="116">
        <v>605</v>
      </c>
      <c r="F388" s="116">
        <v>599.35</v>
      </c>
      <c r="G388">
        <v>23908</v>
      </c>
      <c r="H388" s="116"/>
      <c r="I388" s="116"/>
      <c r="L388" s="170">
        <v>43578</v>
      </c>
      <c r="M388" s="116">
        <v>600.20000000000005</v>
      </c>
      <c r="N388" s="116">
        <v>618.9</v>
      </c>
      <c r="O388" s="116">
        <v>598</v>
      </c>
      <c r="P388" s="116">
        <v>618</v>
      </c>
      <c r="Q388" s="116">
        <v>600.20000000000005</v>
      </c>
      <c r="R388">
        <v>1108991</v>
      </c>
    </row>
    <row r="389" spans="1:18" x14ac:dyDescent="0.25">
      <c r="A389" s="170">
        <v>43579</v>
      </c>
      <c r="B389" s="116">
        <v>613.35</v>
      </c>
      <c r="C389" s="116">
        <v>608.75</v>
      </c>
      <c r="D389" s="116">
        <v>601</v>
      </c>
      <c r="E389" s="116">
        <v>601.6</v>
      </c>
      <c r="F389" s="116">
        <v>608.75</v>
      </c>
      <c r="G389">
        <v>59651</v>
      </c>
      <c r="H389" s="116"/>
      <c r="I389" s="116"/>
      <c r="L389" s="170">
        <v>43579</v>
      </c>
      <c r="M389" s="116">
        <v>610.29999999999995</v>
      </c>
      <c r="N389" s="116">
        <v>615</v>
      </c>
      <c r="O389" s="116">
        <v>600.25</v>
      </c>
      <c r="P389" s="116">
        <v>602</v>
      </c>
      <c r="Q389" s="116">
        <v>610.29999999999995</v>
      </c>
      <c r="R389">
        <v>222954</v>
      </c>
    </row>
    <row r="390" spans="1:18" x14ac:dyDescent="0.25">
      <c r="A390" s="170">
        <v>43580</v>
      </c>
      <c r="B390" s="116">
        <v>621.35</v>
      </c>
      <c r="C390" s="116">
        <v>614.95000000000005</v>
      </c>
      <c r="D390" s="116">
        <v>605.79999999999995</v>
      </c>
      <c r="E390" s="116">
        <v>609.5</v>
      </c>
      <c r="F390" s="116">
        <v>614.95000000000005</v>
      </c>
      <c r="G390">
        <v>20419</v>
      </c>
      <c r="H390" s="116"/>
      <c r="I390" s="116"/>
      <c r="L390" s="170">
        <v>43580</v>
      </c>
      <c r="M390" s="116">
        <v>614.35</v>
      </c>
      <c r="N390" s="116">
        <v>619.70000000000005</v>
      </c>
      <c r="O390" s="116">
        <v>608.04999999999995</v>
      </c>
      <c r="P390" s="116">
        <v>609.6</v>
      </c>
      <c r="Q390" s="116">
        <v>614.35</v>
      </c>
      <c r="R390">
        <v>225934</v>
      </c>
    </row>
    <row r="391" spans="1:18" x14ac:dyDescent="0.25">
      <c r="A391" s="170">
        <v>43581</v>
      </c>
      <c r="B391" s="116">
        <v>643</v>
      </c>
      <c r="C391" s="116">
        <v>636.65</v>
      </c>
      <c r="D391" s="116">
        <v>624</v>
      </c>
      <c r="E391" s="116">
        <v>624</v>
      </c>
      <c r="F391" s="116">
        <v>636.65</v>
      </c>
      <c r="G391">
        <v>151919</v>
      </c>
      <c r="H391" s="116"/>
      <c r="I391" s="116"/>
      <c r="L391" s="170">
        <v>43581</v>
      </c>
      <c r="M391" s="116">
        <v>637.25</v>
      </c>
      <c r="N391" s="116">
        <v>644.79999999999995</v>
      </c>
      <c r="O391" s="116">
        <v>625</v>
      </c>
      <c r="P391" s="116">
        <v>625</v>
      </c>
      <c r="Q391" s="116">
        <v>637.25</v>
      </c>
      <c r="R391">
        <v>2193690</v>
      </c>
    </row>
    <row r="392" spans="1:18" x14ac:dyDescent="0.25">
      <c r="A392" s="170">
        <v>43585</v>
      </c>
      <c r="B392" s="116">
        <v>644.5</v>
      </c>
      <c r="C392" s="116">
        <v>639.6</v>
      </c>
      <c r="D392" s="116">
        <v>631</v>
      </c>
      <c r="E392" s="116">
        <v>631</v>
      </c>
      <c r="F392" s="116">
        <v>639.6</v>
      </c>
      <c r="G392">
        <v>97066</v>
      </c>
      <c r="H392" s="116"/>
      <c r="I392" s="116"/>
      <c r="L392" s="170">
        <v>43585</v>
      </c>
      <c r="M392" s="116">
        <v>639.85</v>
      </c>
      <c r="N392" s="116">
        <v>644.75</v>
      </c>
      <c r="O392" s="116">
        <v>635.1</v>
      </c>
      <c r="P392" s="116">
        <v>635.1</v>
      </c>
      <c r="Q392" s="116">
        <v>639.85</v>
      </c>
      <c r="R392">
        <v>798810</v>
      </c>
    </row>
    <row r="393" spans="1:18" x14ac:dyDescent="0.25">
      <c r="A393" s="170">
        <v>43587</v>
      </c>
      <c r="B393" s="116">
        <v>656.85</v>
      </c>
      <c r="C393" s="116">
        <v>650.54999999999995</v>
      </c>
      <c r="D393" s="116">
        <v>640</v>
      </c>
      <c r="E393" s="116">
        <v>640</v>
      </c>
      <c r="F393" s="116">
        <v>650.54999999999995</v>
      </c>
      <c r="G393">
        <v>421280</v>
      </c>
      <c r="H393" s="116"/>
      <c r="I393" s="116"/>
      <c r="L393" s="170">
        <v>43587</v>
      </c>
      <c r="M393" s="116">
        <v>650.5</v>
      </c>
      <c r="N393" s="116">
        <v>658</v>
      </c>
      <c r="O393" s="116">
        <v>639.95000000000005</v>
      </c>
      <c r="P393" s="116">
        <v>639.95000000000005</v>
      </c>
      <c r="Q393" s="116">
        <v>650.5</v>
      </c>
      <c r="R393">
        <v>1022283</v>
      </c>
    </row>
    <row r="394" spans="1:18" x14ac:dyDescent="0.25">
      <c r="A394" s="170">
        <v>43588</v>
      </c>
      <c r="B394" s="116">
        <v>666</v>
      </c>
      <c r="C394" s="116">
        <v>664.15</v>
      </c>
      <c r="D394" s="116">
        <v>650</v>
      </c>
      <c r="E394" s="116">
        <v>650</v>
      </c>
      <c r="F394" s="116">
        <v>664.15</v>
      </c>
      <c r="G394">
        <v>64646</v>
      </c>
      <c r="H394" s="116"/>
      <c r="I394" s="116"/>
      <c r="L394" s="170">
        <v>43588</v>
      </c>
      <c r="M394" s="116">
        <v>664.15</v>
      </c>
      <c r="N394" s="116">
        <v>666</v>
      </c>
      <c r="O394" s="116">
        <v>648.95000000000005</v>
      </c>
      <c r="P394" s="116">
        <v>650</v>
      </c>
      <c r="Q394" s="116">
        <v>664.15</v>
      </c>
      <c r="R394">
        <v>809596</v>
      </c>
    </row>
    <row r="395" spans="1:18" x14ac:dyDescent="0.25">
      <c r="A395" s="170">
        <v>43591</v>
      </c>
      <c r="B395" s="116">
        <v>667.8</v>
      </c>
      <c r="C395" s="116">
        <v>662.05</v>
      </c>
      <c r="D395" s="116">
        <v>650.29999999999995</v>
      </c>
      <c r="E395" s="116">
        <v>650.35</v>
      </c>
      <c r="F395" s="116">
        <v>662.05</v>
      </c>
      <c r="G395">
        <v>70151</v>
      </c>
      <c r="H395" s="116"/>
      <c r="I395" s="116"/>
      <c r="L395" s="170">
        <v>43591</v>
      </c>
      <c r="M395" s="116">
        <v>660</v>
      </c>
      <c r="N395" s="116">
        <v>667.8</v>
      </c>
      <c r="O395" s="116">
        <v>652.20000000000005</v>
      </c>
      <c r="P395" s="116">
        <v>660</v>
      </c>
      <c r="Q395" s="116">
        <v>660</v>
      </c>
      <c r="R395">
        <v>510425</v>
      </c>
    </row>
    <row r="396" spans="1:18" x14ac:dyDescent="0.25">
      <c r="A396" s="170">
        <v>43592</v>
      </c>
      <c r="B396" s="116">
        <v>664.15</v>
      </c>
      <c r="C396" s="116">
        <v>658.6</v>
      </c>
      <c r="D396" s="116">
        <v>655.55</v>
      </c>
      <c r="E396" s="116">
        <v>660</v>
      </c>
      <c r="F396" s="116">
        <v>658.6</v>
      </c>
      <c r="G396">
        <v>21995</v>
      </c>
      <c r="H396" s="116"/>
      <c r="I396" s="116"/>
      <c r="L396" s="170">
        <v>43592</v>
      </c>
      <c r="M396" s="116">
        <v>662.1</v>
      </c>
      <c r="N396" s="116">
        <v>665.25</v>
      </c>
      <c r="O396" s="116">
        <v>658</v>
      </c>
      <c r="P396" s="116">
        <v>658</v>
      </c>
      <c r="Q396" s="116">
        <v>662.1</v>
      </c>
      <c r="R396">
        <v>400330</v>
      </c>
    </row>
    <row r="397" spans="1:18" x14ac:dyDescent="0.25">
      <c r="A397" s="170">
        <v>43593</v>
      </c>
      <c r="B397" s="116">
        <v>660.8</v>
      </c>
      <c r="C397" s="116">
        <v>648.35</v>
      </c>
      <c r="D397" s="116">
        <v>647.35</v>
      </c>
      <c r="E397" s="116">
        <v>650.54999999999995</v>
      </c>
      <c r="F397" s="116">
        <v>648.35</v>
      </c>
      <c r="G397">
        <v>59157</v>
      </c>
      <c r="H397" s="116"/>
      <c r="I397" s="116"/>
      <c r="L397" s="170">
        <v>43593</v>
      </c>
      <c r="M397" s="116">
        <v>650.54999999999995</v>
      </c>
      <c r="N397" s="116">
        <v>661.4</v>
      </c>
      <c r="O397" s="116">
        <v>649.95000000000005</v>
      </c>
      <c r="P397" s="116">
        <v>655.04999999999995</v>
      </c>
      <c r="Q397" s="116">
        <v>650.54999999999995</v>
      </c>
      <c r="R397">
        <v>290783</v>
      </c>
    </row>
    <row r="398" spans="1:18" x14ac:dyDescent="0.25">
      <c r="A398" s="170">
        <v>43594</v>
      </c>
      <c r="B398" s="116">
        <v>656</v>
      </c>
      <c r="C398" s="116">
        <v>649.6</v>
      </c>
      <c r="D398" s="116">
        <v>640.85</v>
      </c>
      <c r="E398" s="116">
        <v>655</v>
      </c>
      <c r="F398" s="116">
        <v>649.6</v>
      </c>
      <c r="G398">
        <v>8339</v>
      </c>
      <c r="H398" s="116"/>
      <c r="I398" s="116"/>
      <c r="L398" s="170">
        <v>43594</v>
      </c>
      <c r="M398" s="116">
        <v>652.25</v>
      </c>
      <c r="N398" s="116">
        <v>656.5</v>
      </c>
      <c r="O398" s="116">
        <v>641</v>
      </c>
      <c r="P398" s="116">
        <v>651.04999999999995</v>
      </c>
      <c r="Q398" s="116">
        <v>652.25</v>
      </c>
      <c r="R398">
        <v>347971</v>
      </c>
    </row>
    <row r="399" spans="1:18" x14ac:dyDescent="0.25">
      <c r="A399" s="170">
        <v>43595</v>
      </c>
      <c r="B399" s="116">
        <v>666.95</v>
      </c>
      <c r="C399" s="116">
        <v>642.04999999999995</v>
      </c>
      <c r="D399" s="116">
        <v>639.04999999999995</v>
      </c>
      <c r="E399" s="116">
        <v>649.95000000000005</v>
      </c>
      <c r="F399" s="116">
        <v>642.04999999999995</v>
      </c>
      <c r="G399">
        <v>13344</v>
      </c>
      <c r="H399" s="116"/>
      <c r="I399" s="116"/>
      <c r="L399" s="170">
        <v>43595</v>
      </c>
      <c r="M399" s="116">
        <v>642.04999999999995</v>
      </c>
      <c r="N399" s="116">
        <v>668</v>
      </c>
      <c r="O399" s="116">
        <v>639.20000000000005</v>
      </c>
      <c r="P399" s="116">
        <v>650.1</v>
      </c>
      <c r="Q399" s="116">
        <v>642.04999999999995</v>
      </c>
      <c r="R399">
        <v>758566</v>
      </c>
    </row>
    <row r="400" spans="1:18" x14ac:dyDescent="0.25">
      <c r="A400" s="170">
        <v>43598</v>
      </c>
      <c r="B400" s="116">
        <v>644.04999999999995</v>
      </c>
      <c r="C400" s="116">
        <v>623.4</v>
      </c>
      <c r="D400" s="116">
        <v>610.5</v>
      </c>
      <c r="E400" s="116">
        <v>643.70000000000005</v>
      </c>
      <c r="F400" s="116">
        <v>623.4</v>
      </c>
      <c r="G400">
        <v>15198</v>
      </c>
      <c r="H400" s="116"/>
      <c r="I400" s="116"/>
      <c r="L400" s="170">
        <v>43598</v>
      </c>
      <c r="M400" s="116">
        <v>620</v>
      </c>
      <c r="N400" s="116">
        <v>645.85</v>
      </c>
      <c r="O400" s="116">
        <v>608.5</v>
      </c>
      <c r="P400" s="116">
        <v>639.79999999999995</v>
      </c>
      <c r="Q400" s="116">
        <v>620</v>
      </c>
      <c r="R400">
        <v>324189</v>
      </c>
    </row>
    <row r="401" spans="1:18" x14ac:dyDescent="0.25">
      <c r="A401" s="170">
        <v>43599</v>
      </c>
      <c r="B401" s="116">
        <v>637.45000000000005</v>
      </c>
      <c r="C401" s="116">
        <v>614.95000000000005</v>
      </c>
      <c r="D401" s="116">
        <v>595.04999999999995</v>
      </c>
      <c r="E401" s="116">
        <v>625</v>
      </c>
      <c r="F401" s="116">
        <v>614.95000000000005</v>
      </c>
      <c r="G401">
        <v>15955</v>
      </c>
      <c r="H401" s="116"/>
      <c r="I401" s="116"/>
      <c r="L401" s="170">
        <v>43599</v>
      </c>
      <c r="M401" s="116">
        <v>615.6</v>
      </c>
      <c r="N401" s="116">
        <v>638.95000000000005</v>
      </c>
      <c r="O401" s="116">
        <v>594.65</v>
      </c>
      <c r="P401" s="116">
        <v>618.5</v>
      </c>
      <c r="Q401" s="116">
        <v>615.6</v>
      </c>
      <c r="R401">
        <v>1232277</v>
      </c>
    </row>
    <row r="402" spans="1:18" x14ac:dyDescent="0.25">
      <c r="A402" s="170">
        <v>43600</v>
      </c>
      <c r="B402" s="116">
        <v>649</v>
      </c>
      <c r="C402" s="116">
        <v>627.1</v>
      </c>
      <c r="D402" s="116">
        <v>618.15</v>
      </c>
      <c r="E402" s="116">
        <v>620</v>
      </c>
      <c r="F402" s="116">
        <v>627.1</v>
      </c>
      <c r="G402">
        <v>15997</v>
      </c>
      <c r="H402" s="116"/>
      <c r="I402" s="116"/>
      <c r="L402" s="170">
        <v>43600</v>
      </c>
      <c r="M402" s="116">
        <v>628.85</v>
      </c>
      <c r="N402" s="116">
        <v>649.6</v>
      </c>
      <c r="O402" s="116">
        <v>616.75</v>
      </c>
      <c r="P402" s="116">
        <v>624</v>
      </c>
      <c r="Q402" s="116">
        <v>628.85</v>
      </c>
      <c r="R402">
        <v>552190</v>
      </c>
    </row>
    <row r="403" spans="1:18" x14ac:dyDescent="0.25">
      <c r="A403" s="170">
        <v>43601</v>
      </c>
      <c r="B403" s="116">
        <v>647.9</v>
      </c>
      <c r="C403" s="116">
        <v>632.15</v>
      </c>
      <c r="D403" s="116">
        <v>630</v>
      </c>
      <c r="E403" s="116">
        <v>635</v>
      </c>
      <c r="F403" s="116">
        <v>632.15</v>
      </c>
      <c r="G403">
        <v>56752</v>
      </c>
      <c r="H403" s="116"/>
      <c r="I403" s="116"/>
      <c r="L403" s="170">
        <v>43601</v>
      </c>
      <c r="M403" s="116">
        <v>630.95000000000005</v>
      </c>
      <c r="N403" s="116">
        <v>648.70000000000005</v>
      </c>
      <c r="O403" s="116">
        <v>626</v>
      </c>
      <c r="P403" s="116">
        <v>632.75</v>
      </c>
      <c r="Q403" s="116">
        <v>630.95000000000005</v>
      </c>
      <c r="R403">
        <v>363954</v>
      </c>
    </row>
    <row r="404" spans="1:18" x14ac:dyDescent="0.25">
      <c r="A404" s="170">
        <v>43602</v>
      </c>
      <c r="B404" s="116">
        <v>645</v>
      </c>
      <c r="C404" s="116">
        <v>630.70000000000005</v>
      </c>
      <c r="D404" s="116">
        <v>625.15</v>
      </c>
      <c r="E404" s="116">
        <v>632.04999999999995</v>
      </c>
      <c r="F404" s="116">
        <v>630.70000000000005</v>
      </c>
      <c r="G404">
        <v>11275</v>
      </c>
      <c r="H404" s="116"/>
      <c r="I404" s="116"/>
      <c r="L404" s="170">
        <v>43602</v>
      </c>
      <c r="M404" s="116">
        <v>629.75</v>
      </c>
      <c r="N404" s="116">
        <v>645.95000000000005</v>
      </c>
      <c r="O404" s="116">
        <v>623.35</v>
      </c>
      <c r="P404" s="116">
        <v>634.85</v>
      </c>
      <c r="Q404" s="116">
        <v>629.75</v>
      </c>
      <c r="R404">
        <v>387017</v>
      </c>
    </row>
    <row r="405" spans="1:18" x14ac:dyDescent="0.25">
      <c r="A405" s="170">
        <v>43605</v>
      </c>
      <c r="B405" s="116">
        <v>657</v>
      </c>
      <c r="C405" s="116">
        <v>645.4</v>
      </c>
      <c r="D405" s="116">
        <v>636</v>
      </c>
      <c r="E405" s="116">
        <v>636</v>
      </c>
      <c r="F405" s="116">
        <v>645.4</v>
      </c>
      <c r="G405">
        <v>94643</v>
      </c>
      <c r="H405" s="116"/>
      <c r="I405" s="116"/>
      <c r="L405" s="170">
        <v>43605</v>
      </c>
      <c r="M405" s="116">
        <v>645.70000000000005</v>
      </c>
      <c r="N405" s="116">
        <v>657.7</v>
      </c>
      <c r="O405" s="116">
        <v>636</v>
      </c>
      <c r="P405" s="116">
        <v>643.85</v>
      </c>
      <c r="Q405" s="116">
        <v>645.70000000000005</v>
      </c>
      <c r="R405">
        <v>523465</v>
      </c>
    </row>
    <row r="406" spans="1:18" x14ac:dyDescent="0.25">
      <c r="A406" s="170">
        <v>43606</v>
      </c>
      <c r="B406" s="116">
        <v>660.3</v>
      </c>
      <c r="C406" s="116">
        <v>658.15</v>
      </c>
      <c r="D406" s="116">
        <v>647</v>
      </c>
      <c r="E406" s="116">
        <v>650.20000000000005</v>
      </c>
      <c r="F406" s="116">
        <v>658.15</v>
      </c>
      <c r="G406">
        <v>13821</v>
      </c>
      <c r="H406" s="116"/>
      <c r="I406" s="116"/>
      <c r="L406" s="170">
        <v>43606</v>
      </c>
      <c r="M406" s="116">
        <v>659.7</v>
      </c>
      <c r="N406" s="116">
        <v>664</v>
      </c>
      <c r="O406" s="116">
        <v>646.04999999999995</v>
      </c>
      <c r="P406" s="116">
        <v>650</v>
      </c>
      <c r="Q406" s="116">
        <v>659.7</v>
      </c>
      <c r="R406">
        <v>396784</v>
      </c>
    </row>
    <row r="407" spans="1:18" x14ac:dyDescent="0.25">
      <c r="A407" s="170">
        <v>43607</v>
      </c>
      <c r="B407" s="116">
        <v>667</v>
      </c>
      <c r="C407" s="116">
        <v>657.4</v>
      </c>
      <c r="D407" s="116">
        <v>652.6</v>
      </c>
      <c r="E407" s="116">
        <v>660</v>
      </c>
      <c r="F407" s="116">
        <v>657.4</v>
      </c>
      <c r="G407">
        <v>25606</v>
      </c>
      <c r="H407" s="116"/>
      <c r="I407" s="116"/>
      <c r="L407" s="170">
        <v>43607</v>
      </c>
      <c r="M407" s="116">
        <v>659.65</v>
      </c>
      <c r="N407" s="116">
        <v>667.55</v>
      </c>
      <c r="O407" s="116">
        <v>652.85</v>
      </c>
      <c r="P407" s="116">
        <v>659.7</v>
      </c>
      <c r="Q407" s="116">
        <v>659.65</v>
      </c>
      <c r="R407">
        <v>361789</v>
      </c>
    </row>
    <row r="408" spans="1:18" x14ac:dyDescent="0.25">
      <c r="A408" s="170">
        <v>43608</v>
      </c>
      <c r="B408" s="116">
        <v>682</v>
      </c>
      <c r="C408" s="116">
        <v>670.3</v>
      </c>
      <c r="D408" s="116">
        <v>664.35</v>
      </c>
      <c r="E408" s="116">
        <v>665.55</v>
      </c>
      <c r="F408" s="116">
        <v>670.3</v>
      </c>
      <c r="G408">
        <v>122195</v>
      </c>
      <c r="H408" s="116"/>
      <c r="I408" s="116"/>
      <c r="L408" s="170">
        <v>43608</v>
      </c>
      <c r="M408" s="116">
        <v>671.4</v>
      </c>
      <c r="N408" s="116">
        <v>683.9</v>
      </c>
      <c r="O408" s="116">
        <v>665</v>
      </c>
      <c r="P408" s="116">
        <v>665</v>
      </c>
      <c r="Q408" s="116">
        <v>671.4</v>
      </c>
      <c r="R408">
        <v>528882</v>
      </c>
    </row>
    <row r="409" spans="1:18" x14ac:dyDescent="0.25">
      <c r="A409" s="170">
        <v>43609</v>
      </c>
      <c r="B409" s="116">
        <v>687.95</v>
      </c>
      <c r="C409" s="116">
        <v>682.85</v>
      </c>
      <c r="D409" s="116">
        <v>665.9</v>
      </c>
      <c r="E409" s="116">
        <v>678.35</v>
      </c>
      <c r="F409" s="116">
        <v>682.85</v>
      </c>
      <c r="G409">
        <v>30584</v>
      </c>
      <c r="H409" s="116"/>
      <c r="I409" s="116"/>
      <c r="L409" s="170">
        <v>43609</v>
      </c>
      <c r="M409" s="116">
        <v>686</v>
      </c>
      <c r="N409" s="116">
        <v>690</v>
      </c>
      <c r="O409" s="116">
        <v>665.15</v>
      </c>
      <c r="P409" s="116">
        <v>675.95</v>
      </c>
      <c r="Q409" s="116">
        <v>686</v>
      </c>
      <c r="R409">
        <v>541134</v>
      </c>
    </row>
    <row r="410" spans="1:18" x14ac:dyDescent="0.25">
      <c r="A410" s="170">
        <v>43612</v>
      </c>
      <c r="B410" s="116">
        <v>702.85</v>
      </c>
      <c r="C410" s="116">
        <v>698.55</v>
      </c>
      <c r="D410" s="116">
        <v>680</v>
      </c>
      <c r="E410" s="116">
        <v>680</v>
      </c>
      <c r="F410" s="116">
        <v>698.55</v>
      </c>
      <c r="G410">
        <v>35375</v>
      </c>
      <c r="H410" s="116"/>
      <c r="I410" s="116"/>
      <c r="L410" s="170">
        <v>43612</v>
      </c>
      <c r="M410" s="116">
        <v>698.9</v>
      </c>
      <c r="N410" s="116">
        <v>704</v>
      </c>
      <c r="O410" s="116">
        <v>681.5</v>
      </c>
      <c r="P410" s="116">
        <v>682</v>
      </c>
      <c r="Q410" s="116">
        <v>698.9</v>
      </c>
      <c r="R410">
        <v>1669747</v>
      </c>
    </row>
    <row r="411" spans="1:18" x14ac:dyDescent="0.25">
      <c r="A411" s="170">
        <v>43613</v>
      </c>
      <c r="B411" s="116">
        <v>702.4</v>
      </c>
      <c r="C411" s="116">
        <v>696</v>
      </c>
      <c r="D411" s="116">
        <v>686.6</v>
      </c>
      <c r="E411" s="116">
        <v>696.95</v>
      </c>
      <c r="F411" s="116">
        <v>696</v>
      </c>
      <c r="G411">
        <v>32676</v>
      </c>
      <c r="H411" s="116"/>
      <c r="I411" s="116"/>
      <c r="L411" s="170">
        <v>43613</v>
      </c>
      <c r="M411" s="116">
        <v>698.75</v>
      </c>
      <c r="N411" s="116">
        <v>703.9</v>
      </c>
      <c r="O411" s="116">
        <v>685.1</v>
      </c>
      <c r="P411" s="116">
        <v>700</v>
      </c>
      <c r="Q411" s="116">
        <v>698.75</v>
      </c>
      <c r="R411">
        <v>373366</v>
      </c>
    </row>
    <row r="412" spans="1:18" x14ac:dyDescent="0.25">
      <c r="A412" s="170">
        <v>43614</v>
      </c>
      <c r="B412" s="116">
        <v>694.85</v>
      </c>
      <c r="C412" s="116">
        <v>680.45</v>
      </c>
      <c r="D412" s="116">
        <v>678.05</v>
      </c>
      <c r="E412" s="116">
        <v>685.1</v>
      </c>
      <c r="F412" s="116">
        <v>680.45</v>
      </c>
      <c r="G412">
        <v>7280</v>
      </c>
      <c r="H412" s="116"/>
      <c r="I412" s="116"/>
      <c r="L412" s="170">
        <v>43614</v>
      </c>
      <c r="M412" s="116">
        <v>680</v>
      </c>
      <c r="N412" s="116">
        <v>703</v>
      </c>
      <c r="O412" s="116">
        <v>678.05</v>
      </c>
      <c r="P412" s="116">
        <v>688.15</v>
      </c>
      <c r="Q412" s="116">
        <v>680</v>
      </c>
      <c r="R412">
        <v>1286226</v>
      </c>
    </row>
    <row r="413" spans="1:18" x14ac:dyDescent="0.25">
      <c r="A413" s="170">
        <v>43615</v>
      </c>
      <c r="B413" s="116">
        <v>685.4</v>
      </c>
      <c r="C413" s="116">
        <v>680.3</v>
      </c>
      <c r="D413" s="116">
        <v>673.75</v>
      </c>
      <c r="E413" s="116">
        <v>680.4</v>
      </c>
      <c r="F413" s="116">
        <v>680.3</v>
      </c>
      <c r="G413">
        <v>10497</v>
      </c>
      <c r="H413" s="116"/>
      <c r="I413" s="116"/>
      <c r="L413" s="170">
        <v>43615</v>
      </c>
      <c r="M413" s="116">
        <v>679.9</v>
      </c>
      <c r="N413" s="116">
        <v>686.6</v>
      </c>
      <c r="O413" s="116">
        <v>674</v>
      </c>
      <c r="P413" s="116">
        <v>680</v>
      </c>
      <c r="Q413" s="116">
        <v>679.9</v>
      </c>
      <c r="R413">
        <v>550276</v>
      </c>
    </row>
    <row r="414" spans="1:18" x14ac:dyDescent="0.25">
      <c r="A414" s="170">
        <v>43616</v>
      </c>
      <c r="B414" s="116">
        <v>694.9</v>
      </c>
      <c r="C414" s="116">
        <v>691.45</v>
      </c>
      <c r="D414" s="116">
        <v>676.5</v>
      </c>
      <c r="E414" s="116">
        <v>682.05</v>
      </c>
      <c r="F414" s="116">
        <v>691.45</v>
      </c>
      <c r="G414">
        <v>47200</v>
      </c>
      <c r="H414" s="116"/>
      <c r="I414" s="116"/>
      <c r="L414" s="170">
        <v>43616</v>
      </c>
      <c r="M414" s="116">
        <v>694.25</v>
      </c>
      <c r="N414" s="116">
        <v>696</v>
      </c>
      <c r="O414" s="116">
        <v>676.35</v>
      </c>
      <c r="P414" s="116">
        <v>684.9</v>
      </c>
      <c r="Q414" s="116">
        <v>694.25</v>
      </c>
      <c r="R414">
        <v>650980</v>
      </c>
    </row>
    <row r="415" spans="1:18" x14ac:dyDescent="0.25">
      <c r="A415" s="170">
        <v>43619</v>
      </c>
      <c r="B415" s="116">
        <v>699.2</v>
      </c>
      <c r="C415" s="116">
        <v>693.1</v>
      </c>
      <c r="D415" s="116">
        <v>687.05</v>
      </c>
      <c r="E415" s="116">
        <v>690</v>
      </c>
      <c r="F415" s="116">
        <v>693.1</v>
      </c>
      <c r="G415">
        <v>10587</v>
      </c>
      <c r="H415" s="116"/>
      <c r="I415" s="116"/>
      <c r="L415" s="170">
        <v>43619</v>
      </c>
      <c r="M415" s="116">
        <v>695.6</v>
      </c>
      <c r="N415" s="116">
        <v>701</v>
      </c>
      <c r="O415" s="116">
        <v>686.5</v>
      </c>
      <c r="P415" s="116">
        <v>687</v>
      </c>
      <c r="Q415" s="116">
        <v>695.6</v>
      </c>
      <c r="R415">
        <v>167500</v>
      </c>
    </row>
    <row r="416" spans="1:18" x14ac:dyDescent="0.25">
      <c r="A416" s="170">
        <v>43620</v>
      </c>
      <c r="B416" s="116">
        <v>700</v>
      </c>
      <c r="C416" s="116">
        <v>697.65</v>
      </c>
      <c r="D416" s="116">
        <v>689.1</v>
      </c>
      <c r="E416" s="116">
        <v>692.65</v>
      </c>
      <c r="F416" s="116">
        <v>697.65</v>
      </c>
      <c r="G416">
        <v>7722</v>
      </c>
      <c r="H416" s="116"/>
      <c r="I416" s="116"/>
      <c r="L416" s="170">
        <v>43620</v>
      </c>
      <c r="M416" s="116">
        <v>698.4</v>
      </c>
      <c r="N416" s="116">
        <v>700</v>
      </c>
      <c r="O416" s="116">
        <v>687.5</v>
      </c>
      <c r="P416" s="116">
        <v>690.25</v>
      </c>
      <c r="Q416" s="116">
        <v>698.4</v>
      </c>
      <c r="R416">
        <v>410079</v>
      </c>
    </row>
    <row r="417" spans="1:18" x14ac:dyDescent="0.25">
      <c r="A417" s="170">
        <v>43622</v>
      </c>
      <c r="B417" s="116">
        <v>699.95</v>
      </c>
      <c r="C417" s="116">
        <v>694.45</v>
      </c>
      <c r="D417" s="116">
        <v>690.25</v>
      </c>
      <c r="E417" s="116">
        <v>699.95</v>
      </c>
      <c r="F417" s="116">
        <v>694.45</v>
      </c>
      <c r="G417">
        <v>7935</v>
      </c>
      <c r="H417" s="116"/>
      <c r="I417" s="116"/>
      <c r="L417" s="170">
        <v>43622</v>
      </c>
      <c r="M417" s="116">
        <v>696.35</v>
      </c>
      <c r="N417" s="116">
        <v>700.35</v>
      </c>
      <c r="O417" s="116">
        <v>689.5</v>
      </c>
      <c r="P417" s="116">
        <v>697</v>
      </c>
      <c r="Q417" s="116">
        <v>696.35</v>
      </c>
      <c r="R417">
        <v>1320152</v>
      </c>
    </row>
    <row r="418" spans="1:18" x14ac:dyDescent="0.25">
      <c r="A418" s="170">
        <v>43623</v>
      </c>
      <c r="B418" s="116">
        <v>700.5</v>
      </c>
      <c r="C418" s="116">
        <v>695.35</v>
      </c>
      <c r="D418" s="116">
        <v>692.85</v>
      </c>
      <c r="E418" s="116">
        <v>695.5</v>
      </c>
      <c r="F418" s="116">
        <v>695.35</v>
      </c>
      <c r="G418">
        <v>7855</v>
      </c>
      <c r="H418" s="116"/>
      <c r="I418" s="116"/>
      <c r="L418" s="170">
        <v>43623</v>
      </c>
      <c r="M418" s="116">
        <v>698.45</v>
      </c>
      <c r="N418" s="116">
        <v>702</v>
      </c>
      <c r="O418" s="116">
        <v>694.05</v>
      </c>
      <c r="P418" s="116">
        <v>698.9</v>
      </c>
      <c r="Q418" s="116">
        <v>698.45</v>
      </c>
      <c r="R418">
        <v>680274</v>
      </c>
    </row>
    <row r="419" spans="1:18" x14ac:dyDescent="0.25">
      <c r="A419" s="170">
        <v>43626</v>
      </c>
      <c r="B419" s="116">
        <v>699.15</v>
      </c>
      <c r="C419" s="116">
        <v>696.55</v>
      </c>
      <c r="D419" s="116">
        <v>691.15</v>
      </c>
      <c r="E419" s="116">
        <v>698.95</v>
      </c>
      <c r="F419" s="116">
        <v>696.55</v>
      </c>
      <c r="G419">
        <v>8158</v>
      </c>
      <c r="H419" s="116"/>
      <c r="I419" s="116"/>
      <c r="L419" s="170">
        <v>43626</v>
      </c>
      <c r="M419" s="116">
        <v>699.1</v>
      </c>
      <c r="N419" s="116">
        <v>700</v>
      </c>
      <c r="O419" s="116">
        <v>695.15</v>
      </c>
      <c r="P419" s="116">
        <v>697</v>
      </c>
      <c r="Q419" s="116">
        <v>699.1</v>
      </c>
      <c r="R419">
        <v>449355</v>
      </c>
    </row>
    <row r="420" spans="1:18" x14ac:dyDescent="0.25">
      <c r="A420" s="170">
        <v>43627</v>
      </c>
      <c r="B420" s="116">
        <v>703</v>
      </c>
      <c r="C420" s="116">
        <v>697.1</v>
      </c>
      <c r="D420" s="116">
        <v>694.55</v>
      </c>
      <c r="E420" s="116">
        <v>697.5</v>
      </c>
      <c r="F420" s="116">
        <v>697.1</v>
      </c>
      <c r="G420">
        <v>13887</v>
      </c>
      <c r="H420" s="116"/>
      <c r="I420" s="116"/>
      <c r="L420" s="170">
        <v>43627</v>
      </c>
      <c r="M420" s="116">
        <v>701</v>
      </c>
      <c r="N420" s="116">
        <v>705</v>
      </c>
      <c r="O420" s="116">
        <v>694.05</v>
      </c>
      <c r="P420" s="116">
        <v>695.5</v>
      </c>
      <c r="Q420" s="116">
        <v>701</v>
      </c>
      <c r="R420">
        <v>402010</v>
      </c>
    </row>
    <row r="421" spans="1:18" x14ac:dyDescent="0.25">
      <c r="A421" s="170">
        <v>43628</v>
      </c>
      <c r="B421" s="116">
        <v>700.45</v>
      </c>
      <c r="C421" s="116">
        <v>697.8</v>
      </c>
      <c r="D421" s="116">
        <v>691.75</v>
      </c>
      <c r="E421" s="116">
        <v>694</v>
      </c>
      <c r="F421" s="116">
        <v>697.8</v>
      </c>
      <c r="G421">
        <v>28910</v>
      </c>
      <c r="H421" s="116"/>
      <c r="I421" s="116"/>
      <c r="L421" s="170">
        <v>43628</v>
      </c>
      <c r="M421" s="116">
        <v>699.95</v>
      </c>
      <c r="N421" s="116">
        <v>702</v>
      </c>
      <c r="O421" s="116">
        <v>695.25</v>
      </c>
      <c r="P421" s="116">
        <v>699.9</v>
      </c>
      <c r="Q421" s="116">
        <v>699.95</v>
      </c>
      <c r="R421">
        <v>387860</v>
      </c>
    </row>
    <row r="422" spans="1:18" x14ac:dyDescent="0.25">
      <c r="A422" s="170">
        <v>43629</v>
      </c>
      <c r="B422" s="116">
        <v>707.75</v>
      </c>
      <c r="C422" s="116">
        <v>694.45</v>
      </c>
      <c r="D422" s="116">
        <v>692.2</v>
      </c>
      <c r="E422" s="116">
        <v>699.95</v>
      </c>
      <c r="F422" s="116">
        <v>694.45</v>
      </c>
      <c r="G422">
        <v>53343</v>
      </c>
      <c r="H422" s="116"/>
      <c r="I422" s="116"/>
      <c r="L422" s="170">
        <v>43629</v>
      </c>
      <c r="M422" s="116">
        <v>699.35</v>
      </c>
      <c r="N422" s="116">
        <v>709</v>
      </c>
      <c r="O422" s="116">
        <v>694</v>
      </c>
      <c r="P422" s="116">
        <v>700</v>
      </c>
      <c r="Q422" s="116">
        <v>699.35</v>
      </c>
      <c r="R422">
        <v>437375</v>
      </c>
    </row>
    <row r="423" spans="1:18" x14ac:dyDescent="0.25">
      <c r="A423" s="170">
        <v>43630</v>
      </c>
      <c r="B423" s="116">
        <v>701.9</v>
      </c>
      <c r="C423" s="116">
        <v>698.6</v>
      </c>
      <c r="D423" s="116">
        <v>696.5</v>
      </c>
      <c r="E423" s="116">
        <v>701.9</v>
      </c>
      <c r="F423" s="116">
        <v>698.6</v>
      </c>
      <c r="G423">
        <v>36207</v>
      </c>
      <c r="H423" s="116"/>
      <c r="I423" s="116"/>
      <c r="L423" s="170">
        <v>43630</v>
      </c>
      <c r="M423" s="116">
        <v>699.55</v>
      </c>
      <c r="N423" s="116">
        <v>701</v>
      </c>
      <c r="O423" s="116">
        <v>696</v>
      </c>
      <c r="P423" s="116">
        <v>699.95</v>
      </c>
      <c r="Q423" s="116">
        <v>699.55</v>
      </c>
      <c r="R423">
        <v>375865</v>
      </c>
    </row>
    <row r="424" spans="1:18" x14ac:dyDescent="0.25">
      <c r="A424" s="170">
        <v>43633</v>
      </c>
      <c r="B424" s="116">
        <v>706.1</v>
      </c>
      <c r="C424" s="116">
        <v>699.4</v>
      </c>
      <c r="D424" s="116">
        <v>698</v>
      </c>
      <c r="E424" s="116">
        <v>698.85</v>
      </c>
      <c r="F424" s="116">
        <v>699.4</v>
      </c>
      <c r="G424">
        <v>11552</v>
      </c>
      <c r="H424" s="116"/>
      <c r="I424" s="116"/>
      <c r="L424" s="170">
        <v>43633</v>
      </c>
      <c r="M424" s="116">
        <v>700</v>
      </c>
      <c r="N424" s="116">
        <v>707</v>
      </c>
      <c r="O424" s="116">
        <v>698.3</v>
      </c>
      <c r="P424" s="116">
        <v>701.4</v>
      </c>
      <c r="Q424" s="116">
        <v>700</v>
      </c>
      <c r="R424">
        <v>486849</v>
      </c>
    </row>
    <row r="425" spans="1:18" x14ac:dyDescent="0.25">
      <c r="A425" s="170">
        <v>43634</v>
      </c>
      <c r="B425" s="116">
        <v>707</v>
      </c>
      <c r="C425" s="116">
        <v>703.7</v>
      </c>
      <c r="D425" s="116">
        <v>699.35</v>
      </c>
      <c r="E425" s="116">
        <v>700</v>
      </c>
      <c r="F425" s="116">
        <v>703.7</v>
      </c>
      <c r="G425">
        <v>22925</v>
      </c>
      <c r="H425" s="116"/>
      <c r="I425" s="116"/>
      <c r="L425" s="170">
        <v>43634</v>
      </c>
      <c r="M425" s="116">
        <v>704.05</v>
      </c>
      <c r="N425" s="116">
        <v>708</v>
      </c>
      <c r="O425" s="116">
        <v>699.15</v>
      </c>
      <c r="P425" s="116">
        <v>700.95</v>
      </c>
      <c r="Q425" s="116">
        <v>704.05</v>
      </c>
      <c r="R425">
        <v>1561472</v>
      </c>
    </row>
    <row r="426" spans="1:18" x14ac:dyDescent="0.25">
      <c r="A426" s="170">
        <v>43635</v>
      </c>
      <c r="B426" s="116">
        <v>708.95</v>
      </c>
      <c r="C426" s="116">
        <v>697.8</v>
      </c>
      <c r="D426" s="116">
        <v>690</v>
      </c>
      <c r="E426" s="116">
        <v>704</v>
      </c>
      <c r="F426" s="116">
        <v>697.8</v>
      </c>
      <c r="G426">
        <v>9988</v>
      </c>
      <c r="H426" s="116"/>
      <c r="I426" s="116"/>
      <c r="L426" s="170">
        <v>43635</v>
      </c>
      <c r="M426" s="116">
        <v>696.3</v>
      </c>
      <c r="N426" s="116">
        <v>709</v>
      </c>
      <c r="O426" s="116">
        <v>686.25</v>
      </c>
      <c r="P426" s="116">
        <v>706</v>
      </c>
      <c r="Q426" s="116">
        <v>696.3</v>
      </c>
      <c r="R426">
        <v>358961</v>
      </c>
    </row>
    <row r="427" spans="1:18" x14ac:dyDescent="0.25">
      <c r="A427" s="170">
        <v>43636</v>
      </c>
      <c r="B427" s="116">
        <v>705.25</v>
      </c>
      <c r="C427" s="116">
        <v>698.8</v>
      </c>
      <c r="D427" s="116">
        <v>693.9</v>
      </c>
      <c r="E427" s="116">
        <v>699</v>
      </c>
      <c r="F427" s="116">
        <v>698.8</v>
      </c>
      <c r="G427">
        <v>14438</v>
      </c>
      <c r="H427" s="116"/>
      <c r="I427" s="116"/>
      <c r="L427" s="170">
        <v>43636</v>
      </c>
      <c r="M427" s="116">
        <v>698.45</v>
      </c>
      <c r="N427" s="116">
        <v>705</v>
      </c>
      <c r="O427" s="116">
        <v>690.05</v>
      </c>
      <c r="P427" s="116">
        <v>696.4</v>
      </c>
      <c r="Q427" s="116">
        <v>698.45</v>
      </c>
      <c r="R427">
        <v>1024232</v>
      </c>
    </row>
    <row r="428" spans="1:18" x14ac:dyDescent="0.25">
      <c r="A428" s="170">
        <v>43637</v>
      </c>
      <c r="B428" s="116">
        <v>711</v>
      </c>
      <c r="C428" s="116">
        <v>700.55</v>
      </c>
      <c r="D428" s="116">
        <v>694.65</v>
      </c>
      <c r="E428" s="116">
        <v>704</v>
      </c>
      <c r="F428" s="116">
        <v>700.55</v>
      </c>
      <c r="G428">
        <v>23966</v>
      </c>
      <c r="H428" s="116"/>
      <c r="I428" s="116"/>
      <c r="L428" s="170">
        <v>43637</v>
      </c>
      <c r="M428" s="116">
        <v>699.95</v>
      </c>
      <c r="N428" s="116">
        <v>711</v>
      </c>
      <c r="O428" s="116">
        <v>694.9</v>
      </c>
      <c r="P428" s="116">
        <v>705</v>
      </c>
      <c r="Q428" s="116">
        <v>699.95</v>
      </c>
      <c r="R428">
        <v>3605899</v>
      </c>
    </row>
    <row r="429" spans="1:18" x14ac:dyDescent="0.25">
      <c r="A429" s="170">
        <v>43640</v>
      </c>
      <c r="B429" s="116">
        <v>713.8</v>
      </c>
      <c r="C429" s="116">
        <v>710.45</v>
      </c>
      <c r="D429" s="116">
        <v>699.4</v>
      </c>
      <c r="E429" s="116">
        <v>703</v>
      </c>
      <c r="F429" s="116">
        <v>710.45</v>
      </c>
      <c r="G429">
        <v>21549</v>
      </c>
      <c r="H429" s="116"/>
      <c r="I429" s="116"/>
      <c r="L429" s="170">
        <v>43640</v>
      </c>
      <c r="M429" s="116">
        <v>710.6</v>
      </c>
      <c r="N429" s="116">
        <v>713.4</v>
      </c>
      <c r="O429" s="116">
        <v>698.95</v>
      </c>
      <c r="P429" s="116">
        <v>705.15</v>
      </c>
      <c r="Q429" s="116">
        <v>710.6</v>
      </c>
      <c r="R429">
        <v>376039</v>
      </c>
    </row>
    <row r="430" spans="1:18" x14ac:dyDescent="0.25">
      <c r="A430" s="170">
        <v>43641</v>
      </c>
      <c r="B430" s="116">
        <v>684.8</v>
      </c>
      <c r="C430" s="116">
        <v>674.9</v>
      </c>
      <c r="D430" s="116">
        <v>669.25</v>
      </c>
      <c r="E430" s="116">
        <v>675</v>
      </c>
      <c r="F430" s="116">
        <v>674.9</v>
      </c>
      <c r="G430">
        <v>114432</v>
      </c>
      <c r="H430" s="116"/>
      <c r="I430" s="116"/>
      <c r="L430" s="170">
        <v>43641</v>
      </c>
      <c r="M430" s="116">
        <v>674.35</v>
      </c>
      <c r="N430" s="116">
        <v>684.95</v>
      </c>
      <c r="O430" s="116">
        <v>669.5</v>
      </c>
      <c r="P430" s="116">
        <v>675</v>
      </c>
      <c r="Q430" s="116">
        <v>674.35</v>
      </c>
      <c r="R430">
        <v>3513192</v>
      </c>
    </row>
    <row r="431" spans="1:18" x14ac:dyDescent="0.25">
      <c r="A431" s="170">
        <v>43642</v>
      </c>
      <c r="B431" s="116">
        <v>744.35</v>
      </c>
      <c r="C431" s="116">
        <v>716.55</v>
      </c>
      <c r="D431" s="116">
        <v>692.95</v>
      </c>
      <c r="E431" s="116">
        <v>695</v>
      </c>
      <c r="F431" s="116">
        <v>716.55</v>
      </c>
      <c r="G431">
        <v>699363</v>
      </c>
      <c r="H431" s="116"/>
      <c r="I431" s="116"/>
      <c r="L431" s="170">
        <v>43642</v>
      </c>
      <c r="M431" s="116">
        <v>717.45</v>
      </c>
      <c r="N431" s="116">
        <v>744</v>
      </c>
      <c r="O431" s="116">
        <v>692.75</v>
      </c>
      <c r="P431" s="116">
        <v>695.5</v>
      </c>
      <c r="Q431" s="116">
        <v>717.45</v>
      </c>
      <c r="R431">
        <v>6255032</v>
      </c>
    </row>
    <row r="432" spans="1:18" x14ac:dyDescent="0.25">
      <c r="A432" s="170">
        <v>43643</v>
      </c>
      <c r="B432" s="116">
        <v>737.3</v>
      </c>
      <c r="C432" s="116">
        <v>728.55</v>
      </c>
      <c r="D432" s="116">
        <v>705</v>
      </c>
      <c r="E432" s="116">
        <v>705</v>
      </c>
      <c r="F432" s="116">
        <v>728.55</v>
      </c>
      <c r="G432">
        <v>357360</v>
      </c>
      <c r="H432" s="116"/>
      <c r="I432" s="116"/>
      <c r="L432" s="170">
        <v>43643</v>
      </c>
      <c r="M432" s="116">
        <v>726.95</v>
      </c>
      <c r="N432" s="116">
        <v>738</v>
      </c>
      <c r="O432" s="116">
        <v>706</v>
      </c>
      <c r="P432" s="116">
        <v>706</v>
      </c>
      <c r="Q432" s="116">
        <v>726.95</v>
      </c>
      <c r="R432">
        <v>4196283</v>
      </c>
    </row>
    <row r="433" spans="1:18" x14ac:dyDescent="0.25">
      <c r="A433" s="170">
        <v>43644</v>
      </c>
      <c r="B433" s="116">
        <v>735</v>
      </c>
      <c r="C433" s="116">
        <v>723.35</v>
      </c>
      <c r="D433" s="116">
        <v>717</v>
      </c>
      <c r="E433" s="116">
        <v>728</v>
      </c>
      <c r="F433" s="116">
        <v>723.35</v>
      </c>
      <c r="G433">
        <v>125821</v>
      </c>
      <c r="H433" s="116"/>
      <c r="I433" s="116"/>
      <c r="L433" s="170">
        <v>43644</v>
      </c>
      <c r="M433" s="116">
        <v>723.7</v>
      </c>
      <c r="N433" s="116">
        <v>734.85</v>
      </c>
      <c r="O433" s="116">
        <v>717</v>
      </c>
      <c r="P433" s="116">
        <v>725</v>
      </c>
      <c r="Q433" s="116">
        <v>723.7</v>
      </c>
      <c r="R433">
        <v>1184510</v>
      </c>
    </row>
    <row r="434" spans="1:18" x14ac:dyDescent="0.25">
      <c r="A434" s="170">
        <v>43647</v>
      </c>
      <c r="B434" s="116">
        <v>738.7</v>
      </c>
      <c r="C434" s="116">
        <v>736.25</v>
      </c>
      <c r="D434" s="116">
        <v>716.35</v>
      </c>
      <c r="E434" s="116">
        <v>725</v>
      </c>
      <c r="F434" s="116">
        <v>736.25</v>
      </c>
      <c r="G434">
        <v>111868</v>
      </c>
      <c r="H434" s="116"/>
      <c r="I434" s="116"/>
      <c r="L434" s="170">
        <v>43647</v>
      </c>
      <c r="M434" s="116">
        <v>735.9</v>
      </c>
      <c r="N434" s="116">
        <v>739</v>
      </c>
      <c r="O434" s="116">
        <v>716.05</v>
      </c>
      <c r="P434" s="116">
        <v>724.8</v>
      </c>
      <c r="Q434" s="116">
        <v>735.9</v>
      </c>
      <c r="R434">
        <v>610864</v>
      </c>
    </row>
    <row r="435" spans="1:18" x14ac:dyDescent="0.25">
      <c r="A435" s="170">
        <v>43648</v>
      </c>
      <c r="B435" s="116">
        <v>752.8</v>
      </c>
      <c r="C435" s="116">
        <v>750.2</v>
      </c>
      <c r="D435" s="116">
        <v>738.35</v>
      </c>
      <c r="E435" s="116">
        <v>738.35</v>
      </c>
      <c r="F435" s="116">
        <v>750.2</v>
      </c>
      <c r="G435">
        <v>86694</v>
      </c>
      <c r="H435" s="116"/>
      <c r="I435" s="116"/>
      <c r="L435" s="170">
        <v>43648</v>
      </c>
      <c r="M435" s="116">
        <v>749.8</v>
      </c>
      <c r="N435" s="116">
        <v>752.7</v>
      </c>
      <c r="O435" s="116">
        <v>740</v>
      </c>
      <c r="P435" s="116">
        <v>740</v>
      </c>
      <c r="Q435" s="116">
        <v>749.8</v>
      </c>
      <c r="R435">
        <v>1257045</v>
      </c>
    </row>
    <row r="436" spans="1:18" x14ac:dyDescent="0.25">
      <c r="A436" s="170">
        <v>43649</v>
      </c>
      <c r="B436" s="116">
        <v>759.9</v>
      </c>
      <c r="C436" s="116">
        <v>756.25</v>
      </c>
      <c r="D436" s="116">
        <v>741.1</v>
      </c>
      <c r="E436" s="116">
        <v>750</v>
      </c>
      <c r="F436" s="116">
        <v>756.25</v>
      </c>
      <c r="G436">
        <v>49551</v>
      </c>
      <c r="H436" s="116"/>
      <c r="I436" s="116"/>
      <c r="L436" s="170">
        <v>43649</v>
      </c>
      <c r="M436" s="116">
        <v>756.9</v>
      </c>
      <c r="N436" s="116">
        <v>760.9</v>
      </c>
      <c r="O436" s="116">
        <v>741.2</v>
      </c>
      <c r="P436" s="116">
        <v>750</v>
      </c>
      <c r="Q436" s="116">
        <v>756.9</v>
      </c>
      <c r="R436">
        <v>554389</v>
      </c>
    </row>
    <row r="437" spans="1:18" x14ac:dyDescent="0.25">
      <c r="A437" s="170">
        <v>43650</v>
      </c>
      <c r="B437" s="116">
        <v>762.1</v>
      </c>
      <c r="C437" s="116">
        <v>757.35</v>
      </c>
      <c r="D437" s="116">
        <v>753.25</v>
      </c>
      <c r="E437" s="116">
        <v>756</v>
      </c>
      <c r="F437" s="116">
        <v>757.35</v>
      </c>
      <c r="G437">
        <v>22018</v>
      </c>
      <c r="H437" s="116"/>
      <c r="I437" s="116"/>
      <c r="L437" s="170">
        <v>43650</v>
      </c>
      <c r="M437" s="116">
        <v>757.4</v>
      </c>
      <c r="N437" s="116">
        <v>762.25</v>
      </c>
      <c r="O437" s="116">
        <v>752.55</v>
      </c>
      <c r="P437" s="116">
        <v>760</v>
      </c>
      <c r="Q437" s="116">
        <v>757.4</v>
      </c>
      <c r="R437">
        <v>271994</v>
      </c>
    </row>
    <row r="438" spans="1:18" x14ac:dyDescent="0.25">
      <c r="A438" s="170">
        <v>43651</v>
      </c>
      <c r="B438" s="116">
        <v>776.05</v>
      </c>
      <c r="C438" s="116">
        <v>753.9</v>
      </c>
      <c r="D438" s="116">
        <v>746</v>
      </c>
      <c r="E438" s="116">
        <v>757.75</v>
      </c>
      <c r="F438" s="116">
        <v>753.9</v>
      </c>
      <c r="G438">
        <v>84269</v>
      </c>
      <c r="H438" s="116"/>
      <c r="I438" s="116"/>
      <c r="L438" s="170">
        <v>43651</v>
      </c>
      <c r="M438" s="116">
        <v>753.55</v>
      </c>
      <c r="N438" s="116">
        <v>776.5</v>
      </c>
      <c r="O438" s="116">
        <v>745.6</v>
      </c>
      <c r="P438" s="116">
        <v>759.6</v>
      </c>
      <c r="Q438" s="116">
        <v>753.55</v>
      </c>
      <c r="R438">
        <v>1195407</v>
      </c>
    </row>
    <row r="439" spans="1:18" x14ac:dyDescent="0.25">
      <c r="A439" s="170">
        <v>43654</v>
      </c>
      <c r="B439" s="116">
        <v>767.8</v>
      </c>
      <c r="C439" s="116">
        <v>755.45</v>
      </c>
      <c r="D439" s="116">
        <v>740</v>
      </c>
      <c r="E439" s="116">
        <v>750</v>
      </c>
      <c r="F439" s="116">
        <v>755.45</v>
      </c>
      <c r="G439">
        <v>43541</v>
      </c>
      <c r="H439" s="116"/>
      <c r="I439" s="116"/>
      <c r="L439" s="170">
        <v>43654</v>
      </c>
      <c r="M439" s="116">
        <v>759.2</v>
      </c>
      <c r="N439" s="116">
        <v>768.3</v>
      </c>
      <c r="O439" s="116">
        <v>739.6</v>
      </c>
      <c r="P439" s="116">
        <v>748.8</v>
      </c>
      <c r="Q439" s="116">
        <v>759.2</v>
      </c>
      <c r="R439">
        <v>787426</v>
      </c>
    </row>
    <row r="440" spans="1:18" x14ac:dyDescent="0.25">
      <c r="A440" s="170">
        <v>43655</v>
      </c>
      <c r="B440" s="116">
        <v>762.95</v>
      </c>
      <c r="C440" s="116">
        <v>758.65</v>
      </c>
      <c r="D440" s="116">
        <v>747</v>
      </c>
      <c r="E440" s="116">
        <v>755</v>
      </c>
      <c r="F440" s="116">
        <v>758.65</v>
      </c>
      <c r="G440">
        <v>27071</v>
      </c>
      <c r="H440" s="116"/>
      <c r="I440" s="116"/>
      <c r="L440" s="170">
        <v>43655</v>
      </c>
      <c r="M440" s="116">
        <v>759</v>
      </c>
      <c r="N440" s="116">
        <v>763</v>
      </c>
      <c r="O440" s="116">
        <v>747.6</v>
      </c>
      <c r="P440" s="116">
        <v>755</v>
      </c>
      <c r="Q440" s="116">
        <v>759</v>
      </c>
      <c r="R440">
        <v>594218</v>
      </c>
    </row>
    <row r="441" spans="1:18" x14ac:dyDescent="0.25">
      <c r="A441" s="170">
        <v>43656</v>
      </c>
      <c r="B441" s="116">
        <v>757.95</v>
      </c>
      <c r="C441" s="116">
        <v>742.35</v>
      </c>
      <c r="D441" s="116">
        <v>740</v>
      </c>
      <c r="E441" s="116">
        <v>756.45</v>
      </c>
      <c r="F441" s="116">
        <v>742.35</v>
      </c>
      <c r="G441">
        <v>17933</v>
      </c>
      <c r="H441" s="116"/>
      <c r="I441" s="116"/>
      <c r="L441" s="170">
        <v>43656</v>
      </c>
      <c r="M441" s="116">
        <v>741.95</v>
      </c>
      <c r="N441" s="116">
        <v>758.3</v>
      </c>
      <c r="O441" s="116">
        <v>740</v>
      </c>
      <c r="P441" s="116">
        <v>751.8</v>
      </c>
      <c r="Q441" s="116">
        <v>741.95</v>
      </c>
      <c r="R441">
        <v>459594</v>
      </c>
    </row>
    <row r="442" spans="1:18" x14ac:dyDescent="0.25">
      <c r="A442" s="170">
        <v>43657</v>
      </c>
      <c r="B442" s="116">
        <v>762</v>
      </c>
      <c r="C442" s="116">
        <v>754.3</v>
      </c>
      <c r="D442" s="116">
        <v>743</v>
      </c>
      <c r="E442" s="116">
        <v>743</v>
      </c>
      <c r="F442" s="116">
        <v>754.3</v>
      </c>
      <c r="G442">
        <v>22853</v>
      </c>
      <c r="H442" s="116"/>
      <c r="I442" s="116"/>
      <c r="L442" s="170">
        <v>43657</v>
      </c>
      <c r="M442" s="116">
        <v>754.1</v>
      </c>
      <c r="N442" s="116">
        <v>762</v>
      </c>
      <c r="O442" s="116">
        <v>744</v>
      </c>
      <c r="P442" s="116">
        <v>744</v>
      </c>
      <c r="Q442" s="116">
        <v>754.1</v>
      </c>
      <c r="R442">
        <v>292405</v>
      </c>
    </row>
    <row r="443" spans="1:18" x14ac:dyDescent="0.25">
      <c r="A443" s="170">
        <v>43658</v>
      </c>
      <c r="B443" s="116">
        <v>789</v>
      </c>
      <c r="C443" s="116">
        <v>780.6</v>
      </c>
      <c r="D443" s="116">
        <v>754</v>
      </c>
      <c r="E443" s="116">
        <v>755</v>
      </c>
      <c r="F443" s="116">
        <v>780.6</v>
      </c>
      <c r="G443">
        <v>92624</v>
      </c>
      <c r="H443" s="116"/>
      <c r="I443" s="116"/>
      <c r="L443" s="170">
        <v>43658</v>
      </c>
      <c r="M443" s="116">
        <v>780.7</v>
      </c>
      <c r="N443" s="116">
        <v>789.3</v>
      </c>
      <c r="O443" s="116">
        <v>753.35</v>
      </c>
      <c r="P443" s="116">
        <v>756</v>
      </c>
      <c r="Q443" s="116">
        <v>780.7</v>
      </c>
      <c r="R443">
        <v>1817841</v>
      </c>
    </row>
    <row r="444" spans="1:18" x14ac:dyDescent="0.25">
      <c r="A444" s="170">
        <v>43661</v>
      </c>
      <c r="B444" s="116">
        <v>794.25</v>
      </c>
      <c r="C444" s="116">
        <v>782.7</v>
      </c>
      <c r="D444" s="116">
        <v>765.65</v>
      </c>
      <c r="E444" s="116">
        <v>782</v>
      </c>
      <c r="F444" s="116">
        <v>782.7</v>
      </c>
      <c r="G444">
        <v>53224</v>
      </c>
      <c r="H444" s="116"/>
      <c r="I444" s="116"/>
      <c r="L444" s="170">
        <v>43661</v>
      </c>
      <c r="M444" s="116">
        <v>783.55</v>
      </c>
      <c r="N444" s="116">
        <v>794.9</v>
      </c>
      <c r="O444" s="116">
        <v>766</v>
      </c>
      <c r="P444" s="116">
        <v>780.5</v>
      </c>
      <c r="Q444" s="116">
        <v>783.55</v>
      </c>
      <c r="R444">
        <v>585738</v>
      </c>
    </row>
    <row r="445" spans="1:18" x14ac:dyDescent="0.25">
      <c r="A445" s="170">
        <v>43662</v>
      </c>
      <c r="B445" s="116">
        <v>788.1</v>
      </c>
      <c r="C445" s="116">
        <v>776</v>
      </c>
      <c r="D445" s="116">
        <v>770.55</v>
      </c>
      <c r="E445" s="116">
        <v>787.95</v>
      </c>
      <c r="F445" s="116">
        <v>776</v>
      </c>
      <c r="G445">
        <v>23656</v>
      </c>
      <c r="H445" s="116"/>
      <c r="I445" s="116"/>
      <c r="L445" s="170">
        <v>43662</v>
      </c>
      <c r="M445" s="116">
        <v>775.85</v>
      </c>
      <c r="N445" s="116">
        <v>788.4</v>
      </c>
      <c r="O445" s="116">
        <v>770.2</v>
      </c>
      <c r="P445" s="116">
        <v>783</v>
      </c>
      <c r="Q445" s="116">
        <v>775.85</v>
      </c>
      <c r="R445">
        <v>440957</v>
      </c>
    </row>
    <row r="446" spans="1:18" x14ac:dyDescent="0.25">
      <c r="A446" s="170">
        <v>43663</v>
      </c>
      <c r="B446" s="116">
        <v>793.85</v>
      </c>
      <c r="C446" s="116">
        <v>764.35</v>
      </c>
      <c r="D446" s="116">
        <v>757.25</v>
      </c>
      <c r="E446" s="116">
        <v>776</v>
      </c>
      <c r="F446" s="116">
        <v>764.35</v>
      </c>
      <c r="G446">
        <v>48199</v>
      </c>
      <c r="H446" s="116"/>
      <c r="I446" s="116"/>
      <c r="L446" s="170">
        <v>43663</v>
      </c>
      <c r="M446" s="116">
        <v>765.25</v>
      </c>
      <c r="N446" s="116">
        <v>793.1</v>
      </c>
      <c r="O446" s="116">
        <v>757</v>
      </c>
      <c r="P446" s="116">
        <v>773</v>
      </c>
      <c r="Q446" s="116">
        <v>765.25</v>
      </c>
      <c r="R446">
        <v>880172</v>
      </c>
    </row>
    <row r="447" spans="1:18" x14ac:dyDescent="0.25">
      <c r="A447" s="170">
        <v>43664</v>
      </c>
      <c r="B447" s="116">
        <v>775</v>
      </c>
      <c r="C447" s="116">
        <v>741.25</v>
      </c>
      <c r="D447" s="116">
        <v>737</v>
      </c>
      <c r="E447" s="116">
        <v>764.35</v>
      </c>
      <c r="F447" s="116">
        <v>741.25</v>
      </c>
      <c r="G447">
        <v>27474</v>
      </c>
      <c r="H447" s="116"/>
      <c r="I447" s="116"/>
      <c r="L447" s="170">
        <v>43664</v>
      </c>
      <c r="M447" s="116">
        <v>740.85</v>
      </c>
      <c r="N447" s="116">
        <v>775</v>
      </c>
      <c r="O447" s="116">
        <v>737</v>
      </c>
      <c r="P447" s="116">
        <v>766</v>
      </c>
      <c r="Q447" s="116">
        <v>740.85</v>
      </c>
      <c r="R447">
        <v>424234</v>
      </c>
    </row>
    <row r="448" spans="1:18" x14ac:dyDescent="0.25">
      <c r="A448" s="170">
        <v>43665</v>
      </c>
      <c r="B448" s="116">
        <v>750</v>
      </c>
      <c r="C448" s="116">
        <v>744.5</v>
      </c>
      <c r="D448" s="116">
        <v>732.55</v>
      </c>
      <c r="E448" s="116">
        <v>746</v>
      </c>
      <c r="F448" s="116">
        <v>744.5</v>
      </c>
      <c r="G448">
        <v>29164</v>
      </c>
      <c r="H448" s="116"/>
      <c r="I448" s="116"/>
      <c r="L448" s="170">
        <v>43665</v>
      </c>
      <c r="M448" s="116">
        <v>744.85</v>
      </c>
      <c r="N448" s="116">
        <v>751</v>
      </c>
      <c r="O448" s="116">
        <v>731.85</v>
      </c>
      <c r="P448" s="116">
        <v>745.35</v>
      </c>
      <c r="Q448" s="116">
        <v>744.85</v>
      </c>
      <c r="R448">
        <v>577254</v>
      </c>
    </row>
    <row r="449" spans="1:18" x14ac:dyDescent="0.25">
      <c r="A449" s="170">
        <v>43668</v>
      </c>
      <c r="B449" s="116">
        <v>764.5</v>
      </c>
      <c r="C449" s="116">
        <v>762.7</v>
      </c>
      <c r="D449" s="116">
        <v>736</v>
      </c>
      <c r="E449" s="116">
        <v>753.95</v>
      </c>
      <c r="F449" s="116">
        <v>762.7</v>
      </c>
      <c r="G449">
        <v>68390</v>
      </c>
      <c r="H449" s="116"/>
      <c r="I449" s="116"/>
      <c r="L449" s="170">
        <v>43668</v>
      </c>
      <c r="M449" s="116">
        <v>762.15</v>
      </c>
      <c r="N449" s="116">
        <v>764</v>
      </c>
      <c r="O449" s="116">
        <v>735.5</v>
      </c>
      <c r="P449" s="116">
        <v>749.2</v>
      </c>
      <c r="Q449" s="116">
        <v>762.15</v>
      </c>
      <c r="R449">
        <v>409528</v>
      </c>
    </row>
    <row r="450" spans="1:18" x14ac:dyDescent="0.25">
      <c r="A450" s="170">
        <v>43669</v>
      </c>
      <c r="B450" s="116">
        <v>780.2</v>
      </c>
      <c r="C450" s="116">
        <v>776.1</v>
      </c>
      <c r="D450" s="116">
        <v>762</v>
      </c>
      <c r="E450" s="116">
        <v>762</v>
      </c>
      <c r="F450" s="116">
        <v>776.1</v>
      </c>
      <c r="G450">
        <v>38815</v>
      </c>
      <c r="H450" s="116"/>
      <c r="I450" s="116"/>
      <c r="L450" s="170">
        <v>43669</v>
      </c>
      <c r="M450" s="116">
        <v>775.95</v>
      </c>
      <c r="N450" s="116">
        <v>780</v>
      </c>
      <c r="O450" s="116">
        <v>764</v>
      </c>
      <c r="P450" s="116">
        <v>764</v>
      </c>
      <c r="Q450" s="116">
        <v>775.95</v>
      </c>
      <c r="R450">
        <v>708849</v>
      </c>
    </row>
    <row r="451" spans="1:18" x14ac:dyDescent="0.25">
      <c r="A451" s="170">
        <v>43670</v>
      </c>
      <c r="B451" s="116">
        <v>808.1</v>
      </c>
      <c r="C451" s="116">
        <v>772</v>
      </c>
      <c r="D451" s="116">
        <v>755.05</v>
      </c>
      <c r="E451" s="116">
        <v>782.2</v>
      </c>
      <c r="F451" s="116">
        <v>772</v>
      </c>
      <c r="G451">
        <v>260006</v>
      </c>
      <c r="H451" s="116"/>
      <c r="I451" s="116"/>
      <c r="L451" s="170">
        <v>43670</v>
      </c>
      <c r="M451" s="116">
        <v>772.5</v>
      </c>
      <c r="N451" s="116">
        <v>808.5</v>
      </c>
      <c r="O451" s="116">
        <v>755.2</v>
      </c>
      <c r="P451" s="116">
        <v>782.5</v>
      </c>
      <c r="Q451" s="116">
        <v>772.5</v>
      </c>
      <c r="R451">
        <v>8522595</v>
      </c>
    </row>
    <row r="452" spans="1:18" x14ac:dyDescent="0.25">
      <c r="A452" s="170">
        <v>43671</v>
      </c>
      <c r="B452" s="116">
        <v>800</v>
      </c>
      <c r="C452" s="116">
        <v>797.8</v>
      </c>
      <c r="D452" s="116">
        <v>769.6</v>
      </c>
      <c r="E452" s="116">
        <v>770</v>
      </c>
      <c r="F452" s="116">
        <v>797.8</v>
      </c>
      <c r="G452">
        <v>146636</v>
      </c>
      <c r="H452" s="116"/>
      <c r="I452" s="116"/>
      <c r="L452" s="170">
        <v>43671</v>
      </c>
      <c r="M452" s="116">
        <v>797.4</v>
      </c>
      <c r="N452" s="116">
        <v>800</v>
      </c>
      <c r="O452" s="116">
        <v>769.05</v>
      </c>
      <c r="P452" s="116">
        <v>769.9</v>
      </c>
      <c r="Q452" s="116">
        <v>797.4</v>
      </c>
      <c r="R452">
        <v>892300</v>
      </c>
    </row>
    <row r="453" spans="1:18" x14ac:dyDescent="0.25">
      <c r="A453" s="170">
        <v>43672</v>
      </c>
      <c r="B453" s="116">
        <v>806.9</v>
      </c>
      <c r="C453" s="116">
        <v>795</v>
      </c>
      <c r="D453" s="116">
        <v>783</v>
      </c>
      <c r="E453" s="116">
        <v>795</v>
      </c>
      <c r="F453" s="116">
        <v>795</v>
      </c>
      <c r="G453">
        <v>78671</v>
      </c>
      <c r="H453" s="116"/>
      <c r="I453" s="116"/>
      <c r="L453" s="170">
        <v>43672</v>
      </c>
      <c r="M453" s="116">
        <v>795.1</v>
      </c>
      <c r="N453" s="116">
        <v>807</v>
      </c>
      <c r="O453" s="116">
        <v>783</v>
      </c>
      <c r="P453" s="116">
        <v>799.1</v>
      </c>
      <c r="Q453" s="116">
        <v>795.1</v>
      </c>
      <c r="R453">
        <v>848649</v>
      </c>
    </row>
    <row r="454" spans="1:18" x14ac:dyDescent="0.25">
      <c r="A454" s="170">
        <v>43675</v>
      </c>
      <c r="B454" s="116">
        <v>804.65</v>
      </c>
      <c r="C454" s="116">
        <v>796.8</v>
      </c>
      <c r="D454" s="116">
        <v>783.1</v>
      </c>
      <c r="E454" s="116">
        <v>795</v>
      </c>
      <c r="F454" s="116">
        <v>796.8</v>
      </c>
      <c r="G454">
        <v>33749</v>
      </c>
      <c r="H454" s="116"/>
      <c r="I454" s="116"/>
      <c r="L454" s="170">
        <v>43675</v>
      </c>
      <c r="M454" s="116">
        <v>797.35</v>
      </c>
      <c r="N454" s="116">
        <v>805.45</v>
      </c>
      <c r="O454" s="116">
        <v>782.3</v>
      </c>
      <c r="P454" s="116">
        <v>793</v>
      </c>
      <c r="Q454" s="116">
        <v>797.35</v>
      </c>
      <c r="R454">
        <v>655785</v>
      </c>
    </row>
    <row r="455" spans="1:18" x14ac:dyDescent="0.25">
      <c r="A455" s="170">
        <v>43676</v>
      </c>
      <c r="B455" s="116">
        <v>804.35</v>
      </c>
      <c r="C455" s="116">
        <v>795.65</v>
      </c>
      <c r="D455" s="116">
        <v>782.65</v>
      </c>
      <c r="E455" s="116">
        <v>795</v>
      </c>
      <c r="F455" s="116">
        <v>795.65</v>
      </c>
      <c r="G455">
        <v>39606</v>
      </c>
      <c r="H455" s="116"/>
      <c r="I455" s="116"/>
      <c r="L455" s="170">
        <v>43676</v>
      </c>
      <c r="M455" s="116">
        <v>797.4</v>
      </c>
      <c r="N455" s="116">
        <v>805</v>
      </c>
      <c r="O455" s="116">
        <v>781.9</v>
      </c>
      <c r="P455" s="116">
        <v>798</v>
      </c>
      <c r="Q455" s="116">
        <v>797.4</v>
      </c>
      <c r="R455">
        <v>629929</v>
      </c>
    </row>
    <row r="456" spans="1:18" x14ac:dyDescent="0.25">
      <c r="A456" s="170">
        <v>43677</v>
      </c>
      <c r="B456" s="116">
        <v>799.9</v>
      </c>
      <c r="C456" s="116">
        <v>797.3</v>
      </c>
      <c r="D456" s="116">
        <v>776.3</v>
      </c>
      <c r="E456" s="116">
        <v>789.65</v>
      </c>
      <c r="F456" s="116">
        <v>797.3</v>
      </c>
      <c r="G456">
        <v>41382</v>
      </c>
      <c r="H456" s="116"/>
      <c r="I456" s="116"/>
      <c r="L456" s="170">
        <v>43677</v>
      </c>
      <c r="M456" s="116">
        <v>797.55</v>
      </c>
      <c r="N456" s="116">
        <v>800</v>
      </c>
      <c r="O456" s="116">
        <v>775</v>
      </c>
      <c r="P456" s="116">
        <v>783</v>
      </c>
      <c r="Q456" s="116">
        <v>797.55</v>
      </c>
      <c r="R456">
        <v>490133</v>
      </c>
    </row>
    <row r="457" spans="1:18" x14ac:dyDescent="0.25">
      <c r="A457" s="170">
        <v>43678</v>
      </c>
      <c r="B457" s="116">
        <v>803</v>
      </c>
      <c r="C457" s="116">
        <v>777.15</v>
      </c>
      <c r="D457" s="116">
        <v>753.15</v>
      </c>
      <c r="E457" s="116">
        <v>799.8</v>
      </c>
      <c r="F457" s="116">
        <v>777.15</v>
      </c>
      <c r="G457">
        <v>35024</v>
      </c>
      <c r="H457" s="116"/>
      <c r="I457" s="116"/>
      <c r="L457" s="170">
        <v>43678</v>
      </c>
      <c r="M457" s="116">
        <v>777</v>
      </c>
      <c r="N457" s="116">
        <v>803.6</v>
      </c>
      <c r="O457" s="116">
        <v>752.55</v>
      </c>
      <c r="P457" s="116">
        <v>790.35</v>
      </c>
      <c r="Q457" s="116">
        <v>777</v>
      </c>
      <c r="R457">
        <v>789834</v>
      </c>
    </row>
    <row r="458" spans="1:18" x14ac:dyDescent="0.25">
      <c r="A458" s="170">
        <v>43679</v>
      </c>
      <c r="B458" s="116">
        <v>802</v>
      </c>
      <c r="C458" s="116">
        <v>791.3</v>
      </c>
      <c r="D458" s="116">
        <v>765.1</v>
      </c>
      <c r="E458" s="116">
        <v>769.95</v>
      </c>
      <c r="F458" s="116">
        <v>791.3</v>
      </c>
      <c r="G458">
        <v>24026</v>
      </c>
      <c r="H458" s="116"/>
      <c r="I458" s="116"/>
      <c r="L458" s="170">
        <v>43679</v>
      </c>
      <c r="M458" s="116">
        <v>791.65</v>
      </c>
      <c r="N458" s="116">
        <v>803</v>
      </c>
      <c r="O458" s="116">
        <v>757.3</v>
      </c>
      <c r="P458" s="116">
        <v>757.3</v>
      </c>
      <c r="Q458" s="116">
        <v>791.65</v>
      </c>
      <c r="R458">
        <v>941917</v>
      </c>
    </row>
    <row r="459" spans="1:18" x14ac:dyDescent="0.25">
      <c r="A459" s="170">
        <v>43682</v>
      </c>
      <c r="B459" s="116">
        <v>795.05</v>
      </c>
      <c r="C459" s="116">
        <v>790.3</v>
      </c>
      <c r="D459" s="116">
        <v>774.1</v>
      </c>
      <c r="E459" s="116">
        <v>790</v>
      </c>
      <c r="F459" s="116">
        <v>790.3</v>
      </c>
      <c r="G459">
        <v>261840</v>
      </c>
      <c r="H459" s="116"/>
      <c r="I459" s="116"/>
      <c r="L459" s="170">
        <v>43682</v>
      </c>
      <c r="M459" s="116">
        <v>790.4</v>
      </c>
      <c r="N459" s="116">
        <v>795</v>
      </c>
      <c r="O459" s="116">
        <v>774.15</v>
      </c>
      <c r="P459" s="116">
        <v>790</v>
      </c>
      <c r="Q459" s="116">
        <v>790.4</v>
      </c>
      <c r="R459">
        <v>538695</v>
      </c>
    </row>
    <row r="460" spans="1:18" x14ac:dyDescent="0.25">
      <c r="A460" s="170">
        <v>43683</v>
      </c>
      <c r="B460" s="116">
        <v>799.85</v>
      </c>
      <c r="C460" s="116">
        <v>787.7</v>
      </c>
      <c r="D460" s="116">
        <v>780.65</v>
      </c>
      <c r="E460" s="116">
        <v>787.65</v>
      </c>
      <c r="F460" s="116">
        <v>787.7</v>
      </c>
      <c r="G460">
        <v>17911</v>
      </c>
      <c r="H460" s="116"/>
      <c r="I460" s="116"/>
      <c r="L460" s="170">
        <v>43683</v>
      </c>
      <c r="M460" s="116">
        <v>787.2</v>
      </c>
      <c r="N460" s="116">
        <v>800.05</v>
      </c>
      <c r="O460" s="116">
        <v>780.1</v>
      </c>
      <c r="P460" s="116">
        <v>788.1</v>
      </c>
      <c r="Q460" s="116">
        <v>787.2</v>
      </c>
      <c r="R460">
        <v>700080</v>
      </c>
    </row>
    <row r="461" spans="1:18" x14ac:dyDescent="0.25">
      <c r="A461" s="170">
        <v>43684</v>
      </c>
      <c r="B461" s="116">
        <v>801</v>
      </c>
      <c r="C461" s="116">
        <v>787.05</v>
      </c>
      <c r="D461" s="116">
        <v>781.35</v>
      </c>
      <c r="E461" s="116">
        <v>790.5</v>
      </c>
      <c r="F461" s="116">
        <v>787.05</v>
      </c>
      <c r="G461">
        <v>184659</v>
      </c>
      <c r="H461" s="116"/>
      <c r="I461" s="116"/>
      <c r="L461" s="170">
        <v>43684</v>
      </c>
      <c r="M461" s="116">
        <v>786.55</v>
      </c>
      <c r="N461" s="116">
        <v>801.6</v>
      </c>
      <c r="O461" s="116">
        <v>782.25</v>
      </c>
      <c r="P461" s="116">
        <v>790.25</v>
      </c>
      <c r="Q461" s="116">
        <v>786.55</v>
      </c>
      <c r="R461">
        <v>487084</v>
      </c>
    </row>
    <row r="462" spans="1:18" x14ac:dyDescent="0.25">
      <c r="A462" s="170">
        <v>43685</v>
      </c>
      <c r="B462" s="116">
        <v>826.35</v>
      </c>
      <c r="C462" s="116">
        <v>813.65</v>
      </c>
      <c r="D462" s="116">
        <v>784.3</v>
      </c>
      <c r="E462" s="116">
        <v>795</v>
      </c>
      <c r="F462" s="116">
        <v>813.65</v>
      </c>
      <c r="G462">
        <v>48923</v>
      </c>
      <c r="H462" s="116"/>
      <c r="I462" s="116"/>
      <c r="L462" s="170">
        <v>43685</v>
      </c>
      <c r="M462" s="116">
        <v>812.9</v>
      </c>
      <c r="N462" s="116">
        <v>827</v>
      </c>
      <c r="O462" s="116">
        <v>783.3</v>
      </c>
      <c r="P462" s="116">
        <v>795</v>
      </c>
      <c r="Q462" s="116">
        <v>812.9</v>
      </c>
      <c r="R462">
        <v>1081958</v>
      </c>
    </row>
    <row r="463" spans="1:18" x14ac:dyDescent="0.25">
      <c r="A463" s="170">
        <v>43686</v>
      </c>
      <c r="B463" s="116">
        <v>814.55</v>
      </c>
      <c r="C463" s="116">
        <v>800.8</v>
      </c>
      <c r="D463" s="116">
        <v>794.95</v>
      </c>
      <c r="E463" s="116">
        <v>812</v>
      </c>
      <c r="F463" s="116">
        <v>800.8</v>
      </c>
      <c r="G463">
        <v>40298</v>
      </c>
      <c r="H463" s="116"/>
      <c r="I463" s="116"/>
      <c r="L463" s="170">
        <v>43686</v>
      </c>
      <c r="M463" s="116">
        <v>801.7</v>
      </c>
      <c r="N463" s="116">
        <v>814.8</v>
      </c>
      <c r="O463" s="116">
        <v>795.1</v>
      </c>
      <c r="P463" s="116">
        <v>810.55</v>
      </c>
      <c r="Q463" s="116">
        <v>801.7</v>
      </c>
      <c r="R463">
        <v>714830</v>
      </c>
    </row>
    <row r="464" spans="1:18" x14ac:dyDescent="0.25">
      <c r="A464" s="170">
        <v>43690</v>
      </c>
      <c r="B464" s="116">
        <v>799.9</v>
      </c>
      <c r="C464" s="116">
        <v>771.45</v>
      </c>
      <c r="D464" s="116">
        <v>761.55</v>
      </c>
      <c r="E464" s="116">
        <v>799.9</v>
      </c>
      <c r="F464" s="116">
        <v>771.45</v>
      </c>
      <c r="G464">
        <v>25175</v>
      </c>
      <c r="H464" s="116"/>
      <c r="I464" s="116"/>
      <c r="L464" s="170">
        <v>43690</v>
      </c>
      <c r="M464" s="116">
        <v>771.25</v>
      </c>
      <c r="N464" s="116">
        <v>801.7</v>
      </c>
      <c r="O464" s="116">
        <v>761.7</v>
      </c>
      <c r="P464" s="116">
        <v>797.25</v>
      </c>
      <c r="Q464" s="116">
        <v>771.25</v>
      </c>
      <c r="R464">
        <v>432634</v>
      </c>
    </row>
    <row r="465" spans="1:18" x14ac:dyDescent="0.25">
      <c r="A465" s="170">
        <v>43691</v>
      </c>
      <c r="B465" s="116">
        <v>816.2</v>
      </c>
      <c r="C465" s="116">
        <v>811.95</v>
      </c>
      <c r="D465" s="116">
        <v>776.75</v>
      </c>
      <c r="E465" s="116">
        <v>785</v>
      </c>
      <c r="F465" s="116">
        <v>811.95</v>
      </c>
      <c r="G465">
        <v>61464</v>
      </c>
      <c r="H465" s="116"/>
      <c r="I465" s="116"/>
      <c r="L465" s="170">
        <v>43691</v>
      </c>
      <c r="M465" s="116">
        <v>812.15</v>
      </c>
      <c r="N465" s="116">
        <v>816.8</v>
      </c>
      <c r="O465" s="116">
        <v>776</v>
      </c>
      <c r="P465" s="116">
        <v>780</v>
      </c>
      <c r="Q465" s="116">
        <v>812.15</v>
      </c>
      <c r="R465">
        <v>1042108</v>
      </c>
    </row>
    <row r="466" spans="1:18" x14ac:dyDescent="0.25">
      <c r="A466" s="170">
        <v>43693</v>
      </c>
      <c r="B466" s="116">
        <v>839.6</v>
      </c>
      <c r="C466" s="116">
        <v>835.55</v>
      </c>
      <c r="D466" s="116">
        <v>804.05</v>
      </c>
      <c r="E466" s="116">
        <v>804.5</v>
      </c>
      <c r="F466" s="116">
        <v>835.55</v>
      </c>
      <c r="G466">
        <v>175889</v>
      </c>
      <c r="H466" s="116"/>
      <c r="I466" s="116"/>
      <c r="L466" s="170">
        <v>43693</v>
      </c>
      <c r="M466" s="116">
        <v>835.35</v>
      </c>
      <c r="N466" s="116">
        <v>838.9</v>
      </c>
      <c r="O466" s="116">
        <v>801.1</v>
      </c>
      <c r="P466" s="116">
        <v>801.1</v>
      </c>
      <c r="Q466" s="116">
        <v>835.35</v>
      </c>
      <c r="R466">
        <v>1340618</v>
      </c>
    </row>
    <row r="467" spans="1:18" x14ac:dyDescent="0.25">
      <c r="A467" s="170">
        <v>43696</v>
      </c>
      <c r="B467" s="116">
        <v>858.5</v>
      </c>
      <c r="C467" s="116">
        <v>849.75</v>
      </c>
      <c r="D467" s="116">
        <v>834</v>
      </c>
      <c r="E467" s="116">
        <v>835.55</v>
      </c>
      <c r="F467" s="116">
        <v>849.75</v>
      </c>
      <c r="G467">
        <v>114096</v>
      </c>
      <c r="H467" s="116"/>
      <c r="I467" s="116"/>
      <c r="L467" s="170">
        <v>43696</v>
      </c>
      <c r="M467" s="116">
        <v>849.9</v>
      </c>
      <c r="N467" s="116">
        <v>858.8</v>
      </c>
      <c r="O467" s="116">
        <v>833.05</v>
      </c>
      <c r="P467" s="116">
        <v>837.2</v>
      </c>
      <c r="Q467" s="116">
        <v>849.9</v>
      </c>
      <c r="R467">
        <v>999684</v>
      </c>
    </row>
    <row r="468" spans="1:18" x14ac:dyDescent="0.25">
      <c r="A468" s="170">
        <v>43697</v>
      </c>
      <c r="B468" s="116">
        <v>862.4</v>
      </c>
      <c r="C468" s="116">
        <v>854.55</v>
      </c>
      <c r="D468" s="116">
        <v>831.8</v>
      </c>
      <c r="E468" s="116">
        <v>849.75</v>
      </c>
      <c r="F468" s="116">
        <v>854.55</v>
      </c>
      <c r="G468">
        <v>55796</v>
      </c>
      <c r="H468" s="116"/>
      <c r="I468" s="116"/>
      <c r="L468" s="170">
        <v>43697</v>
      </c>
      <c r="M468" s="116">
        <v>853.85</v>
      </c>
      <c r="N468" s="116">
        <v>862.45</v>
      </c>
      <c r="O468" s="116">
        <v>831.55</v>
      </c>
      <c r="P468" s="116">
        <v>850</v>
      </c>
      <c r="Q468" s="116">
        <v>853.85</v>
      </c>
      <c r="R468">
        <v>1032233</v>
      </c>
    </row>
    <row r="469" spans="1:18" x14ac:dyDescent="0.25">
      <c r="A469" s="170">
        <v>43698</v>
      </c>
      <c r="B469" s="116">
        <v>857</v>
      </c>
      <c r="C469" s="116">
        <v>829.95</v>
      </c>
      <c r="D469" s="116">
        <v>824.1</v>
      </c>
      <c r="E469" s="116">
        <v>857</v>
      </c>
      <c r="F469" s="116">
        <v>829.95</v>
      </c>
      <c r="G469">
        <v>94706</v>
      </c>
      <c r="H469" s="116"/>
      <c r="I469" s="116"/>
      <c r="L469" s="170">
        <v>43698</v>
      </c>
      <c r="M469" s="116">
        <v>829.45</v>
      </c>
      <c r="N469" s="116">
        <v>857</v>
      </c>
      <c r="O469" s="116">
        <v>824.2</v>
      </c>
      <c r="P469" s="116">
        <v>852.5</v>
      </c>
      <c r="Q469" s="116">
        <v>829.45</v>
      </c>
      <c r="R469">
        <v>469687</v>
      </c>
    </row>
    <row r="470" spans="1:18" x14ac:dyDescent="0.25">
      <c r="A470" s="170">
        <v>43699</v>
      </c>
      <c r="B470" s="116">
        <v>837.4</v>
      </c>
      <c r="C470" s="116">
        <v>815.35</v>
      </c>
      <c r="D470" s="116">
        <v>808.1</v>
      </c>
      <c r="E470" s="116">
        <v>828</v>
      </c>
      <c r="F470" s="116">
        <v>815.35</v>
      </c>
      <c r="G470">
        <v>25786</v>
      </c>
      <c r="H470" s="116"/>
      <c r="I470" s="116"/>
      <c r="L470" s="170">
        <v>43699</v>
      </c>
      <c r="M470" s="116">
        <v>815.2</v>
      </c>
      <c r="N470" s="116">
        <v>837.65</v>
      </c>
      <c r="O470" s="116">
        <v>805.55</v>
      </c>
      <c r="P470" s="116">
        <v>826.2</v>
      </c>
      <c r="Q470" s="116">
        <v>815.2</v>
      </c>
      <c r="R470">
        <v>451114</v>
      </c>
    </row>
    <row r="471" spans="1:18" x14ac:dyDescent="0.25">
      <c r="A471" s="170">
        <v>43700</v>
      </c>
      <c r="B471" s="116">
        <v>829.9</v>
      </c>
      <c r="C471" s="116">
        <v>819.6</v>
      </c>
      <c r="D471" s="116">
        <v>814</v>
      </c>
      <c r="E471" s="116">
        <v>815.35</v>
      </c>
      <c r="F471" s="116">
        <v>819.6</v>
      </c>
      <c r="G471">
        <v>20087</v>
      </c>
      <c r="H471" s="116"/>
      <c r="I471" s="116"/>
      <c r="L471" s="170">
        <v>43700</v>
      </c>
      <c r="M471" s="116">
        <v>821.25</v>
      </c>
      <c r="N471" s="116">
        <v>830.05</v>
      </c>
      <c r="O471" s="116">
        <v>812.25</v>
      </c>
      <c r="P471" s="116">
        <v>814.95</v>
      </c>
      <c r="Q471" s="116">
        <v>821.25</v>
      </c>
      <c r="R471">
        <v>545349</v>
      </c>
    </row>
    <row r="472" spans="1:18" x14ac:dyDescent="0.25">
      <c r="A472" s="170">
        <v>43703</v>
      </c>
      <c r="B472" s="116">
        <v>840</v>
      </c>
      <c r="C472" s="116">
        <v>827.15</v>
      </c>
      <c r="D472" s="116">
        <v>819</v>
      </c>
      <c r="E472" s="116">
        <v>835</v>
      </c>
      <c r="F472" s="116">
        <v>827.15</v>
      </c>
      <c r="G472">
        <v>15809</v>
      </c>
      <c r="H472" s="116"/>
      <c r="I472" s="116"/>
      <c r="L472" s="170">
        <v>43703</v>
      </c>
      <c r="M472" s="116">
        <v>827.1</v>
      </c>
      <c r="N472" s="116">
        <v>839.45</v>
      </c>
      <c r="O472" s="116">
        <v>818.15</v>
      </c>
      <c r="P472" s="116">
        <v>838</v>
      </c>
      <c r="Q472" s="116">
        <v>827.1</v>
      </c>
      <c r="R472">
        <v>606859</v>
      </c>
    </row>
    <row r="473" spans="1:18" x14ac:dyDescent="0.25">
      <c r="A473" s="170">
        <v>43704</v>
      </c>
      <c r="B473" s="116">
        <v>846.55</v>
      </c>
      <c r="C473" s="116">
        <v>834.25</v>
      </c>
      <c r="D473" s="116">
        <v>829.35</v>
      </c>
      <c r="E473" s="116">
        <v>834.95</v>
      </c>
      <c r="F473" s="116">
        <v>834.25</v>
      </c>
      <c r="G473">
        <v>18716</v>
      </c>
      <c r="H473" s="116"/>
      <c r="I473" s="116"/>
      <c r="L473" s="170">
        <v>43704</v>
      </c>
      <c r="M473" s="116">
        <v>834.25</v>
      </c>
      <c r="N473" s="116">
        <v>847</v>
      </c>
      <c r="O473" s="116">
        <v>827</v>
      </c>
      <c r="P473" s="116">
        <v>827</v>
      </c>
      <c r="Q473" s="116">
        <v>834.25</v>
      </c>
      <c r="R473">
        <v>851189</v>
      </c>
    </row>
    <row r="474" spans="1:18" x14ac:dyDescent="0.25">
      <c r="A474" s="170">
        <v>43705</v>
      </c>
      <c r="B474" s="116">
        <v>839.85</v>
      </c>
      <c r="C474" s="116">
        <v>828.2</v>
      </c>
      <c r="D474" s="116">
        <v>822</v>
      </c>
      <c r="E474" s="116">
        <v>835</v>
      </c>
      <c r="F474" s="116">
        <v>828.2</v>
      </c>
      <c r="G474">
        <v>23293</v>
      </c>
      <c r="H474" s="116"/>
      <c r="I474" s="116"/>
      <c r="L474" s="170">
        <v>43705</v>
      </c>
      <c r="M474" s="116">
        <v>828.45</v>
      </c>
      <c r="N474" s="116">
        <v>841.8</v>
      </c>
      <c r="O474" s="116">
        <v>821.55</v>
      </c>
      <c r="P474" s="116">
        <v>840</v>
      </c>
      <c r="Q474" s="116">
        <v>828.45</v>
      </c>
      <c r="R474">
        <v>538964</v>
      </c>
    </row>
    <row r="475" spans="1:18" x14ac:dyDescent="0.25">
      <c r="A475" s="170">
        <v>43706</v>
      </c>
      <c r="B475" s="116">
        <v>839.55</v>
      </c>
      <c r="C475" s="116">
        <v>835</v>
      </c>
      <c r="D475" s="116">
        <v>821.5</v>
      </c>
      <c r="E475" s="116">
        <v>827.95</v>
      </c>
      <c r="F475" s="116">
        <v>835</v>
      </c>
      <c r="G475">
        <v>62012</v>
      </c>
      <c r="H475" s="116"/>
      <c r="I475" s="116"/>
      <c r="L475" s="170">
        <v>43706</v>
      </c>
      <c r="M475" s="116">
        <v>835.1</v>
      </c>
      <c r="N475" s="116">
        <v>839.8</v>
      </c>
      <c r="O475" s="116">
        <v>822.3</v>
      </c>
      <c r="P475" s="116">
        <v>827.8</v>
      </c>
      <c r="Q475" s="116">
        <v>835.1</v>
      </c>
      <c r="R475">
        <v>338992</v>
      </c>
    </row>
    <row r="476" spans="1:18" x14ac:dyDescent="0.25">
      <c r="A476" s="170">
        <v>43707</v>
      </c>
      <c r="B476" s="116">
        <v>846.8</v>
      </c>
      <c r="C476" s="116">
        <v>838.05</v>
      </c>
      <c r="D476" s="116">
        <v>811.5</v>
      </c>
      <c r="E476" s="116">
        <v>837.2</v>
      </c>
      <c r="F476" s="116">
        <v>838.05</v>
      </c>
      <c r="G476">
        <v>84632</v>
      </c>
      <c r="H476" s="116"/>
      <c r="I476" s="116"/>
      <c r="L476" s="170">
        <v>43707</v>
      </c>
      <c r="M476" s="116">
        <v>838.7</v>
      </c>
      <c r="N476" s="116">
        <v>847</v>
      </c>
      <c r="O476" s="116">
        <v>810</v>
      </c>
      <c r="P476" s="116">
        <v>840</v>
      </c>
      <c r="Q476" s="116">
        <v>838.7</v>
      </c>
      <c r="R476">
        <v>6692265</v>
      </c>
    </row>
    <row r="477" spans="1:18" x14ac:dyDescent="0.25">
      <c r="A477" s="170">
        <v>43711</v>
      </c>
      <c r="B477" s="116">
        <v>848.35</v>
      </c>
      <c r="C477" s="116">
        <v>811.8</v>
      </c>
      <c r="D477" s="116">
        <v>796.95</v>
      </c>
      <c r="E477" s="116">
        <v>835</v>
      </c>
      <c r="F477" s="116">
        <v>811.8</v>
      </c>
      <c r="G477">
        <v>35719</v>
      </c>
      <c r="H477" s="116"/>
      <c r="I477" s="116"/>
      <c r="L477" s="170">
        <v>43711</v>
      </c>
      <c r="M477" s="116">
        <v>811.2</v>
      </c>
      <c r="N477" s="116">
        <v>848.65</v>
      </c>
      <c r="O477" s="116">
        <v>796.35</v>
      </c>
      <c r="P477" s="116">
        <v>832.8</v>
      </c>
      <c r="Q477" s="116">
        <v>811.2</v>
      </c>
      <c r="R477">
        <v>592127</v>
      </c>
    </row>
    <row r="478" spans="1:18" x14ac:dyDescent="0.25">
      <c r="A478" s="170">
        <v>43712</v>
      </c>
      <c r="B478" s="116">
        <v>830</v>
      </c>
      <c r="C478" s="116">
        <v>826.05</v>
      </c>
      <c r="D478" s="116">
        <v>812.05</v>
      </c>
      <c r="E478" s="116">
        <v>816.45</v>
      </c>
      <c r="F478" s="116">
        <v>826.05</v>
      </c>
      <c r="G478">
        <v>21075</v>
      </c>
      <c r="H478" s="116"/>
      <c r="I478" s="116"/>
      <c r="L478" s="170">
        <v>43712</v>
      </c>
      <c r="M478" s="116">
        <v>826.4</v>
      </c>
      <c r="N478" s="116">
        <v>830</v>
      </c>
      <c r="O478" s="116">
        <v>812</v>
      </c>
      <c r="P478" s="116">
        <v>816</v>
      </c>
      <c r="Q478" s="116">
        <v>826.4</v>
      </c>
      <c r="R478">
        <v>423307</v>
      </c>
    </row>
    <row r="479" spans="1:18" x14ac:dyDescent="0.25">
      <c r="A479" s="170">
        <v>43713</v>
      </c>
      <c r="B479" s="116">
        <v>834</v>
      </c>
      <c r="C479" s="116">
        <v>831.2</v>
      </c>
      <c r="D479" s="116">
        <v>821.2</v>
      </c>
      <c r="E479" s="116">
        <v>828</v>
      </c>
      <c r="F479" s="116">
        <v>831.2</v>
      </c>
      <c r="G479">
        <v>43103</v>
      </c>
      <c r="H479" s="116"/>
      <c r="I479" s="116"/>
      <c r="L479" s="170">
        <v>43713</v>
      </c>
      <c r="M479" s="116">
        <v>831.25</v>
      </c>
      <c r="N479" s="116">
        <v>835</v>
      </c>
      <c r="O479" s="116">
        <v>820.7</v>
      </c>
      <c r="P479" s="116">
        <v>831.55</v>
      </c>
      <c r="Q479" s="116">
        <v>831.25</v>
      </c>
      <c r="R479">
        <v>332593</v>
      </c>
    </row>
    <row r="480" spans="1:18" x14ac:dyDescent="0.25">
      <c r="A480" s="170">
        <v>43714</v>
      </c>
      <c r="B480" s="116">
        <v>836.8</v>
      </c>
      <c r="C480" s="116">
        <v>835</v>
      </c>
      <c r="D480" s="116">
        <v>824.6</v>
      </c>
      <c r="E480" s="116">
        <v>833.55</v>
      </c>
      <c r="F480" s="116">
        <v>835</v>
      </c>
      <c r="G480">
        <v>47017</v>
      </c>
      <c r="H480" s="116"/>
      <c r="I480" s="116"/>
      <c r="L480" s="170">
        <v>43714</v>
      </c>
      <c r="M480" s="116">
        <v>835.55</v>
      </c>
      <c r="N480" s="116">
        <v>837</v>
      </c>
      <c r="O480" s="116">
        <v>821.3</v>
      </c>
      <c r="P480" s="116">
        <v>834.5</v>
      </c>
      <c r="Q480" s="116">
        <v>835.55</v>
      </c>
      <c r="R480">
        <v>308380</v>
      </c>
    </row>
    <row r="481" spans="1:18" x14ac:dyDescent="0.25">
      <c r="A481" s="170">
        <v>43717</v>
      </c>
      <c r="B481" s="116">
        <v>843.75</v>
      </c>
      <c r="C481" s="116">
        <v>807.9</v>
      </c>
      <c r="D481" s="116">
        <v>801.8</v>
      </c>
      <c r="E481" s="116">
        <v>843.75</v>
      </c>
      <c r="F481" s="116">
        <v>807.9</v>
      </c>
      <c r="G481">
        <v>37333</v>
      </c>
      <c r="H481" s="116"/>
      <c r="I481" s="116"/>
      <c r="L481" s="170">
        <v>43717</v>
      </c>
      <c r="M481" s="116">
        <v>806.8</v>
      </c>
      <c r="N481" s="116">
        <v>835</v>
      </c>
      <c r="O481" s="116">
        <v>801.1</v>
      </c>
      <c r="P481" s="116">
        <v>833</v>
      </c>
      <c r="Q481" s="116">
        <v>806.8</v>
      </c>
      <c r="R481">
        <v>640219</v>
      </c>
    </row>
    <row r="482" spans="1:18" x14ac:dyDescent="0.25">
      <c r="A482" s="170">
        <v>43719</v>
      </c>
      <c r="B482" s="116">
        <v>812.3</v>
      </c>
      <c r="C482" s="116">
        <v>798.75</v>
      </c>
      <c r="D482" s="116">
        <v>795</v>
      </c>
      <c r="E482" s="116">
        <v>809</v>
      </c>
      <c r="F482" s="116">
        <v>798.75</v>
      </c>
      <c r="G482">
        <v>32582</v>
      </c>
      <c r="H482" s="116"/>
      <c r="I482" s="116"/>
      <c r="L482" s="170">
        <v>43719</v>
      </c>
      <c r="M482" s="116">
        <v>799.65</v>
      </c>
      <c r="N482" s="116">
        <v>813.85</v>
      </c>
      <c r="O482" s="116">
        <v>795</v>
      </c>
      <c r="P482" s="116">
        <v>812</v>
      </c>
      <c r="Q482" s="116">
        <v>799.65</v>
      </c>
      <c r="R482">
        <v>579309</v>
      </c>
    </row>
    <row r="483" spans="1:18" x14ac:dyDescent="0.25">
      <c r="A483" s="170">
        <v>43720</v>
      </c>
      <c r="B483" s="116">
        <v>799</v>
      </c>
      <c r="C483" s="116">
        <v>791.9</v>
      </c>
      <c r="D483" s="116">
        <v>784</v>
      </c>
      <c r="E483" s="116">
        <v>790</v>
      </c>
      <c r="F483" s="116">
        <v>791.9</v>
      </c>
      <c r="G483">
        <v>179255</v>
      </c>
      <c r="H483" s="116"/>
      <c r="I483" s="116"/>
      <c r="L483" s="170">
        <v>43720</v>
      </c>
      <c r="M483" s="116">
        <v>792.85</v>
      </c>
      <c r="N483" s="116">
        <v>798.95</v>
      </c>
      <c r="O483" s="116">
        <v>784.2</v>
      </c>
      <c r="P483" s="116">
        <v>788.95</v>
      </c>
      <c r="Q483" s="116">
        <v>792.85</v>
      </c>
      <c r="R483">
        <v>3737190</v>
      </c>
    </row>
    <row r="484" spans="1:18" x14ac:dyDescent="0.25">
      <c r="A484" s="170">
        <v>43721</v>
      </c>
      <c r="B484" s="116">
        <v>807.6</v>
      </c>
      <c r="C484" s="116">
        <v>797.75</v>
      </c>
      <c r="D484" s="116">
        <v>792</v>
      </c>
      <c r="E484" s="116">
        <v>796.75</v>
      </c>
      <c r="F484" s="116">
        <v>797.75</v>
      </c>
      <c r="G484">
        <v>117988</v>
      </c>
      <c r="H484" s="116"/>
      <c r="I484" s="116"/>
      <c r="L484" s="170">
        <v>43721</v>
      </c>
      <c r="M484" s="116">
        <v>798.3</v>
      </c>
      <c r="N484" s="116">
        <v>807.75</v>
      </c>
      <c r="O484" s="116">
        <v>792.25</v>
      </c>
      <c r="P484" s="116">
        <v>797.15</v>
      </c>
      <c r="Q484" s="116">
        <v>798.3</v>
      </c>
      <c r="R484">
        <v>3681750</v>
      </c>
    </row>
    <row r="485" spans="1:18" x14ac:dyDescent="0.25">
      <c r="A485" s="170">
        <v>43724</v>
      </c>
      <c r="B485" s="116">
        <v>798.5</v>
      </c>
      <c r="C485" s="116">
        <v>795.3</v>
      </c>
      <c r="D485" s="116">
        <v>785.8</v>
      </c>
      <c r="E485" s="116">
        <v>786</v>
      </c>
      <c r="F485" s="116">
        <v>795.3</v>
      </c>
      <c r="G485">
        <v>87992</v>
      </c>
      <c r="H485" s="116"/>
      <c r="I485" s="116"/>
      <c r="L485" s="170">
        <v>43724</v>
      </c>
      <c r="M485" s="116">
        <v>796.45</v>
      </c>
      <c r="N485" s="116">
        <v>798.75</v>
      </c>
      <c r="O485" s="116">
        <v>785</v>
      </c>
      <c r="P485" s="116">
        <v>785.9</v>
      </c>
      <c r="Q485" s="116">
        <v>796.45</v>
      </c>
      <c r="R485">
        <v>2172276</v>
      </c>
    </row>
    <row r="486" spans="1:18" x14ac:dyDescent="0.25">
      <c r="A486" s="170">
        <v>43725</v>
      </c>
      <c r="B486" s="116">
        <v>801.7</v>
      </c>
      <c r="C486" s="116">
        <v>798.5</v>
      </c>
      <c r="D486" s="116">
        <v>793.1</v>
      </c>
      <c r="E486" s="116">
        <v>795.3</v>
      </c>
      <c r="F486" s="116">
        <v>798.5</v>
      </c>
      <c r="G486">
        <v>37055</v>
      </c>
      <c r="H486" s="116"/>
      <c r="I486" s="116"/>
      <c r="L486" s="170">
        <v>43725</v>
      </c>
      <c r="M486" s="116">
        <v>798.2</v>
      </c>
      <c r="N486" s="116">
        <v>802</v>
      </c>
      <c r="O486" s="116">
        <v>793.95</v>
      </c>
      <c r="P486" s="116">
        <v>795.8</v>
      </c>
      <c r="Q486" s="116">
        <v>798.2</v>
      </c>
      <c r="R486">
        <v>1013597</v>
      </c>
    </row>
    <row r="487" spans="1:18" x14ac:dyDescent="0.25">
      <c r="A487" s="170">
        <v>43726</v>
      </c>
      <c r="B487" s="116">
        <v>807</v>
      </c>
      <c r="C487" s="116">
        <v>802.15</v>
      </c>
      <c r="D487" s="116">
        <v>799</v>
      </c>
      <c r="E487" s="116">
        <v>802.1</v>
      </c>
      <c r="F487" s="116">
        <v>802.15</v>
      </c>
      <c r="G487">
        <v>24549</v>
      </c>
      <c r="H487" s="116"/>
      <c r="I487" s="116"/>
      <c r="L487" s="170">
        <v>43726</v>
      </c>
      <c r="M487" s="116">
        <v>802.95</v>
      </c>
      <c r="N487" s="116">
        <v>807</v>
      </c>
      <c r="O487" s="116">
        <v>798.1</v>
      </c>
      <c r="P487" s="116">
        <v>802.1</v>
      </c>
      <c r="Q487" s="116">
        <v>802.95</v>
      </c>
      <c r="R487">
        <v>715018</v>
      </c>
    </row>
    <row r="488" spans="1:18" x14ac:dyDescent="0.25">
      <c r="A488" s="170">
        <v>43727</v>
      </c>
      <c r="B488" s="116">
        <v>805</v>
      </c>
      <c r="C488" s="116">
        <v>802</v>
      </c>
      <c r="D488" s="116">
        <v>799.5</v>
      </c>
      <c r="E488" s="116">
        <v>804.95</v>
      </c>
      <c r="F488" s="116">
        <v>802</v>
      </c>
      <c r="G488">
        <v>27594</v>
      </c>
      <c r="H488" s="116"/>
      <c r="I488" s="116"/>
      <c r="L488" s="170">
        <v>43727</v>
      </c>
      <c r="M488" s="116">
        <v>801.85</v>
      </c>
      <c r="N488" s="116">
        <v>805</v>
      </c>
      <c r="O488" s="116">
        <v>799</v>
      </c>
      <c r="P488" s="116">
        <v>804</v>
      </c>
      <c r="Q488" s="116">
        <v>801.85</v>
      </c>
      <c r="R488">
        <v>456281</v>
      </c>
    </row>
    <row r="489" spans="1:18" x14ac:dyDescent="0.25">
      <c r="A489" s="170">
        <v>43728</v>
      </c>
      <c r="B489" s="116">
        <v>825</v>
      </c>
      <c r="C489" s="116">
        <v>815.85</v>
      </c>
      <c r="D489" s="116">
        <v>800.7</v>
      </c>
      <c r="E489" s="116">
        <v>803.75</v>
      </c>
      <c r="F489" s="116">
        <v>815.85</v>
      </c>
      <c r="G489">
        <v>3060440</v>
      </c>
      <c r="H489" s="116"/>
      <c r="I489" s="116"/>
      <c r="L489" s="170">
        <v>43728</v>
      </c>
      <c r="M489" s="116">
        <v>816.15</v>
      </c>
      <c r="N489" s="116">
        <v>825.5</v>
      </c>
      <c r="O489" s="116">
        <v>800.35</v>
      </c>
      <c r="P489" s="116">
        <v>804</v>
      </c>
      <c r="Q489" s="116">
        <v>816.15</v>
      </c>
      <c r="R489">
        <v>1918256</v>
      </c>
    </row>
    <row r="490" spans="1:18" x14ac:dyDescent="0.25">
      <c r="A490" s="170">
        <v>43731</v>
      </c>
      <c r="B490" s="116">
        <v>820.45</v>
      </c>
      <c r="C490" s="116">
        <v>791.35</v>
      </c>
      <c r="D490" s="116">
        <v>789.1</v>
      </c>
      <c r="E490" s="116">
        <v>820</v>
      </c>
      <c r="F490" s="116">
        <v>791.35</v>
      </c>
      <c r="G490">
        <v>317203</v>
      </c>
      <c r="H490" s="116"/>
      <c r="I490" s="116"/>
      <c r="L490" s="170">
        <v>43731</v>
      </c>
      <c r="M490" s="116">
        <v>791.7</v>
      </c>
      <c r="N490" s="116">
        <v>822</v>
      </c>
      <c r="O490" s="116">
        <v>789</v>
      </c>
      <c r="P490" s="116">
        <v>822</v>
      </c>
      <c r="Q490" s="116">
        <v>791.7</v>
      </c>
      <c r="R490">
        <v>1590491</v>
      </c>
    </row>
    <row r="491" spans="1:18" x14ac:dyDescent="0.25">
      <c r="A491" s="170">
        <v>43732</v>
      </c>
      <c r="B491" s="116">
        <v>804</v>
      </c>
      <c r="C491" s="116">
        <v>795.65</v>
      </c>
      <c r="D491" s="116">
        <v>787.55</v>
      </c>
      <c r="E491" s="116">
        <v>790</v>
      </c>
      <c r="F491" s="116">
        <v>795.65</v>
      </c>
      <c r="G491">
        <v>27347</v>
      </c>
      <c r="H491" s="116"/>
      <c r="I491" s="116"/>
      <c r="L491" s="170">
        <v>43732</v>
      </c>
      <c r="M491" s="116">
        <v>795.15</v>
      </c>
      <c r="N491" s="116">
        <v>803.65</v>
      </c>
      <c r="O491" s="116">
        <v>787</v>
      </c>
      <c r="P491" s="116">
        <v>792</v>
      </c>
      <c r="Q491" s="116">
        <v>795.15</v>
      </c>
      <c r="R491">
        <v>976843</v>
      </c>
    </row>
    <row r="492" spans="1:18" x14ac:dyDescent="0.25">
      <c r="A492" s="170">
        <v>43733</v>
      </c>
      <c r="B492" s="116">
        <v>800</v>
      </c>
      <c r="C492" s="116">
        <v>795.95</v>
      </c>
      <c r="D492" s="116">
        <v>777.15</v>
      </c>
      <c r="E492" s="116">
        <v>794.85</v>
      </c>
      <c r="F492" s="116">
        <v>795.95</v>
      </c>
      <c r="G492">
        <v>38347</v>
      </c>
      <c r="H492" s="116"/>
      <c r="I492" s="116"/>
      <c r="L492" s="170">
        <v>43733</v>
      </c>
      <c r="M492" s="116">
        <v>796.55</v>
      </c>
      <c r="N492" s="116">
        <v>799.9</v>
      </c>
      <c r="O492" s="116">
        <v>777.1</v>
      </c>
      <c r="P492" s="116">
        <v>793.3</v>
      </c>
      <c r="Q492" s="116">
        <v>796.55</v>
      </c>
      <c r="R492">
        <v>1031592</v>
      </c>
    </row>
    <row r="493" spans="1:18" x14ac:dyDescent="0.25">
      <c r="A493" s="170">
        <v>43734</v>
      </c>
      <c r="B493" s="116">
        <v>822</v>
      </c>
      <c r="C493" s="116">
        <v>817.05</v>
      </c>
      <c r="D493" s="116">
        <v>797.95</v>
      </c>
      <c r="E493" s="116">
        <v>799.7</v>
      </c>
      <c r="F493" s="116">
        <v>817.05</v>
      </c>
      <c r="G493">
        <v>642123</v>
      </c>
      <c r="H493" s="116"/>
      <c r="I493" s="116"/>
      <c r="L493" s="170">
        <v>43734</v>
      </c>
      <c r="M493" s="116">
        <v>816.4</v>
      </c>
      <c r="N493" s="116">
        <v>823.7</v>
      </c>
      <c r="O493" s="116">
        <v>798.25</v>
      </c>
      <c r="P493" s="116">
        <v>798.25</v>
      </c>
      <c r="Q493" s="116">
        <v>816.4</v>
      </c>
      <c r="R493">
        <v>1672809</v>
      </c>
    </row>
    <row r="494" spans="1:18" x14ac:dyDescent="0.25">
      <c r="A494" s="170">
        <v>43735</v>
      </c>
      <c r="B494" s="116">
        <v>848</v>
      </c>
      <c r="C494" s="116">
        <v>843.75</v>
      </c>
      <c r="D494" s="116">
        <v>814.2</v>
      </c>
      <c r="E494" s="116">
        <v>814.2</v>
      </c>
      <c r="F494" s="116">
        <v>843.75</v>
      </c>
      <c r="G494">
        <v>116208</v>
      </c>
      <c r="H494" s="116"/>
      <c r="I494" s="116"/>
      <c r="L494" s="170">
        <v>43735</v>
      </c>
      <c r="M494" s="116">
        <v>842.5</v>
      </c>
      <c r="N494" s="116">
        <v>847.65</v>
      </c>
      <c r="O494" s="116">
        <v>819.35</v>
      </c>
      <c r="P494" s="116">
        <v>819.35</v>
      </c>
      <c r="Q494" s="116">
        <v>842.5</v>
      </c>
      <c r="R494">
        <v>1994366</v>
      </c>
    </row>
    <row r="495" spans="1:18" x14ac:dyDescent="0.25">
      <c r="A495" s="170">
        <v>43738</v>
      </c>
      <c r="B495" s="116">
        <v>851</v>
      </c>
      <c r="C495" s="116">
        <v>846.15</v>
      </c>
      <c r="D495" s="116">
        <v>837.55</v>
      </c>
      <c r="E495" s="116">
        <v>844</v>
      </c>
      <c r="F495" s="116">
        <v>846.15</v>
      </c>
      <c r="G495">
        <v>49137</v>
      </c>
      <c r="H495" s="116"/>
      <c r="I495" s="116"/>
      <c r="L495" s="170">
        <v>43738</v>
      </c>
      <c r="M495" s="116">
        <v>846.4</v>
      </c>
      <c r="N495" s="116">
        <v>851.6</v>
      </c>
      <c r="O495" s="116">
        <v>836.25</v>
      </c>
      <c r="P495" s="116">
        <v>842.8</v>
      </c>
      <c r="Q495" s="116">
        <v>846.4</v>
      </c>
      <c r="R495">
        <v>961777</v>
      </c>
    </row>
    <row r="496" spans="1:18" x14ac:dyDescent="0.25">
      <c r="A496" s="170">
        <v>43739</v>
      </c>
      <c r="B496" s="116">
        <v>849</v>
      </c>
      <c r="C496" s="116">
        <v>828.95</v>
      </c>
      <c r="D496" s="116">
        <v>805</v>
      </c>
      <c r="E496" s="116">
        <v>843</v>
      </c>
      <c r="F496" s="116">
        <v>828.95</v>
      </c>
      <c r="G496">
        <v>44130</v>
      </c>
      <c r="H496" s="116"/>
      <c r="I496" s="116"/>
      <c r="L496" s="170">
        <v>43739</v>
      </c>
      <c r="M496" s="116">
        <v>827.65</v>
      </c>
      <c r="N496" s="116">
        <v>849</v>
      </c>
      <c r="O496" s="116">
        <v>804</v>
      </c>
      <c r="P496" s="116">
        <v>846</v>
      </c>
      <c r="Q496" s="116">
        <v>827.65</v>
      </c>
      <c r="R496">
        <v>759109</v>
      </c>
    </row>
    <row r="497" spans="1:18" x14ac:dyDescent="0.25">
      <c r="A497" s="170">
        <v>43741</v>
      </c>
      <c r="B497" s="116">
        <v>837</v>
      </c>
      <c r="C497" s="116">
        <v>830.6</v>
      </c>
      <c r="D497" s="116">
        <v>820.45</v>
      </c>
      <c r="E497" s="116">
        <v>829</v>
      </c>
      <c r="F497" s="116">
        <v>830.6</v>
      </c>
      <c r="G497">
        <v>10924</v>
      </c>
      <c r="H497" s="116"/>
      <c r="I497" s="116"/>
      <c r="L497" s="170">
        <v>43741</v>
      </c>
      <c r="M497" s="116">
        <v>830.65</v>
      </c>
      <c r="N497" s="116">
        <v>836.15</v>
      </c>
      <c r="O497" s="116">
        <v>820.05</v>
      </c>
      <c r="P497" s="116">
        <v>827.9</v>
      </c>
      <c r="Q497" s="116">
        <v>830.65</v>
      </c>
      <c r="R497">
        <v>455628</v>
      </c>
    </row>
    <row r="498" spans="1:18" x14ac:dyDescent="0.25">
      <c r="A498" s="170">
        <v>43742</v>
      </c>
      <c r="B498" s="116">
        <v>844.5</v>
      </c>
      <c r="C498" s="116">
        <v>824</v>
      </c>
      <c r="D498" s="116">
        <v>822.25</v>
      </c>
      <c r="E498" s="116">
        <v>830</v>
      </c>
      <c r="F498" s="116">
        <v>824</v>
      </c>
      <c r="G498">
        <v>13877</v>
      </c>
      <c r="H498" s="116"/>
      <c r="I498" s="116"/>
      <c r="L498" s="170">
        <v>43742</v>
      </c>
      <c r="M498" s="116">
        <v>824.25</v>
      </c>
      <c r="N498" s="116">
        <v>844.8</v>
      </c>
      <c r="O498" s="116">
        <v>822.05</v>
      </c>
      <c r="P498" s="116">
        <v>831</v>
      </c>
      <c r="Q498" s="116">
        <v>824.25</v>
      </c>
      <c r="R498">
        <v>569471</v>
      </c>
    </row>
    <row r="499" spans="1:18" x14ac:dyDescent="0.25">
      <c r="A499" s="170">
        <v>43745</v>
      </c>
      <c r="B499" s="116">
        <v>835.2</v>
      </c>
      <c r="C499" s="116">
        <v>827.25</v>
      </c>
      <c r="D499" s="116">
        <v>823.55</v>
      </c>
      <c r="E499" s="116">
        <v>823.95</v>
      </c>
      <c r="F499" s="116">
        <v>827.25</v>
      </c>
      <c r="G499">
        <v>16054</v>
      </c>
      <c r="H499" s="116"/>
      <c r="I499" s="116"/>
      <c r="L499" s="170">
        <v>43745</v>
      </c>
      <c r="M499" s="116">
        <v>827.9</v>
      </c>
      <c r="N499" s="116">
        <v>836</v>
      </c>
      <c r="O499" s="116">
        <v>821.05</v>
      </c>
      <c r="P499" s="116">
        <v>824</v>
      </c>
      <c r="Q499" s="116">
        <v>827.9</v>
      </c>
      <c r="R499">
        <v>341633</v>
      </c>
    </row>
    <row r="500" spans="1:18" x14ac:dyDescent="0.25">
      <c r="A500" s="170">
        <v>43747</v>
      </c>
      <c r="B500" s="116">
        <v>844.5</v>
      </c>
      <c r="C500" s="116">
        <v>837.9</v>
      </c>
      <c r="D500" s="116">
        <v>825</v>
      </c>
      <c r="E500" s="116">
        <v>830</v>
      </c>
      <c r="F500" s="116">
        <v>837.9</v>
      </c>
      <c r="G500">
        <v>129525</v>
      </c>
      <c r="H500" s="116"/>
      <c r="I500" s="116"/>
      <c r="L500" s="170">
        <v>43747</v>
      </c>
      <c r="M500" s="116">
        <v>837.25</v>
      </c>
      <c r="N500" s="116">
        <v>843.9</v>
      </c>
      <c r="O500" s="116">
        <v>826</v>
      </c>
      <c r="P500" s="116">
        <v>826</v>
      </c>
      <c r="Q500" s="116">
        <v>837.25</v>
      </c>
      <c r="R500">
        <v>506576</v>
      </c>
    </row>
    <row r="501" spans="1:18" x14ac:dyDescent="0.25">
      <c r="A501" s="170">
        <v>43748</v>
      </c>
      <c r="B501" s="116">
        <v>848</v>
      </c>
      <c r="C501" s="116">
        <v>826.8</v>
      </c>
      <c r="D501" s="116">
        <v>804</v>
      </c>
      <c r="E501" s="116">
        <v>823.3</v>
      </c>
      <c r="F501" s="116">
        <v>826.8</v>
      </c>
      <c r="G501">
        <v>109116</v>
      </c>
      <c r="H501" s="116"/>
      <c r="I501" s="116"/>
      <c r="L501" s="170">
        <v>43748</v>
      </c>
      <c r="M501" s="116">
        <v>827.2</v>
      </c>
      <c r="N501" s="116">
        <v>848</v>
      </c>
      <c r="O501" s="116">
        <v>805.7</v>
      </c>
      <c r="P501" s="116">
        <v>835.2</v>
      </c>
      <c r="Q501" s="116">
        <v>827.2</v>
      </c>
      <c r="R501">
        <v>5286384</v>
      </c>
    </row>
    <row r="502" spans="1:18" x14ac:dyDescent="0.25">
      <c r="A502" s="170">
        <v>43749</v>
      </c>
      <c r="B502" s="116">
        <v>842.85</v>
      </c>
      <c r="C502" s="116">
        <v>839.55</v>
      </c>
      <c r="D502" s="116">
        <v>826</v>
      </c>
      <c r="E502" s="116">
        <v>826</v>
      </c>
      <c r="F502" s="116">
        <v>839.55</v>
      </c>
      <c r="G502">
        <v>11126</v>
      </c>
      <c r="H502" s="116"/>
      <c r="I502" s="116"/>
      <c r="L502" s="170">
        <v>43749</v>
      </c>
      <c r="M502" s="116">
        <v>839.6</v>
      </c>
      <c r="N502" s="116">
        <v>842.8</v>
      </c>
      <c r="O502" s="116">
        <v>831</v>
      </c>
      <c r="P502" s="116">
        <v>832</v>
      </c>
      <c r="Q502" s="116">
        <v>839.6</v>
      </c>
      <c r="R502">
        <v>384745</v>
      </c>
    </row>
    <row r="503" spans="1:18" x14ac:dyDescent="0.25">
      <c r="A503" s="170">
        <v>43752</v>
      </c>
      <c r="B503" s="116">
        <v>847.05</v>
      </c>
      <c r="C503" s="116">
        <v>828.55</v>
      </c>
      <c r="D503" s="116">
        <v>822</v>
      </c>
      <c r="E503" s="116">
        <v>842</v>
      </c>
      <c r="F503" s="116">
        <v>828.55</v>
      </c>
      <c r="G503">
        <v>55787</v>
      </c>
      <c r="H503" s="116"/>
      <c r="I503" s="116"/>
      <c r="L503" s="170">
        <v>43752</v>
      </c>
      <c r="M503" s="116">
        <v>828.7</v>
      </c>
      <c r="N503" s="116">
        <v>847.6</v>
      </c>
      <c r="O503" s="116">
        <v>822</v>
      </c>
      <c r="P503" s="116">
        <v>846.1</v>
      </c>
      <c r="Q503" s="116">
        <v>828.7</v>
      </c>
      <c r="R503">
        <v>366115</v>
      </c>
    </row>
    <row r="504" spans="1:18" x14ac:dyDescent="0.25">
      <c r="A504" s="170">
        <v>43753</v>
      </c>
      <c r="B504" s="116">
        <v>843.75</v>
      </c>
      <c r="C504" s="116">
        <v>839.65</v>
      </c>
      <c r="D504" s="116">
        <v>830.2</v>
      </c>
      <c r="E504" s="116">
        <v>831</v>
      </c>
      <c r="F504" s="116">
        <v>839.65</v>
      </c>
      <c r="G504">
        <v>15519</v>
      </c>
      <c r="H504" s="116"/>
      <c r="I504" s="116"/>
      <c r="L504" s="170">
        <v>43753</v>
      </c>
      <c r="M504" s="116">
        <v>838.05</v>
      </c>
      <c r="N504" s="116">
        <v>844</v>
      </c>
      <c r="O504" s="116">
        <v>829</v>
      </c>
      <c r="P504" s="116">
        <v>829</v>
      </c>
      <c r="Q504" s="116">
        <v>838.05</v>
      </c>
      <c r="R504">
        <v>394890</v>
      </c>
    </row>
    <row r="505" spans="1:18" x14ac:dyDescent="0.25">
      <c r="A505" s="170">
        <v>43754</v>
      </c>
      <c r="B505" s="116">
        <v>891.95</v>
      </c>
      <c r="C505" s="116">
        <v>877.4</v>
      </c>
      <c r="D505" s="116">
        <v>831</v>
      </c>
      <c r="E505" s="116">
        <v>836.2</v>
      </c>
      <c r="F505" s="116">
        <v>877.4</v>
      </c>
      <c r="G505">
        <v>158707</v>
      </c>
      <c r="H505" s="116"/>
      <c r="I505" s="116"/>
      <c r="L505" s="170">
        <v>43754</v>
      </c>
      <c r="M505" s="116">
        <v>877.35</v>
      </c>
      <c r="N505" s="116">
        <v>892.5</v>
      </c>
      <c r="O505" s="116">
        <v>832</v>
      </c>
      <c r="P505" s="116">
        <v>836.5</v>
      </c>
      <c r="Q505" s="116">
        <v>877.35</v>
      </c>
      <c r="R505">
        <v>3634345</v>
      </c>
    </row>
    <row r="506" spans="1:18" x14ac:dyDescent="0.25">
      <c r="A506" s="170">
        <v>43755</v>
      </c>
      <c r="B506" s="116">
        <v>928.3</v>
      </c>
      <c r="C506" s="116">
        <v>902.3</v>
      </c>
      <c r="D506" s="116">
        <v>880</v>
      </c>
      <c r="E506" s="116">
        <v>880</v>
      </c>
      <c r="F506" s="116">
        <v>902.3</v>
      </c>
      <c r="G506">
        <v>157821</v>
      </c>
      <c r="H506" s="116"/>
      <c r="I506" s="116"/>
      <c r="L506" s="170">
        <v>43755</v>
      </c>
      <c r="M506" s="116">
        <v>902.9</v>
      </c>
      <c r="N506" s="116">
        <v>928.5</v>
      </c>
      <c r="O506" s="116">
        <v>880</v>
      </c>
      <c r="P506" s="116">
        <v>880</v>
      </c>
      <c r="Q506" s="116">
        <v>902.9</v>
      </c>
      <c r="R506">
        <v>3687636</v>
      </c>
    </row>
    <row r="507" spans="1:18" x14ac:dyDescent="0.25">
      <c r="A507" s="170">
        <v>43756</v>
      </c>
      <c r="B507" s="116">
        <v>930</v>
      </c>
      <c r="C507" s="116">
        <v>925.9</v>
      </c>
      <c r="D507" s="116">
        <v>898.95</v>
      </c>
      <c r="E507" s="116">
        <v>905.05</v>
      </c>
      <c r="F507" s="116">
        <v>925.9</v>
      </c>
      <c r="G507">
        <v>102378</v>
      </c>
      <c r="H507" s="116"/>
      <c r="I507" s="116"/>
      <c r="L507" s="170">
        <v>43756</v>
      </c>
      <c r="M507" s="116">
        <v>925.95</v>
      </c>
      <c r="N507" s="116">
        <v>930</v>
      </c>
      <c r="O507" s="116">
        <v>899</v>
      </c>
      <c r="P507" s="116">
        <v>905.8</v>
      </c>
      <c r="Q507" s="116">
        <v>925.95</v>
      </c>
      <c r="R507">
        <v>1819540</v>
      </c>
    </row>
    <row r="508" spans="1:18" x14ac:dyDescent="0.25">
      <c r="A508" s="170">
        <v>43760</v>
      </c>
      <c r="B508" s="116">
        <v>997.35</v>
      </c>
      <c r="C508" s="116">
        <v>989.3</v>
      </c>
      <c r="D508" s="116">
        <v>925.6</v>
      </c>
      <c r="E508" s="116">
        <v>925.9</v>
      </c>
      <c r="F508" s="116">
        <v>989.3</v>
      </c>
      <c r="G508">
        <v>109761</v>
      </c>
      <c r="H508" s="116"/>
      <c r="I508" s="116"/>
      <c r="L508" s="170">
        <v>43760</v>
      </c>
      <c r="M508" s="116">
        <v>989.15</v>
      </c>
      <c r="N508" s="116">
        <v>997.5</v>
      </c>
      <c r="O508" s="116">
        <v>929.2</v>
      </c>
      <c r="P508" s="116">
        <v>929.2</v>
      </c>
      <c r="Q508" s="116">
        <v>989.15</v>
      </c>
      <c r="R508">
        <v>2040975</v>
      </c>
    </row>
    <row r="509" spans="1:18" x14ac:dyDescent="0.25">
      <c r="A509" s="170">
        <v>43761</v>
      </c>
      <c r="B509" s="116">
        <v>1011.9</v>
      </c>
      <c r="C509" s="116">
        <v>986.15</v>
      </c>
      <c r="D509" s="116">
        <v>970.65</v>
      </c>
      <c r="E509" s="116">
        <v>994.9</v>
      </c>
      <c r="F509" s="116">
        <v>986.15</v>
      </c>
      <c r="G509">
        <v>82650</v>
      </c>
      <c r="H509" s="116"/>
      <c r="I509" s="116"/>
      <c r="L509" s="170">
        <v>43761</v>
      </c>
      <c r="M509" s="116">
        <v>985.95</v>
      </c>
      <c r="N509" s="116">
        <v>1012.3</v>
      </c>
      <c r="O509" s="116">
        <v>970.15</v>
      </c>
      <c r="P509" s="116">
        <v>994</v>
      </c>
      <c r="Q509" s="116">
        <v>985.95</v>
      </c>
      <c r="R509">
        <v>1357514</v>
      </c>
    </row>
    <row r="510" spans="1:18" x14ac:dyDescent="0.25">
      <c r="A510" s="170">
        <v>43762</v>
      </c>
      <c r="B510" s="116">
        <v>992.6</v>
      </c>
      <c r="C510" s="116">
        <v>969.3</v>
      </c>
      <c r="D510" s="116">
        <v>955</v>
      </c>
      <c r="E510" s="116">
        <v>989.1</v>
      </c>
      <c r="F510" s="116">
        <v>969.3</v>
      </c>
      <c r="G510">
        <v>37681</v>
      </c>
      <c r="H510" s="116"/>
      <c r="I510" s="116"/>
      <c r="L510" s="170">
        <v>43762</v>
      </c>
      <c r="M510" s="116">
        <v>969.65</v>
      </c>
      <c r="N510" s="116">
        <v>993.95</v>
      </c>
      <c r="O510" s="116">
        <v>954.65</v>
      </c>
      <c r="P510" s="116">
        <v>991.4</v>
      </c>
      <c r="Q510" s="116">
        <v>969.65</v>
      </c>
      <c r="R510">
        <v>982596</v>
      </c>
    </row>
    <row r="511" spans="1:18" x14ac:dyDescent="0.25">
      <c r="A511" s="170">
        <v>43763</v>
      </c>
      <c r="B511" s="116">
        <v>1000</v>
      </c>
      <c r="C511" s="116">
        <v>982.8</v>
      </c>
      <c r="D511" s="116">
        <v>966</v>
      </c>
      <c r="E511" s="116">
        <v>969.5</v>
      </c>
      <c r="F511" s="116">
        <v>982.8</v>
      </c>
      <c r="G511">
        <v>37773</v>
      </c>
      <c r="H511" s="116"/>
      <c r="I511" s="116"/>
      <c r="L511" s="170">
        <v>43763</v>
      </c>
      <c r="M511" s="116">
        <v>982.15</v>
      </c>
      <c r="N511" s="116">
        <v>1000</v>
      </c>
      <c r="O511" s="116">
        <v>965.25</v>
      </c>
      <c r="P511" s="116">
        <v>974</v>
      </c>
      <c r="Q511" s="116">
        <v>982.15</v>
      </c>
      <c r="R511">
        <v>975234</v>
      </c>
    </row>
    <row r="512" spans="1:18" x14ac:dyDescent="0.25">
      <c r="A512" s="170">
        <v>43765</v>
      </c>
      <c r="B512" s="116">
        <v>998.5</v>
      </c>
      <c r="C512" s="116">
        <v>993.25</v>
      </c>
      <c r="D512" s="116">
        <v>975.75</v>
      </c>
      <c r="E512" s="116">
        <v>990</v>
      </c>
      <c r="F512" s="116">
        <v>993.25</v>
      </c>
      <c r="G512">
        <v>13751</v>
      </c>
      <c r="H512" s="116"/>
      <c r="I512" s="116"/>
      <c r="L512" s="170">
        <v>43765</v>
      </c>
      <c r="M512" s="116">
        <v>993.95</v>
      </c>
      <c r="N512" s="116">
        <v>999</v>
      </c>
      <c r="O512" s="116">
        <v>977.15</v>
      </c>
      <c r="P512" s="116">
        <v>990</v>
      </c>
      <c r="Q512" s="116">
        <v>993.95</v>
      </c>
      <c r="R512">
        <v>150916</v>
      </c>
    </row>
    <row r="513" spans="1:18" x14ac:dyDescent="0.25">
      <c r="A513" s="170">
        <v>43767</v>
      </c>
      <c r="B513" s="116">
        <v>1020.5</v>
      </c>
      <c r="C513" s="116">
        <v>1013.9</v>
      </c>
      <c r="D513" s="116">
        <v>982.35</v>
      </c>
      <c r="E513" s="116">
        <v>995</v>
      </c>
      <c r="F513" s="116">
        <v>1013.9</v>
      </c>
      <c r="G513">
        <v>88081</v>
      </c>
      <c r="H513" s="116"/>
      <c r="I513" s="116"/>
      <c r="L513" s="170">
        <v>43767</v>
      </c>
      <c r="M513" s="116">
        <v>1014.35</v>
      </c>
      <c r="N513" s="116">
        <v>1020</v>
      </c>
      <c r="O513" s="116">
        <v>981</v>
      </c>
      <c r="P513" s="116">
        <v>998.5</v>
      </c>
      <c r="Q513" s="116">
        <v>1014.35</v>
      </c>
      <c r="R513">
        <v>880342</v>
      </c>
    </row>
    <row r="514" spans="1:18" x14ac:dyDescent="0.25">
      <c r="A514" s="170">
        <v>43768</v>
      </c>
      <c r="B514" s="116">
        <v>1030</v>
      </c>
      <c r="C514" s="116">
        <v>999.75</v>
      </c>
      <c r="D514" s="116">
        <v>980</v>
      </c>
      <c r="E514" s="116">
        <v>1017.95</v>
      </c>
      <c r="F514" s="116">
        <v>999.75</v>
      </c>
      <c r="G514">
        <v>122700</v>
      </c>
      <c r="H514" s="116"/>
      <c r="I514" s="116"/>
      <c r="L514" s="170">
        <v>43768</v>
      </c>
      <c r="M514" s="116">
        <v>999.8</v>
      </c>
      <c r="N514" s="116">
        <v>1030</v>
      </c>
      <c r="O514" s="116">
        <v>976.1</v>
      </c>
      <c r="P514" s="116">
        <v>1016</v>
      </c>
      <c r="Q514" s="116">
        <v>999.8</v>
      </c>
      <c r="R514">
        <v>7610404</v>
      </c>
    </row>
    <row r="515" spans="1:18" x14ac:dyDescent="0.25">
      <c r="A515" s="170">
        <v>43769</v>
      </c>
      <c r="B515" s="116">
        <v>1014</v>
      </c>
      <c r="C515" s="116">
        <v>990.7</v>
      </c>
      <c r="D515" s="116">
        <v>987.3</v>
      </c>
      <c r="E515" s="116">
        <v>1000.1</v>
      </c>
      <c r="F515" s="116">
        <v>990.7</v>
      </c>
      <c r="G515">
        <v>43749</v>
      </c>
      <c r="H515" s="116"/>
      <c r="I515" s="116"/>
      <c r="L515" s="170">
        <v>43769</v>
      </c>
      <c r="M515" s="116">
        <v>991.5</v>
      </c>
      <c r="N515" s="116">
        <v>1013.3</v>
      </c>
      <c r="O515" s="116">
        <v>987</v>
      </c>
      <c r="P515" s="116">
        <v>1006</v>
      </c>
      <c r="Q515" s="116">
        <v>991.5</v>
      </c>
      <c r="R515">
        <v>849468</v>
      </c>
    </row>
    <row r="516" spans="1:18" x14ac:dyDescent="0.25">
      <c r="A516" s="170">
        <v>43770</v>
      </c>
      <c r="B516" s="116">
        <v>1009</v>
      </c>
      <c r="C516" s="116">
        <v>997.1</v>
      </c>
      <c r="D516" s="116">
        <v>991</v>
      </c>
      <c r="E516" s="116">
        <v>991</v>
      </c>
      <c r="F516" s="116">
        <v>997.1</v>
      </c>
      <c r="G516">
        <v>23946</v>
      </c>
      <c r="H516" s="116"/>
      <c r="I516" s="116"/>
      <c r="L516" s="170">
        <v>43770</v>
      </c>
      <c r="M516" s="116">
        <v>997.5</v>
      </c>
      <c r="N516" s="116">
        <v>1009</v>
      </c>
      <c r="O516" s="116">
        <v>993.3</v>
      </c>
      <c r="P516" s="116">
        <v>993.3</v>
      </c>
      <c r="Q516" s="116">
        <v>997.5</v>
      </c>
      <c r="R516">
        <v>655253</v>
      </c>
    </row>
    <row r="517" spans="1:18" x14ac:dyDescent="0.25">
      <c r="A517" s="170">
        <v>43773</v>
      </c>
      <c r="B517" s="116">
        <v>1003.3</v>
      </c>
      <c r="C517" s="116">
        <v>999.1</v>
      </c>
      <c r="D517" s="116">
        <v>990</v>
      </c>
      <c r="E517" s="116">
        <v>997.5</v>
      </c>
      <c r="F517" s="116">
        <v>999.1</v>
      </c>
      <c r="G517">
        <v>14502</v>
      </c>
      <c r="H517" s="116"/>
      <c r="I517" s="116"/>
      <c r="L517" s="170">
        <v>43773</v>
      </c>
      <c r="M517" s="116">
        <v>998.7</v>
      </c>
      <c r="N517" s="116">
        <v>1003.1</v>
      </c>
      <c r="O517" s="116">
        <v>989.7</v>
      </c>
      <c r="P517" s="116">
        <v>1003</v>
      </c>
      <c r="Q517" s="116">
        <v>998.7</v>
      </c>
      <c r="R517">
        <v>875743</v>
      </c>
    </row>
    <row r="518" spans="1:18" x14ac:dyDescent="0.25">
      <c r="A518" s="170">
        <v>43774</v>
      </c>
      <c r="B518" s="116">
        <v>1002.85</v>
      </c>
      <c r="C518" s="116">
        <v>968.95</v>
      </c>
      <c r="D518" s="116">
        <v>965.2</v>
      </c>
      <c r="E518" s="116">
        <v>990</v>
      </c>
      <c r="F518" s="116">
        <v>968.95</v>
      </c>
      <c r="G518">
        <v>29960</v>
      </c>
      <c r="H518" s="116"/>
      <c r="I518" s="116"/>
      <c r="L518" s="170">
        <v>43774</v>
      </c>
      <c r="M518" s="116">
        <v>969.8</v>
      </c>
      <c r="N518" s="116">
        <v>1003</v>
      </c>
      <c r="O518" s="116">
        <v>966.1</v>
      </c>
      <c r="P518" s="116">
        <v>1000</v>
      </c>
      <c r="Q518" s="116">
        <v>969.8</v>
      </c>
      <c r="R518">
        <v>1230007</v>
      </c>
    </row>
    <row r="519" spans="1:18" x14ac:dyDescent="0.25">
      <c r="A519" s="170">
        <v>43775</v>
      </c>
      <c r="B519" s="116">
        <v>980</v>
      </c>
      <c r="C519" s="116">
        <v>969.05</v>
      </c>
      <c r="D519" s="116">
        <v>942</v>
      </c>
      <c r="E519" s="116">
        <v>970</v>
      </c>
      <c r="F519" s="116">
        <v>969.05</v>
      </c>
      <c r="G519">
        <v>146773</v>
      </c>
      <c r="H519" s="116"/>
      <c r="I519" s="116"/>
      <c r="L519" s="170">
        <v>43775</v>
      </c>
      <c r="M519" s="116">
        <v>968.95</v>
      </c>
      <c r="N519" s="116">
        <v>980</v>
      </c>
      <c r="O519" s="116">
        <v>941.55</v>
      </c>
      <c r="P519" s="116">
        <v>974.45</v>
      </c>
      <c r="Q519" s="116">
        <v>968.95</v>
      </c>
      <c r="R519">
        <v>1420970</v>
      </c>
    </row>
    <row r="520" spans="1:18" x14ac:dyDescent="0.25">
      <c r="A520" s="170">
        <v>43776</v>
      </c>
      <c r="B520" s="116">
        <v>990</v>
      </c>
      <c r="C520" s="116">
        <v>986.75</v>
      </c>
      <c r="D520" s="116">
        <v>968.4</v>
      </c>
      <c r="E520" s="116">
        <v>972.05</v>
      </c>
      <c r="F520" s="116">
        <v>986.75</v>
      </c>
      <c r="G520">
        <v>47611</v>
      </c>
      <c r="H520" s="116"/>
      <c r="I520" s="116"/>
      <c r="L520" s="170">
        <v>43776</v>
      </c>
      <c r="M520" s="116">
        <v>986.45</v>
      </c>
      <c r="N520" s="116">
        <v>991</v>
      </c>
      <c r="O520" s="116">
        <v>968.2</v>
      </c>
      <c r="P520" s="116">
        <v>973.4</v>
      </c>
      <c r="Q520" s="116">
        <v>986.45</v>
      </c>
      <c r="R520">
        <v>1351432</v>
      </c>
    </row>
    <row r="521" spans="1:18" x14ac:dyDescent="0.25">
      <c r="A521" s="170">
        <v>43777</v>
      </c>
      <c r="B521" s="116">
        <v>1021.45</v>
      </c>
      <c r="C521" s="116">
        <v>982.45</v>
      </c>
      <c r="D521" s="116">
        <v>978</v>
      </c>
      <c r="E521" s="116">
        <v>1004</v>
      </c>
      <c r="F521" s="116">
        <v>982.45</v>
      </c>
      <c r="G521">
        <v>201984</v>
      </c>
      <c r="H521" s="116"/>
      <c r="I521" s="116"/>
      <c r="L521" s="170">
        <v>43777</v>
      </c>
      <c r="M521" s="116">
        <v>982.2</v>
      </c>
      <c r="N521" s="116">
        <v>1022</v>
      </c>
      <c r="O521" s="116">
        <v>976.5</v>
      </c>
      <c r="P521" s="116">
        <v>1006</v>
      </c>
      <c r="Q521" s="116">
        <v>982.2</v>
      </c>
      <c r="R521">
        <v>5656687</v>
      </c>
    </row>
    <row r="522" spans="1:18" x14ac:dyDescent="0.25">
      <c r="A522" s="170">
        <v>43780</v>
      </c>
      <c r="B522" s="116">
        <v>982.5</v>
      </c>
      <c r="C522" s="116">
        <v>969.35</v>
      </c>
      <c r="D522" s="116">
        <v>950</v>
      </c>
      <c r="E522" s="116">
        <v>982.5</v>
      </c>
      <c r="F522" s="116">
        <v>969.35</v>
      </c>
      <c r="G522">
        <v>57299</v>
      </c>
      <c r="H522" s="116"/>
      <c r="I522" s="116"/>
      <c r="L522" s="170">
        <v>43780</v>
      </c>
      <c r="M522" s="116">
        <v>969.95</v>
      </c>
      <c r="N522" s="116">
        <v>982</v>
      </c>
      <c r="O522" s="116">
        <v>968.45</v>
      </c>
      <c r="P522" s="116">
        <v>982</v>
      </c>
      <c r="Q522" s="116">
        <v>969.95</v>
      </c>
      <c r="R522">
        <v>2078020</v>
      </c>
    </row>
    <row r="523" spans="1:18" x14ac:dyDescent="0.25">
      <c r="A523" s="170">
        <v>43782</v>
      </c>
      <c r="B523" s="116">
        <v>999.85</v>
      </c>
      <c r="C523" s="116">
        <v>989.2</v>
      </c>
      <c r="D523" s="116">
        <v>967</v>
      </c>
      <c r="E523" s="116">
        <v>984</v>
      </c>
      <c r="F523" s="116">
        <v>989.2</v>
      </c>
      <c r="G523">
        <v>95905</v>
      </c>
      <c r="H523" s="116"/>
      <c r="I523" s="116"/>
      <c r="L523" s="170">
        <v>43782</v>
      </c>
      <c r="M523" s="116">
        <v>988.15</v>
      </c>
      <c r="N523" s="116">
        <v>1000.95</v>
      </c>
      <c r="O523" s="116">
        <v>966.2</v>
      </c>
      <c r="P523" s="116">
        <v>984.5</v>
      </c>
      <c r="Q523" s="116">
        <v>988.15</v>
      </c>
      <c r="R523">
        <v>4039409</v>
      </c>
    </row>
    <row r="524" spans="1:18" x14ac:dyDescent="0.25">
      <c r="A524" s="170">
        <v>43783</v>
      </c>
      <c r="B524" s="116">
        <v>1012</v>
      </c>
      <c r="C524" s="116">
        <v>1000.45</v>
      </c>
      <c r="D524" s="116">
        <v>985</v>
      </c>
      <c r="E524" s="116">
        <v>1000</v>
      </c>
      <c r="F524" s="116">
        <v>1000.45</v>
      </c>
      <c r="G524">
        <v>60188</v>
      </c>
      <c r="H524" s="116"/>
      <c r="I524" s="116"/>
      <c r="L524" s="170">
        <v>43783</v>
      </c>
      <c r="M524" s="116">
        <v>999.9</v>
      </c>
      <c r="N524" s="116">
        <v>1013</v>
      </c>
      <c r="O524" s="116">
        <v>984.9</v>
      </c>
      <c r="P524" s="116">
        <v>999</v>
      </c>
      <c r="Q524" s="116">
        <v>999.9</v>
      </c>
      <c r="R524">
        <v>3441700</v>
      </c>
    </row>
    <row r="525" spans="1:18" x14ac:dyDescent="0.25">
      <c r="A525" s="170">
        <v>43784</v>
      </c>
      <c r="B525" s="116">
        <v>1025.55</v>
      </c>
      <c r="C525" s="116">
        <v>1002.1</v>
      </c>
      <c r="D525" s="116">
        <v>996.5</v>
      </c>
      <c r="E525" s="116">
        <v>1009.95</v>
      </c>
      <c r="F525" s="116">
        <v>1002.1</v>
      </c>
      <c r="G525">
        <v>35252</v>
      </c>
      <c r="H525" s="116"/>
      <c r="I525" s="116"/>
      <c r="L525" s="170">
        <v>43784</v>
      </c>
      <c r="M525" s="116">
        <v>1002.85</v>
      </c>
      <c r="N525" s="116">
        <v>1026</v>
      </c>
      <c r="O525" s="116">
        <v>995.45</v>
      </c>
      <c r="P525" s="116">
        <v>1008.2</v>
      </c>
      <c r="Q525" s="116">
        <v>1002.85</v>
      </c>
      <c r="R525">
        <v>2687762</v>
      </c>
    </row>
    <row r="526" spans="1:18" x14ac:dyDescent="0.25">
      <c r="A526" s="170">
        <v>43787</v>
      </c>
      <c r="B526" s="116">
        <v>1012.8</v>
      </c>
      <c r="C526" s="116">
        <v>999.55</v>
      </c>
      <c r="D526" s="116">
        <v>997</v>
      </c>
      <c r="E526" s="116">
        <v>1008.95</v>
      </c>
      <c r="F526" s="116">
        <v>999.55</v>
      </c>
      <c r="G526">
        <v>118520</v>
      </c>
      <c r="H526" s="116"/>
      <c r="I526" s="116"/>
      <c r="L526" s="170">
        <v>43787</v>
      </c>
      <c r="M526" s="116">
        <v>1000.05</v>
      </c>
      <c r="N526" s="116">
        <v>1013</v>
      </c>
      <c r="O526" s="116">
        <v>996</v>
      </c>
      <c r="P526" s="116">
        <v>1004.9</v>
      </c>
      <c r="Q526" s="116">
        <v>1000.05</v>
      </c>
      <c r="R526">
        <v>2144563</v>
      </c>
    </row>
    <row r="527" spans="1:18" x14ac:dyDescent="0.25">
      <c r="A527" s="170">
        <v>43788</v>
      </c>
      <c r="B527" s="116">
        <v>966</v>
      </c>
      <c r="C527" s="116">
        <v>936.25</v>
      </c>
      <c r="D527" s="116">
        <v>934.85</v>
      </c>
      <c r="E527" s="116">
        <v>957.8</v>
      </c>
      <c r="F527" s="116">
        <v>936.25</v>
      </c>
      <c r="G527">
        <v>5673668</v>
      </c>
      <c r="H527" s="116"/>
      <c r="I527" s="116"/>
      <c r="L527" s="170">
        <v>43788</v>
      </c>
      <c r="M527" s="116">
        <v>936.55</v>
      </c>
      <c r="N527" s="116">
        <v>970</v>
      </c>
      <c r="O527" s="116">
        <v>930</v>
      </c>
      <c r="P527" s="116">
        <v>954.95</v>
      </c>
      <c r="Q527" s="116">
        <v>936.55</v>
      </c>
      <c r="R527">
        <v>60449782</v>
      </c>
    </row>
    <row r="528" spans="1:18" x14ac:dyDescent="0.25">
      <c r="A528" s="170">
        <v>43789</v>
      </c>
      <c r="B528" s="116">
        <v>948.5</v>
      </c>
      <c r="C528" s="116">
        <v>939.4</v>
      </c>
      <c r="D528" s="116">
        <v>937</v>
      </c>
      <c r="E528" s="116">
        <v>939.9</v>
      </c>
      <c r="F528" s="116">
        <v>939.4</v>
      </c>
      <c r="G528">
        <v>114407</v>
      </c>
      <c r="H528" s="116"/>
      <c r="I528" s="116"/>
      <c r="L528" s="170">
        <v>43789</v>
      </c>
      <c r="M528" s="116">
        <v>939.7</v>
      </c>
      <c r="N528" s="116">
        <v>948.7</v>
      </c>
      <c r="O528" s="116">
        <v>936.1</v>
      </c>
      <c r="P528" s="116">
        <v>940</v>
      </c>
      <c r="Q528" s="116">
        <v>939.7</v>
      </c>
      <c r="R528">
        <v>2976893</v>
      </c>
    </row>
    <row r="529" spans="1:18" x14ac:dyDescent="0.25">
      <c r="A529" s="170">
        <v>43790</v>
      </c>
      <c r="B529" s="116">
        <v>945.45</v>
      </c>
      <c r="C529" s="116">
        <v>929.45</v>
      </c>
      <c r="D529" s="116">
        <v>916</v>
      </c>
      <c r="E529" s="116">
        <v>943.05</v>
      </c>
      <c r="F529" s="116">
        <v>929.45</v>
      </c>
      <c r="G529">
        <v>101539</v>
      </c>
      <c r="H529" s="116"/>
      <c r="I529" s="116"/>
      <c r="L529" s="170">
        <v>43790</v>
      </c>
      <c r="M529" s="116">
        <v>929.6</v>
      </c>
      <c r="N529" s="116">
        <v>945.45</v>
      </c>
      <c r="O529" s="116">
        <v>916</v>
      </c>
      <c r="P529" s="116">
        <v>942.45</v>
      </c>
      <c r="Q529" s="116">
        <v>929.6</v>
      </c>
      <c r="R529">
        <v>2642185</v>
      </c>
    </row>
    <row r="530" spans="1:18" x14ac:dyDescent="0.25">
      <c r="A530" s="170">
        <v>43791</v>
      </c>
      <c r="B530" s="116">
        <v>945.25</v>
      </c>
      <c r="C530" s="116">
        <v>942.65</v>
      </c>
      <c r="D530" s="116">
        <v>931.5</v>
      </c>
      <c r="E530" s="116">
        <v>932.3</v>
      </c>
      <c r="F530" s="116">
        <v>942.65</v>
      </c>
      <c r="G530">
        <v>80240</v>
      </c>
      <c r="H530" s="116"/>
      <c r="I530" s="116"/>
      <c r="L530" s="170">
        <v>43791</v>
      </c>
      <c r="M530" s="116">
        <v>942.65</v>
      </c>
      <c r="N530" s="116">
        <v>945.75</v>
      </c>
      <c r="O530" s="116">
        <v>931</v>
      </c>
      <c r="P530" s="116">
        <v>931</v>
      </c>
      <c r="Q530" s="116">
        <v>942.65</v>
      </c>
      <c r="R530">
        <v>3125980</v>
      </c>
    </row>
    <row r="531" spans="1:18" x14ac:dyDescent="0.25">
      <c r="A531" s="170">
        <v>43794</v>
      </c>
      <c r="B531" s="116">
        <v>954.55</v>
      </c>
      <c r="C531" s="116">
        <v>952.1</v>
      </c>
      <c r="D531" s="116">
        <v>943.95</v>
      </c>
      <c r="E531" s="116">
        <v>944.25</v>
      </c>
      <c r="F531" s="116">
        <v>952.1</v>
      </c>
      <c r="G531">
        <v>151823</v>
      </c>
      <c r="H531" s="116"/>
      <c r="I531" s="116"/>
      <c r="L531" s="170">
        <v>43794</v>
      </c>
      <c r="M531" s="116">
        <v>951.6</v>
      </c>
      <c r="N531" s="116">
        <v>954.4</v>
      </c>
      <c r="O531" s="116">
        <v>943.5</v>
      </c>
      <c r="P531" s="116">
        <v>943.5</v>
      </c>
      <c r="Q531" s="116">
        <v>951.6</v>
      </c>
      <c r="R531">
        <v>3604001</v>
      </c>
    </row>
    <row r="532" spans="1:18" x14ac:dyDescent="0.25">
      <c r="A532" s="170">
        <v>43795</v>
      </c>
      <c r="B532" s="116">
        <v>978</v>
      </c>
      <c r="C532" s="116">
        <v>962</v>
      </c>
      <c r="D532" s="116">
        <v>938.3</v>
      </c>
      <c r="E532" s="116">
        <v>956</v>
      </c>
      <c r="F532" s="116">
        <v>962</v>
      </c>
      <c r="G532">
        <v>778560</v>
      </c>
      <c r="H532" s="116"/>
      <c r="I532" s="116"/>
      <c r="L532" s="170">
        <v>43795</v>
      </c>
      <c r="M532" s="116">
        <v>958.95</v>
      </c>
      <c r="N532" s="116">
        <v>977.95</v>
      </c>
      <c r="O532" s="116">
        <v>937.85</v>
      </c>
      <c r="P532" s="116">
        <v>957.4</v>
      </c>
      <c r="Q532" s="116">
        <v>958.95</v>
      </c>
      <c r="R532">
        <v>43473998</v>
      </c>
    </row>
    <row r="533" spans="1:18" x14ac:dyDescent="0.25">
      <c r="A533" s="170">
        <v>43796</v>
      </c>
      <c r="B533" s="116">
        <v>964.8</v>
      </c>
      <c r="C533" s="116">
        <v>948.1</v>
      </c>
      <c r="D533" s="116">
        <v>943.5</v>
      </c>
      <c r="E533" s="116">
        <v>963.3</v>
      </c>
      <c r="F533" s="116">
        <v>948.1</v>
      </c>
      <c r="G533">
        <v>57842</v>
      </c>
      <c r="H533" s="116"/>
      <c r="I533" s="116"/>
      <c r="L533" s="170">
        <v>43796</v>
      </c>
      <c r="M533" s="116">
        <v>948.2</v>
      </c>
      <c r="N533" s="116">
        <v>965.2</v>
      </c>
      <c r="O533" s="116">
        <v>943.2</v>
      </c>
      <c r="P533" s="116">
        <v>964</v>
      </c>
      <c r="Q533" s="116">
        <v>948.2</v>
      </c>
      <c r="R533">
        <v>1542111</v>
      </c>
    </row>
    <row r="534" spans="1:18" x14ac:dyDescent="0.25">
      <c r="A534" s="170">
        <v>43797</v>
      </c>
      <c r="B534" s="116">
        <v>972.5</v>
      </c>
      <c r="C534" s="116">
        <v>970.6</v>
      </c>
      <c r="D534" s="116">
        <v>947.5</v>
      </c>
      <c r="E534" s="116">
        <v>952.3</v>
      </c>
      <c r="F534" s="116">
        <v>970.6</v>
      </c>
      <c r="G534">
        <v>114744</v>
      </c>
      <c r="H534" s="116"/>
      <c r="I534" s="116"/>
      <c r="L534" s="170">
        <v>43797</v>
      </c>
      <c r="M534" s="116">
        <v>971.15</v>
      </c>
      <c r="N534" s="116">
        <v>972.7</v>
      </c>
      <c r="O534" s="116">
        <v>948.2</v>
      </c>
      <c r="P534" s="116">
        <v>953.85</v>
      </c>
      <c r="Q534" s="116">
        <v>971.15</v>
      </c>
      <c r="R534">
        <v>1885171</v>
      </c>
    </row>
    <row r="535" spans="1:18" x14ac:dyDescent="0.25">
      <c r="A535" s="170">
        <v>43798</v>
      </c>
      <c r="B535" s="116">
        <v>971</v>
      </c>
      <c r="C535" s="116">
        <v>960.1</v>
      </c>
      <c r="D535" s="116">
        <v>955.65</v>
      </c>
      <c r="E535" s="116">
        <v>971</v>
      </c>
      <c r="F535" s="116">
        <v>960.1</v>
      </c>
      <c r="G535">
        <v>56435</v>
      </c>
      <c r="H535" s="116"/>
      <c r="I535" s="116"/>
      <c r="L535" s="170">
        <v>43798</v>
      </c>
      <c r="M535" s="116">
        <v>960.05</v>
      </c>
      <c r="N535" s="116">
        <v>970</v>
      </c>
      <c r="O535" s="116">
        <v>955.05</v>
      </c>
      <c r="P535" s="116">
        <v>970</v>
      </c>
      <c r="Q535" s="116">
        <v>960.05</v>
      </c>
      <c r="R535">
        <v>1071258</v>
      </c>
    </row>
    <row r="536" spans="1:18" x14ac:dyDescent="0.25">
      <c r="A536" s="170">
        <v>43801</v>
      </c>
      <c r="B536" s="116">
        <v>962</v>
      </c>
      <c r="C536" s="116">
        <v>943.5</v>
      </c>
      <c r="D536" s="116">
        <v>938</v>
      </c>
      <c r="E536" s="116">
        <v>961</v>
      </c>
      <c r="F536" s="116">
        <v>943.5</v>
      </c>
      <c r="G536">
        <v>17262</v>
      </c>
      <c r="H536" s="116"/>
      <c r="I536" s="116"/>
      <c r="L536" s="170">
        <v>43801</v>
      </c>
      <c r="M536" s="116">
        <v>943.85</v>
      </c>
      <c r="N536" s="116">
        <v>959.15</v>
      </c>
      <c r="O536" s="116">
        <v>938.3</v>
      </c>
      <c r="P536" s="116">
        <v>959.15</v>
      </c>
      <c r="Q536" s="116">
        <v>943.85</v>
      </c>
      <c r="R536">
        <v>643539</v>
      </c>
    </row>
    <row r="537" spans="1:18" x14ac:dyDescent="0.25">
      <c r="A537" s="170">
        <v>43802</v>
      </c>
      <c r="B537" s="116">
        <v>966</v>
      </c>
      <c r="C537" s="116">
        <v>961.85</v>
      </c>
      <c r="D537" s="116">
        <v>944</v>
      </c>
      <c r="E537" s="116">
        <v>944</v>
      </c>
      <c r="F537" s="116">
        <v>961.85</v>
      </c>
      <c r="G537">
        <v>71992</v>
      </c>
      <c r="H537" s="116"/>
      <c r="I537" s="116"/>
      <c r="L537" s="170">
        <v>43802</v>
      </c>
      <c r="M537" s="116">
        <v>963.4</v>
      </c>
      <c r="N537" s="116">
        <v>966</v>
      </c>
      <c r="O537" s="116">
        <v>946.1</v>
      </c>
      <c r="P537" s="116">
        <v>946.1</v>
      </c>
      <c r="Q537" s="116">
        <v>963.4</v>
      </c>
      <c r="R537">
        <v>1612054</v>
      </c>
    </row>
    <row r="538" spans="1:18" x14ac:dyDescent="0.25">
      <c r="A538" s="170">
        <v>43803</v>
      </c>
      <c r="B538" s="116">
        <v>975</v>
      </c>
      <c r="C538" s="116">
        <v>972.15</v>
      </c>
      <c r="D538" s="116">
        <v>960.95</v>
      </c>
      <c r="E538" s="116">
        <v>961.85</v>
      </c>
      <c r="F538" s="116">
        <v>972.15</v>
      </c>
      <c r="G538">
        <v>25180</v>
      </c>
      <c r="H538" s="116"/>
      <c r="I538" s="116"/>
      <c r="L538" s="170">
        <v>43803</v>
      </c>
      <c r="M538" s="116">
        <v>972.25</v>
      </c>
      <c r="N538" s="116">
        <v>975</v>
      </c>
      <c r="O538" s="116">
        <v>960.05</v>
      </c>
      <c r="P538" s="116">
        <v>962.8</v>
      </c>
      <c r="Q538" s="116">
        <v>972.25</v>
      </c>
      <c r="R538">
        <v>1122303</v>
      </c>
    </row>
    <row r="539" spans="1:18" x14ac:dyDescent="0.25">
      <c r="A539" s="170">
        <v>43804</v>
      </c>
      <c r="B539" s="116">
        <v>974</v>
      </c>
      <c r="C539" s="116">
        <v>966.95</v>
      </c>
      <c r="D539" s="116">
        <v>955.25</v>
      </c>
      <c r="E539" s="116">
        <v>960</v>
      </c>
      <c r="F539" s="116">
        <v>966.95</v>
      </c>
      <c r="G539">
        <v>15123</v>
      </c>
      <c r="H539" s="116"/>
      <c r="I539" s="116"/>
      <c r="L539" s="170">
        <v>43804</v>
      </c>
      <c r="M539" s="116">
        <v>966.4</v>
      </c>
      <c r="N539" s="116">
        <v>974.5</v>
      </c>
      <c r="O539" s="116">
        <v>955</v>
      </c>
      <c r="P539" s="116">
        <v>969</v>
      </c>
      <c r="Q539" s="116">
        <v>966.4</v>
      </c>
      <c r="R539">
        <v>814043</v>
      </c>
    </row>
    <row r="540" spans="1:18" x14ac:dyDescent="0.25">
      <c r="A540" s="170">
        <v>43805</v>
      </c>
      <c r="B540" s="116">
        <v>973.2</v>
      </c>
      <c r="C540" s="116">
        <v>962.95</v>
      </c>
      <c r="D540" s="116">
        <v>944.75</v>
      </c>
      <c r="E540" s="116">
        <v>963.2</v>
      </c>
      <c r="F540" s="116">
        <v>962.95</v>
      </c>
      <c r="G540">
        <v>25874</v>
      </c>
      <c r="H540" s="116"/>
      <c r="I540" s="116"/>
      <c r="L540" s="170">
        <v>43805</v>
      </c>
      <c r="M540" s="116">
        <v>964.2</v>
      </c>
      <c r="N540" s="116">
        <v>974</v>
      </c>
      <c r="O540" s="116">
        <v>945.2</v>
      </c>
      <c r="P540" s="116">
        <v>971</v>
      </c>
      <c r="Q540" s="116">
        <v>964.2</v>
      </c>
      <c r="R540">
        <v>1235405</v>
      </c>
    </row>
    <row r="541" spans="1:18" x14ac:dyDescent="0.25">
      <c r="A541" s="170">
        <v>43808</v>
      </c>
      <c r="B541" s="116">
        <v>963.95</v>
      </c>
      <c r="C541" s="116">
        <v>945.2</v>
      </c>
      <c r="D541" s="116">
        <v>938.1</v>
      </c>
      <c r="E541" s="116">
        <v>963</v>
      </c>
      <c r="F541" s="116">
        <v>945.2</v>
      </c>
      <c r="G541">
        <v>66643</v>
      </c>
      <c r="H541" s="116"/>
      <c r="I541" s="116"/>
      <c r="L541" s="170">
        <v>43808</v>
      </c>
      <c r="M541" s="116">
        <v>942</v>
      </c>
      <c r="N541" s="116">
        <v>964.8</v>
      </c>
      <c r="O541" s="116">
        <v>938.4</v>
      </c>
      <c r="P541" s="116">
        <v>964.8</v>
      </c>
      <c r="Q541" s="116">
        <v>942</v>
      </c>
      <c r="R541">
        <v>861577</v>
      </c>
    </row>
    <row r="542" spans="1:18" x14ac:dyDescent="0.25">
      <c r="A542" s="170">
        <v>43809</v>
      </c>
      <c r="B542" s="116">
        <v>967.4</v>
      </c>
      <c r="C542" s="116">
        <v>949.5</v>
      </c>
      <c r="D542" s="116">
        <v>947</v>
      </c>
      <c r="E542" s="116">
        <v>948</v>
      </c>
      <c r="F542" s="116">
        <v>949.5</v>
      </c>
      <c r="G542">
        <v>28562</v>
      </c>
      <c r="H542" s="116"/>
      <c r="I542" s="116"/>
      <c r="L542" s="170">
        <v>43809</v>
      </c>
      <c r="M542" s="116">
        <v>949.85</v>
      </c>
      <c r="N542" s="116">
        <v>968</v>
      </c>
      <c r="O542" s="116">
        <v>947</v>
      </c>
      <c r="P542" s="116">
        <v>950</v>
      </c>
      <c r="Q542" s="116">
        <v>949.85</v>
      </c>
      <c r="R542">
        <v>1610114</v>
      </c>
    </row>
    <row r="543" spans="1:18" x14ac:dyDescent="0.25">
      <c r="A543" s="170">
        <v>43810</v>
      </c>
      <c r="B543" s="116">
        <v>971.85</v>
      </c>
      <c r="C543" s="116">
        <v>966.1</v>
      </c>
      <c r="D543" s="116">
        <v>924.5</v>
      </c>
      <c r="E543" s="116">
        <v>940.5</v>
      </c>
      <c r="F543" s="116">
        <v>966.1</v>
      </c>
      <c r="G543">
        <v>41095</v>
      </c>
      <c r="H543" s="116"/>
      <c r="I543" s="116"/>
      <c r="L543" s="170">
        <v>43810</v>
      </c>
      <c r="M543" s="116">
        <v>966.55</v>
      </c>
      <c r="N543" s="116">
        <v>971.95</v>
      </c>
      <c r="O543" s="116">
        <v>924.5</v>
      </c>
      <c r="P543" s="116">
        <v>950</v>
      </c>
      <c r="Q543" s="116">
        <v>966.55</v>
      </c>
      <c r="R543">
        <v>1616587</v>
      </c>
    </row>
    <row r="544" spans="1:18" x14ac:dyDescent="0.25">
      <c r="A544" s="170">
        <v>43811</v>
      </c>
      <c r="B544" s="116">
        <v>970.6</v>
      </c>
      <c r="C544" s="116">
        <v>959.65</v>
      </c>
      <c r="D544" s="116">
        <v>955.8</v>
      </c>
      <c r="E544" s="116">
        <v>969.2</v>
      </c>
      <c r="F544" s="116">
        <v>959.65</v>
      </c>
      <c r="G544">
        <v>13375</v>
      </c>
      <c r="H544" s="116"/>
      <c r="I544" s="116"/>
      <c r="L544" s="170">
        <v>43811</v>
      </c>
      <c r="M544" s="116">
        <v>960.4</v>
      </c>
      <c r="N544" s="116">
        <v>971</v>
      </c>
      <c r="O544" s="116">
        <v>955.65</v>
      </c>
      <c r="P544" s="116">
        <v>971</v>
      </c>
      <c r="Q544" s="116">
        <v>960.4</v>
      </c>
      <c r="R544">
        <v>862822</v>
      </c>
    </row>
    <row r="545" spans="1:18" x14ac:dyDescent="0.25">
      <c r="A545" s="170">
        <v>43812</v>
      </c>
      <c r="B545" s="116">
        <v>982.55</v>
      </c>
      <c r="C545" s="116">
        <v>974.55</v>
      </c>
      <c r="D545" s="116">
        <v>950</v>
      </c>
      <c r="E545" s="116">
        <v>950</v>
      </c>
      <c r="F545" s="116">
        <v>974.55</v>
      </c>
      <c r="G545">
        <v>64260</v>
      </c>
      <c r="H545" s="116"/>
      <c r="I545" s="116"/>
      <c r="L545" s="170">
        <v>43812</v>
      </c>
      <c r="M545" s="116">
        <v>974.9</v>
      </c>
      <c r="N545" s="116">
        <v>982.7</v>
      </c>
      <c r="O545" s="116">
        <v>963.25</v>
      </c>
      <c r="P545" s="116">
        <v>964.9</v>
      </c>
      <c r="Q545" s="116">
        <v>974.9</v>
      </c>
      <c r="R545">
        <v>1119572</v>
      </c>
    </row>
    <row r="546" spans="1:18" x14ac:dyDescent="0.25">
      <c r="A546" s="170">
        <v>43815</v>
      </c>
      <c r="B546" s="116">
        <v>980.3</v>
      </c>
      <c r="C546" s="116">
        <v>969.35</v>
      </c>
      <c r="D546" s="116">
        <v>964</v>
      </c>
      <c r="E546" s="116">
        <v>970</v>
      </c>
      <c r="F546" s="116">
        <v>969.35</v>
      </c>
      <c r="G546">
        <v>69539</v>
      </c>
      <c r="H546" s="116"/>
      <c r="I546" s="116"/>
      <c r="L546" s="170">
        <v>43815</v>
      </c>
      <c r="M546" s="116">
        <v>969.55</v>
      </c>
      <c r="N546" s="116">
        <v>979.8</v>
      </c>
      <c r="O546" s="116">
        <v>963.9</v>
      </c>
      <c r="P546" s="116">
        <v>973.8</v>
      </c>
      <c r="Q546" s="116">
        <v>969.55</v>
      </c>
      <c r="R546">
        <v>526157</v>
      </c>
    </row>
    <row r="547" spans="1:18" x14ac:dyDescent="0.25">
      <c r="A547" s="170">
        <v>43816</v>
      </c>
      <c r="B547" s="116">
        <v>978.65</v>
      </c>
      <c r="C547" s="116">
        <v>973</v>
      </c>
      <c r="D547" s="116">
        <v>967.45</v>
      </c>
      <c r="E547" s="116">
        <v>969</v>
      </c>
      <c r="F547" s="116">
        <v>973</v>
      </c>
      <c r="G547">
        <v>70687</v>
      </c>
      <c r="H547" s="116"/>
      <c r="I547" s="116"/>
      <c r="L547" s="170">
        <v>43816</v>
      </c>
      <c r="M547" s="116">
        <v>972.55</v>
      </c>
      <c r="N547" s="116">
        <v>978.45</v>
      </c>
      <c r="O547" s="116">
        <v>968</v>
      </c>
      <c r="P547" s="116">
        <v>975</v>
      </c>
      <c r="Q547" s="116">
        <v>972.55</v>
      </c>
      <c r="R547">
        <v>822269</v>
      </c>
    </row>
    <row r="548" spans="1:18" x14ac:dyDescent="0.25">
      <c r="A548" s="170">
        <v>43817</v>
      </c>
      <c r="B548" s="116">
        <v>977</v>
      </c>
      <c r="C548" s="116">
        <v>964.6</v>
      </c>
      <c r="D548" s="116">
        <v>959.15</v>
      </c>
      <c r="E548" s="116">
        <v>977</v>
      </c>
      <c r="F548" s="116">
        <v>964.6</v>
      </c>
      <c r="G548">
        <v>16356</v>
      </c>
      <c r="H548" s="116"/>
      <c r="I548" s="116"/>
      <c r="L548" s="170">
        <v>43817</v>
      </c>
      <c r="M548" s="116">
        <v>964.75</v>
      </c>
      <c r="N548" s="116">
        <v>976.6</v>
      </c>
      <c r="O548" s="116">
        <v>959</v>
      </c>
      <c r="P548" s="116">
        <v>975</v>
      </c>
      <c r="Q548" s="116">
        <v>964.75</v>
      </c>
      <c r="R548">
        <v>628845</v>
      </c>
    </row>
    <row r="549" spans="1:18" x14ac:dyDescent="0.25">
      <c r="A549" s="170">
        <v>43818</v>
      </c>
      <c r="B549" s="116">
        <v>975.35</v>
      </c>
      <c r="C549" s="116">
        <v>969.5</v>
      </c>
      <c r="D549" s="116">
        <v>965.6</v>
      </c>
      <c r="E549" s="116">
        <v>967.9</v>
      </c>
      <c r="F549" s="116">
        <v>969.5</v>
      </c>
      <c r="G549">
        <v>63813</v>
      </c>
      <c r="H549" s="116"/>
      <c r="I549" s="116"/>
      <c r="L549" s="170">
        <v>43818</v>
      </c>
      <c r="M549" s="116">
        <v>969.75</v>
      </c>
      <c r="N549" s="116">
        <v>975.05</v>
      </c>
      <c r="O549" s="116">
        <v>965.45</v>
      </c>
      <c r="P549" s="116">
        <v>968.6</v>
      </c>
      <c r="Q549" s="116">
        <v>969.75</v>
      </c>
      <c r="R549">
        <v>906299</v>
      </c>
    </row>
    <row r="550" spans="1:18" x14ac:dyDescent="0.25">
      <c r="A550" s="170">
        <v>43819</v>
      </c>
      <c r="B550" s="116">
        <v>1008</v>
      </c>
      <c r="C550" s="116">
        <v>996.4</v>
      </c>
      <c r="D550" s="116">
        <v>970</v>
      </c>
      <c r="E550" s="116">
        <v>970</v>
      </c>
      <c r="F550" s="116">
        <v>996.4</v>
      </c>
      <c r="G550">
        <v>137755</v>
      </c>
      <c r="H550" s="116"/>
      <c r="I550" s="116"/>
      <c r="L550" s="170">
        <v>43819</v>
      </c>
      <c r="M550" s="116">
        <v>992.75</v>
      </c>
      <c r="N550" s="116">
        <v>1008.05</v>
      </c>
      <c r="O550" s="116">
        <v>972</v>
      </c>
      <c r="P550" s="116">
        <v>972</v>
      </c>
      <c r="Q550" s="116">
        <v>992.75</v>
      </c>
      <c r="R550">
        <v>10219499</v>
      </c>
    </row>
    <row r="551" spans="1:18" x14ac:dyDescent="0.25">
      <c r="A551" s="170">
        <v>43822</v>
      </c>
      <c r="B551" s="116">
        <v>1011.4</v>
      </c>
      <c r="C551" s="116">
        <v>997.1</v>
      </c>
      <c r="D551" s="116">
        <v>987.75</v>
      </c>
      <c r="E551" s="116">
        <v>1000.15</v>
      </c>
      <c r="F551" s="116">
        <v>997.1</v>
      </c>
      <c r="G551">
        <v>29762</v>
      </c>
      <c r="H551" s="116"/>
      <c r="I551" s="116"/>
      <c r="L551" s="170">
        <v>43822</v>
      </c>
      <c r="M551" s="116">
        <v>996.8</v>
      </c>
      <c r="N551" s="116">
        <v>1011.7</v>
      </c>
      <c r="O551" s="116">
        <v>987.55</v>
      </c>
      <c r="P551" s="116">
        <v>1002</v>
      </c>
      <c r="Q551" s="116">
        <v>996.8</v>
      </c>
      <c r="R551">
        <v>1347986</v>
      </c>
    </row>
    <row r="552" spans="1:18" x14ac:dyDescent="0.25">
      <c r="A552" s="170">
        <v>43823</v>
      </c>
      <c r="B552" s="116">
        <v>998.95</v>
      </c>
      <c r="C552" s="116">
        <v>994.3</v>
      </c>
      <c r="D552" s="116">
        <v>985.15</v>
      </c>
      <c r="E552" s="116">
        <v>996</v>
      </c>
      <c r="F552" s="116">
        <v>994.3</v>
      </c>
      <c r="G552">
        <v>72075</v>
      </c>
      <c r="H552" s="116"/>
      <c r="I552" s="116"/>
      <c r="L552" s="170">
        <v>43823</v>
      </c>
      <c r="M552" s="116">
        <v>994.75</v>
      </c>
      <c r="N552" s="116">
        <v>999.9</v>
      </c>
      <c r="O552" s="116">
        <v>985</v>
      </c>
      <c r="P552" s="116">
        <v>998</v>
      </c>
      <c r="Q552" s="116">
        <v>994.75</v>
      </c>
      <c r="R552">
        <v>716972</v>
      </c>
    </row>
    <row r="553" spans="1:18" x14ac:dyDescent="0.25">
      <c r="A553" s="170">
        <v>43825</v>
      </c>
      <c r="B553" s="116">
        <v>999.8</v>
      </c>
      <c r="C553" s="116">
        <v>990.65</v>
      </c>
      <c r="D553" s="116">
        <v>987.9</v>
      </c>
      <c r="E553" s="116">
        <v>998</v>
      </c>
      <c r="F553" s="116">
        <v>990.65</v>
      </c>
      <c r="G553">
        <v>71690</v>
      </c>
      <c r="H553" s="116"/>
      <c r="I553" s="116"/>
      <c r="L553" s="170">
        <v>43825</v>
      </c>
      <c r="M553" s="116">
        <v>991</v>
      </c>
      <c r="N553" s="116">
        <v>999.7</v>
      </c>
      <c r="O553" s="116">
        <v>988.1</v>
      </c>
      <c r="P553" s="116">
        <v>998.25</v>
      </c>
      <c r="Q553" s="116">
        <v>991</v>
      </c>
      <c r="R553">
        <v>335933</v>
      </c>
    </row>
    <row r="554" spans="1:18" x14ac:dyDescent="0.25">
      <c r="A554" s="170">
        <v>43826</v>
      </c>
      <c r="B554" s="116">
        <v>990.85</v>
      </c>
      <c r="C554" s="116">
        <v>988.55</v>
      </c>
      <c r="D554" s="116">
        <v>977.75</v>
      </c>
      <c r="E554" s="116">
        <v>989.9</v>
      </c>
      <c r="F554" s="116">
        <v>988.55</v>
      </c>
      <c r="G554">
        <v>16557</v>
      </c>
      <c r="H554" s="116"/>
      <c r="I554" s="116"/>
      <c r="L554" s="170">
        <v>43826</v>
      </c>
      <c r="M554" s="116">
        <v>988.65</v>
      </c>
      <c r="N554" s="116">
        <v>991.5</v>
      </c>
      <c r="O554" s="116">
        <v>977.55</v>
      </c>
      <c r="P554" s="116">
        <v>988</v>
      </c>
      <c r="Q554" s="116">
        <v>988.65</v>
      </c>
      <c r="R554">
        <v>438117</v>
      </c>
    </row>
    <row r="555" spans="1:18" x14ac:dyDescent="0.25">
      <c r="A555" s="170">
        <v>43829</v>
      </c>
      <c r="B555" s="116">
        <v>999.5</v>
      </c>
      <c r="C555" s="116">
        <v>976.3</v>
      </c>
      <c r="D555" s="116">
        <v>973.05</v>
      </c>
      <c r="E555" s="116">
        <v>999.5</v>
      </c>
      <c r="F555" s="116">
        <v>976.3</v>
      </c>
      <c r="G555">
        <v>12141</v>
      </c>
      <c r="H555" s="116"/>
      <c r="I555" s="116"/>
      <c r="L555" s="170">
        <v>43829</v>
      </c>
      <c r="M555" s="116">
        <v>976.35</v>
      </c>
      <c r="N555" s="116">
        <v>991.45</v>
      </c>
      <c r="O555" s="116">
        <v>972.8</v>
      </c>
      <c r="P555" s="116">
        <v>988.9</v>
      </c>
      <c r="Q555" s="116">
        <v>976.35</v>
      </c>
      <c r="R555">
        <v>390678</v>
      </c>
    </row>
    <row r="556" spans="1:18" x14ac:dyDescent="0.25">
      <c r="A556" s="170">
        <v>43830</v>
      </c>
      <c r="B556" s="116">
        <v>979.55</v>
      </c>
      <c r="C556" s="116">
        <v>961.8</v>
      </c>
      <c r="D556" s="116">
        <v>958.55</v>
      </c>
      <c r="E556" s="116">
        <v>978</v>
      </c>
      <c r="F556" s="116">
        <v>961.8</v>
      </c>
      <c r="G556">
        <v>45123</v>
      </c>
      <c r="H556" s="116"/>
      <c r="I556" s="116"/>
      <c r="L556" s="170">
        <v>43830</v>
      </c>
      <c r="M556" s="116">
        <v>961.6</v>
      </c>
      <c r="N556" s="116">
        <v>980</v>
      </c>
      <c r="O556" s="116">
        <v>958.15</v>
      </c>
      <c r="P556" s="116">
        <v>976</v>
      </c>
      <c r="Q556" s="116">
        <v>961.6</v>
      </c>
      <c r="R556">
        <v>403539</v>
      </c>
    </row>
    <row r="557" spans="1:18" x14ac:dyDescent="0.25">
      <c r="A557" s="170">
        <v>43831</v>
      </c>
      <c r="B557" s="116">
        <v>979.9</v>
      </c>
      <c r="C557" s="116">
        <v>975.2</v>
      </c>
      <c r="D557" s="116">
        <v>962</v>
      </c>
      <c r="E557" s="116">
        <v>964.8</v>
      </c>
      <c r="F557" s="116">
        <v>975.2</v>
      </c>
      <c r="G557">
        <v>13745</v>
      </c>
      <c r="H557" s="116"/>
      <c r="I557" s="116"/>
      <c r="L557" s="170">
        <v>43831</v>
      </c>
      <c r="M557" s="116">
        <v>976.4</v>
      </c>
      <c r="N557" s="116">
        <v>980</v>
      </c>
      <c r="O557" s="116">
        <v>961.6</v>
      </c>
      <c r="P557" s="116">
        <v>965</v>
      </c>
      <c r="Q557" s="116">
        <v>976.4</v>
      </c>
      <c r="R557">
        <v>349251</v>
      </c>
    </row>
    <row r="558" spans="1:18" x14ac:dyDescent="0.25">
      <c r="A558" s="170">
        <v>43832</v>
      </c>
      <c r="B558" s="116">
        <v>975</v>
      </c>
      <c r="C558" s="116">
        <v>969.85</v>
      </c>
      <c r="D558" s="116">
        <v>966.3</v>
      </c>
      <c r="E558" s="116">
        <v>974.9</v>
      </c>
      <c r="F558" s="116">
        <v>969.85</v>
      </c>
      <c r="G558">
        <v>10169</v>
      </c>
      <c r="H558" s="116"/>
      <c r="I558" s="116"/>
      <c r="L558" s="170">
        <v>43832</v>
      </c>
      <c r="M558" s="116">
        <v>969.35</v>
      </c>
      <c r="N558" s="116">
        <v>975.7</v>
      </c>
      <c r="O558" s="116">
        <v>966</v>
      </c>
      <c r="P558" s="116">
        <v>975.7</v>
      </c>
      <c r="Q558" s="116">
        <v>969.35</v>
      </c>
      <c r="R558">
        <v>335765</v>
      </c>
    </row>
    <row r="559" spans="1:18" x14ac:dyDescent="0.25">
      <c r="A559" s="170">
        <v>43833</v>
      </c>
      <c r="B559" s="116">
        <v>982</v>
      </c>
      <c r="C559" s="116">
        <v>974.55</v>
      </c>
      <c r="D559" s="116">
        <v>969.75</v>
      </c>
      <c r="E559" s="116">
        <v>969.8</v>
      </c>
      <c r="F559" s="116">
        <v>974.55</v>
      </c>
      <c r="G559">
        <v>10636</v>
      </c>
      <c r="H559" s="116"/>
      <c r="I559" s="116"/>
      <c r="L559" s="170">
        <v>43833</v>
      </c>
      <c r="M559" s="116">
        <v>975.1</v>
      </c>
      <c r="N559" s="116">
        <v>982.8</v>
      </c>
      <c r="O559" s="116">
        <v>969</v>
      </c>
      <c r="P559" s="116">
        <v>970</v>
      </c>
      <c r="Q559" s="116">
        <v>975.1</v>
      </c>
      <c r="R559">
        <v>451217</v>
      </c>
    </row>
    <row r="560" spans="1:18" x14ac:dyDescent="0.25">
      <c r="A560" s="170">
        <v>43836</v>
      </c>
      <c r="B560" s="116">
        <v>1002.85</v>
      </c>
      <c r="C560" s="116">
        <v>983.4</v>
      </c>
      <c r="D560" s="116">
        <v>958.5</v>
      </c>
      <c r="E560" s="116">
        <v>974.75</v>
      </c>
      <c r="F560" s="116">
        <v>983.4</v>
      </c>
      <c r="G560">
        <v>77218</v>
      </c>
      <c r="H560" s="116"/>
      <c r="I560" s="116"/>
      <c r="L560" s="170">
        <v>43836</v>
      </c>
      <c r="M560" s="116">
        <v>983.1</v>
      </c>
      <c r="N560" s="116">
        <v>1003.1</v>
      </c>
      <c r="O560" s="116">
        <v>958</v>
      </c>
      <c r="P560" s="116">
        <v>966.1</v>
      </c>
      <c r="Q560" s="116">
        <v>983.1</v>
      </c>
      <c r="R560">
        <v>895840</v>
      </c>
    </row>
    <row r="561" spans="1:18" x14ac:dyDescent="0.25">
      <c r="A561" s="170">
        <v>43837</v>
      </c>
      <c r="B561" s="116">
        <v>1002.75</v>
      </c>
      <c r="C561" s="116">
        <v>984.25</v>
      </c>
      <c r="D561" s="116">
        <v>980.1</v>
      </c>
      <c r="E561" s="116">
        <v>992</v>
      </c>
      <c r="F561" s="116">
        <v>984.25</v>
      </c>
      <c r="G561">
        <v>20252</v>
      </c>
      <c r="H561" s="116"/>
      <c r="I561" s="116"/>
      <c r="L561" s="170">
        <v>43837</v>
      </c>
      <c r="M561" s="116">
        <v>984.9</v>
      </c>
      <c r="N561" s="116">
        <v>1003</v>
      </c>
      <c r="O561" s="116">
        <v>980</v>
      </c>
      <c r="P561" s="116">
        <v>990</v>
      </c>
      <c r="Q561" s="116">
        <v>984.9</v>
      </c>
      <c r="R561">
        <v>570304</v>
      </c>
    </row>
    <row r="562" spans="1:18" x14ac:dyDescent="0.25">
      <c r="A562" s="170">
        <v>43838</v>
      </c>
      <c r="B562" s="116">
        <v>992.5</v>
      </c>
      <c r="C562" s="116">
        <v>989.65</v>
      </c>
      <c r="D562" s="116">
        <v>975.05</v>
      </c>
      <c r="E562" s="116">
        <v>980</v>
      </c>
      <c r="F562" s="116">
        <v>989.65</v>
      </c>
      <c r="G562">
        <v>15365</v>
      </c>
      <c r="H562" s="116"/>
      <c r="I562" s="116"/>
      <c r="L562" s="170">
        <v>43838</v>
      </c>
      <c r="M562" s="116">
        <v>987.75</v>
      </c>
      <c r="N562" s="116">
        <v>992.3</v>
      </c>
      <c r="O562" s="116">
        <v>975.2</v>
      </c>
      <c r="P562" s="116">
        <v>978</v>
      </c>
      <c r="Q562" s="116">
        <v>987.75</v>
      </c>
      <c r="R562">
        <v>368547</v>
      </c>
    </row>
    <row r="563" spans="1:18" x14ac:dyDescent="0.25">
      <c r="A563" s="170">
        <v>43839</v>
      </c>
      <c r="B563" s="116">
        <v>997.95</v>
      </c>
      <c r="C563" s="116">
        <v>988.1</v>
      </c>
      <c r="D563" s="116">
        <v>979.95</v>
      </c>
      <c r="E563" s="116">
        <v>992.5</v>
      </c>
      <c r="F563" s="116">
        <v>988.1</v>
      </c>
      <c r="G563">
        <v>62682</v>
      </c>
      <c r="H563" s="116"/>
      <c r="I563" s="116"/>
      <c r="L563" s="170">
        <v>43839</v>
      </c>
      <c r="M563" s="116">
        <v>988.5</v>
      </c>
      <c r="N563" s="116">
        <v>998</v>
      </c>
      <c r="O563" s="116">
        <v>979.75</v>
      </c>
      <c r="P563" s="116">
        <v>996.8</v>
      </c>
      <c r="Q563" s="116">
        <v>988.5</v>
      </c>
      <c r="R563">
        <v>614382</v>
      </c>
    </row>
    <row r="564" spans="1:18" x14ac:dyDescent="0.25">
      <c r="A564" s="170">
        <v>43840</v>
      </c>
      <c r="B564" s="116">
        <v>997.25</v>
      </c>
      <c r="C564" s="116">
        <v>987.6</v>
      </c>
      <c r="D564" s="116">
        <v>983.7</v>
      </c>
      <c r="E564" s="116">
        <v>995.95</v>
      </c>
      <c r="F564" s="116">
        <v>987.6</v>
      </c>
      <c r="G564">
        <v>10645</v>
      </c>
      <c r="H564" s="116"/>
      <c r="I564" s="116"/>
      <c r="L564" s="170">
        <v>43840</v>
      </c>
      <c r="M564" s="116">
        <v>989</v>
      </c>
      <c r="N564" s="116">
        <v>997</v>
      </c>
      <c r="O564" s="116">
        <v>983.3</v>
      </c>
      <c r="P564" s="116">
        <v>989</v>
      </c>
      <c r="Q564" s="116">
        <v>989</v>
      </c>
      <c r="R564">
        <v>351231</v>
      </c>
    </row>
    <row r="565" spans="1:18" x14ac:dyDescent="0.25">
      <c r="A565" s="170">
        <v>43843</v>
      </c>
      <c r="B565" s="116">
        <v>997.45</v>
      </c>
      <c r="C565" s="116">
        <v>989.1</v>
      </c>
      <c r="D565" s="116">
        <v>980</v>
      </c>
      <c r="E565" s="116">
        <v>993</v>
      </c>
      <c r="F565" s="116">
        <v>989.1</v>
      </c>
      <c r="G565">
        <v>11250</v>
      </c>
      <c r="H565" s="116"/>
      <c r="I565" s="116"/>
      <c r="L565" s="170">
        <v>43843</v>
      </c>
      <c r="M565" s="116">
        <v>989.85</v>
      </c>
      <c r="N565" s="116">
        <v>997.95</v>
      </c>
      <c r="O565" s="116">
        <v>980</v>
      </c>
      <c r="P565" s="116">
        <v>993</v>
      </c>
      <c r="Q565" s="116">
        <v>989.85</v>
      </c>
      <c r="R565">
        <v>332236</v>
      </c>
    </row>
    <row r="566" spans="1:18" x14ac:dyDescent="0.25">
      <c r="A566" s="170">
        <v>43844</v>
      </c>
      <c r="B566" s="116">
        <v>995.05</v>
      </c>
      <c r="C566" s="116">
        <v>987.55</v>
      </c>
      <c r="D566" s="116">
        <v>984.3</v>
      </c>
      <c r="E566" s="116">
        <v>992</v>
      </c>
      <c r="F566" s="116">
        <v>987.55</v>
      </c>
      <c r="G566">
        <v>8987</v>
      </c>
      <c r="H566" s="116"/>
      <c r="I566" s="116"/>
      <c r="L566" s="170">
        <v>43844</v>
      </c>
      <c r="M566" s="116">
        <v>987.8</v>
      </c>
      <c r="N566" s="116">
        <v>994</v>
      </c>
      <c r="O566" s="116">
        <v>984</v>
      </c>
      <c r="P566" s="116">
        <v>993</v>
      </c>
      <c r="Q566" s="116">
        <v>987.8</v>
      </c>
      <c r="R566">
        <v>369532</v>
      </c>
    </row>
    <row r="567" spans="1:18" x14ac:dyDescent="0.25">
      <c r="A567" s="170">
        <v>43845</v>
      </c>
      <c r="B567" s="116">
        <v>1001.8</v>
      </c>
      <c r="C567" s="116">
        <v>998.45</v>
      </c>
      <c r="D567" s="116">
        <v>981.2</v>
      </c>
      <c r="E567" s="116">
        <v>989.05</v>
      </c>
      <c r="F567" s="116">
        <v>998.45</v>
      </c>
      <c r="G567">
        <v>10224</v>
      </c>
      <c r="H567" s="116"/>
      <c r="I567" s="116"/>
      <c r="L567" s="170">
        <v>43845</v>
      </c>
      <c r="M567" s="116">
        <v>998.15</v>
      </c>
      <c r="N567" s="116">
        <v>1002</v>
      </c>
      <c r="O567" s="116">
        <v>981</v>
      </c>
      <c r="P567" s="116">
        <v>988</v>
      </c>
      <c r="Q567" s="116">
        <v>998.15</v>
      </c>
      <c r="R567">
        <v>533340</v>
      </c>
    </row>
    <row r="568" spans="1:18" x14ac:dyDescent="0.25">
      <c r="A568" s="170">
        <v>43846</v>
      </c>
      <c r="B568" s="116">
        <v>1002.25</v>
      </c>
      <c r="C568" s="116">
        <v>1000.05</v>
      </c>
      <c r="D568" s="116">
        <v>992.35</v>
      </c>
      <c r="E568" s="116">
        <v>998.4</v>
      </c>
      <c r="F568" s="116">
        <v>1000.05</v>
      </c>
      <c r="G568">
        <v>14776</v>
      </c>
      <c r="H568" s="116"/>
      <c r="I568" s="116"/>
      <c r="L568" s="170">
        <v>43846</v>
      </c>
      <c r="M568" s="116">
        <v>999.9</v>
      </c>
      <c r="N568" s="116">
        <v>1003</v>
      </c>
      <c r="O568" s="116">
        <v>992</v>
      </c>
      <c r="P568" s="116">
        <v>1000</v>
      </c>
      <c r="Q568" s="116">
        <v>999.9</v>
      </c>
      <c r="R568">
        <v>465355</v>
      </c>
    </row>
    <row r="569" spans="1:18" x14ac:dyDescent="0.25">
      <c r="A569" s="170">
        <v>43847</v>
      </c>
      <c r="B569" s="116">
        <v>1008.95</v>
      </c>
      <c r="C569" s="116">
        <v>996.45</v>
      </c>
      <c r="D569" s="116">
        <v>985.8</v>
      </c>
      <c r="E569" s="116">
        <v>1000</v>
      </c>
      <c r="F569" s="116">
        <v>996.45</v>
      </c>
      <c r="G569">
        <v>40898</v>
      </c>
      <c r="H569" s="116"/>
      <c r="I569" s="116"/>
      <c r="L569" s="170">
        <v>43847</v>
      </c>
      <c r="M569" s="116">
        <v>996.35</v>
      </c>
      <c r="N569" s="116">
        <v>1009.8</v>
      </c>
      <c r="O569" s="116">
        <v>985.25</v>
      </c>
      <c r="P569" s="116">
        <v>999.8</v>
      </c>
      <c r="Q569" s="116">
        <v>996.35</v>
      </c>
      <c r="R569">
        <v>372188</v>
      </c>
    </row>
    <row r="570" spans="1:18" x14ac:dyDescent="0.25">
      <c r="A570" s="170">
        <v>43850</v>
      </c>
      <c r="B570" s="116">
        <v>1009.8</v>
      </c>
      <c r="C570" s="116">
        <v>980.8</v>
      </c>
      <c r="D570" s="116">
        <v>976.5</v>
      </c>
      <c r="E570" s="116">
        <v>1001</v>
      </c>
      <c r="F570" s="116">
        <v>980.8</v>
      </c>
      <c r="G570">
        <v>10159</v>
      </c>
      <c r="H570" s="116"/>
      <c r="I570" s="116"/>
      <c r="L570" s="170">
        <v>43850</v>
      </c>
      <c r="M570" s="116">
        <v>981.5</v>
      </c>
      <c r="N570" s="116">
        <v>1001</v>
      </c>
      <c r="O570" s="116">
        <v>975.5</v>
      </c>
      <c r="P570" s="116">
        <v>1000</v>
      </c>
      <c r="Q570" s="116">
        <v>981.5</v>
      </c>
      <c r="R570">
        <v>341082</v>
      </c>
    </row>
    <row r="571" spans="1:18" x14ac:dyDescent="0.25">
      <c r="A571" s="170">
        <v>43851</v>
      </c>
      <c r="B571" s="116">
        <v>990</v>
      </c>
      <c r="C571" s="116">
        <v>973.05</v>
      </c>
      <c r="D571" s="116">
        <v>970</v>
      </c>
      <c r="E571" s="116">
        <v>990</v>
      </c>
      <c r="F571" s="116">
        <v>973.05</v>
      </c>
      <c r="G571">
        <v>68751</v>
      </c>
      <c r="H571" s="116"/>
      <c r="I571" s="116"/>
      <c r="L571" s="170">
        <v>43851</v>
      </c>
      <c r="M571" s="116">
        <v>972.75</v>
      </c>
      <c r="N571" s="116">
        <v>987</v>
      </c>
      <c r="O571" s="116">
        <v>970.2</v>
      </c>
      <c r="P571" s="116">
        <v>980</v>
      </c>
      <c r="Q571" s="116">
        <v>972.75</v>
      </c>
      <c r="R571">
        <v>355550</v>
      </c>
    </row>
    <row r="572" spans="1:18" x14ac:dyDescent="0.25">
      <c r="A572" s="170">
        <v>43852</v>
      </c>
      <c r="B572" s="116">
        <v>992.75</v>
      </c>
      <c r="C572" s="116">
        <v>982.35</v>
      </c>
      <c r="D572" s="116">
        <v>966.1</v>
      </c>
      <c r="E572" s="116">
        <v>966.1</v>
      </c>
      <c r="F572" s="116">
        <v>982.35</v>
      </c>
      <c r="G572">
        <v>36513</v>
      </c>
      <c r="H572" s="116"/>
      <c r="I572" s="116"/>
      <c r="L572" s="170">
        <v>43852</v>
      </c>
      <c r="M572" s="116">
        <v>981.7</v>
      </c>
      <c r="N572" s="116">
        <v>992.6</v>
      </c>
      <c r="O572" s="116">
        <v>972</v>
      </c>
      <c r="P572" s="116">
        <v>980</v>
      </c>
      <c r="Q572" s="116">
        <v>981.7</v>
      </c>
      <c r="R572">
        <v>1299987</v>
      </c>
    </row>
    <row r="573" spans="1:18" x14ac:dyDescent="0.25">
      <c r="A573" s="170">
        <v>43853</v>
      </c>
      <c r="B573" s="116">
        <v>1004.35</v>
      </c>
      <c r="C573" s="116">
        <v>980.8</v>
      </c>
      <c r="D573" s="116">
        <v>969.1</v>
      </c>
      <c r="E573" s="116">
        <v>985</v>
      </c>
      <c r="F573" s="116">
        <v>980.8</v>
      </c>
      <c r="G573">
        <v>38030</v>
      </c>
      <c r="H573" s="116"/>
      <c r="I573" s="116"/>
      <c r="L573" s="170">
        <v>43853</v>
      </c>
      <c r="M573" s="116">
        <v>985.95</v>
      </c>
      <c r="N573" s="116">
        <v>1004</v>
      </c>
      <c r="O573" s="116">
        <v>980.2</v>
      </c>
      <c r="P573" s="116">
        <v>985.4</v>
      </c>
      <c r="Q573" s="116">
        <v>985.95</v>
      </c>
      <c r="R573">
        <v>1151390</v>
      </c>
    </row>
    <row r="574" spans="1:18" x14ac:dyDescent="0.25">
      <c r="A574" s="170">
        <v>43854</v>
      </c>
      <c r="B574" s="116">
        <v>1019.65</v>
      </c>
      <c r="C574" s="116">
        <v>999.7</v>
      </c>
      <c r="D574" s="116">
        <v>977.45</v>
      </c>
      <c r="E574" s="116">
        <v>981</v>
      </c>
      <c r="F574" s="116">
        <v>999.7</v>
      </c>
      <c r="G574">
        <v>54862</v>
      </c>
      <c r="H574" s="116"/>
      <c r="I574" s="116"/>
      <c r="L574" s="170">
        <v>43854</v>
      </c>
      <c r="M574" s="116">
        <v>999.8</v>
      </c>
      <c r="N574" s="116">
        <v>1020</v>
      </c>
      <c r="O574" s="116">
        <v>977</v>
      </c>
      <c r="P574" s="116">
        <v>986</v>
      </c>
      <c r="Q574" s="116">
        <v>999.8</v>
      </c>
      <c r="R574">
        <v>1388247</v>
      </c>
    </row>
    <row r="575" spans="1:18" x14ac:dyDescent="0.25">
      <c r="A575" s="170">
        <v>43857</v>
      </c>
      <c r="B575" s="116">
        <v>1013.85</v>
      </c>
      <c r="C575" s="116">
        <v>992.6</v>
      </c>
      <c r="D575" s="116">
        <v>987.85</v>
      </c>
      <c r="E575" s="116">
        <v>1003</v>
      </c>
      <c r="F575" s="116">
        <v>992.6</v>
      </c>
      <c r="G575">
        <v>28005</v>
      </c>
      <c r="H575" s="116"/>
      <c r="I575" s="116"/>
      <c r="L575" s="170">
        <v>43857</v>
      </c>
      <c r="M575" s="116">
        <v>992.15</v>
      </c>
      <c r="N575" s="116">
        <v>1014.7</v>
      </c>
      <c r="O575" s="116">
        <v>987.35</v>
      </c>
      <c r="P575" s="116">
        <v>999.8</v>
      </c>
      <c r="Q575" s="116">
        <v>992.15</v>
      </c>
      <c r="R575">
        <v>740311</v>
      </c>
    </row>
    <row r="576" spans="1:18" x14ac:dyDescent="0.25">
      <c r="A576" s="170">
        <v>43858</v>
      </c>
      <c r="B576" s="116">
        <v>1006.6</v>
      </c>
      <c r="C576" s="116">
        <v>983.1</v>
      </c>
      <c r="D576" s="116">
        <v>976</v>
      </c>
      <c r="E576" s="116">
        <v>998.7</v>
      </c>
      <c r="F576" s="116">
        <v>983.1</v>
      </c>
      <c r="G576">
        <v>13271</v>
      </c>
      <c r="H576" s="116"/>
      <c r="I576" s="116"/>
      <c r="L576" s="170">
        <v>43858</v>
      </c>
      <c r="M576" s="116">
        <v>987.85</v>
      </c>
      <c r="N576" s="116">
        <v>1007</v>
      </c>
      <c r="O576" s="116">
        <v>975.75</v>
      </c>
      <c r="P576" s="116">
        <v>993</v>
      </c>
      <c r="Q576" s="116">
        <v>987.85</v>
      </c>
      <c r="R576">
        <v>578382</v>
      </c>
    </row>
    <row r="577" spans="1:18" x14ac:dyDescent="0.25">
      <c r="A577" s="170">
        <v>43859</v>
      </c>
      <c r="B577" s="116">
        <v>1011.8</v>
      </c>
      <c r="C577" s="116">
        <v>1007.6</v>
      </c>
      <c r="D577" s="116">
        <v>990</v>
      </c>
      <c r="E577" s="116">
        <v>990</v>
      </c>
      <c r="F577" s="116">
        <v>1007.6</v>
      </c>
      <c r="G577">
        <v>70945</v>
      </c>
      <c r="H577" s="116"/>
      <c r="I577" s="116"/>
      <c r="L577" s="170">
        <v>43859</v>
      </c>
      <c r="M577" s="116">
        <v>1007.8</v>
      </c>
      <c r="N577" s="116">
        <v>1012.15</v>
      </c>
      <c r="O577" s="116">
        <v>988</v>
      </c>
      <c r="P577" s="116">
        <v>992</v>
      </c>
      <c r="Q577" s="116">
        <v>1007.8</v>
      </c>
      <c r="R577">
        <v>538017</v>
      </c>
    </row>
    <row r="578" spans="1:18" x14ac:dyDescent="0.25">
      <c r="A578" s="170">
        <v>43860</v>
      </c>
      <c r="B578" s="116">
        <v>1017.45</v>
      </c>
      <c r="C578" s="116">
        <v>998.65</v>
      </c>
      <c r="D578" s="116">
        <v>990.1</v>
      </c>
      <c r="E578" s="116">
        <v>1015</v>
      </c>
      <c r="F578" s="116">
        <v>998.65</v>
      </c>
      <c r="G578">
        <v>14811</v>
      </c>
      <c r="H578" s="116"/>
      <c r="I578" s="116"/>
      <c r="L578" s="170">
        <v>43860</v>
      </c>
      <c r="M578" s="116">
        <v>998.25</v>
      </c>
      <c r="N578" s="116">
        <v>1017</v>
      </c>
      <c r="O578" s="116">
        <v>989.3</v>
      </c>
      <c r="P578" s="116">
        <v>1014</v>
      </c>
      <c r="Q578" s="116">
        <v>998.25</v>
      </c>
      <c r="R578">
        <v>561770</v>
      </c>
    </row>
    <row r="579" spans="1:18" x14ac:dyDescent="0.25">
      <c r="A579" s="170">
        <v>43861</v>
      </c>
      <c r="B579" s="116">
        <v>1004.75</v>
      </c>
      <c r="C579" s="116">
        <v>993.6</v>
      </c>
      <c r="D579" s="116">
        <v>983.4</v>
      </c>
      <c r="E579" s="116">
        <v>1002.7</v>
      </c>
      <c r="F579" s="116">
        <v>993.6</v>
      </c>
      <c r="G579">
        <v>16946</v>
      </c>
      <c r="H579" s="116"/>
      <c r="I579" s="116"/>
      <c r="L579" s="170">
        <v>43861</v>
      </c>
      <c r="M579" s="116">
        <v>994.1</v>
      </c>
      <c r="N579" s="116">
        <v>1006</v>
      </c>
      <c r="O579" s="116">
        <v>983.15</v>
      </c>
      <c r="P579" s="116">
        <v>1005</v>
      </c>
      <c r="Q579" s="116">
        <v>994.1</v>
      </c>
      <c r="R579">
        <v>445170</v>
      </c>
    </row>
    <row r="580" spans="1:18" x14ac:dyDescent="0.25">
      <c r="A580" s="170">
        <v>43862</v>
      </c>
      <c r="B580" s="116">
        <v>1012.85</v>
      </c>
      <c r="C580" s="116">
        <v>894</v>
      </c>
      <c r="D580" s="116">
        <v>885.5</v>
      </c>
      <c r="E580" s="116">
        <v>994.5</v>
      </c>
      <c r="F580" s="116">
        <v>894</v>
      </c>
      <c r="G580">
        <v>232200</v>
      </c>
      <c r="H580" s="116"/>
      <c r="I580" s="116"/>
      <c r="L580" s="170">
        <v>43862</v>
      </c>
      <c r="M580" s="116">
        <v>893.1</v>
      </c>
      <c r="N580" s="116">
        <v>1012.9</v>
      </c>
      <c r="O580" s="116">
        <v>885</v>
      </c>
      <c r="P580" s="116">
        <v>998</v>
      </c>
      <c r="Q580" s="116">
        <v>893.1</v>
      </c>
      <c r="R580">
        <v>4433306</v>
      </c>
    </row>
    <row r="581" spans="1:18" x14ac:dyDescent="0.25">
      <c r="A581" s="170">
        <v>43864</v>
      </c>
      <c r="B581" s="116">
        <v>921.9</v>
      </c>
      <c r="C581" s="116">
        <v>912.7</v>
      </c>
      <c r="D581" s="116">
        <v>855.05</v>
      </c>
      <c r="E581" s="116">
        <v>895</v>
      </c>
      <c r="F581" s="116">
        <v>912.7</v>
      </c>
      <c r="G581">
        <v>118635</v>
      </c>
      <c r="H581" s="116"/>
      <c r="I581" s="116"/>
      <c r="L581" s="170">
        <v>43864</v>
      </c>
      <c r="M581" s="116">
        <v>912.65</v>
      </c>
      <c r="N581" s="116">
        <v>921.85</v>
      </c>
      <c r="O581" s="116">
        <v>856.65</v>
      </c>
      <c r="P581" s="116">
        <v>895</v>
      </c>
      <c r="Q581" s="116">
        <v>912.65</v>
      </c>
      <c r="R581">
        <v>4046967</v>
      </c>
    </row>
    <row r="582" spans="1:18" x14ac:dyDescent="0.25">
      <c r="A582" s="170">
        <v>43865</v>
      </c>
      <c r="B582" s="116">
        <v>922.9</v>
      </c>
      <c r="C582" s="116">
        <v>911.15</v>
      </c>
      <c r="D582" s="116">
        <v>896.3</v>
      </c>
      <c r="E582" s="116">
        <v>914</v>
      </c>
      <c r="F582" s="116">
        <v>911.15</v>
      </c>
      <c r="G582">
        <v>48869</v>
      </c>
      <c r="H582" s="116"/>
      <c r="I582" s="116"/>
      <c r="L582" s="170">
        <v>43865</v>
      </c>
      <c r="M582" s="116">
        <v>911.6</v>
      </c>
      <c r="N582" s="116">
        <v>922.9</v>
      </c>
      <c r="O582" s="116">
        <v>896</v>
      </c>
      <c r="P582" s="116">
        <v>912</v>
      </c>
      <c r="Q582" s="116">
        <v>911.6</v>
      </c>
      <c r="R582">
        <v>2004591</v>
      </c>
    </row>
    <row r="583" spans="1:18" x14ac:dyDescent="0.25">
      <c r="A583" s="170">
        <v>43866</v>
      </c>
      <c r="B583" s="116">
        <v>931.5</v>
      </c>
      <c r="C583" s="116">
        <v>910.9</v>
      </c>
      <c r="D583" s="116">
        <v>899.05</v>
      </c>
      <c r="E583" s="116">
        <v>931.5</v>
      </c>
      <c r="F583" s="116">
        <v>910.9</v>
      </c>
      <c r="G583">
        <v>38398</v>
      </c>
      <c r="H583" s="116"/>
      <c r="I583" s="116"/>
      <c r="L583" s="170">
        <v>43866</v>
      </c>
      <c r="M583" s="116">
        <v>910.55</v>
      </c>
      <c r="N583" s="116">
        <v>915.8</v>
      </c>
      <c r="O583" s="116">
        <v>898.5</v>
      </c>
      <c r="P583" s="116">
        <v>913.6</v>
      </c>
      <c r="Q583" s="116">
        <v>910.55</v>
      </c>
      <c r="R583">
        <v>1337410</v>
      </c>
    </row>
    <row r="584" spans="1:18" x14ac:dyDescent="0.25">
      <c r="A584" s="170">
        <v>43867</v>
      </c>
      <c r="B584" s="116">
        <v>924.7</v>
      </c>
      <c r="C584" s="116">
        <v>919.6</v>
      </c>
      <c r="D584" s="116">
        <v>911</v>
      </c>
      <c r="E584" s="116">
        <v>911</v>
      </c>
      <c r="F584" s="116">
        <v>919.6</v>
      </c>
      <c r="G584">
        <v>28759</v>
      </c>
      <c r="H584" s="116"/>
      <c r="I584" s="116"/>
      <c r="L584" s="170">
        <v>43867</v>
      </c>
      <c r="M584" s="116">
        <v>919.5</v>
      </c>
      <c r="N584" s="116">
        <v>925</v>
      </c>
      <c r="O584" s="116">
        <v>912.05</v>
      </c>
      <c r="P584" s="116">
        <v>916.1</v>
      </c>
      <c r="Q584" s="116">
        <v>919.5</v>
      </c>
      <c r="R584">
        <v>1185756</v>
      </c>
    </row>
    <row r="585" spans="1:18" x14ac:dyDescent="0.25">
      <c r="A585" s="170">
        <v>43868</v>
      </c>
      <c r="B585" s="116">
        <v>955</v>
      </c>
      <c r="C585" s="116">
        <v>947.35</v>
      </c>
      <c r="D585" s="116">
        <v>916</v>
      </c>
      <c r="E585" s="116">
        <v>925</v>
      </c>
      <c r="F585" s="116">
        <v>947.35</v>
      </c>
      <c r="G585">
        <v>77424</v>
      </c>
      <c r="H585" s="116"/>
      <c r="I585" s="116"/>
      <c r="L585" s="170">
        <v>43868</v>
      </c>
      <c r="M585" s="116">
        <v>947.3</v>
      </c>
      <c r="N585" s="116">
        <v>955.45</v>
      </c>
      <c r="O585" s="116">
        <v>915.55</v>
      </c>
      <c r="P585" s="116">
        <v>920</v>
      </c>
      <c r="Q585" s="116">
        <v>947.3</v>
      </c>
      <c r="R585">
        <v>1642253</v>
      </c>
    </row>
    <row r="586" spans="1:18" x14ac:dyDescent="0.25">
      <c r="A586" s="170">
        <v>43871</v>
      </c>
      <c r="B586" s="116">
        <v>956.2</v>
      </c>
      <c r="C586" s="116">
        <v>952.8</v>
      </c>
      <c r="D586" s="116">
        <v>938.5</v>
      </c>
      <c r="E586" s="116">
        <v>950</v>
      </c>
      <c r="F586" s="116">
        <v>952.8</v>
      </c>
      <c r="G586">
        <v>15739</v>
      </c>
      <c r="H586" s="116"/>
      <c r="I586" s="116"/>
      <c r="L586" s="170">
        <v>43871</v>
      </c>
      <c r="M586" s="116">
        <v>952.8</v>
      </c>
      <c r="N586" s="116">
        <v>956.25</v>
      </c>
      <c r="O586" s="116">
        <v>938</v>
      </c>
      <c r="P586" s="116">
        <v>952</v>
      </c>
      <c r="Q586" s="116">
        <v>952.8</v>
      </c>
      <c r="R586">
        <v>734151</v>
      </c>
    </row>
    <row r="587" spans="1:18" x14ac:dyDescent="0.25">
      <c r="A587" s="170">
        <v>43872</v>
      </c>
      <c r="B587" s="116">
        <v>958</v>
      </c>
      <c r="C587" s="116">
        <v>939.45</v>
      </c>
      <c r="D587" s="116">
        <v>936.7</v>
      </c>
      <c r="E587" s="116">
        <v>956.2</v>
      </c>
      <c r="F587" s="116">
        <v>939.45</v>
      </c>
      <c r="G587">
        <v>17514</v>
      </c>
      <c r="H587" s="116"/>
      <c r="I587" s="116"/>
      <c r="L587" s="170">
        <v>43872</v>
      </c>
      <c r="M587" s="116">
        <v>939.75</v>
      </c>
      <c r="N587" s="116">
        <v>960.45</v>
      </c>
      <c r="O587" s="116">
        <v>935.8</v>
      </c>
      <c r="P587" s="116">
        <v>960.45</v>
      </c>
      <c r="Q587" s="116">
        <v>939.75</v>
      </c>
      <c r="R587">
        <v>584552</v>
      </c>
    </row>
    <row r="588" spans="1:18" x14ac:dyDescent="0.25">
      <c r="A588" s="170">
        <v>43873</v>
      </c>
      <c r="B588" s="116">
        <v>949.05</v>
      </c>
      <c r="C588" s="116">
        <v>932.75</v>
      </c>
      <c r="D588" s="116">
        <v>925.3</v>
      </c>
      <c r="E588" s="116">
        <v>940.05</v>
      </c>
      <c r="F588" s="116">
        <v>932.75</v>
      </c>
      <c r="G588">
        <v>11900</v>
      </c>
      <c r="H588" s="116"/>
      <c r="I588" s="116"/>
      <c r="L588" s="170">
        <v>43873</v>
      </c>
      <c r="M588" s="116">
        <v>932.85</v>
      </c>
      <c r="N588" s="116">
        <v>948.8</v>
      </c>
      <c r="O588" s="116">
        <v>925</v>
      </c>
      <c r="P588" s="116">
        <v>944.75</v>
      </c>
      <c r="Q588" s="116">
        <v>932.85</v>
      </c>
      <c r="R588">
        <v>925589</v>
      </c>
    </row>
    <row r="589" spans="1:18" x14ac:dyDescent="0.25">
      <c r="A589" s="170">
        <v>43874</v>
      </c>
      <c r="B589" s="116">
        <v>946.5</v>
      </c>
      <c r="C589" s="116">
        <v>927.55</v>
      </c>
      <c r="D589" s="116">
        <v>916.05</v>
      </c>
      <c r="E589" s="116">
        <v>946.5</v>
      </c>
      <c r="F589" s="116">
        <v>927.55</v>
      </c>
      <c r="G589">
        <v>19057</v>
      </c>
      <c r="H589" s="116"/>
      <c r="I589" s="116"/>
      <c r="L589" s="170">
        <v>43874</v>
      </c>
      <c r="M589" s="116">
        <v>927.55</v>
      </c>
      <c r="N589" s="116">
        <v>937</v>
      </c>
      <c r="O589" s="116">
        <v>916</v>
      </c>
      <c r="P589" s="116">
        <v>937</v>
      </c>
      <c r="Q589" s="116">
        <v>927.55</v>
      </c>
      <c r="R589">
        <v>551572</v>
      </c>
    </row>
    <row r="590" spans="1:18" x14ac:dyDescent="0.25">
      <c r="A590" s="170">
        <v>43875</v>
      </c>
      <c r="B590" s="116">
        <v>931.95</v>
      </c>
      <c r="C590" s="116">
        <v>912.5</v>
      </c>
      <c r="D590" s="116">
        <v>906</v>
      </c>
      <c r="E590" s="116">
        <v>931.95</v>
      </c>
      <c r="F590" s="116">
        <v>912.5</v>
      </c>
      <c r="G590">
        <v>50880</v>
      </c>
      <c r="H590" s="116"/>
      <c r="I590" s="116"/>
      <c r="L590" s="170">
        <v>43875</v>
      </c>
      <c r="M590" s="116">
        <v>914.25</v>
      </c>
      <c r="N590" s="116">
        <v>932.4</v>
      </c>
      <c r="O590" s="116">
        <v>907</v>
      </c>
      <c r="P590" s="116">
        <v>932.4</v>
      </c>
      <c r="Q590" s="116">
        <v>914.25</v>
      </c>
      <c r="R590">
        <v>402685</v>
      </c>
    </row>
    <row r="591" spans="1:18" x14ac:dyDescent="0.25">
      <c r="A591" s="170">
        <v>43878</v>
      </c>
      <c r="B591" s="116">
        <v>927</v>
      </c>
      <c r="C591" s="116">
        <v>913</v>
      </c>
      <c r="D591" s="116">
        <v>904.15</v>
      </c>
      <c r="E591" s="116">
        <v>915</v>
      </c>
      <c r="F591" s="116">
        <v>913</v>
      </c>
      <c r="G591">
        <v>7059</v>
      </c>
      <c r="H591" s="116"/>
      <c r="I591" s="116"/>
      <c r="L591" s="170">
        <v>43878</v>
      </c>
      <c r="M591" s="116">
        <v>914.4</v>
      </c>
      <c r="N591" s="116">
        <v>919.45</v>
      </c>
      <c r="O591" s="116">
        <v>904</v>
      </c>
      <c r="P591" s="116">
        <v>915.5</v>
      </c>
      <c r="Q591" s="116">
        <v>914.4</v>
      </c>
      <c r="R591">
        <v>355839</v>
      </c>
    </row>
    <row r="592" spans="1:18" x14ac:dyDescent="0.25">
      <c r="A592" s="170">
        <v>43879</v>
      </c>
      <c r="B592" s="116">
        <v>921</v>
      </c>
      <c r="C592" s="116">
        <v>916</v>
      </c>
      <c r="D592" s="116">
        <v>907.1</v>
      </c>
      <c r="E592" s="116">
        <v>913</v>
      </c>
      <c r="F592" s="116">
        <v>916</v>
      </c>
      <c r="G592">
        <v>48151</v>
      </c>
      <c r="H592" s="116"/>
      <c r="I592" s="116"/>
      <c r="L592" s="170">
        <v>43879</v>
      </c>
      <c r="M592" s="116">
        <v>916.05</v>
      </c>
      <c r="N592" s="116">
        <v>921.45</v>
      </c>
      <c r="O592" s="116">
        <v>907.1</v>
      </c>
      <c r="P592" s="116">
        <v>915</v>
      </c>
      <c r="Q592" s="116">
        <v>916.05</v>
      </c>
      <c r="R592">
        <v>901858</v>
      </c>
    </row>
    <row r="593" spans="1:18" x14ac:dyDescent="0.25">
      <c r="A593" s="170">
        <v>43880</v>
      </c>
      <c r="B593" s="116">
        <v>942</v>
      </c>
      <c r="C593" s="116">
        <v>938.85</v>
      </c>
      <c r="D593" s="116">
        <v>916.3</v>
      </c>
      <c r="E593" s="116">
        <v>916.3</v>
      </c>
      <c r="F593" s="116">
        <v>938.85</v>
      </c>
      <c r="G593">
        <v>18068</v>
      </c>
      <c r="H593" s="116"/>
      <c r="I593" s="116"/>
      <c r="L593" s="170">
        <v>43880</v>
      </c>
      <c r="M593" s="116">
        <v>938.2</v>
      </c>
      <c r="N593" s="116">
        <v>942.45</v>
      </c>
      <c r="O593" s="116">
        <v>918.1</v>
      </c>
      <c r="P593" s="116">
        <v>918.1</v>
      </c>
      <c r="Q593" s="116">
        <v>938.2</v>
      </c>
      <c r="R593">
        <v>786366</v>
      </c>
    </row>
    <row r="594" spans="1:18" x14ac:dyDescent="0.25">
      <c r="A594" s="170">
        <v>43881</v>
      </c>
      <c r="B594" s="116">
        <v>945.65</v>
      </c>
      <c r="C594" s="116">
        <v>927.95</v>
      </c>
      <c r="D594" s="116">
        <v>922.05</v>
      </c>
      <c r="E594" s="116">
        <v>940</v>
      </c>
      <c r="F594" s="116">
        <v>927.95</v>
      </c>
      <c r="G594">
        <v>77763</v>
      </c>
      <c r="H594" s="116"/>
      <c r="I594" s="116"/>
      <c r="L594" s="170">
        <v>43881</v>
      </c>
      <c r="M594" s="116">
        <v>928.75</v>
      </c>
      <c r="N594" s="116">
        <v>945</v>
      </c>
      <c r="O594" s="116">
        <v>921.7</v>
      </c>
      <c r="P594" s="116">
        <v>939.7</v>
      </c>
      <c r="Q594" s="116">
        <v>928.75</v>
      </c>
      <c r="R594">
        <v>784552</v>
      </c>
    </row>
    <row r="595" spans="1:18" x14ac:dyDescent="0.25">
      <c r="A595" s="170">
        <v>43885</v>
      </c>
      <c r="B595" s="116">
        <v>940.5</v>
      </c>
      <c r="C595" s="116">
        <v>916.3</v>
      </c>
      <c r="D595" s="116">
        <v>910.6</v>
      </c>
      <c r="E595" s="116">
        <v>926.95</v>
      </c>
      <c r="F595" s="116">
        <v>916.3</v>
      </c>
      <c r="G595">
        <v>15398</v>
      </c>
      <c r="H595" s="116"/>
      <c r="I595" s="116"/>
      <c r="L595" s="170">
        <v>43885</v>
      </c>
      <c r="M595" s="116">
        <v>916.6</v>
      </c>
      <c r="N595" s="116">
        <v>941.5</v>
      </c>
      <c r="O595" s="116">
        <v>910</v>
      </c>
      <c r="P595" s="116">
        <v>923.6</v>
      </c>
      <c r="Q595" s="116">
        <v>916.6</v>
      </c>
      <c r="R595">
        <v>493211</v>
      </c>
    </row>
    <row r="596" spans="1:18" x14ac:dyDescent="0.25">
      <c r="A596" s="170">
        <v>43886</v>
      </c>
      <c r="B596" s="116">
        <v>932.8</v>
      </c>
      <c r="C596" s="116">
        <v>900.95</v>
      </c>
      <c r="D596" s="116">
        <v>891.9</v>
      </c>
      <c r="E596" s="116">
        <v>928</v>
      </c>
      <c r="F596" s="116">
        <v>900.95</v>
      </c>
      <c r="G596">
        <v>16048</v>
      </c>
      <c r="H596" s="116"/>
      <c r="I596" s="116"/>
      <c r="L596" s="170">
        <v>43886</v>
      </c>
      <c r="M596" s="116">
        <v>901.2</v>
      </c>
      <c r="N596" s="116">
        <v>934.7</v>
      </c>
      <c r="O596" s="116">
        <v>891.75</v>
      </c>
      <c r="P596" s="116">
        <v>923.5</v>
      </c>
      <c r="Q596" s="116">
        <v>901.2</v>
      </c>
      <c r="R596">
        <v>760359</v>
      </c>
    </row>
    <row r="597" spans="1:18" x14ac:dyDescent="0.25">
      <c r="A597" s="170">
        <v>43887</v>
      </c>
      <c r="B597" s="116">
        <v>914.45</v>
      </c>
      <c r="C597" s="116">
        <v>891.25</v>
      </c>
      <c r="D597" s="116">
        <v>882.3</v>
      </c>
      <c r="E597" s="116">
        <v>899.95</v>
      </c>
      <c r="F597" s="116">
        <v>891.25</v>
      </c>
      <c r="G597">
        <v>52003</v>
      </c>
      <c r="H597" s="116"/>
      <c r="I597" s="116"/>
      <c r="L597" s="170">
        <v>43887</v>
      </c>
      <c r="M597" s="116">
        <v>891.35</v>
      </c>
      <c r="N597" s="116">
        <v>914.8</v>
      </c>
      <c r="O597" s="116">
        <v>881.5</v>
      </c>
      <c r="P597" s="116">
        <v>893.8</v>
      </c>
      <c r="Q597" s="116">
        <v>891.35</v>
      </c>
      <c r="R597">
        <v>807168</v>
      </c>
    </row>
    <row r="598" spans="1:18" x14ac:dyDescent="0.25">
      <c r="A598" s="170">
        <v>43888</v>
      </c>
      <c r="B598" s="116">
        <v>914</v>
      </c>
      <c r="C598" s="116">
        <v>905.7</v>
      </c>
      <c r="D598" s="116">
        <v>876</v>
      </c>
      <c r="E598" s="116">
        <v>898</v>
      </c>
      <c r="F598" s="116">
        <v>905.7</v>
      </c>
      <c r="G598">
        <v>25434</v>
      </c>
      <c r="H598" s="116"/>
      <c r="I598" s="116"/>
      <c r="L598" s="170">
        <v>43888</v>
      </c>
      <c r="M598" s="116">
        <v>905.35</v>
      </c>
      <c r="N598" s="116">
        <v>913.9</v>
      </c>
      <c r="O598" s="116">
        <v>875</v>
      </c>
      <c r="P598" s="116">
        <v>890.8</v>
      </c>
      <c r="Q598" s="116">
        <v>905.35</v>
      </c>
      <c r="R598">
        <v>821122</v>
      </c>
    </row>
    <row r="599" spans="1:18" x14ac:dyDescent="0.25">
      <c r="A599" s="170">
        <v>43889</v>
      </c>
      <c r="B599" s="116">
        <v>900</v>
      </c>
      <c r="C599" s="116">
        <v>889.5</v>
      </c>
      <c r="D599" s="116">
        <v>875.05</v>
      </c>
      <c r="E599" s="116">
        <v>900</v>
      </c>
      <c r="F599" s="116">
        <v>889.5</v>
      </c>
      <c r="G599">
        <v>44758</v>
      </c>
      <c r="H599" s="116"/>
      <c r="I599" s="116"/>
      <c r="L599" s="170">
        <v>43889</v>
      </c>
      <c r="M599" s="116">
        <v>890.4</v>
      </c>
      <c r="N599" s="116">
        <v>895</v>
      </c>
      <c r="O599" s="116">
        <v>875</v>
      </c>
      <c r="P599" s="116">
        <v>886</v>
      </c>
      <c r="Q599" s="116">
        <v>890.4</v>
      </c>
      <c r="R599">
        <v>1002851</v>
      </c>
    </row>
    <row r="600" spans="1:18" x14ac:dyDescent="0.25">
      <c r="A600" s="170">
        <v>43892</v>
      </c>
      <c r="B600" s="116">
        <v>908</v>
      </c>
      <c r="C600" s="116">
        <v>893.25</v>
      </c>
      <c r="D600" s="116">
        <v>879.2</v>
      </c>
      <c r="E600" s="116">
        <v>890</v>
      </c>
      <c r="F600" s="116">
        <v>893.25</v>
      </c>
      <c r="G600">
        <v>13213</v>
      </c>
      <c r="H600" s="116"/>
      <c r="I600" s="116"/>
      <c r="L600" s="170">
        <v>43892</v>
      </c>
      <c r="M600" s="116">
        <v>894.15</v>
      </c>
      <c r="N600" s="116">
        <v>909</v>
      </c>
      <c r="O600" s="116">
        <v>878</v>
      </c>
      <c r="P600" s="116">
        <v>895.15</v>
      </c>
      <c r="Q600" s="116">
        <v>894.15</v>
      </c>
      <c r="R600">
        <v>629219</v>
      </c>
    </row>
    <row r="601" spans="1:18" x14ac:dyDescent="0.25">
      <c r="A601" s="170">
        <v>43893</v>
      </c>
      <c r="B601" s="116">
        <v>913.55</v>
      </c>
      <c r="C601" s="116">
        <v>899.35</v>
      </c>
      <c r="D601" s="116">
        <v>892.8</v>
      </c>
      <c r="E601" s="116">
        <v>900</v>
      </c>
      <c r="F601" s="116">
        <v>899.35</v>
      </c>
      <c r="G601">
        <v>14668</v>
      </c>
      <c r="H601" s="116"/>
      <c r="I601" s="116"/>
      <c r="L601" s="170">
        <v>43893</v>
      </c>
      <c r="M601" s="116">
        <v>899.85</v>
      </c>
      <c r="N601" s="116">
        <v>914</v>
      </c>
      <c r="O601" s="116">
        <v>892.05</v>
      </c>
      <c r="P601" s="116">
        <v>903.05</v>
      </c>
      <c r="Q601" s="116">
        <v>899.85</v>
      </c>
      <c r="R601">
        <v>615494</v>
      </c>
    </row>
    <row r="602" spans="1:18" x14ac:dyDescent="0.25">
      <c r="A602" s="170">
        <v>43894</v>
      </c>
      <c r="B602" s="116">
        <v>911.85</v>
      </c>
      <c r="C602" s="116">
        <v>885.65</v>
      </c>
      <c r="D602" s="116">
        <v>876.45</v>
      </c>
      <c r="E602" s="116">
        <v>906.4</v>
      </c>
      <c r="F602" s="116">
        <v>885.65</v>
      </c>
      <c r="G602">
        <v>467438</v>
      </c>
      <c r="H602" s="116"/>
      <c r="I602" s="116"/>
      <c r="L602" s="170">
        <v>43894</v>
      </c>
      <c r="M602" s="116">
        <v>885.1</v>
      </c>
      <c r="N602" s="116">
        <v>912</v>
      </c>
      <c r="O602" s="116">
        <v>877</v>
      </c>
      <c r="P602" s="116">
        <v>902.9</v>
      </c>
      <c r="Q602" s="116">
        <v>885.1</v>
      </c>
      <c r="R602">
        <v>769392</v>
      </c>
    </row>
    <row r="603" spans="1:18" x14ac:dyDescent="0.25">
      <c r="A603" s="170">
        <v>43895</v>
      </c>
      <c r="B603" s="116">
        <v>898.55</v>
      </c>
      <c r="C603" s="116">
        <v>886.25</v>
      </c>
      <c r="D603" s="116">
        <v>878</v>
      </c>
      <c r="E603" s="116">
        <v>886.05</v>
      </c>
      <c r="F603" s="116">
        <v>886.25</v>
      </c>
      <c r="G603">
        <v>13307</v>
      </c>
      <c r="H603" s="116"/>
      <c r="I603" s="116"/>
      <c r="L603" s="170">
        <v>43895</v>
      </c>
      <c r="M603" s="116">
        <v>884.45</v>
      </c>
      <c r="N603" s="116">
        <v>901.45</v>
      </c>
      <c r="O603" s="116">
        <v>876.55</v>
      </c>
      <c r="P603" s="116">
        <v>891.35</v>
      </c>
      <c r="Q603" s="116">
        <v>884.45</v>
      </c>
      <c r="R603">
        <v>1014502</v>
      </c>
    </row>
    <row r="604" spans="1:18" x14ac:dyDescent="0.25">
      <c r="A604" s="170">
        <v>43896</v>
      </c>
      <c r="B604" s="116">
        <v>879.85</v>
      </c>
      <c r="C604" s="116">
        <v>855.85</v>
      </c>
      <c r="D604" s="116">
        <v>849</v>
      </c>
      <c r="E604" s="116">
        <v>875</v>
      </c>
      <c r="F604" s="116">
        <v>855.85</v>
      </c>
      <c r="G604">
        <v>75305</v>
      </c>
      <c r="H604" s="116"/>
      <c r="I604" s="116"/>
      <c r="L604" s="170">
        <v>43896</v>
      </c>
      <c r="M604" s="116">
        <v>853.95</v>
      </c>
      <c r="N604" s="116">
        <v>881.5</v>
      </c>
      <c r="O604" s="116">
        <v>848.3</v>
      </c>
      <c r="P604" s="116">
        <v>865</v>
      </c>
      <c r="Q604" s="116">
        <v>853.95</v>
      </c>
      <c r="R604">
        <v>1436479</v>
      </c>
    </row>
    <row r="605" spans="1:18" x14ac:dyDescent="0.25">
      <c r="A605" s="170">
        <v>43899</v>
      </c>
      <c r="B605" s="116">
        <v>861.75</v>
      </c>
      <c r="C605" s="116">
        <v>821.15</v>
      </c>
      <c r="D605" s="116">
        <v>804.1</v>
      </c>
      <c r="E605" s="116">
        <v>849.95</v>
      </c>
      <c r="F605" s="116">
        <v>821.15</v>
      </c>
      <c r="G605">
        <v>43088</v>
      </c>
      <c r="H605" s="116"/>
      <c r="I605" s="116"/>
      <c r="L605" s="170">
        <v>43899</v>
      </c>
      <c r="M605" s="116">
        <v>825.3</v>
      </c>
      <c r="N605" s="116">
        <v>861.9</v>
      </c>
      <c r="O605" s="116">
        <v>803</v>
      </c>
      <c r="P605" s="116">
        <v>836.2</v>
      </c>
      <c r="Q605" s="116">
        <v>825.3</v>
      </c>
      <c r="R605">
        <v>1424660</v>
      </c>
    </row>
    <row r="606" spans="1:18" x14ac:dyDescent="0.25">
      <c r="A606" s="170">
        <v>43901</v>
      </c>
      <c r="B606" s="116">
        <v>847.35</v>
      </c>
      <c r="C606" s="116">
        <v>810.5</v>
      </c>
      <c r="D606" s="116">
        <v>783.7</v>
      </c>
      <c r="E606" s="116">
        <v>821.95</v>
      </c>
      <c r="F606" s="116">
        <v>810.5</v>
      </c>
      <c r="G606">
        <v>83572</v>
      </c>
      <c r="H606" s="116"/>
      <c r="I606" s="116"/>
      <c r="L606" s="170">
        <v>43901</v>
      </c>
      <c r="M606" s="116">
        <v>808.95</v>
      </c>
      <c r="N606" s="116">
        <v>847.9</v>
      </c>
      <c r="O606" s="116">
        <v>784.15</v>
      </c>
      <c r="P606" s="116">
        <v>819</v>
      </c>
      <c r="Q606" s="116">
        <v>808.95</v>
      </c>
      <c r="R606">
        <v>1305970</v>
      </c>
    </row>
    <row r="607" spans="1:18" x14ac:dyDescent="0.25">
      <c r="A607" s="170">
        <v>43902</v>
      </c>
      <c r="B607" s="116">
        <v>799</v>
      </c>
      <c r="C607" s="116">
        <v>753.75</v>
      </c>
      <c r="D607" s="116">
        <v>700</v>
      </c>
      <c r="E607" s="116">
        <v>799</v>
      </c>
      <c r="F607" s="116">
        <v>753.75</v>
      </c>
      <c r="G607">
        <v>50950</v>
      </c>
      <c r="H607" s="116"/>
      <c r="I607" s="116"/>
      <c r="L607" s="170">
        <v>43902</v>
      </c>
      <c r="M607" s="116">
        <v>751.7</v>
      </c>
      <c r="N607" s="116">
        <v>775.7</v>
      </c>
      <c r="O607" s="116">
        <v>700</v>
      </c>
      <c r="P607" s="116">
        <v>761</v>
      </c>
      <c r="Q607" s="116">
        <v>751.7</v>
      </c>
      <c r="R607">
        <v>2111588</v>
      </c>
    </row>
    <row r="608" spans="1:18" x14ac:dyDescent="0.25">
      <c r="A608" s="170">
        <v>43903</v>
      </c>
      <c r="B608" s="116">
        <v>795.15</v>
      </c>
      <c r="C608" s="116">
        <v>761.55</v>
      </c>
      <c r="D608" s="116">
        <v>624.1</v>
      </c>
      <c r="E608" s="116">
        <v>680</v>
      </c>
      <c r="F608" s="116">
        <v>761.55</v>
      </c>
      <c r="G608">
        <v>57474</v>
      </c>
      <c r="H608" s="116"/>
      <c r="I608" s="116"/>
      <c r="L608" s="170">
        <v>43903</v>
      </c>
      <c r="M608" s="116">
        <v>761.95</v>
      </c>
      <c r="N608" s="116">
        <v>795</v>
      </c>
      <c r="O608" s="116">
        <v>625.1</v>
      </c>
      <c r="P608" s="116">
        <v>665</v>
      </c>
      <c r="Q608" s="116">
        <v>761.95</v>
      </c>
      <c r="R608">
        <v>2077233</v>
      </c>
    </row>
    <row r="609" spans="1:18" x14ac:dyDescent="0.25">
      <c r="A609" s="170">
        <v>43906</v>
      </c>
      <c r="B609" s="116">
        <v>771.55</v>
      </c>
      <c r="C609" s="116">
        <v>719.4</v>
      </c>
      <c r="D609" s="116">
        <v>662.55</v>
      </c>
      <c r="E609" s="116">
        <v>745</v>
      </c>
      <c r="F609" s="116">
        <v>719.4</v>
      </c>
      <c r="G609">
        <v>133967</v>
      </c>
      <c r="H609" s="116"/>
      <c r="I609" s="116"/>
      <c r="L609" s="170">
        <v>43906</v>
      </c>
      <c r="M609" s="116">
        <v>731.55</v>
      </c>
      <c r="N609" s="116">
        <v>772.85</v>
      </c>
      <c r="O609" s="116">
        <v>661.6</v>
      </c>
      <c r="P609" s="116">
        <v>701</v>
      </c>
      <c r="Q609" s="116">
        <v>731.55</v>
      </c>
      <c r="R609">
        <v>1588592</v>
      </c>
    </row>
    <row r="610" spans="1:18" x14ac:dyDescent="0.25">
      <c r="A610" s="170">
        <v>43907</v>
      </c>
      <c r="B610" s="116">
        <v>769</v>
      </c>
      <c r="C610" s="116">
        <v>687.8</v>
      </c>
      <c r="D610" s="116">
        <v>676</v>
      </c>
      <c r="E610" s="116">
        <v>720.1</v>
      </c>
      <c r="F610" s="116">
        <v>687.8</v>
      </c>
      <c r="G610">
        <v>47393</v>
      </c>
      <c r="H610" s="116"/>
      <c r="I610" s="116"/>
      <c r="L610" s="170">
        <v>43907</v>
      </c>
      <c r="M610" s="116">
        <v>687</v>
      </c>
      <c r="N610" s="116">
        <v>768.5</v>
      </c>
      <c r="O610" s="116">
        <v>675</v>
      </c>
      <c r="P610" s="116">
        <v>732</v>
      </c>
      <c r="Q610" s="116">
        <v>687</v>
      </c>
      <c r="R610">
        <v>1398543</v>
      </c>
    </row>
    <row r="611" spans="1:18" x14ac:dyDescent="0.25">
      <c r="A611" s="170">
        <v>43908</v>
      </c>
      <c r="B611" s="116">
        <v>700</v>
      </c>
      <c r="C611" s="116">
        <v>596</v>
      </c>
      <c r="D611" s="116">
        <v>588.85</v>
      </c>
      <c r="E611" s="116">
        <v>700</v>
      </c>
      <c r="F611" s="116">
        <v>596</v>
      </c>
      <c r="G611">
        <v>63763</v>
      </c>
      <c r="H611" s="116"/>
      <c r="I611" s="116"/>
      <c r="L611" s="170">
        <v>43908</v>
      </c>
      <c r="M611" s="116">
        <v>596.25</v>
      </c>
      <c r="N611" s="116">
        <v>696.95</v>
      </c>
      <c r="O611" s="116">
        <v>588.15</v>
      </c>
      <c r="P611" s="116">
        <v>695.05</v>
      </c>
      <c r="Q611" s="116">
        <v>596.25</v>
      </c>
      <c r="R611">
        <v>2202109</v>
      </c>
    </row>
    <row r="612" spans="1:18" x14ac:dyDescent="0.25">
      <c r="A612" s="170">
        <v>43909</v>
      </c>
      <c r="B612" s="116">
        <v>634</v>
      </c>
      <c r="C612" s="116">
        <v>609.35</v>
      </c>
      <c r="D612" s="116">
        <v>520</v>
      </c>
      <c r="E612" s="116">
        <v>570</v>
      </c>
      <c r="F612" s="116">
        <v>609.35</v>
      </c>
      <c r="G612">
        <v>94095</v>
      </c>
      <c r="H612" s="116"/>
      <c r="I612" s="116"/>
      <c r="L612" s="170">
        <v>43909</v>
      </c>
      <c r="M612" s="116">
        <v>607.70000000000005</v>
      </c>
      <c r="N612" s="116">
        <v>619.9</v>
      </c>
      <c r="O612" s="116">
        <v>519.4</v>
      </c>
      <c r="P612" s="116">
        <v>565</v>
      </c>
      <c r="Q612" s="116">
        <v>607.70000000000005</v>
      </c>
      <c r="R612">
        <v>2917031</v>
      </c>
    </row>
    <row r="613" spans="1:18" x14ac:dyDescent="0.25">
      <c r="A613" s="170">
        <v>43910</v>
      </c>
      <c r="B613" s="116">
        <v>680</v>
      </c>
      <c r="C613" s="116">
        <v>636.45000000000005</v>
      </c>
      <c r="D613" s="116">
        <v>605.65</v>
      </c>
      <c r="E613" s="116">
        <v>610</v>
      </c>
      <c r="F613" s="116">
        <v>636.45000000000005</v>
      </c>
      <c r="G613">
        <v>107820</v>
      </c>
      <c r="H613" s="116"/>
      <c r="I613" s="116"/>
      <c r="L613" s="170">
        <v>43910</v>
      </c>
      <c r="M613" s="116">
        <v>633.5</v>
      </c>
      <c r="N613" s="116">
        <v>680.75</v>
      </c>
      <c r="O613" s="116">
        <v>606</v>
      </c>
      <c r="P613" s="116">
        <v>627</v>
      </c>
      <c r="Q613" s="116">
        <v>633.5</v>
      </c>
      <c r="R613">
        <v>2004934</v>
      </c>
    </row>
    <row r="614" spans="1:18" x14ac:dyDescent="0.25">
      <c r="A614" s="170">
        <v>43913</v>
      </c>
      <c r="B614" s="116">
        <v>698</v>
      </c>
      <c r="C614" s="116">
        <v>535.85</v>
      </c>
      <c r="D614" s="116">
        <v>522.9</v>
      </c>
      <c r="E614" s="116">
        <v>575</v>
      </c>
      <c r="F614" s="116">
        <v>535.85</v>
      </c>
      <c r="G614">
        <v>102201</v>
      </c>
      <c r="H614" s="116"/>
      <c r="I614" s="116"/>
      <c r="L614" s="170">
        <v>43913</v>
      </c>
      <c r="M614" s="116">
        <v>539.20000000000005</v>
      </c>
      <c r="N614" s="116">
        <v>617</v>
      </c>
      <c r="O614" s="116">
        <v>522.20000000000005</v>
      </c>
      <c r="P614" s="116">
        <v>569.95000000000005</v>
      </c>
      <c r="Q614" s="116">
        <v>539.20000000000005</v>
      </c>
      <c r="R614">
        <v>1652165</v>
      </c>
    </row>
    <row r="615" spans="1:18" x14ac:dyDescent="0.25">
      <c r="A615" s="170">
        <v>43914</v>
      </c>
      <c r="B615" s="116">
        <v>589.15</v>
      </c>
      <c r="C615" s="116">
        <v>547.04999999999995</v>
      </c>
      <c r="D615" s="116">
        <v>530</v>
      </c>
      <c r="E615" s="116">
        <v>560</v>
      </c>
      <c r="F615" s="116">
        <v>547.04999999999995</v>
      </c>
      <c r="G615">
        <v>63246</v>
      </c>
      <c r="H615" s="116"/>
      <c r="I615" s="116"/>
      <c r="L615" s="170">
        <v>43914</v>
      </c>
      <c r="M615" s="116">
        <v>546.25</v>
      </c>
      <c r="N615" s="116">
        <v>589.95000000000005</v>
      </c>
      <c r="O615" s="116">
        <v>535</v>
      </c>
      <c r="P615" s="116">
        <v>551.4</v>
      </c>
      <c r="Q615" s="116">
        <v>546.25</v>
      </c>
      <c r="R615">
        <v>1108855</v>
      </c>
    </row>
    <row r="616" spans="1:18" x14ac:dyDescent="0.25">
      <c r="A616" s="170">
        <v>43915</v>
      </c>
      <c r="B616" s="116">
        <v>630.5</v>
      </c>
      <c r="C616" s="116">
        <v>586.6</v>
      </c>
      <c r="D616" s="116">
        <v>535</v>
      </c>
      <c r="E616" s="116">
        <v>539.9</v>
      </c>
      <c r="F616" s="116">
        <v>586.6</v>
      </c>
      <c r="G616">
        <v>92365</v>
      </c>
      <c r="H616" s="116"/>
      <c r="I616" s="116"/>
      <c r="L616" s="170">
        <v>43915</v>
      </c>
      <c r="M616" s="116">
        <v>587.85</v>
      </c>
      <c r="N616" s="116">
        <v>630</v>
      </c>
      <c r="O616" s="116">
        <v>530</v>
      </c>
      <c r="P616" s="116">
        <v>530</v>
      </c>
      <c r="Q616" s="116">
        <v>587.85</v>
      </c>
      <c r="R616">
        <v>1610709</v>
      </c>
    </row>
    <row r="617" spans="1:18" x14ac:dyDescent="0.25">
      <c r="A617" s="170">
        <v>43916</v>
      </c>
      <c r="B617" s="116">
        <v>662.4</v>
      </c>
      <c r="C617" s="116">
        <v>618.20000000000005</v>
      </c>
      <c r="D617" s="116">
        <v>597</v>
      </c>
      <c r="E617" s="116">
        <v>608.9</v>
      </c>
      <c r="F617" s="116">
        <v>618.20000000000005</v>
      </c>
      <c r="G617">
        <v>105593</v>
      </c>
      <c r="H617" s="116"/>
      <c r="I617" s="116"/>
      <c r="L617" s="170">
        <v>43916</v>
      </c>
      <c r="M617" s="116">
        <v>618.15</v>
      </c>
      <c r="N617" s="116">
        <v>665</v>
      </c>
      <c r="O617" s="116">
        <v>595.35</v>
      </c>
      <c r="P617" s="116">
        <v>603.5</v>
      </c>
      <c r="Q617" s="116">
        <v>618.15</v>
      </c>
      <c r="R617">
        <v>1629673</v>
      </c>
    </row>
    <row r="618" spans="1:18" x14ac:dyDescent="0.25">
      <c r="A618" s="170">
        <v>43917</v>
      </c>
      <c r="B618" s="116">
        <v>656.65</v>
      </c>
      <c r="C618" s="116">
        <v>605.6</v>
      </c>
      <c r="D618" s="116">
        <v>586</v>
      </c>
      <c r="E618" s="116">
        <v>639.1</v>
      </c>
      <c r="F618" s="116">
        <v>605.6</v>
      </c>
      <c r="G618">
        <v>99261</v>
      </c>
      <c r="H618" s="116"/>
      <c r="I618" s="116"/>
      <c r="L618" s="170">
        <v>43917</v>
      </c>
      <c r="M618" s="116">
        <v>602.85</v>
      </c>
      <c r="N618" s="116">
        <v>657</v>
      </c>
      <c r="O618" s="116">
        <v>585</v>
      </c>
      <c r="P618" s="116">
        <v>636.20000000000005</v>
      </c>
      <c r="Q618" s="116">
        <v>602.85</v>
      </c>
      <c r="R618">
        <v>1299441</v>
      </c>
    </row>
    <row r="619" spans="1:18" x14ac:dyDescent="0.25">
      <c r="A619" s="170">
        <v>43920</v>
      </c>
      <c r="B619" s="116">
        <v>634.4</v>
      </c>
      <c r="C619" s="116">
        <v>623.15</v>
      </c>
      <c r="D619" s="116">
        <v>575.54999999999995</v>
      </c>
      <c r="E619" s="116">
        <v>600</v>
      </c>
      <c r="F619" s="116">
        <v>623.15</v>
      </c>
      <c r="G619">
        <v>52954</v>
      </c>
      <c r="H619" s="116"/>
      <c r="I619" s="116"/>
      <c r="L619" s="170">
        <v>43920</v>
      </c>
      <c r="M619" s="116">
        <v>622</v>
      </c>
      <c r="N619" s="116">
        <v>634.5</v>
      </c>
      <c r="O619" s="116">
        <v>575</v>
      </c>
      <c r="P619" s="116">
        <v>598.9</v>
      </c>
      <c r="Q619" s="116">
        <v>622</v>
      </c>
      <c r="R619">
        <v>1301706</v>
      </c>
    </row>
    <row r="620" spans="1:18" x14ac:dyDescent="0.25">
      <c r="A620" s="170">
        <v>43921</v>
      </c>
      <c r="B620" s="116">
        <v>653.6</v>
      </c>
      <c r="C620" s="116">
        <v>640.95000000000005</v>
      </c>
      <c r="D620" s="116">
        <v>624.95000000000005</v>
      </c>
      <c r="E620" s="116">
        <v>645.45000000000005</v>
      </c>
      <c r="F620" s="116">
        <v>640.95000000000005</v>
      </c>
      <c r="G620">
        <v>21321</v>
      </c>
      <c r="H620" s="116"/>
      <c r="I620" s="116"/>
      <c r="L620" s="170">
        <v>43921</v>
      </c>
      <c r="M620" s="116">
        <v>641</v>
      </c>
      <c r="N620" s="116">
        <v>653.70000000000005</v>
      </c>
      <c r="O620" s="116">
        <v>624.15</v>
      </c>
      <c r="P620" s="116">
        <v>638</v>
      </c>
      <c r="Q620" s="116">
        <v>641</v>
      </c>
      <c r="R620">
        <v>1087567</v>
      </c>
    </row>
    <row r="621" spans="1:18" x14ac:dyDescent="0.25">
      <c r="A621" s="170">
        <v>43922</v>
      </c>
      <c r="B621" s="116">
        <v>658.5</v>
      </c>
      <c r="C621" s="116">
        <v>635.4</v>
      </c>
      <c r="D621" s="116">
        <v>628.95000000000005</v>
      </c>
      <c r="E621" s="116">
        <v>635.29999999999995</v>
      </c>
      <c r="F621" s="116">
        <v>635.4</v>
      </c>
      <c r="G621">
        <v>157465</v>
      </c>
      <c r="H621" s="116"/>
      <c r="I621" s="116"/>
      <c r="L621" s="170">
        <v>43922</v>
      </c>
      <c r="M621" s="116">
        <v>635.1</v>
      </c>
      <c r="N621" s="116">
        <v>659</v>
      </c>
      <c r="O621" s="116">
        <v>628</v>
      </c>
      <c r="P621" s="116">
        <v>641.9</v>
      </c>
      <c r="Q621" s="116">
        <v>635.1</v>
      </c>
      <c r="R621">
        <v>971706</v>
      </c>
    </row>
    <row r="622" spans="1:18" x14ac:dyDescent="0.25">
      <c r="A622" s="170">
        <v>43924</v>
      </c>
      <c r="B622" s="116">
        <v>665</v>
      </c>
      <c r="C622" s="116">
        <v>650.5</v>
      </c>
      <c r="D622" s="116">
        <v>627.35</v>
      </c>
      <c r="E622" s="116">
        <v>643</v>
      </c>
      <c r="F622" s="116">
        <v>650.5</v>
      </c>
      <c r="G622">
        <v>26246</v>
      </c>
      <c r="H622" s="116"/>
      <c r="I622" s="116"/>
      <c r="L622" s="170">
        <v>43924</v>
      </c>
      <c r="M622" s="116">
        <v>650.15</v>
      </c>
      <c r="N622" s="116">
        <v>665</v>
      </c>
      <c r="O622" s="116">
        <v>627.29999999999995</v>
      </c>
      <c r="P622" s="116">
        <v>648</v>
      </c>
      <c r="Q622" s="116">
        <v>650.15</v>
      </c>
      <c r="R622">
        <v>1279330</v>
      </c>
    </row>
    <row r="623" spans="1:18" x14ac:dyDescent="0.25">
      <c r="A623" s="170">
        <v>43928</v>
      </c>
      <c r="B623" s="116">
        <v>749.45</v>
      </c>
      <c r="C623" s="116">
        <v>735.8</v>
      </c>
      <c r="D623" s="116">
        <v>653.6</v>
      </c>
      <c r="E623" s="116">
        <v>660.05</v>
      </c>
      <c r="F623" s="116">
        <v>735.8</v>
      </c>
      <c r="G623">
        <v>82800</v>
      </c>
      <c r="H623" s="116"/>
      <c r="I623" s="116"/>
      <c r="L623" s="170">
        <v>43928</v>
      </c>
      <c r="M623" s="116">
        <v>735.3</v>
      </c>
      <c r="N623" s="116">
        <v>748.3</v>
      </c>
      <c r="O623" s="116">
        <v>653</v>
      </c>
      <c r="P623" s="116">
        <v>665</v>
      </c>
      <c r="Q623" s="116">
        <v>735.3</v>
      </c>
      <c r="R623">
        <v>1916865</v>
      </c>
    </row>
    <row r="624" spans="1:18" x14ac:dyDescent="0.25">
      <c r="A624" s="170">
        <v>43929</v>
      </c>
      <c r="B624" s="116">
        <v>794.65</v>
      </c>
      <c r="C624" s="116">
        <v>743.2</v>
      </c>
      <c r="D624" s="116">
        <v>722</v>
      </c>
      <c r="E624" s="116">
        <v>740</v>
      </c>
      <c r="F624" s="116">
        <v>743.2</v>
      </c>
      <c r="G624">
        <v>58079</v>
      </c>
      <c r="H624" s="116"/>
      <c r="I624" s="116"/>
      <c r="L624" s="170">
        <v>43929</v>
      </c>
      <c r="M624" s="116">
        <v>742.8</v>
      </c>
      <c r="N624" s="116">
        <v>795</v>
      </c>
      <c r="O624" s="116">
        <v>721</v>
      </c>
      <c r="P624" s="116">
        <v>741.9</v>
      </c>
      <c r="Q624" s="116">
        <v>742.8</v>
      </c>
      <c r="R624">
        <v>1443642</v>
      </c>
    </row>
    <row r="625" spans="1:18" x14ac:dyDescent="0.25">
      <c r="A625" s="170">
        <v>43930</v>
      </c>
      <c r="B625" s="116">
        <v>772.8</v>
      </c>
      <c r="C625" s="116">
        <v>739.8</v>
      </c>
      <c r="D625" s="116">
        <v>735.4</v>
      </c>
      <c r="E625" s="116">
        <v>743.5</v>
      </c>
      <c r="F625" s="116">
        <v>739.8</v>
      </c>
      <c r="G625">
        <v>31494</v>
      </c>
      <c r="H625" s="116"/>
      <c r="I625" s="116"/>
      <c r="L625" s="170">
        <v>43930</v>
      </c>
      <c r="M625" s="116">
        <v>739.45</v>
      </c>
      <c r="N625" s="116">
        <v>773.95</v>
      </c>
      <c r="O625" s="116">
        <v>735.05</v>
      </c>
      <c r="P625" s="116">
        <v>755</v>
      </c>
      <c r="Q625" s="116">
        <v>739.45</v>
      </c>
      <c r="R625">
        <v>683532</v>
      </c>
    </row>
    <row r="626" spans="1:18" x14ac:dyDescent="0.25">
      <c r="A626" s="170">
        <v>43934</v>
      </c>
      <c r="B626" s="116">
        <v>749.75</v>
      </c>
      <c r="C626" s="116">
        <v>708.15</v>
      </c>
      <c r="D626" s="116">
        <v>700.1</v>
      </c>
      <c r="E626" s="116">
        <v>745</v>
      </c>
      <c r="F626" s="116">
        <v>708.15</v>
      </c>
      <c r="G626">
        <v>46928</v>
      </c>
      <c r="H626" s="116"/>
      <c r="I626" s="116"/>
      <c r="L626" s="170">
        <v>43934</v>
      </c>
      <c r="M626" s="116">
        <v>707.75</v>
      </c>
      <c r="N626" s="116">
        <v>749.95</v>
      </c>
      <c r="O626" s="116">
        <v>700</v>
      </c>
      <c r="P626" s="116">
        <v>745</v>
      </c>
      <c r="Q626" s="116">
        <v>707.75</v>
      </c>
      <c r="R626">
        <v>760455</v>
      </c>
    </row>
    <row r="627" spans="1:18" x14ac:dyDescent="0.25">
      <c r="A627" s="170">
        <v>43936</v>
      </c>
      <c r="B627" s="116">
        <v>725</v>
      </c>
      <c r="C627" s="116">
        <v>701.1</v>
      </c>
      <c r="D627" s="116">
        <v>695.95</v>
      </c>
      <c r="E627" s="116">
        <v>710.1</v>
      </c>
      <c r="F627" s="116">
        <v>701.1</v>
      </c>
      <c r="G627">
        <v>35563</v>
      </c>
      <c r="H627" s="116"/>
      <c r="I627" s="116"/>
      <c r="L627" s="170">
        <v>43936</v>
      </c>
      <c r="M627" s="116">
        <v>700.9</v>
      </c>
      <c r="N627" s="116">
        <v>724.95</v>
      </c>
      <c r="O627" s="116">
        <v>695.1</v>
      </c>
      <c r="P627" s="116">
        <v>720</v>
      </c>
      <c r="Q627" s="116">
        <v>700.9</v>
      </c>
      <c r="R627">
        <v>1232607</v>
      </c>
    </row>
    <row r="628" spans="1:18" x14ac:dyDescent="0.25">
      <c r="A628" s="170">
        <v>43937</v>
      </c>
      <c r="B628" s="116">
        <v>699.95</v>
      </c>
      <c r="C628" s="116">
        <v>684.75</v>
      </c>
      <c r="D628" s="116">
        <v>680.8</v>
      </c>
      <c r="E628" s="116">
        <v>699.95</v>
      </c>
      <c r="F628" s="116">
        <v>684.75</v>
      </c>
      <c r="G628">
        <v>30508</v>
      </c>
      <c r="H628" s="116"/>
      <c r="I628" s="116"/>
      <c r="L628" s="170">
        <v>43937</v>
      </c>
      <c r="M628" s="116">
        <v>685.25</v>
      </c>
      <c r="N628" s="116">
        <v>698</v>
      </c>
      <c r="O628" s="116">
        <v>681.1</v>
      </c>
      <c r="P628" s="116">
        <v>690</v>
      </c>
      <c r="Q628" s="116">
        <v>685.25</v>
      </c>
      <c r="R628">
        <v>1363991</v>
      </c>
    </row>
    <row r="629" spans="1:18" x14ac:dyDescent="0.25">
      <c r="A629" s="170">
        <v>43938</v>
      </c>
      <c r="B629" s="116">
        <v>720.55</v>
      </c>
      <c r="C629" s="116">
        <v>702.5</v>
      </c>
      <c r="D629" s="116">
        <v>688</v>
      </c>
      <c r="E629" s="116">
        <v>707</v>
      </c>
      <c r="F629" s="116">
        <v>702.5</v>
      </c>
      <c r="G629">
        <v>50844</v>
      </c>
      <c r="H629" s="116"/>
      <c r="I629" s="116"/>
      <c r="L629" s="170">
        <v>43938</v>
      </c>
      <c r="M629" s="116">
        <v>702.45</v>
      </c>
      <c r="N629" s="116">
        <v>721</v>
      </c>
      <c r="O629" s="116">
        <v>687</v>
      </c>
      <c r="P629" s="116">
        <v>703.55</v>
      </c>
      <c r="Q629" s="116">
        <v>702.45</v>
      </c>
      <c r="R629">
        <v>1777651</v>
      </c>
    </row>
    <row r="630" spans="1:18" x14ac:dyDescent="0.25">
      <c r="A630" s="170">
        <v>43941</v>
      </c>
      <c r="B630" s="116">
        <v>712</v>
      </c>
      <c r="C630" s="116">
        <v>699.85</v>
      </c>
      <c r="D630" s="116">
        <v>697.3</v>
      </c>
      <c r="E630" s="116">
        <v>703</v>
      </c>
      <c r="F630" s="116">
        <v>699.85</v>
      </c>
      <c r="G630">
        <v>38042</v>
      </c>
      <c r="H630" s="116"/>
      <c r="I630" s="116"/>
      <c r="L630" s="170">
        <v>43941</v>
      </c>
      <c r="M630" s="116">
        <v>700</v>
      </c>
      <c r="N630" s="116">
        <v>712.15</v>
      </c>
      <c r="O630" s="116">
        <v>697</v>
      </c>
      <c r="P630" s="116">
        <v>703</v>
      </c>
      <c r="Q630" s="116">
        <v>700</v>
      </c>
      <c r="R630">
        <v>1360101</v>
      </c>
    </row>
    <row r="631" spans="1:18" x14ac:dyDescent="0.25">
      <c r="A631" s="170">
        <v>43942</v>
      </c>
      <c r="B631" s="116">
        <v>690.8</v>
      </c>
      <c r="C631" s="116">
        <v>671.4</v>
      </c>
      <c r="D631" s="116">
        <v>667.2</v>
      </c>
      <c r="E631" s="116">
        <v>675</v>
      </c>
      <c r="F631" s="116">
        <v>671.4</v>
      </c>
      <c r="G631">
        <v>20157</v>
      </c>
      <c r="H631" s="116"/>
      <c r="I631" s="116"/>
      <c r="L631" s="170">
        <v>43942</v>
      </c>
      <c r="M631" s="116">
        <v>671.3</v>
      </c>
      <c r="N631" s="116">
        <v>691.15</v>
      </c>
      <c r="O631" s="116">
        <v>667</v>
      </c>
      <c r="P631" s="116">
        <v>688</v>
      </c>
      <c r="Q631" s="116">
        <v>671.3</v>
      </c>
      <c r="R631">
        <v>677457</v>
      </c>
    </row>
    <row r="632" spans="1:18" x14ac:dyDescent="0.25">
      <c r="A632" s="170">
        <v>43943</v>
      </c>
      <c r="B632" s="116">
        <v>709.3</v>
      </c>
      <c r="C632" s="116">
        <v>704.75</v>
      </c>
      <c r="D632" s="116">
        <v>675.25</v>
      </c>
      <c r="E632" s="116">
        <v>690</v>
      </c>
      <c r="F632" s="116">
        <v>704.75</v>
      </c>
      <c r="G632">
        <v>31968</v>
      </c>
      <c r="H632" s="116"/>
      <c r="I632" s="116"/>
      <c r="L632" s="170">
        <v>43943</v>
      </c>
      <c r="M632" s="116">
        <v>704.8</v>
      </c>
      <c r="N632" s="116">
        <v>709</v>
      </c>
      <c r="O632" s="116">
        <v>675</v>
      </c>
      <c r="P632" s="116">
        <v>685.9</v>
      </c>
      <c r="Q632" s="116">
        <v>704.8</v>
      </c>
      <c r="R632">
        <v>954061</v>
      </c>
    </row>
    <row r="633" spans="1:18" x14ac:dyDescent="0.25">
      <c r="A633" s="170">
        <v>43944</v>
      </c>
      <c r="B633" s="116">
        <v>732.6</v>
      </c>
      <c r="C633" s="116">
        <v>715.45</v>
      </c>
      <c r="D633" s="116">
        <v>707.8</v>
      </c>
      <c r="E633" s="116">
        <v>714</v>
      </c>
      <c r="F633" s="116">
        <v>715.45</v>
      </c>
      <c r="G633">
        <v>35955</v>
      </c>
      <c r="H633" s="116"/>
      <c r="I633" s="116"/>
      <c r="L633" s="170">
        <v>43944</v>
      </c>
      <c r="M633" s="116">
        <v>717.65</v>
      </c>
      <c r="N633" s="116">
        <v>732.5</v>
      </c>
      <c r="O633" s="116">
        <v>709</v>
      </c>
      <c r="P633" s="116">
        <v>712</v>
      </c>
      <c r="Q633" s="116">
        <v>717.65</v>
      </c>
      <c r="R633">
        <v>1219244</v>
      </c>
    </row>
    <row r="634" spans="1:18" x14ac:dyDescent="0.25">
      <c r="A634" s="170">
        <v>43945</v>
      </c>
      <c r="B634" s="116">
        <v>708.9</v>
      </c>
      <c r="C634" s="116">
        <v>678.8</v>
      </c>
      <c r="D634" s="116">
        <v>675.85</v>
      </c>
      <c r="E634" s="116">
        <v>708.9</v>
      </c>
      <c r="F634" s="116">
        <v>678.8</v>
      </c>
      <c r="G634">
        <v>34284</v>
      </c>
      <c r="H634" s="116"/>
      <c r="I634" s="116"/>
      <c r="L634" s="170">
        <v>43945</v>
      </c>
      <c r="M634" s="116">
        <v>679.15</v>
      </c>
      <c r="N634" s="116">
        <v>706.85</v>
      </c>
      <c r="O634" s="116">
        <v>676</v>
      </c>
      <c r="P634" s="116">
        <v>701</v>
      </c>
      <c r="Q634" s="116">
        <v>679.15</v>
      </c>
      <c r="R634">
        <v>1016020</v>
      </c>
    </row>
    <row r="635" spans="1:18" x14ac:dyDescent="0.25">
      <c r="A635" s="170">
        <v>43948</v>
      </c>
      <c r="B635" s="116">
        <v>726.35</v>
      </c>
      <c r="C635" s="116">
        <v>715.45</v>
      </c>
      <c r="D635" s="116">
        <v>684</v>
      </c>
      <c r="E635" s="116">
        <v>684</v>
      </c>
      <c r="F635" s="116">
        <v>715.45</v>
      </c>
      <c r="G635">
        <v>48341</v>
      </c>
      <c r="H635" s="116"/>
      <c r="I635" s="116"/>
      <c r="L635" s="170">
        <v>43948</v>
      </c>
      <c r="M635" s="116">
        <v>714.1</v>
      </c>
      <c r="N635" s="116">
        <v>727</v>
      </c>
      <c r="O635" s="116">
        <v>688.15</v>
      </c>
      <c r="P635" s="116">
        <v>694.75</v>
      </c>
      <c r="Q635" s="116">
        <v>714.1</v>
      </c>
      <c r="R635">
        <v>3275857</v>
      </c>
    </row>
    <row r="636" spans="1:18" x14ac:dyDescent="0.25">
      <c r="A636" s="170">
        <v>43949</v>
      </c>
      <c r="B636" s="116">
        <v>729.9</v>
      </c>
      <c r="C636" s="116">
        <v>719.7</v>
      </c>
      <c r="D636" s="116">
        <v>707</v>
      </c>
      <c r="E636" s="116">
        <v>729.9</v>
      </c>
      <c r="F636" s="116">
        <v>719.7</v>
      </c>
      <c r="G636">
        <v>18701</v>
      </c>
      <c r="H636" s="116"/>
      <c r="I636" s="116"/>
      <c r="L636" s="170">
        <v>43949</v>
      </c>
      <c r="M636" s="116">
        <v>719.85</v>
      </c>
      <c r="N636" s="116">
        <v>728</v>
      </c>
      <c r="O636" s="116">
        <v>706.55</v>
      </c>
      <c r="P636" s="116">
        <v>724</v>
      </c>
      <c r="Q636" s="116">
        <v>719.85</v>
      </c>
      <c r="R636">
        <v>1002540</v>
      </c>
    </row>
    <row r="637" spans="1:18" x14ac:dyDescent="0.25">
      <c r="A637" s="170">
        <v>43950</v>
      </c>
      <c r="B637" s="116">
        <v>729</v>
      </c>
      <c r="C637" s="116">
        <v>713.3</v>
      </c>
      <c r="D637" s="116">
        <v>708.8</v>
      </c>
      <c r="E637" s="116">
        <v>729</v>
      </c>
      <c r="F637" s="116">
        <v>713.3</v>
      </c>
      <c r="G637">
        <v>21466</v>
      </c>
      <c r="H637" s="116"/>
      <c r="I637" s="116"/>
      <c r="L637" s="170">
        <v>43950</v>
      </c>
      <c r="M637" s="116">
        <v>713.35</v>
      </c>
      <c r="N637" s="116">
        <v>723</v>
      </c>
      <c r="O637" s="116">
        <v>708.4</v>
      </c>
      <c r="P637" s="116">
        <v>723</v>
      </c>
      <c r="Q637" s="116">
        <v>713.35</v>
      </c>
      <c r="R637">
        <v>635076</v>
      </c>
    </row>
    <row r="638" spans="1:18" x14ac:dyDescent="0.25">
      <c r="A638" s="170">
        <v>43951</v>
      </c>
      <c r="B638" s="116">
        <v>740.1</v>
      </c>
      <c r="C638" s="116">
        <v>725.85</v>
      </c>
      <c r="D638" s="116">
        <v>716.2</v>
      </c>
      <c r="E638" s="116">
        <v>716.2</v>
      </c>
      <c r="F638" s="116">
        <v>725.85</v>
      </c>
      <c r="G638">
        <v>45983</v>
      </c>
      <c r="H638" s="116"/>
      <c r="I638" s="116"/>
      <c r="L638" s="170">
        <v>43951</v>
      </c>
      <c r="M638" s="116">
        <v>726.85</v>
      </c>
      <c r="N638" s="116">
        <v>741</v>
      </c>
      <c r="O638" s="116">
        <v>716.85</v>
      </c>
      <c r="P638" s="116">
        <v>735.2</v>
      </c>
      <c r="Q638" s="116">
        <v>726.85</v>
      </c>
      <c r="R638">
        <v>1925414</v>
      </c>
    </row>
    <row r="639" spans="1:18" x14ac:dyDescent="0.25">
      <c r="A639" s="170">
        <v>43955</v>
      </c>
      <c r="B639" s="116">
        <v>726</v>
      </c>
      <c r="C639" s="116">
        <v>688.2</v>
      </c>
      <c r="D639" s="116">
        <v>675.6</v>
      </c>
      <c r="E639" s="116">
        <v>714.35</v>
      </c>
      <c r="F639" s="116">
        <v>688.2</v>
      </c>
      <c r="G639">
        <v>32618</v>
      </c>
      <c r="H639" s="116"/>
      <c r="I639" s="116"/>
      <c r="L639" s="170">
        <v>43955</v>
      </c>
      <c r="M639" s="116">
        <v>687.65</v>
      </c>
      <c r="N639" s="116">
        <v>726</v>
      </c>
      <c r="O639" s="116">
        <v>675.5</v>
      </c>
      <c r="P639" s="116">
        <v>710</v>
      </c>
      <c r="Q639" s="116">
        <v>687.65</v>
      </c>
      <c r="R639">
        <v>1418027</v>
      </c>
    </row>
    <row r="640" spans="1:18" x14ac:dyDescent="0.25">
      <c r="A640" s="170">
        <v>43956</v>
      </c>
      <c r="B640" s="116">
        <v>734.15</v>
      </c>
      <c r="C640" s="116">
        <v>715.65</v>
      </c>
      <c r="D640" s="116">
        <v>699.4</v>
      </c>
      <c r="E640" s="116">
        <v>701</v>
      </c>
      <c r="F640" s="116">
        <v>715.65</v>
      </c>
      <c r="G640">
        <v>90899</v>
      </c>
      <c r="H640" s="116"/>
      <c r="I640" s="116"/>
      <c r="L640" s="170">
        <v>43956</v>
      </c>
      <c r="M640" s="116">
        <v>713.55</v>
      </c>
      <c r="N640" s="116">
        <v>734.7</v>
      </c>
      <c r="O640" s="116">
        <v>698.2</v>
      </c>
      <c r="P640" s="116">
        <v>705</v>
      </c>
      <c r="Q640" s="116">
        <v>713.55</v>
      </c>
      <c r="R640">
        <v>4312790</v>
      </c>
    </row>
    <row r="641" spans="1:18" x14ac:dyDescent="0.25">
      <c r="A641" s="170">
        <v>43957</v>
      </c>
      <c r="B641" s="116">
        <v>749.5</v>
      </c>
      <c r="C641" s="116">
        <v>731.55</v>
      </c>
      <c r="D641" s="116">
        <v>706.2</v>
      </c>
      <c r="E641" s="116">
        <v>720</v>
      </c>
      <c r="F641" s="116">
        <v>731.55</v>
      </c>
      <c r="G641">
        <v>94034</v>
      </c>
      <c r="H641" s="116"/>
      <c r="I641" s="116"/>
      <c r="L641" s="170">
        <v>43957</v>
      </c>
      <c r="M641" s="116">
        <v>731.15</v>
      </c>
      <c r="N641" s="116">
        <v>749</v>
      </c>
      <c r="O641" s="116">
        <v>706</v>
      </c>
      <c r="P641" s="116">
        <v>716.95</v>
      </c>
      <c r="Q641" s="116">
        <v>731.15</v>
      </c>
      <c r="R641">
        <v>3664835</v>
      </c>
    </row>
    <row r="642" spans="1:18" x14ac:dyDescent="0.25">
      <c r="A642" s="170">
        <v>43958</v>
      </c>
      <c r="B642" s="116">
        <v>749.9</v>
      </c>
      <c r="C642" s="116">
        <v>735.3</v>
      </c>
      <c r="D642" s="116">
        <v>723.5</v>
      </c>
      <c r="E642" s="116">
        <v>749.9</v>
      </c>
      <c r="F642" s="116">
        <v>735.3</v>
      </c>
      <c r="G642">
        <v>29658</v>
      </c>
      <c r="H642" s="116"/>
      <c r="I642" s="116"/>
      <c r="L642" s="170">
        <v>43958</v>
      </c>
      <c r="M642" s="116">
        <v>735.15</v>
      </c>
      <c r="N642" s="116">
        <v>742.5</v>
      </c>
      <c r="O642" s="116">
        <v>723.5</v>
      </c>
      <c r="P642" s="116">
        <v>737</v>
      </c>
      <c r="Q642" s="116">
        <v>735.15</v>
      </c>
      <c r="R642">
        <v>1345672</v>
      </c>
    </row>
    <row r="643" spans="1:18" x14ac:dyDescent="0.25">
      <c r="A643" s="170">
        <v>43959</v>
      </c>
      <c r="B643" s="116">
        <v>769</v>
      </c>
      <c r="C643" s="116">
        <v>759.4</v>
      </c>
      <c r="D643" s="116">
        <v>738.6</v>
      </c>
      <c r="E643" s="116">
        <v>742</v>
      </c>
      <c r="F643" s="116">
        <v>759.4</v>
      </c>
      <c r="G643">
        <v>59921</v>
      </c>
      <c r="H643" s="116"/>
      <c r="I643" s="116"/>
      <c r="L643" s="170">
        <v>43959</v>
      </c>
      <c r="M643" s="116">
        <v>760.05</v>
      </c>
      <c r="N643" s="116">
        <v>768.85</v>
      </c>
      <c r="O643" s="116">
        <v>738.5</v>
      </c>
      <c r="P643" s="116">
        <v>742</v>
      </c>
      <c r="Q643" s="116">
        <v>760.05</v>
      </c>
      <c r="R643">
        <v>2349887</v>
      </c>
    </row>
    <row r="644" spans="1:18" x14ac:dyDescent="0.25">
      <c r="A644" s="170">
        <v>43962</v>
      </c>
      <c r="B644" s="116">
        <v>774</v>
      </c>
      <c r="C644" s="116">
        <v>750.05</v>
      </c>
      <c r="D644" s="116">
        <v>745.15</v>
      </c>
      <c r="E644" s="116">
        <v>774</v>
      </c>
      <c r="F644" s="116">
        <v>750.05</v>
      </c>
      <c r="G644">
        <v>36844</v>
      </c>
      <c r="H644" s="116"/>
      <c r="I644" s="116"/>
      <c r="L644" s="170">
        <v>43962</v>
      </c>
      <c r="M644" s="116">
        <v>750.5</v>
      </c>
      <c r="N644" s="116">
        <v>770.95</v>
      </c>
      <c r="O644" s="116">
        <v>744.85</v>
      </c>
      <c r="P644" s="116">
        <v>770.95</v>
      </c>
      <c r="Q644" s="116">
        <v>750.5</v>
      </c>
      <c r="R644">
        <v>1498957</v>
      </c>
    </row>
    <row r="645" spans="1:18" x14ac:dyDescent="0.25">
      <c r="A645" s="170">
        <v>43963</v>
      </c>
      <c r="B645" s="116">
        <v>755</v>
      </c>
      <c r="C645" s="116">
        <v>743.8</v>
      </c>
      <c r="D645" s="116">
        <v>735</v>
      </c>
      <c r="E645" s="116">
        <v>749.9</v>
      </c>
      <c r="F645" s="116">
        <v>743.8</v>
      </c>
      <c r="G645">
        <v>45351</v>
      </c>
      <c r="H645" s="116"/>
      <c r="I645" s="116"/>
      <c r="L645" s="170">
        <v>43963</v>
      </c>
      <c r="M645" s="116">
        <v>744.6</v>
      </c>
      <c r="N645" s="116">
        <v>755.6</v>
      </c>
      <c r="O645" s="116">
        <v>735.1</v>
      </c>
      <c r="P645" s="116">
        <v>747</v>
      </c>
      <c r="Q645" s="116">
        <v>744.6</v>
      </c>
      <c r="R645">
        <v>1116023</v>
      </c>
    </row>
    <row r="646" spans="1:18" x14ac:dyDescent="0.25">
      <c r="A646" s="170">
        <v>43964</v>
      </c>
      <c r="B646" s="116">
        <v>777.95</v>
      </c>
      <c r="C646" s="116">
        <v>759.85</v>
      </c>
      <c r="D646" s="116">
        <v>753.4</v>
      </c>
      <c r="E646" s="116">
        <v>774.9</v>
      </c>
      <c r="F646" s="116">
        <v>759.85</v>
      </c>
      <c r="G646">
        <v>57380</v>
      </c>
      <c r="H646" s="116"/>
      <c r="I646" s="116"/>
      <c r="L646" s="170">
        <v>43964</v>
      </c>
      <c r="M646" s="116">
        <v>760.5</v>
      </c>
      <c r="N646" s="116">
        <v>780</v>
      </c>
      <c r="O646" s="116">
        <v>752.95</v>
      </c>
      <c r="P646" s="116">
        <v>765.25</v>
      </c>
      <c r="Q646" s="116">
        <v>760.5</v>
      </c>
      <c r="R646">
        <v>1752465</v>
      </c>
    </row>
    <row r="647" spans="1:18" x14ac:dyDescent="0.25">
      <c r="A647" s="170">
        <v>43965</v>
      </c>
      <c r="B647" s="116">
        <v>770.45</v>
      </c>
      <c r="C647" s="116">
        <v>746.55</v>
      </c>
      <c r="D647" s="116">
        <v>742.3</v>
      </c>
      <c r="E647" s="116">
        <v>759.95</v>
      </c>
      <c r="F647" s="116">
        <v>746.55</v>
      </c>
      <c r="G647">
        <v>33507</v>
      </c>
      <c r="H647" s="116"/>
      <c r="I647" s="116"/>
      <c r="L647" s="170">
        <v>43965</v>
      </c>
      <c r="M647" s="116">
        <v>746.75</v>
      </c>
      <c r="N647" s="116">
        <v>770.5</v>
      </c>
      <c r="O647" s="116">
        <v>741.1</v>
      </c>
      <c r="P647" s="116">
        <v>756.8</v>
      </c>
      <c r="Q647" s="116">
        <v>746.75</v>
      </c>
      <c r="R647">
        <v>987397</v>
      </c>
    </row>
    <row r="648" spans="1:18" x14ac:dyDescent="0.25">
      <c r="A648" s="170">
        <v>43966</v>
      </c>
      <c r="B648" s="116">
        <v>754.25</v>
      </c>
      <c r="C648" s="116">
        <v>751.55</v>
      </c>
      <c r="D648" s="116">
        <v>742.5</v>
      </c>
      <c r="E648" s="116">
        <v>752.4</v>
      </c>
      <c r="F648" s="116">
        <v>751.55</v>
      </c>
      <c r="G648">
        <v>18839</v>
      </c>
      <c r="H648" s="116"/>
      <c r="I648" s="116"/>
      <c r="L648" s="170">
        <v>43966</v>
      </c>
      <c r="M648" s="116">
        <v>751.95</v>
      </c>
      <c r="N648" s="116">
        <v>754.45</v>
      </c>
      <c r="O648" s="116">
        <v>742.2</v>
      </c>
      <c r="P648" s="116">
        <v>754.45</v>
      </c>
      <c r="Q648" s="116">
        <v>751.95</v>
      </c>
      <c r="R648">
        <v>1032406</v>
      </c>
    </row>
    <row r="649" spans="1:18" x14ac:dyDescent="0.25">
      <c r="A649" s="170">
        <v>43969</v>
      </c>
      <c r="B649" s="116">
        <v>752</v>
      </c>
      <c r="C649" s="116">
        <v>698.7</v>
      </c>
      <c r="D649" s="116">
        <v>694.05</v>
      </c>
      <c r="E649" s="116">
        <v>752</v>
      </c>
      <c r="F649" s="116">
        <v>698.7</v>
      </c>
      <c r="G649">
        <v>36792</v>
      </c>
      <c r="H649" s="116"/>
      <c r="I649" s="116"/>
      <c r="L649" s="170">
        <v>43969</v>
      </c>
      <c r="M649" s="116">
        <v>700.75</v>
      </c>
      <c r="N649" s="116">
        <v>750</v>
      </c>
      <c r="O649" s="116">
        <v>694.45</v>
      </c>
      <c r="P649" s="116">
        <v>750</v>
      </c>
      <c r="Q649" s="116">
        <v>700.75</v>
      </c>
      <c r="R649">
        <v>1705994</v>
      </c>
    </row>
    <row r="650" spans="1:18" x14ac:dyDescent="0.25">
      <c r="A650" s="170">
        <v>43970</v>
      </c>
      <c r="B650" s="116">
        <v>719.55</v>
      </c>
      <c r="C650" s="116">
        <v>702.9</v>
      </c>
      <c r="D650" s="116">
        <v>698.6</v>
      </c>
      <c r="E650" s="116">
        <v>708</v>
      </c>
      <c r="F650" s="116">
        <v>702.9</v>
      </c>
      <c r="G650">
        <v>20569</v>
      </c>
      <c r="H650" s="116"/>
      <c r="I650" s="116"/>
      <c r="L650" s="170">
        <v>43970</v>
      </c>
      <c r="M650" s="116">
        <v>702.95</v>
      </c>
      <c r="N650" s="116">
        <v>720</v>
      </c>
      <c r="O650" s="116">
        <v>698</v>
      </c>
      <c r="P650" s="116">
        <v>709</v>
      </c>
      <c r="Q650" s="116">
        <v>702.95</v>
      </c>
      <c r="R650">
        <v>1496673</v>
      </c>
    </row>
    <row r="651" spans="1:18" x14ac:dyDescent="0.25">
      <c r="A651" s="170">
        <v>43971</v>
      </c>
      <c r="B651" s="116">
        <v>717.4</v>
      </c>
      <c r="C651" s="116">
        <v>715.6</v>
      </c>
      <c r="D651" s="116">
        <v>697.25</v>
      </c>
      <c r="E651" s="116">
        <v>697.25</v>
      </c>
      <c r="F651" s="116">
        <v>715.6</v>
      </c>
      <c r="G651">
        <v>13563</v>
      </c>
      <c r="H651" s="116"/>
      <c r="I651" s="116"/>
      <c r="L651" s="170">
        <v>43971</v>
      </c>
      <c r="M651" s="116">
        <v>715.8</v>
      </c>
      <c r="N651" s="116">
        <v>717.7</v>
      </c>
      <c r="O651" s="116">
        <v>700</v>
      </c>
      <c r="P651" s="116">
        <v>701</v>
      </c>
      <c r="Q651" s="116">
        <v>715.8</v>
      </c>
      <c r="R651">
        <v>1289104</v>
      </c>
    </row>
    <row r="652" spans="1:18" x14ac:dyDescent="0.25">
      <c r="A652" s="170">
        <v>43972</v>
      </c>
      <c r="B652" s="116">
        <v>743</v>
      </c>
      <c r="C652" s="116">
        <v>729.9</v>
      </c>
      <c r="D652" s="116">
        <v>717</v>
      </c>
      <c r="E652" s="116">
        <v>717</v>
      </c>
      <c r="F652" s="116">
        <v>729.9</v>
      </c>
      <c r="G652">
        <v>40111</v>
      </c>
      <c r="H652" s="116"/>
      <c r="I652" s="116"/>
      <c r="L652" s="170">
        <v>43972</v>
      </c>
      <c r="M652" s="116">
        <v>730.4</v>
      </c>
      <c r="N652" s="116">
        <v>742.95</v>
      </c>
      <c r="O652" s="116">
        <v>716.05</v>
      </c>
      <c r="P652" s="116">
        <v>717.8</v>
      </c>
      <c r="Q652" s="116">
        <v>730.4</v>
      </c>
      <c r="R652">
        <v>1400398</v>
      </c>
    </row>
    <row r="653" spans="1:18" x14ac:dyDescent="0.25">
      <c r="A653" s="170">
        <v>43973</v>
      </c>
      <c r="B653" s="116">
        <v>743.5</v>
      </c>
      <c r="C653" s="116">
        <v>730.25</v>
      </c>
      <c r="D653" s="116">
        <v>724.25</v>
      </c>
      <c r="E653" s="116">
        <v>732.2</v>
      </c>
      <c r="F653" s="116">
        <v>730.25</v>
      </c>
      <c r="G653">
        <v>15051</v>
      </c>
      <c r="H653" s="116"/>
      <c r="I653" s="116"/>
      <c r="L653" s="170">
        <v>43973</v>
      </c>
      <c r="M653" s="116">
        <v>729.95</v>
      </c>
      <c r="N653" s="116">
        <v>744</v>
      </c>
      <c r="O653" s="116">
        <v>723.5</v>
      </c>
      <c r="P653" s="116">
        <v>732</v>
      </c>
      <c r="Q653" s="116">
        <v>729.95</v>
      </c>
      <c r="R653">
        <v>1507478</v>
      </c>
    </row>
    <row r="654" spans="1:18" x14ac:dyDescent="0.25">
      <c r="A654" s="170">
        <v>43977</v>
      </c>
      <c r="B654" s="116">
        <v>756.2</v>
      </c>
      <c r="C654" s="116">
        <v>754.3</v>
      </c>
      <c r="D654" s="116">
        <v>731.95</v>
      </c>
      <c r="E654" s="116">
        <v>734.4</v>
      </c>
      <c r="F654" s="116">
        <v>754.3</v>
      </c>
      <c r="G654">
        <v>28742</v>
      </c>
      <c r="H654" s="116"/>
      <c r="I654" s="116"/>
      <c r="L654" s="170">
        <v>43977</v>
      </c>
      <c r="M654" s="116">
        <v>754.45</v>
      </c>
      <c r="N654" s="116">
        <v>756</v>
      </c>
      <c r="O654" s="116">
        <v>731.4</v>
      </c>
      <c r="P654" s="116">
        <v>735</v>
      </c>
      <c r="Q654" s="116">
        <v>754.45</v>
      </c>
      <c r="R654">
        <v>1110990</v>
      </c>
    </row>
    <row r="655" spans="1:18" x14ac:dyDescent="0.25">
      <c r="A655" s="170">
        <v>43978</v>
      </c>
      <c r="B655" s="116">
        <v>755.2</v>
      </c>
      <c r="C655" s="116">
        <v>739.95</v>
      </c>
      <c r="D655" s="116">
        <v>737.5</v>
      </c>
      <c r="E655" s="116">
        <v>752.35</v>
      </c>
      <c r="F655" s="116">
        <v>739.95</v>
      </c>
      <c r="G655">
        <v>10694</v>
      </c>
      <c r="H655" s="116"/>
      <c r="I655" s="116"/>
      <c r="L655" s="170">
        <v>43978</v>
      </c>
      <c r="M655" s="116">
        <v>741.15</v>
      </c>
      <c r="N655" s="116">
        <v>754.4</v>
      </c>
      <c r="O655" s="116">
        <v>737.2</v>
      </c>
      <c r="P655" s="116">
        <v>752</v>
      </c>
      <c r="Q655" s="116">
        <v>741.15</v>
      </c>
      <c r="R655">
        <v>682804</v>
      </c>
    </row>
    <row r="656" spans="1:18" x14ac:dyDescent="0.25">
      <c r="A656" s="170">
        <v>43979</v>
      </c>
      <c r="B656" s="116">
        <v>754.55</v>
      </c>
      <c r="C656" s="116">
        <v>747.9</v>
      </c>
      <c r="D656" s="116">
        <v>740.3</v>
      </c>
      <c r="E656" s="116">
        <v>745.35</v>
      </c>
      <c r="F656" s="116">
        <v>747.9</v>
      </c>
      <c r="G656">
        <v>13754</v>
      </c>
      <c r="H656" s="116"/>
      <c r="I656" s="116"/>
      <c r="L656" s="170">
        <v>43979</v>
      </c>
      <c r="M656" s="116">
        <v>748.1</v>
      </c>
      <c r="N656" s="116">
        <v>754.75</v>
      </c>
      <c r="O656" s="116">
        <v>740</v>
      </c>
      <c r="P656" s="116">
        <v>745</v>
      </c>
      <c r="Q656" s="116">
        <v>748.1</v>
      </c>
      <c r="R656">
        <v>1134155</v>
      </c>
    </row>
    <row r="657" spans="1:18" x14ac:dyDescent="0.25">
      <c r="A657" s="170">
        <v>43980</v>
      </c>
      <c r="B657" s="116">
        <v>782.75</v>
      </c>
      <c r="C657" s="116">
        <v>767.1</v>
      </c>
      <c r="D657" s="116">
        <v>746.45</v>
      </c>
      <c r="E657" s="116">
        <v>748</v>
      </c>
      <c r="F657" s="116">
        <v>767.1</v>
      </c>
      <c r="G657">
        <v>59905</v>
      </c>
      <c r="H657" s="116"/>
      <c r="I657" s="116"/>
      <c r="L657" s="170">
        <v>43980</v>
      </c>
      <c r="M657" s="116">
        <v>768.65</v>
      </c>
      <c r="N657" s="116">
        <v>783</v>
      </c>
      <c r="O657" s="116">
        <v>745.4</v>
      </c>
      <c r="P657" s="116">
        <v>747.95</v>
      </c>
      <c r="Q657" s="116">
        <v>768.65</v>
      </c>
      <c r="R657">
        <v>7090368</v>
      </c>
    </row>
    <row r="658" spans="1:18" x14ac:dyDescent="0.25">
      <c r="A658" s="170">
        <v>43983</v>
      </c>
      <c r="B658" s="116">
        <v>782</v>
      </c>
      <c r="C658" s="116">
        <v>774.35</v>
      </c>
      <c r="D658" s="116">
        <v>766.4</v>
      </c>
      <c r="E658" s="116">
        <v>782</v>
      </c>
      <c r="F658" s="116">
        <v>774.35</v>
      </c>
      <c r="G658">
        <v>31186</v>
      </c>
      <c r="H658" s="116"/>
      <c r="I658" s="116"/>
      <c r="L658" s="170">
        <v>43983</v>
      </c>
      <c r="M658" s="116">
        <v>774.8</v>
      </c>
      <c r="N658" s="116">
        <v>780.95</v>
      </c>
      <c r="O658" s="116">
        <v>765.9</v>
      </c>
      <c r="P658" s="116">
        <v>776</v>
      </c>
      <c r="Q658" s="116">
        <v>774.8</v>
      </c>
      <c r="R658">
        <v>1712849</v>
      </c>
    </row>
    <row r="659" spans="1:18" x14ac:dyDescent="0.25">
      <c r="A659" s="170">
        <v>43984</v>
      </c>
      <c r="B659" s="116">
        <v>791.15</v>
      </c>
      <c r="C659" s="116">
        <v>779.4</v>
      </c>
      <c r="D659" s="116">
        <v>774.85</v>
      </c>
      <c r="E659" s="116">
        <v>784</v>
      </c>
      <c r="F659" s="116">
        <v>779.4</v>
      </c>
      <c r="G659">
        <v>21877</v>
      </c>
      <c r="H659" s="116"/>
      <c r="I659" s="116"/>
      <c r="L659" s="170">
        <v>43984</v>
      </c>
      <c r="M659" s="116">
        <v>779.5</v>
      </c>
      <c r="N659" s="116">
        <v>791</v>
      </c>
      <c r="O659" s="116">
        <v>774.3</v>
      </c>
      <c r="P659" s="116">
        <v>783.8</v>
      </c>
      <c r="Q659" s="116">
        <v>779.5</v>
      </c>
      <c r="R659">
        <v>1388839</v>
      </c>
    </row>
    <row r="660" spans="1:18" x14ac:dyDescent="0.25">
      <c r="A660" s="170">
        <v>43985</v>
      </c>
      <c r="B660" s="116">
        <v>814.6</v>
      </c>
      <c r="C660" s="116">
        <v>806.4</v>
      </c>
      <c r="D660" s="116">
        <v>785</v>
      </c>
      <c r="E660" s="116">
        <v>785</v>
      </c>
      <c r="F660" s="116">
        <v>806.4</v>
      </c>
      <c r="G660">
        <v>70283</v>
      </c>
      <c r="H660" s="116"/>
      <c r="I660" s="116"/>
      <c r="L660" s="170">
        <v>43985</v>
      </c>
      <c r="M660" s="116">
        <v>807.1</v>
      </c>
      <c r="N660" s="116">
        <v>814.8</v>
      </c>
      <c r="O660" s="116">
        <v>784.5</v>
      </c>
      <c r="P660" s="116">
        <v>789</v>
      </c>
      <c r="Q660" s="116">
        <v>807.1</v>
      </c>
      <c r="R660">
        <v>2163349</v>
      </c>
    </row>
    <row r="661" spans="1:18" x14ac:dyDescent="0.25">
      <c r="A661" s="170">
        <v>43986</v>
      </c>
      <c r="B661" s="116">
        <v>820.8</v>
      </c>
      <c r="C661" s="116">
        <v>793.85</v>
      </c>
      <c r="D661" s="116">
        <v>789.5</v>
      </c>
      <c r="E661" s="116">
        <v>810</v>
      </c>
      <c r="F661" s="116">
        <v>793.85</v>
      </c>
      <c r="G661">
        <v>53801</v>
      </c>
      <c r="H661" s="116"/>
      <c r="I661" s="116"/>
      <c r="L661" s="170">
        <v>43986</v>
      </c>
      <c r="M661" s="116">
        <v>794.8</v>
      </c>
      <c r="N661" s="116">
        <v>820.5</v>
      </c>
      <c r="O661" s="116">
        <v>788.8</v>
      </c>
      <c r="P661" s="116">
        <v>809.75</v>
      </c>
      <c r="Q661" s="116">
        <v>794.8</v>
      </c>
      <c r="R661">
        <v>1404467</v>
      </c>
    </row>
    <row r="662" spans="1:18" x14ac:dyDescent="0.25">
      <c r="A662" s="170">
        <v>43987</v>
      </c>
      <c r="B662" s="116">
        <v>804.8</v>
      </c>
      <c r="C662" s="116">
        <v>796.8</v>
      </c>
      <c r="D662" s="116">
        <v>783</v>
      </c>
      <c r="E662" s="116">
        <v>800</v>
      </c>
      <c r="F662" s="116">
        <v>796.8</v>
      </c>
      <c r="G662">
        <v>26132</v>
      </c>
      <c r="H662" s="116"/>
      <c r="I662" s="116"/>
      <c r="L662" s="170">
        <v>43987</v>
      </c>
      <c r="M662" s="116">
        <v>796.7</v>
      </c>
      <c r="N662" s="116">
        <v>805.25</v>
      </c>
      <c r="O662" s="116">
        <v>782.9</v>
      </c>
      <c r="P662" s="116">
        <v>798.9</v>
      </c>
      <c r="Q662" s="116">
        <v>796.7</v>
      </c>
      <c r="R662">
        <v>1199794</v>
      </c>
    </row>
    <row r="663" spans="1:18" x14ac:dyDescent="0.25">
      <c r="A663" s="170">
        <v>43990</v>
      </c>
      <c r="B663" s="116">
        <v>808.85</v>
      </c>
      <c r="C663" s="116">
        <v>779.65</v>
      </c>
      <c r="D663" s="116">
        <v>775.55</v>
      </c>
      <c r="E663" s="116">
        <v>807</v>
      </c>
      <c r="F663" s="116">
        <v>779.65</v>
      </c>
      <c r="G663">
        <v>35455</v>
      </c>
      <c r="H663" s="116"/>
      <c r="I663" s="116"/>
      <c r="L663" s="170">
        <v>43990</v>
      </c>
      <c r="M663" s="116">
        <v>779.3</v>
      </c>
      <c r="N663" s="116">
        <v>808</v>
      </c>
      <c r="O663" s="116">
        <v>776</v>
      </c>
      <c r="P663" s="116">
        <v>802</v>
      </c>
      <c r="Q663" s="116">
        <v>779.3</v>
      </c>
      <c r="R663">
        <v>1371775</v>
      </c>
    </row>
    <row r="664" spans="1:18" x14ac:dyDescent="0.25">
      <c r="A664" s="170">
        <v>43991</v>
      </c>
      <c r="B664" s="116">
        <v>794.85</v>
      </c>
      <c r="C664" s="116">
        <v>758.55</v>
      </c>
      <c r="D664" s="116">
        <v>753</v>
      </c>
      <c r="E664" s="116">
        <v>794.85</v>
      </c>
      <c r="F664" s="116">
        <v>758.55</v>
      </c>
      <c r="G664">
        <v>37050</v>
      </c>
      <c r="H664" s="116"/>
      <c r="I664" s="116"/>
      <c r="L664" s="170">
        <v>43991</v>
      </c>
      <c r="M664" s="116">
        <v>758.5</v>
      </c>
      <c r="N664" s="116">
        <v>789</v>
      </c>
      <c r="O664" s="116">
        <v>752.5</v>
      </c>
      <c r="P664" s="116">
        <v>782.1</v>
      </c>
      <c r="Q664" s="116">
        <v>758.5</v>
      </c>
      <c r="R664">
        <v>1521254</v>
      </c>
    </row>
    <row r="665" spans="1:18" x14ac:dyDescent="0.25">
      <c r="A665" s="170">
        <v>43992</v>
      </c>
      <c r="B665" s="116">
        <v>760</v>
      </c>
      <c r="C665" s="116">
        <v>742.95</v>
      </c>
      <c r="D665" s="116">
        <v>740</v>
      </c>
      <c r="E665" s="116">
        <v>759.95</v>
      </c>
      <c r="F665" s="116">
        <v>742.95</v>
      </c>
      <c r="G665">
        <v>50249</v>
      </c>
      <c r="H665" s="116"/>
      <c r="I665" s="116"/>
      <c r="L665" s="170">
        <v>43992</v>
      </c>
      <c r="M665" s="116">
        <v>741.7</v>
      </c>
      <c r="N665" s="116">
        <v>760</v>
      </c>
      <c r="O665" s="116">
        <v>739.7</v>
      </c>
      <c r="P665" s="116">
        <v>759</v>
      </c>
      <c r="Q665" s="116">
        <v>741.7</v>
      </c>
      <c r="R665">
        <v>2283059</v>
      </c>
    </row>
    <row r="666" spans="1:18" x14ac:dyDescent="0.25">
      <c r="A666" s="170">
        <v>43993</v>
      </c>
      <c r="B666" s="116">
        <v>757</v>
      </c>
      <c r="C666" s="116">
        <v>741.45</v>
      </c>
      <c r="D666" s="116">
        <v>735</v>
      </c>
      <c r="E666" s="116">
        <v>742</v>
      </c>
      <c r="F666" s="116">
        <v>741.45</v>
      </c>
      <c r="G666">
        <v>35491</v>
      </c>
      <c r="H666" s="116"/>
      <c r="I666" s="116"/>
      <c r="L666" s="170">
        <v>43993</v>
      </c>
      <c r="M666" s="116">
        <v>740.9</v>
      </c>
      <c r="N666" s="116">
        <v>757.6</v>
      </c>
      <c r="O666" s="116">
        <v>735</v>
      </c>
      <c r="P666" s="116">
        <v>740</v>
      </c>
      <c r="Q666" s="116">
        <v>740.9</v>
      </c>
      <c r="R666">
        <v>1314358</v>
      </c>
    </row>
    <row r="667" spans="1:18" x14ac:dyDescent="0.25">
      <c r="A667" s="170">
        <v>43994</v>
      </c>
      <c r="B667" s="116">
        <v>761</v>
      </c>
      <c r="C667" s="116">
        <v>751.05</v>
      </c>
      <c r="D667" s="116">
        <v>725.15</v>
      </c>
      <c r="E667" s="116">
        <v>725.15</v>
      </c>
      <c r="F667" s="116">
        <v>751.05</v>
      </c>
      <c r="G667">
        <v>89586</v>
      </c>
      <c r="H667" s="116"/>
      <c r="I667" s="116"/>
      <c r="L667" s="170">
        <v>43994</v>
      </c>
      <c r="M667" s="116">
        <v>750.45</v>
      </c>
      <c r="N667" s="116">
        <v>760.9</v>
      </c>
      <c r="O667" s="116">
        <v>728.75</v>
      </c>
      <c r="P667" s="116">
        <v>730</v>
      </c>
      <c r="Q667" s="116">
        <v>750.45</v>
      </c>
      <c r="R667">
        <v>4396304</v>
      </c>
    </row>
    <row r="668" spans="1:18" x14ac:dyDescent="0.25">
      <c r="A668" s="170">
        <v>43997</v>
      </c>
      <c r="B668" s="116">
        <v>755.2</v>
      </c>
      <c r="C668" s="116">
        <v>745.2</v>
      </c>
      <c r="D668" s="116">
        <v>740.4</v>
      </c>
      <c r="E668" s="116">
        <v>748.9</v>
      </c>
      <c r="F668" s="116">
        <v>745.2</v>
      </c>
      <c r="G668">
        <v>61564</v>
      </c>
      <c r="H668" s="116"/>
      <c r="I668" s="116"/>
      <c r="L668" s="170">
        <v>43997</v>
      </c>
      <c r="M668" s="116">
        <v>745.3</v>
      </c>
      <c r="N668" s="116">
        <v>754.8</v>
      </c>
      <c r="O668" s="116">
        <v>740.65</v>
      </c>
      <c r="P668" s="116">
        <v>747.9</v>
      </c>
      <c r="Q668" s="116">
        <v>745.3</v>
      </c>
      <c r="R668">
        <v>3316726</v>
      </c>
    </row>
    <row r="669" spans="1:18" x14ac:dyDescent="0.25">
      <c r="A669" s="170">
        <v>43998</v>
      </c>
      <c r="B669" s="116">
        <v>770</v>
      </c>
      <c r="C669" s="116">
        <v>764.3</v>
      </c>
      <c r="D669" s="116">
        <v>743</v>
      </c>
      <c r="E669" s="116">
        <v>749.9</v>
      </c>
      <c r="F669" s="116">
        <v>764.3</v>
      </c>
      <c r="G669">
        <v>60938</v>
      </c>
      <c r="H669" s="116"/>
      <c r="I669" s="116"/>
      <c r="L669" s="170">
        <v>43998</v>
      </c>
      <c r="M669" s="116">
        <v>764.1</v>
      </c>
      <c r="N669" s="116">
        <v>770.7</v>
      </c>
      <c r="O669" s="116">
        <v>742.4</v>
      </c>
      <c r="P669" s="116">
        <v>751</v>
      </c>
      <c r="Q669" s="116">
        <v>764.1</v>
      </c>
      <c r="R669">
        <v>1883911</v>
      </c>
    </row>
    <row r="670" spans="1:18" x14ac:dyDescent="0.25">
      <c r="A670" s="170">
        <v>43999</v>
      </c>
      <c r="B670" s="116">
        <v>779.85</v>
      </c>
      <c r="C670" s="116">
        <v>771.85</v>
      </c>
      <c r="D670" s="116">
        <v>761.1</v>
      </c>
      <c r="E670" s="116">
        <v>761.1</v>
      </c>
      <c r="F670" s="116">
        <v>771.85</v>
      </c>
      <c r="G670">
        <v>83726</v>
      </c>
      <c r="H670" s="116"/>
      <c r="I670" s="116"/>
      <c r="L670" s="170">
        <v>43999</v>
      </c>
      <c r="M670" s="116">
        <v>772.05</v>
      </c>
      <c r="N670" s="116">
        <v>779.5</v>
      </c>
      <c r="O670" s="116">
        <v>764.2</v>
      </c>
      <c r="P670" s="116">
        <v>766.05</v>
      </c>
      <c r="Q670" s="116">
        <v>772.05</v>
      </c>
      <c r="R670">
        <v>1936475</v>
      </c>
    </row>
    <row r="671" spans="1:18" x14ac:dyDescent="0.25">
      <c r="A671" s="170">
        <v>44000</v>
      </c>
      <c r="B671" s="116">
        <v>786</v>
      </c>
      <c r="C671" s="116">
        <v>771.3</v>
      </c>
      <c r="D671" s="116">
        <v>768</v>
      </c>
      <c r="E671" s="116">
        <v>768</v>
      </c>
      <c r="F671" s="116">
        <v>771.3</v>
      </c>
      <c r="G671">
        <v>23296</v>
      </c>
      <c r="H671" s="116"/>
      <c r="I671" s="116"/>
      <c r="L671" s="170">
        <v>44000</v>
      </c>
      <c r="M671" s="116">
        <v>771.6</v>
      </c>
      <c r="N671" s="116">
        <v>786.4</v>
      </c>
      <c r="O671" s="116">
        <v>767.6</v>
      </c>
      <c r="P671" s="116">
        <v>769.4</v>
      </c>
      <c r="Q671" s="116">
        <v>771.6</v>
      </c>
      <c r="R671">
        <v>951550</v>
      </c>
    </row>
    <row r="672" spans="1:18" x14ac:dyDescent="0.25">
      <c r="A672" s="170">
        <v>44001</v>
      </c>
      <c r="B672" s="116">
        <v>780</v>
      </c>
      <c r="C672" s="116">
        <v>775.75</v>
      </c>
      <c r="D672" s="116">
        <v>767.5</v>
      </c>
      <c r="E672" s="116">
        <v>776.5</v>
      </c>
      <c r="F672" s="116">
        <v>775.75</v>
      </c>
      <c r="G672">
        <v>63404</v>
      </c>
      <c r="H672" s="116"/>
      <c r="I672" s="116"/>
      <c r="L672" s="170">
        <v>44001</v>
      </c>
      <c r="M672" s="116">
        <v>775.85</v>
      </c>
      <c r="N672" s="116">
        <v>780.85</v>
      </c>
      <c r="O672" s="116">
        <v>767.2</v>
      </c>
      <c r="P672" s="116">
        <v>779</v>
      </c>
      <c r="Q672" s="116">
        <v>775.85</v>
      </c>
      <c r="R672">
        <v>2912093</v>
      </c>
    </row>
    <row r="673" spans="1:18" x14ac:dyDescent="0.25">
      <c r="A673" s="170">
        <v>44004</v>
      </c>
      <c r="B673" s="116">
        <v>789</v>
      </c>
      <c r="C673" s="116">
        <v>778.2</v>
      </c>
      <c r="D673" s="116">
        <v>761.4</v>
      </c>
      <c r="E673" s="116">
        <v>780</v>
      </c>
      <c r="F673" s="116">
        <v>778.2</v>
      </c>
      <c r="G673">
        <v>88322</v>
      </c>
      <c r="H673" s="116"/>
      <c r="I673" s="116"/>
      <c r="L673" s="170">
        <v>44004</v>
      </c>
      <c r="M673" s="116">
        <v>777.95</v>
      </c>
      <c r="N673" s="116">
        <v>790.4</v>
      </c>
      <c r="O673" s="116">
        <v>761.5</v>
      </c>
      <c r="P673" s="116">
        <v>781.1</v>
      </c>
      <c r="Q673" s="116">
        <v>777.95</v>
      </c>
      <c r="R673">
        <v>1164278</v>
      </c>
    </row>
    <row r="674" spans="1:18" x14ac:dyDescent="0.25">
      <c r="A674" s="170">
        <v>44005</v>
      </c>
      <c r="B674" s="116">
        <v>805.05</v>
      </c>
      <c r="C674" s="116">
        <v>795.95</v>
      </c>
      <c r="D674" s="116">
        <v>778.2</v>
      </c>
      <c r="E674" s="116">
        <v>778.2</v>
      </c>
      <c r="F674" s="116">
        <v>795.95</v>
      </c>
      <c r="G674">
        <v>84535</v>
      </c>
      <c r="H674" s="116"/>
      <c r="I674" s="116"/>
      <c r="L674" s="170">
        <v>44005</v>
      </c>
      <c r="M674" s="116">
        <v>796.65</v>
      </c>
      <c r="N674" s="116">
        <v>805.3</v>
      </c>
      <c r="O674" s="116">
        <v>777</v>
      </c>
      <c r="P674" s="116">
        <v>777</v>
      </c>
      <c r="Q674" s="116">
        <v>796.65</v>
      </c>
      <c r="R674">
        <v>1506742</v>
      </c>
    </row>
    <row r="675" spans="1:18" x14ac:dyDescent="0.25">
      <c r="A675" s="170">
        <v>44006</v>
      </c>
      <c r="B675" s="116">
        <v>809.65</v>
      </c>
      <c r="C675" s="116">
        <v>780.55</v>
      </c>
      <c r="D675" s="116">
        <v>776.05</v>
      </c>
      <c r="E675" s="116">
        <v>800</v>
      </c>
      <c r="F675" s="116">
        <v>780.55</v>
      </c>
      <c r="G675">
        <v>33245</v>
      </c>
      <c r="H675" s="116"/>
      <c r="I675" s="116"/>
      <c r="L675" s="170">
        <v>44006</v>
      </c>
      <c r="M675" s="116">
        <v>780.75</v>
      </c>
      <c r="N675" s="116">
        <v>810</v>
      </c>
      <c r="O675" s="116">
        <v>775.55</v>
      </c>
      <c r="P675" s="116">
        <v>800.65</v>
      </c>
      <c r="Q675" s="116">
        <v>780.75</v>
      </c>
      <c r="R675">
        <v>1699063</v>
      </c>
    </row>
    <row r="676" spans="1:18" x14ac:dyDescent="0.25">
      <c r="A676" s="170">
        <v>44007</v>
      </c>
      <c r="B676" s="116">
        <v>792.65</v>
      </c>
      <c r="C676" s="116">
        <v>787.2</v>
      </c>
      <c r="D676" s="116">
        <v>775</v>
      </c>
      <c r="E676" s="116">
        <v>788.5</v>
      </c>
      <c r="F676" s="116">
        <v>787.2</v>
      </c>
      <c r="G676">
        <v>12502</v>
      </c>
      <c r="H676" s="116"/>
      <c r="I676" s="116"/>
      <c r="L676" s="170">
        <v>44007</v>
      </c>
      <c r="M676" s="116">
        <v>786.25</v>
      </c>
      <c r="N676" s="116">
        <v>792.95</v>
      </c>
      <c r="O676" s="116">
        <v>775.1</v>
      </c>
      <c r="P676" s="116">
        <v>778</v>
      </c>
      <c r="Q676" s="116">
        <v>786.25</v>
      </c>
      <c r="R676">
        <v>735191</v>
      </c>
    </row>
    <row r="677" spans="1:18" x14ac:dyDescent="0.25">
      <c r="A677" s="170">
        <v>44008</v>
      </c>
      <c r="B677" s="116">
        <v>801.3</v>
      </c>
      <c r="C677" s="116">
        <v>784.25</v>
      </c>
      <c r="D677" s="116">
        <v>782</v>
      </c>
      <c r="E677" s="116">
        <v>794.95</v>
      </c>
      <c r="F677" s="116">
        <v>784.25</v>
      </c>
      <c r="G677">
        <v>26977</v>
      </c>
      <c r="H677" s="116"/>
      <c r="I677" s="116"/>
      <c r="L677" s="170">
        <v>44008</v>
      </c>
      <c r="M677" s="116">
        <v>784.35</v>
      </c>
      <c r="N677" s="116">
        <v>802</v>
      </c>
      <c r="O677" s="116">
        <v>782</v>
      </c>
      <c r="P677" s="116">
        <v>791.1</v>
      </c>
      <c r="Q677" s="116">
        <v>784.35</v>
      </c>
      <c r="R677">
        <v>986163</v>
      </c>
    </row>
    <row r="678" spans="1:18" x14ac:dyDescent="0.25">
      <c r="A678" s="170">
        <v>44011</v>
      </c>
      <c r="B678" s="116">
        <v>789.8</v>
      </c>
      <c r="C678" s="116">
        <v>786.85</v>
      </c>
      <c r="D678" s="116">
        <v>775</v>
      </c>
      <c r="E678" s="116">
        <v>780</v>
      </c>
      <c r="F678" s="116">
        <v>786.85</v>
      </c>
      <c r="G678">
        <v>42798</v>
      </c>
      <c r="H678" s="116"/>
      <c r="I678" s="116"/>
      <c r="L678" s="170">
        <v>44011</v>
      </c>
      <c r="M678" s="116">
        <v>786.8</v>
      </c>
      <c r="N678" s="116">
        <v>789.85</v>
      </c>
      <c r="O678" s="116">
        <v>774.3</v>
      </c>
      <c r="P678" s="116">
        <v>780</v>
      </c>
      <c r="Q678" s="116">
        <v>786.8</v>
      </c>
      <c r="R678">
        <v>597371</v>
      </c>
    </row>
    <row r="679" spans="1:18" x14ac:dyDescent="0.25">
      <c r="A679" s="170">
        <v>44012</v>
      </c>
      <c r="B679" s="116">
        <v>811</v>
      </c>
      <c r="C679" s="116">
        <v>806.65</v>
      </c>
      <c r="D679" s="116">
        <v>788.85</v>
      </c>
      <c r="E679" s="116">
        <v>797.8</v>
      </c>
      <c r="F679" s="116">
        <v>806.65</v>
      </c>
      <c r="G679">
        <v>127550</v>
      </c>
      <c r="H679" s="116"/>
      <c r="I679" s="116"/>
      <c r="L679" s="170">
        <v>44012</v>
      </c>
      <c r="M679" s="116">
        <v>806.45</v>
      </c>
      <c r="N679" s="116">
        <v>811</v>
      </c>
      <c r="O679" s="116">
        <v>789</v>
      </c>
      <c r="P679" s="116">
        <v>789</v>
      </c>
      <c r="Q679" s="116">
        <v>806.45</v>
      </c>
      <c r="R679">
        <v>2052551</v>
      </c>
    </row>
    <row r="680" spans="1:18" x14ac:dyDescent="0.25">
      <c r="A680" s="170">
        <v>44013</v>
      </c>
      <c r="B680" s="116">
        <v>819.85</v>
      </c>
      <c r="C680" s="116">
        <v>804.25</v>
      </c>
      <c r="D680" s="116">
        <v>801.65</v>
      </c>
      <c r="E680" s="116">
        <v>815</v>
      </c>
      <c r="F680" s="116">
        <v>804.25</v>
      </c>
      <c r="G680">
        <v>72065</v>
      </c>
      <c r="H680" s="116"/>
      <c r="I680" s="116"/>
      <c r="L680" s="170">
        <v>44013</v>
      </c>
      <c r="M680" s="116">
        <v>805.25</v>
      </c>
      <c r="N680" s="116">
        <v>819.85</v>
      </c>
      <c r="O680" s="116">
        <v>802</v>
      </c>
      <c r="P680" s="116">
        <v>814.95</v>
      </c>
      <c r="Q680" s="116">
        <v>805.25</v>
      </c>
      <c r="R680">
        <v>1321001</v>
      </c>
    </row>
    <row r="681" spans="1:18" x14ac:dyDescent="0.25">
      <c r="A681" s="170">
        <v>44014</v>
      </c>
      <c r="B681" s="116">
        <v>819.25</v>
      </c>
      <c r="C681" s="116">
        <v>813.65</v>
      </c>
      <c r="D681" s="116">
        <v>803.9</v>
      </c>
      <c r="E681" s="116">
        <v>804.25</v>
      </c>
      <c r="F681" s="116">
        <v>813.65</v>
      </c>
      <c r="G681">
        <v>28716</v>
      </c>
      <c r="H681" s="116"/>
      <c r="I681" s="116"/>
      <c r="L681" s="170">
        <v>44014</v>
      </c>
      <c r="M681" s="116">
        <v>814.05</v>
      </c>
      <c r="N681" s="116">
        <v>819.35</v>
      </c>
      <c r="O681" s="116">
        <v>802.15</v>
      </c>
      <c r="P681" s="116">
        <v>802.15</v>
      </c>
      <c r="Q681" s="116">
        <v>814.05</v>
      </c>
      <c r="R681">
        <v>1075581</v>
      </c>
    </row>
    <row r="682" spans="1:18" x14ac:dyDescent="0.25">
      <c r="A682" s="170">
        <v>44015</v>
      </c>
      <c r="B682" s="116">
        <v>846.65</v>
      </c>
      <c r="C682" s="116">
        <v>844.05</v>
      </c>
      <c r="D682" s="116">
        <v>816</v>
      </c>
      <c r="E682" s="116">
        <v>816</v>
      </c>
      <c r="F682" s="116">
        <v>844.05</v>
      </c>
      <c r="G682">
        <v>87796</v>
      </c>
      <c r="H682" s="116"/>
      <c r="I682" s="116"/>
      <c r="L682" s="170">
        <v>44015</v>
      </c>
      <c r="M682" s="116">
        <v>844.05</v>
      </c>
      <c r="N682" s="116">
        <v>846</v>
      </c>
      <c r="O682" s="116">
        <v>819.35</v>
      </c>
      <c r="P682" s="116">
        <v>821</v>
      </c>
      <c r="Q682" s="116">
        <v>844.05</v>
      </c>
      <c r="R682">
        <v>2085481</v>
      </c>
    </row>
    <row r="683" spans="1:18" x14ac:dyDescent="0.25">
      <c r="A683" s="170">
        <v>44018</v>
      </c>
      <c r="B683" s="116">
        <v>875</v>
      </c>
      <c r="C683" s="116">
        <v>863.5</v>
      </c>
      <c r="D683" s="116">
        <v>851.15</v>
      </c>
      <c r="E683" s="116">
        <v>852.9</v>
      </c>
      <c r="F683" s="116">
        <v>863.5</v>
      </c>
      <c r="G683">
        <v>51295</v>
      </c>
      <c r="H683" s="116"/>
      <c r="I683" s="116"/>
      <c r="L683" s="170">
        <v>44018</v>
      </c>
      <c r="M683" s="116">
        <v>863.5</v>
      </c>
      <c r="N683" s="116">
        <v>875</v>
      </c>
      <c r="O683" s="116">
        <v>851.4</v>
      </c>
      <c r="P683" s="116">
        <v>853</v>
      </c>
      <c r="Q683" s="116">
        <v>863.5</v>
      </c>
      <c r="R683">
        <v>1836462</v>
      </c>
    </row>
    <row r="684" spans="1:18" x14ac:dyDescent="0.25">
      <c r="A684" s="170">
        <v>44019</v>
      </c>
      <c r="B684" s="116">
        <v>874.9</v>
      </c>
      <c r="C684" s="116">
        <v>868.4</v>
      </c>
      <c r="D684" s="116">
        <v>853.95</v>
      </c>
      <c r="E684" s="116">
        <v>865</v>
      </c>
      <c r="F684" s="116">
        <v>868.4</v>
      </c>
      <c r="G684">
        <v>32971</v>
      </c>
      <c r="H684" s="116"/>
      <c r="I684" s="116"/>
      <c r="L684" s="170">
        <v>44019</v>
      </c>
      <c r="M684" s="116">
        <v>868.65</v>
      </c>
      <c r="N684" s="116">
        <v>874.8</v>
      </c>
      <c r="O684" s="116">
        <v>853.65</v>
      </c>
      <c r="P684" s="116">
        <v>867</v>
      </c>
      <c r="Q684" s="116">
        <v>868.65</v>
      </c>
      <c r="R684">
        <v>1104403</v>
      </c>
    </row>
    <row r="685" spans="1:18" x14ac:dyDescent="0.25">
      <c r="A685" s="170">
        <v>44020</v>
      </c>
      <c r="B685" s="116">
        <v>872.9</v>
      </c>
      <c r="C685" s="116">
        <v>851.15</v>
      </c>
      <c r="D685" s="116">
        <v>846.4</v>
      </c>
      <c r="E685" s="116">
        <v>872.9</v>
      </c>
      <c r="F685" s="116">
        <v>851.15</v>
      </c>
      <c r="G685">
        <v>38017</v>
      </c>
      <c r="H685" s="116"/>
      <c r="I685" s="116"/>
      <c r="L685" s="170">
        <v>44020</v>
      </c>
      <c r="M685" s="116">
        <v>850.75</v>
      </c>
      <c r="N685" s="116">
        <v>871.9</v>
      </c>
      <c r="O685" s="116">
        <v>846.1</v>
      </c>
      <c r="P685" s="116">
        <v>870</v>
      </c>
      <c r="Q685" s="116">
        <v>850.75</v>
      </c>
      <c r="R685">
        <v>1688304</v>
      </c>
    </row>
    <row r="686" spans="1:18" x14ac:dyDescent="0.25">
      <c r="A686" s="170">
        <v>44021</v>
      </c>
      <c r="B686" s="116">
        <v>859.8</v>
      </c>
      <c r="C686" s="116">
        <v>840.35</v>
      </c>
      <c r="D686" s="116">
        <v>835.05</v>
      </c>
      <c r="E686" s="116">
        <v>859.8</v>
      </c>
      <c r="F686" s="116">
        <v>840.35</v>
      </c>
      <c r="G686">
        <v>49889</v>
      </c>
      <c r="H686" s="116"/>
      <c r="I686" s="116"/>
      <c r="L686" s="170">
        <v>44021</v>
      </c>
      <c r="M686" s="116">
        <v>840.25</v>
      </c>
      <c r="N686" s="116">
        <v>853.9</v>
      </c>
      <c r="O686" s="116">
        <v>835.05</v>
      </c>
      <c r="P686" s="116">
        <v>851</v>
      </c>
      <c r="Q686" s="116">
        <v>840.25</v>
      </c>
      <c r="R686">
        <v>1180400</v>
      </c>
    </row>
    <row r="687" spans="1:18" x14ac:dyDescent="0.25">
      <c r="A687" s="170">
        <v>44022</v>
      </c>
      <c r="B687" s="116">
        <v>871.75</v>
      </c>
      <c r="C687" s="116">
        <v>859.75</v>
      </c>
      <c r="D687" s="116">
        <v>846.6</v>
      </c>
      <c r="E687" s="116">
        <v>846.6</v>
      </c>
      <c r="F687" s="116">
        <v>859.75</v>
      </c>
      <c r="G687">
        <v>69448</v>
      </c>
      <c r="H687" s="116"/>
      <c r="I687" s="116"/>
      <c r="L687" s="170">
        <v>44022</v>
      </c>
      <c r="M687" s="116">
        <v>860.2</v>
      </c>
      <c r="N687" s="116">
        <v>871.9</v>
      </c>
      <c r="O687" s="116">
        <v>850</v>
      </c>
      <c r="P687" s="116">
        <v>850</v>
      </c>
      <c r="Q687" s="116">
        <v>860.2</v>
      </c>
      <c r="R687">
        <v>2062806</v>
      </c>
    </row>
    <row r="688" spans="1:18" x14ac:dyDescent="0.25">
      <c r="A688" s="170">
        <v>44025</v>
      </c>
      <c r="B688" s="116">
        <v>868</v>
      </c>
      <c r="C688" s="116">
        <v>863.25</v>
      </c>
      <c r="D688" s="116">
        <v>848.5</v>
      </c>
      <c r="E688" s="116">
        <v>868</v>
      </c>
      <c r="F688" s="116">
        <v>863.25</v>
      </c>
      <c r="G688">
        <v>30516</v>
      </c>
      <c r="H688" s="116"/>
      <c r="I688" s="116"/>
      <c r="L688" s="170">
        <v>44025</v>
      </c>
      <c r="M688" s="116">
        <v>862.95</v>
      </c>
      <c r="N688" s="116">
        <v>867.85</v>
      </c>
      <c r="O688" s="116">
        <v>848.15</v>
      </c>
      <c r="P688" s="116">
        <v>867.85</v>
      </c>
      <c r="Q688" s="116">
        <v>862.95</v>
      </c>
      <c r="R688">
        <v>668675</v>
      </c>
    </row>
    <row r="689" spans="1:18" x14ac:dyDescent="0.25">
      <c r="A689" s="170">
        <v>44026</v>
      </c>
      <c r="B689" s="116">
        <v>886.4</v>
      </c>
      <c r="C689" s="116">
        <v>859.25</v>
      </c>
      <c r="D689" s="116">
        <v>855.75</v>
      </c>
      <c r="E689" s="116">
        <v>862</v>
      </c>
      <c r="F689" s="116">
        <v>859.25</v>
      </c>
      <c r="G689">
        <v>81313</v>
      </c>
      <c r="H689" s="116"/>
      <c r="I689" s="116"/>
      <c r="L689" s="170">
        <v>44026</v>
      </c>
      <c r="M689" s="116">
        <v>859.75</v>
      </c>
      <c r="N689" s="116">
        <v>886.5</v>
      </c>
      <c r="O689" s="116">
        <v>856.1</v>
      </c>
      <c r="P689" s="116">
        <v>861.9</v>
      </c>
      <c r="Q689" s="116">
        <v>859.75</v>
      </c>
      <c r="R689">
        <v>1535948</v>
      </c>
    </row>
    <row r="690" spans="1:18" x14ac:dyDescent="0.25">
      <c r="A690" s="170">
        <v>44027</v>
      </c>
      <c r="B690" s="116">
        <v>877</v>
      </c>
      <c r="C690" s="116">
        <v>855.2</v>
      </c>
      <c r="D690" s="116">
        <v>852.7</v>
      </c>
      <c r="E690" s="116">
        <v>877</v>
      </c>
      <c r="F690" s="116">
        <v>855.2</v>
      </c>
      <c r="G690">
        <v>15366</v>
      </c>
      <c r="H690" s="116"/>
      <c r="I690" s="116"/>
      <c r="L690" s="170">
        <v>44027</v>
      </c>
      <c r="M690" s="116">
        <v>855.85</v>
      </c>
      <c r="N690" s="116">
        <v>870.5</v>
      </c>
      <c r="O690" s="116">
        <v>852.35</v>
      </c>
      <c r="P690" s="116">
        <v>863</v>
      </c>
      <c r="Q690" s="116">
        <v>855.85</v>
      </c>
      <c r="R690">
        <v>772942</v>
      </c>
    </row>
    <row r="691" spans="1:18" x14ac:dyDescent="0.25">
      <c r="A691" s="170">
        <v>44028</v>
      </c>
      <c r="B691" s="116">
        <v>868.4</v>
      </c>
      <c r="C691" s="116">
        <v>864.8</v>
      </c>
      <c r="D691" s="116">
        <v>850.55</v>
      </c>
      <c r="E691" s="116">
        <v>867.95</v>
      </c>
      <c r="F691" s="116">
        <v>864.8</v>
      </c>
      <c r="G691">
        <v>16124</v>
      </c>
      <c r="H691" s="116"/>
      <c r="I691" s="116"/>
      <c r="L691" s="170">
        <v>44028</v>
      </c>
      <c r="M691" s="116">
        <v>865.2</v>
      </c>
      <c r="N691" s="116">
        <v>869.5</v>
      </c>
      <c r="O691" s="116">
        <v>851.25</v>
      </c>
      <c r="P691" s="116">
        <v>856.05</v>
      </c>
      <c r="Q691" s="116">
        <v>865.2</v>
      </c>
      <c r="R691">
        <v>630572</v>
      </c>
    </row>
    <row r="692" spans="1:18" x14ac:dyDescent="0.25">
      <c r="A692" s="170">
        <v>44029</v>
      </c>
      <c r="B692" s="116">
        <v>881.75</v>
      </c>
      <c r="C692" s="116">
        <v>874.95</v>
      </c>
      <c r="D692" s="116">
        <v>862.55</v>
      </c>
      <c r="E692" s="116">
        <v>867</v>
      </c>
      <c r="F692" s="116">
        <v>874.95</v>
      </c>
      <c r="G692">
        <v>42694</v>
      </c>
      <c r="H692" s="116"/>
      <c r="I692" s="116"/>
      <c r="L692" s="170">
        <v>44029</v>
      </c>
      <c r="M692" s="116">
        <v>875.2</v>
      </c>
      <c r="N692" s="116">
        <v>881.85</v>
      </c>
      <c r="O692" s="116">
        <v>862.55</v>
      </c>
      <c r="P692" s="116">
        <v>868.15</v>
      </c>
      <c r="Q692" s="116">
        <v>875.2</v>
      </c>
      <c r="R692">
        <v>1228862</v>
      </c>
    </row>
    <row r="693" spans="1:18" x14ac:dyDescent="0.25">
      <c r="A693" s="170">
        <v>44032</v>
      </c>
      <c r="B693" s="116">
        <v>888.5</v>
      </c>
      <c r="C693" s="116">
        <v>854.45</v>
      </c>
      <c r="D693" s="116">
        <v>851.1</v>
      </c>
      <c r="E693" s="116">
        <v>880</v>
      </c>
      <c r="F693" s="116">
        <v>854.45</v>
      </c>
      <c r="G693">
        <v>41317</v>
      </c>
      <c r="H693" s="116"/>
      <c r="I693" s="116"/>
      <c r="L693" s="170">
        <v>44032</v>
      </c>
      <c r="M693" s="116">
        <v>854.45</v>
      </c>
      <c r="N693" s="116">
        <v>888.1</v>
      </c>
      <c r="O693" s="116">
        <v>851</v>
      </c>
      <c r="P693" s="116">
        <v>879.05</v>
      </c>
      <c r="Q693" s="116">
        <v>854.45</v>
      </c>
      <c r="R693">
        <v>1497335</v>
      </c>
    </row>
    <row r="694" spans="1:18" x14ac:dyDescent="0.25">
      <c r="A694" s="170">
        <v>44033</v>
      </c>
      <c r="B694" s="116">
        <v>896</v>
      </c>
      <c r="C694" s="116">
        <v>888.25</v>
      </c>
      <c r="D694" s="116">
        <v>844</v>
      </c>
      <c r="E694" s="116">
        <v>866.95</v>
      </c>
      <c r="F694" s="116">
        <v>888.25</v>
      </c>
      <c r="G694">
        <v>139343</v>
      </c>
      <c r="H694" s="116"/>
      <c r="I694" s="116"/>
      <c r="L694" s="170">
        <v>44033</v>
      </c>
      <c r="M694" s="116">
        <v>888.35</v>
      </c>
      <c r="N694" s="116">
        <v>895.95</v>
      </c>
      <c r="O694" s="116">
        <v>844</v>
      </c>
      <c r="P694" s="116">
        <v>864</v>
      </c>
      <c r="Q694" s="116">
        <v>888.35</v>
      </c>
      <c r="R694">
        <v>4650708</v>
      </c>
    </row>
    <row r="695" spans="1:18" x14ac:dyDescent="0.25">
      <c r="A695" s="170">
        <v>44034</v>
      </c>
      <c r="B695" s="116">
        <v>895.9</v>
      </c>
      <c r="C695" s="116">
        <v>860</v>
      </c>
      <c r="D695" s="116">
        <v>855.7</v>
      </c>
      <c r="E695" s="116">
        <v>895.9</v>
      </c>
      <c r="F695" s="116">
        <v>860</v>
      </c>
      <c r="G695">
        <v>539999</v>
      </c>
      <c r="H695" s="116"/>
      <c r="I695" s="116"/>
      <c r="L695" s="170">
        <v>44034</v>
      </c>
      <c r="M695" s="116">
        <v>859.2</v>
      </c>
      <c r="N695" s="116">
        <v>892.75</v>
      </c>
      <c r="O695" s="116">
        <v>856.1</v>
      </c>
      <c r="P695" s="116">
        <v>892.5</v>
      </c>
      <c r="Q695" s="116">
        <v>859.2</v>
      </c>
      <c r="R695">
        <v>1757469</v>
      </c>
    </row>
    <row r="696" spans="1:18" x14ac:dyDescent="0.25">
      <c r="A696" s="170">
        <v>44035</v>
      </c>
      <c r="B696" s="116">
        <v>880</v>
      </c>
      <c r="C696" s="116">
        <v>877.7</v>
      </c>
      <c r="D696" s="116">
        <v>858.15</v>
      </c>
      <c r="E696" s="116">
        <v>860</v>
      </c>
      <c r="F696" s="116">
        <v>877.7</v>
      </c>
      <c r="G696">
        <v>60755</v>
      </c>
      <c r="H696" s="116"/>
      <c r="I696" s="116"/>
      <c r="L696" s="170">
        <v>44035</v>
      </c>
      <c r="M696" s="116">
        <v>877.8</v>
      </c>
      <c r="N696" s="116">
        <v>880</v>
      </c>
      <c r="O696" s="116">
        <v>859.2</v>
      </c>
      <c r="P696" s="116">
        <v>861.8</v>
      </c>
      <c r="Q696" s="116">
        <v>877.8</v>
      </c>
      <c r="R696">
        <v>937554</v>
      </c>
    </row>
    <row r="697" spans="1:18" x14ac:dyDescent="0.25">
      <c r="A697" s="170">
        <v>44036</v>
      </c>
      <c r="B697" s="116">
        <v>883.5</v>
      </c>
      <c r="C697" s="116">
        <v>866.8</v>
      </c>
      <c r="D697" s="116">
        <v>863.25</v>
      </c>
      <c r="E697" s="116">
        <v>883.5</v>
      </c>
      <c r="F697" s="116">
        <v>866.8</v>
      </c>
      <c r="G697">
        <v>9758</v>
      </c>
      <c r="H697" s="116"/>
      <c r="I697" s="116"/>
      <c r="L697" s="170">
        <v>44036</v>
      </c>
      <c r="M697" s="116">
        <v>867.4</v>
      </c>
      <c r="N697" s="116">
        <v>877</v>
      </c>
      <c r="O697" s="116">
        <v>863</v>
      </c>
      <c r="P697" s="116">
        <v>873.9</v>
      </c>
      <c r="Q697" s="116">
        <v>867.4</v>
      </c>
      <c r="R697">
        <v>784968</v>
      </c>
    </row>
    <row r="698" spans="1:18" x14ac:dyDescent="0.25">
      <c r="A698" s="170">
        <v>44039</v>
      </c>
      <c r="B698" s="116">
        <v>882</v>
      </c>
      <c r="C698" s="116">
        <v>866.35</v>
      </c>
      <c r="D698" s="116">
        <v>856.9</v>
      </c>
      <c r="E698" s="116">
        <v>870</v>
      </c>
      <c r="F698" s="116">
        <v>866.35</v>
      </c>
      <c r="G698">
        <v>36752</v>
      </c>
      <c r="H698" s="116"/>
      <c r="I698" s="116"/>
      <c r="L698" s="170">
        <v>44039</v>
      </c>
      <c r="M698" s="116">
        <v>867.45</v>
      </c>
      <c r="N698" s="116">
        <v>882.2</v>
      </c>
      <c r="O698" s="116">
        <v>856.2</v>
      </c>
      <c r="P698" s="116">
        <v>874.9</v>
      </c>
      <c r="Q698" s="116">
        <v>867.45</v>
      </c>
      <c r="R698">
        <v>1342667</v>
      </c>
    </row>
    <row r="699" spans="1:18" x14ac:dyDescent="0.25">
      <c r="A699" s="170">
        <v>44040</v>
      </c>
      <c r="B699" s="116">
        <v>888.9</v>
      </c>
      <c r="C699" s="116">
        <v>883.55</v>
      </c>
      <c r="D699" s="116">
        <v>864.25</v>
      </c>
      <c r="E699" s="116">
        <v>864.25</v>
      </c>
      <c r="F699" s="116">
        <v>883.55</v>
      </c>
      <c r="G699">
        <v>25023</v>
      </c>
      <c r="H699" s="116"/>
      <c r="I699" s="116"/>
      <c r="L699" s="170">
        <v>44040</v>
      </c>
      <c r="M699" s="116">
        <v>883.35</v>
      </c>
      <c r="N699" s="116">
        <v>888.9</v>
      </c>
      <c r="O699" s="116">
        <v>863.35</v>
      </c>
      <c r="P699" s="116">
        <v>865</v>
      </c>
      <c r="Q699" s="116">
        <v>883.35</v>
      </c>
      <c r="R699">
        <v>1005543</v>
      </c>
    </row>
    <row r="700" spans="1:18" x14ac:dyDescent="0.25">
      <c r="A700" s="170">
        <v>44041</v>
      </c>
      <c r="B700" s="116">
        <v>889.45</v>
      </c>
      <c r="C700" s="116">
        <v>881</v>
      </c>
      <c r="D700" s="116">
        <v>875.5</v>
      </c>
      <c r="E700" s="116">
        <v>876</v>
      </c>
      <c r="F700" s="116">
        <v>881</v>
      </c>
      <c r="G700">
        <v>39444</v>
      </c>
      <c r="H700" s="116"/>
      <c r="I700" s="116"/>
      <c r="L700" s="170">
        <v>44041</v>
      </c>
      <c r="M700" s="116">
        <v>881.1</v>
      </c>
      <c r="N700" s="116">
        <v>890</v>
      </c>
      <c r="O700" s="116">
        <v>874.55</v>
      </c>
      <c r="P700" s="116">
        <v>874.55</v>
      </c>
      <c r="Q700" s="116">
        <v>881.1</v>
      </c>
      <c r="R700">
        <v>935033</v>
      </c>
    </row>
    <row r="701" spans="1:18" x14ac:dyDescent="0.25">
      <c r="A701" s="170">
        <v>44042</v>
      </c>
      <c r="B701" s="116">
        <v>915.95</v>
      </c>
      <c r="C701" s="116">
        <v>913.95</v>
      </c>
      <c r="D701" s="116">
        <v>878</v>
      </c>
      <c r="E701" s="116">
        <v>878</v>
      </c>
      <c r="F701" s="116">
        <v>913.95</v>
      </c>
      <c r="G701">
        <v>67142</v>
      </c>
      <c r="H701" s="116"/>
      <c r="I701" s="116"/>
      <c r="L701" s="170">
        <v>44042</v>
      </c>
      <c r="M701" s="116">
        <v>913.55</v>
      </c>
      <c r="N701" s="116">
        <v>916</v>
      </c>
      <c r="O701" s="116">
        <v>881.65</v>
      </c>
      <c r="P701" s="116">
        <v>887.85</v>
      </c>
      <c r="Q701" s="116">
        <v>913.55</v>
      </c>
      <c r="R701">
        <v>2422599</v>
      </c>
    </row>
    <row r="702" spans="1:18" x14ac:dyDescent="0.25">
      <c r="A702" s="170">
        <v>44043</v>
      </c>
      <c r="B702" s="116">
        <v>921.85</v>
      </c>
      <c r="C702" s="116">
        <v>912.65</v>
      </c>
      <c r="D702" s="116">
        <v>902.95</v>
      </c>
      <c r="E702" s="116">
        <v>920</v>
      </c>
      <c r="F702" s="116">
        <v>912.65</v>
      </c>
      <c r="G702">
        <v>86107</v>
      </c>
      <c r="H702" s="116"/>
      <c r="I702" s="116"/>
      <c r="L702" s="170">
        <v>44043</v>
      </c>
      <c r="M702" s="116">
        <v>912.85</v>
      </c>
      <c r="N702" s="116">
        <v>921.75</v>
      </c>
      <c r="O702" s="116">
        <v>903.6</v>
      </c>
      <c r="P702" s="116">
        <v>921.75</v>
      </c>
      <c r="Q702" s="116">
        <v>912.85</v>
      </c>
      <c r="R702">
        <v>1271276</v>
      </c>
    </row>
    <row r="703" spans="1:18" x14ac:dyDescent="0.25">
      <c r="A703" s="170">
        <v>44046</v>
      </c>
      <c r="B703" s="116">
        <v>918</v>
      </c>
      <c r="C703" s="116">
        <v>875</v>
      </c>
      <c r="D703" s="116">
        <v>873</v>
      </c>
      <c r="E703" s="116">
        <v>918</v>
      </c>
      <c r="F703" s="116">
        <v>875</v>
      </c>
      <c r="G703">
        <v>61834</v>
      </c>
      <c r="H703" s="116"/>
      <c r="I703" s="116"/>
      <c r="L703" s="170">
        <v>44046</v>
      </c>
      <c r="M703" s="116">
        <v>875.1</v>
      </c>
      <c r="N703" s="116">
        <v>911</v>
      </c>
      <c r="O703" s="116">
        <v>872.6</v>
      </c>
      <c r="P703" s="116">
        <v>911</v>
      </c>
      <c r="Q703" s="116">
        <v>875.1</v>
      </c>
      <c r="R703">
        <v>1291032</v>
      </c>
    </row>
    <row r="704" spans="1:18" x14ac:dyDescent="0.25">
      <c r="A704" s="170">
        <v>44047</v>
      </c>
      <c r="B704" s="116">
        <v>884.9</v>
      </c>
      <c r="C704" s="116">
        <v>875.5</v>
      </c>
      <c r="D704" s="116">
        <v>869</v>
      </c>
      <c r="E704" s="116">
        <v>884.9</v>
      </c>
      <c r="F704" s="116">
        <v>875.5</v>
      </c>
      <c r="G704">
        <v>35412</v>
      </c>
      <c r="H704" s="116"/>
      <c r="I704" s="116"/>
      <c r="L704" s="170">
        <v>44047</v>
      </c>
      <c r="M704" s="116">
        <v>875.8</v>
      </c>
      <c r="N704" s="116">
        <v>882.5</v>
      </c>
      <c r="O704" s="116">
        <v>868</v>
      </c>
      <c r="P704" s="116">
        <v>881.1</v>
      </c>
      <c r="Q704" s="116">
        <v>875.8</v>
      </c>
      <c r="R704">
        <v>707018</v>
      </c>
    </row>
    <row r="705" spans="1:18" x14ac:dyDescent="0.25">
      <c r="A705" s="170">
        <v>44048</v>
      </c>
      <c r="B705" s="116">
        <v>880.45</v>
      </c>
      <c r="C705" s="116">
        <v>860.7</v>
      </c>
      <c r="D705" s="116">
        <v>858.5</v>
      </c>
      <c r="E705" s="116">
        <v>878.7</v>
      </c>
      <c r="F705" s="116">
        <v>860.7</v>
      </c>
      <c r="G705">
        <v>30230</v>
      </c>
      <c r="H705" s="116"/>
      <c r="I705" s="116"/>
      <c r="L705" s="170">
        <v>44048</v>
      </c>
      <c r="M705" s="116">
        <v>860.9</v>
      </c>
      <c r="N705" s="116">
        <v>880.65</v>
      </c>
      <c r="O705" s="116">
        <v>858.45</v>
      </c>
      <c r="P705" s="116">
        <v>876.8</v>
      </c>
      <c r="Q705" s="116">
        <v>860.9</v>
      </c>
      <c r="R705">
        <v>1364745</v>
      </c>
    </row>
    <row r="706" spans="1:18" x14ac:dyDescent="0.25">
      <c r="A706" s="170">
        <v>44049</v>
      </c>
      <c r="B706" s="116">
        <v>878.3</v>
      </c>
      <c r="C706" s="116">
        <v>875.35</v>
      </c>
      <c r="D706" s="116">
        <v>860</v>
      </c>
      <c r="E706" s="116">
        <v>876</v>
      </c>
      <c r="F706" s="116">
        <v>875.35</v>
      </c>
      <c r="G706">
        <v>19779</v>
      </c>
      <c r="H706" s="116"/>
      <c r="I706" s="116"/>
      <c r="L706" s="170">
        <v>44049</v>
      </c>
      <c r="M706" s="116">
        <v>875.4</v>
      </c>
      <c r="N706" s="116">
        <v>878</v>
      </c>
      <c r="O706" s="116">
        <v>859.45</v>
      </c>
      <c r="P706" s="116">
        <v>868.7</v>
      </c>
      <c r="Q706" s="116">
        <v>875.4</v>
      </c>
      <c r="R706">
        <v>907558</v>
      </c>
    </row>
    <row r="707" spans="1:18" x14ac:dyDescent="0.25">
      <c r="A707" s="170">
        <v>44050</v>
      </c>
      <c r="B707" s="116">
        <v>883.2</v>
      </c>
      <c r="C707" s="116">
        <v>868.6</v>
      </c>
      <c r="D707" s="116">
        <v>862.5</v>
      </c>
      <c r="E707" s="116">
        <v>882</v>
      </c>
      <c r="F707" s="116">
        <v>868.6</v>
      </c>
      <c r="G707">
        <v>16087</v>
      </c>
      <c r="H707" s="116"/>
      <c r="I707" s="116"/>
      <c r="L707" s="170">
        <v>44050</v>
      </c>
      <c r="M707" s="116">
        <v>868.6</v>
      </c>
      <c r="N707" s="116">
        <v>883.85</v>
      </c>
      <c r="O707" s="116">
        <v>862.15</v>
      </c>
      <c r="P707" s="116">
        <v>879.9</v>
      </c>
      <c r="Q707" s="116">
        <v>868.6</v>
      </c>
      <c r="R707">
        <v>827168</v>
      </c>
    </row>
    <row r="708" spans="1:18" x14ac:dyDescent="0.25">
      <c r="A708" s="170">
        <v>44053</v>
      </c>
      <c r="B708" s="116">
        <v>880</v>
      </c>
      <c r="C708" s="116">
        <v>865.7</v>
      </c>
      <c r="D708" s="116">
        <v>862</v>
      </c>
      <c r="E708" s="116">
        <v>878.6</v>
      </c>
      <c r="F708" s="116">
        <v>865.7</v>
      </c>
      <c r="G708">
        <v>39337</v>
      </c>
      <c r="H708" s="116"/>
      <c r="I708" s="116"/>
      <c r="L708" s="170">
        <v>44053</v>
      </c>
      <c r="M708" s="116">
        <v>865.75</v>
      </c>
      <c r="N708" s="116">
        <v>882</v>
      </c>
      <c r="O708" s="116">
        <v>861.8</v>
      </c>
      <c r="P708" s="116">
        <v>880</v>
      </c>
      <c r="Q708" s="116">
        <v>865.75</v>
      </c>
      <c r="R708">
        <v>1090544</v>
      </c>
    </row>
    <row r="709" spans="1:18" x14ac:dyDescent="0.25">
      <c r="A709" s="170">
        <v>44054</v>
      </c>
      <c r="B709" s="116">
        <v>877.5</v>
      </c>
      <c r="C709" s="116">
        <v>860.35</v>
      </c>
      <c r="D709" s="116">
        <v>857.3</v>
      </c>
      <c r="E709" s="116">
        <v>865.7</v>
      </c>
      <c r="F709" s="116">
        <v>860.35</v>
      </c>
      <c r="G709">
        <v>23080</v>
      </c>
      <c r="H709" s="116"/>
      <c r="I709" s="116"/>
      <c r="L709" s="170">
        <v>44054</v>
      </c>
      <c r="M709" s="116">
        <v>860.6</v>
      </c>
      <c r="N709" s="116">
        <v>878</v>
      </c>
      <c r="O709" s="116">
        <v>857.5</v>
      </c>
      <c r="P709" s="116">
        <v>868</v>
      </c>
      <c r="Q709" s="116">
        <v>860.6</v>
      </c>
      <c r="R709">
        <v>971872</v>
      </c>
    </row>
    <row r="710" spans="1:18" x14ac:dyDescent="0.25">
      <c r="A710" s="170">
        <v>44055</v>
      </c>
      <c r="B710" s="116">
        <v>868.5</v>
      </c>
      <c r="C710" s="116">
        <v>856.6</v>
      </c>
      <c r="D710" s="116">
        <v>851.1</v>
      </c>
      <c r="E710" s="116">
        <v>864.95</v>
      </c>
      <c r="F710" s="116">
        <v>856.6</v>
      </c>
      <c r="G710">
        <v>13094</v>
      </c>
      <c r="H710" s="116"/>
      <c r="I710" s="116"/>
      <c r="L710" s="170">
        <v>44055</v>
      </c>
      <c r="M710" s="116">
        <v>856.9</v>
      </c>
      <c r="N710" s="116">
        <v>868.5</v>
      </c>
      <c r="O710" s="116">
        <v>851</v>
      </c>
      <c r="P710" s="116">
        <v>860.6</v>
      </c>
      <c r="Q710" s="116">
        <v>856.9</v>
      </c>
      <c r="R710">
        <v>1068002</v>
      </c>
    </row>
    <row r="711" spans="1:18" x14ac:dyDescent="0.25">
      <c r="A711" s="170">
        <v>44056</v>
      </c>
      <c r="B711" s="116">
        <v>867.75</v>
      </c>
      <c r="C711" s="116">
        <v>861.8</v>
      </c>
      <c r="D711" s="116">
        <v>855.8</v>
      </c>
      <c r="E711" s="116">
        <v>861.9</v>
      </c>
      <c r="F711" s="116">
        <v>861.8</v>
      </c>
      <c r="G711">
        <v>10500</v>
      </c>
      <c r="H711" s="116"/>
      <c r="I711" s="116"/>
      <c r="L711" s="170">
        <v>44056</v>
      </c>
      <c r="M711" s="116">
        <v>861.5</v>
      </c>
      <c r="N711" s="116">
        <v>868</v>
      </c>
      <c r="O711" s="116">
        <v>855.1</v>
      </c>
      <c r="P711" s="116">
        <v>860.9</v>
      </c>
      <c r="Q711" s="116">
        <v>861.5</v>
      </c>
      <c r="R711">
        <v>666359</v>
      </c>
    </row>
    <row r="712" spans="1:18" x14ac:dyDescent="0.25">
      <c r="A712" s="170">
        <v>44057</v>
      </c>
      <c r="B712" s="116">
        <v>869.9</v>
      </c>
      <c r="C712" s="116">
        <v>839.5</v>
      </c>
      <c r="D712" s="116">
        <v>829</v>
      </c>
      <c r="E712" s="116">
        <v>869.9</v>
      </c>
      <c r="F712" s="116">
        <v>839.5</v>
      </c>
      <c r="G712">
        <v>112701</v>
      </c>
      <c r="H712" s="116"/>
      <c r="I712" s="116"/>
      <c r="L712" s="170">
        <v>44057</v>
      </c>
      <c r="M712" s="116">
        <v>839.3</v>
      </c>
      <c r="N712" s="116">
        <v>866.9</v>
      </c>
      <c r="O712" s="116">
        <v>828.7</v>
      </c>
      <c r="P712" s="116">
        <v>866.9</v>
      </c>
      <c r="Q712" s="116">
        <v>839.3</v>
      </c>
      <c r="R712">
        <v>1897747</v>
      </c>
    </row>
    <row r="713" spans="1:18" x14ac:dyDescent="0.25">
      <c r="A713" s="170">
        <v>44060</v>
      </c>
      <c r="B713" s="116">
        <v>846.5</v>
      </c>
      <c r="C713" s="116">
        <v>842.8</v>
      </c>
      <c r="D713" s="116">
        <v>838.3</v>
      </c>
      <c r="E713" s="116">
        <v>842</v>
      </c>
      <c r="F713" s="116">
        <v>842.8</v>
      </c>
      <c r="G713">
        <v>48580</v>
      </c>
      <c r="H713" s="116"/>
      <c r="I713" s="116"/>
      <c r="L713" s="170">
        <v>44060</v>
      </c>
      <c r="M713" s="116">
        <v>842.35</v>
      </c>
      <c r="N713" s="116">
        <v>847.15</v>
      </c>
      <c r="O713" s="116">
        <v>838.2</v>
      </c>
      <c r="P713" s="116">
        <v>845</v>
      </c>
      <c r="Q713" s="116">
        <v>842.35</v>
      </c>
      <c r="R713">
        <v>1435985</v>
      </c>
    </row>
    <row r="714" spans="1:18" x14ac:dyDescent="0.25">
      <c r="A714" s="170">
        <v>44061</v>
      </c>
      <c r="B714" s="116">
        <v>864.45</v>
      </c>
      <c r="C714" s="116">
        <v>860.1</v>
      </c>
      <c r="D714" s="116">
        <v>842.8</v>
      </c>
      <c r="E714" s="116">
        <v>844.05</v>
      </c>
      <c r="F714" s="116">
        <v>860.1</v>
      </c>
      <c r="G714">
        <v>49971</v>
      </c>
      <c r="H714" s="116"/>
      <c r="I714" s="116"/>
      <c r="L714" s="170">
        <v>44061</v>
      </c>
      <c r="M714" s="116">
        <v>860.45</v>
      </c>
      <c r="N714" s="116">
        <v>864.75</v>
      </c>
      <c r="O714" s="116">
        <v>844.6</v>
      </c>
      <c r="P714" s="116">
        <v>845.95</v>
      </c>
      <c r="Q714" s="116">
        <v>860.45</v>
      </c>
      <c r="R714">
        <v>1170823</v>
      </c>
    </row>
    <row r="715" spans="1:18" x14ac:dyDescent="0.25">
      <c r="A715" s="170">
        <v>44062</v>
      </c>
      <c r="B715" s="116">
        <v>875</v>
      </c>
      <c r="C715" s="116">
        <v>863.3</v>
      </c>
      <c r="D715" s="116">
        <v>861.05</v>
      </c>
      <c r="E715" s="116">
        <v>862</v>
      </c>
      <c r="F715" s="116">
        <v>863.3</v>
      </c>
      <c r="G715">
        <v>26212</v>
      </c>
      <c r="H715" s="116"/>
      <c r="I715" s="116"/>
      <c r="L715" s="170">
        <v>44062</v>
      </c>
      <c r="M715" s="116">
        <v>863.65</v>
      </c>
      <c r="N715" s="116">
        <v>875.6</v>
      </c>
      <c r="O715" s="116">
        <v>860.45</v>
      </c>
      <c r="P715" s="116">
        <v>860.65</v>
      </c>
      <c r="Q715" s="116">
        <v>863.65</v>
      </c>
      <c r="R715">
        <v>1332731</v>
      </c>
    </row>
    <row r="716" spans="1:18" x14ac:dyDescent="0.25">
      <c r="A716" s="170">
        <v>44063</v>
      </c>
      <c r="B716" s="116">
        <v>865</v>
      </c>
      <c r="C716" s="116">
        <v>852.65</v>
      </c>
      <c r="D716" s="116">
        <v>849</v>
      </c>
      <c r="E716" s="116">
        <v>863.3</v>
      </c>
      <c r="F716" s="116">
        <v>852.65</v>
      </c>
      <c r="G716">
        <v>11847</v>
      </c>
      <c r="H716" s="116"/>
      <c r="I716" s="116"/>
      <c r="L716" s="170">
        <v>44063</v>
      </c>
      <c r="M716" s="116">
        <v>852.85</v>
      </c>
      <c r="N716" s="116">
        <v>864.75</v>
      </c>
      <c r="O716" s="116">
        <v>849</v>
      </c>
      <c r="P716" s="116">
        <v>861</v>
      </c>
      <c r="Q716" s="116">
        <v>852.85</v>
      </c>
      <c r="R716">
        <v>660138</v>
      </c>
    </row>
    <row r="717" spans="1:18" x14ac:dyDescent="0.25">
      <c r="A717" s="170">
        <v>44064</v>
      </c>
      <c r="B717" s="116">
        <v>889</v>
      </c>
      <c r="C717" s="116">
        <v>861</v>
      </c>
      <c r="D717" s="116">
        <v>859</v>
      </c>
      <c r="E717" s="116">
        <v>875.5</v>
      </c>
      <c r="F717" s="116">
        <v>861</v>
      </c>
      <c r="G717">
        <v>66819</v>
      </c>
      <c r="H717" s="116"/>
      <c r="I717" s="116"/>
      <c r="L717" s="170">
        <v>44064</v>
      </c>
      <c r="M717" s="116">
        <v>861.25</v>
      </c>
      <c r="N717" s="116">
        <v>889.8</v>
      </c>
      <c r="O717" s="116">
        <v>859</v>
      </c>
      <c r="P717" s="116">
        <v>881.05</v>
      </c>
      <c r="Q717" s="116">
        <v>861.25</v>
      </c>
      <c r="R717">
        <v>3651529</v>
      </c>
    </row>
    <row r="718" spans="1:18" x14ac:dyDescent="0.25">
      <c r="A718" s="170">
        <v>44067</v>
      </c>
      <c r="B718" s="116">
        <v>869.7</v>
      </c>
      <c r="C718" s="116">
        <v>860.65</v>
      </c>
      <c r="D718" s="116">
        <v>852</v>
      </c>
      <c r="E718" s="116">
        <v>865</v>
      </c>
      <c r="F718" s="116">
        <v>860.65</v>
      </c>
      <c r="G718">
        <v>41693</v>
      </c>
      <c r="H718" s="116"/>
      <c r="I718" s="116"/>
      <c r="L718" s="170">
        <v>44067</v>
      </c>
      <c r="M718" s="116">
        <v>860.85</v>
      </c>
      <c r="N718" s="116">
        <v>869.9</v>
      </c>
      <c r="O718" s="116">
        <v>851.6</v>
      </c>
      <c r="P718" s="116">
        <v>866.8</v>
      </c>
      <c r="Q718" s="116">
        <v>860.85</v>
      </c>
      <c r="R718">
        <v>951781</v>
      </c>
    </row>
    <row r="719" spans="1:18" x14ac:dyDescent="0.25">
      <c r="A719" s="170">
        <v>44068</v>
      </c>
      <c r="B719" s="116">
        <v>866.1</v>
      </c>
      <c r="C719" s="116">
        <v>847.8</v>
      </c>
      <c r="D719" s="116">
        <v>838</v>
      </c>
      <c r="E719" s="116">
        <v>864</v>
      </c>
      <c r="F719" s="116">
        <v>847.8</v>
      </c>
      <c r="G719">
        <v>42913</v>
      </c>
      <c r="H719" s="116"/>
      <c r="I719" s="116"/>
      <c r="L719" s="170">
        <v>44068</v>
      </c>
      <c r="M719" s="116">
        <v>847.9</v>
      </c>
      <c r="N719" s="116">
        <v>865.95</v>
      </c>
      <c r="O719" s="116">
        <v>837.85</v>
      </c>
      <c r="P719" s="116">
        <v>862.35</v>
      </c>
      <c r="Q719" s="116">
        <v>847.9</v>
      </c>
      <c r="R719">
        <v>1877997</v>
      </c>
    </row>
    <row r="720" spans="1:18" x14ac:dyDescent="0.25">
      <c r="A720" s="170">
        <v>44069</v>
      </c>
      <c r="B720" s="116">
        <v>853.1</v>
      </c>
      <c r="C720" s="116">
        <v>839.1</v>
      </c>
      <c r="D720" s="116">
        <v>834</v>
      </c>
      <c r="E720" s="116">
        <v>852.8</v>
      </c>
      <c r="F720" s="116">
        <v>839.1</v>
      </c>
      <c r="G720">
        <v>112681</v>
      </c>
      <c r="H720" s="116"/>
      <c r="I720" s="116"/>
      <c r="L720" s="170">
        <v>44069</v>
      </c>
      <c r="M720" s="116">
        <v>839.2</v>
      </c>
      <c r="N720" s="116">
        <v>855</v>
      </c>
      <c r="O720" s="116">
        <v>833.65</v>
      </c>
      <c r="P720" s="116">
        <v>855</v>
      </c>
      <c r="Q720" s="116">
        <v>839.2</v>
      </c>
      <c r="R720">
        <v>2151697</v>
      </c>
    </row>
    <row r="721" spans="1:18" x14ac:dyDescent="0.25">
      <c r="A721" s="170">
        <v>44070</v>
      </c>
      <c r="B721" s="116">
        <v>845.85</v>
      </c>
      <c r="C721" s="116">
        <v>842.05</v>
      </c>
      <c r="D721" s="116">
        <v>835.5</v>
      </c>
      <c r="E721" s="116">
        <v>840</v>
      </c>
      <c r="F721" s="116">
        <v>842.05</v>
      </c>
      <c r="G721">
        <v>20853</v>
      </c>
      <c r="H721" s="116"/>
      <c r="I721" s="116"/>
      <c r="L721" s="170">
        <v>44070</v>
      </c>
      <c r="M721" s="116">
        <v>841.25</v>
      </c>
      <c r="N721" s="116">
        <v>845.8</v>
      </c>
      <c r="O721" s="116">
        <v>835.1</v>
      </c>
      <c r="P721" s="116">
        <v>843.95</v>
      </c>
      <c r="Q721" s="116">
        <v>841.25</v>
      </c>
      <c r="R721">
        <v>945124</v>
      </c>
    </row>
    <row r="722" spans="1:18" x14ac:dyDescent="0.25">
      <c r="A722" s="170">
        <v>44071</v>
      </c>
      <c r="B722" s="116">
        <v>858.5</v>
      </c>
      <c r="C722" s="116">
        <v>851.6</v>
      </c>
      <c r="D722" s="116">
        <v>843</v>
      </c>
      <c r="E722" s="116">
        <v>845.8</v>
      </c>
      <c r="F722" s="116">
        <v>851.6</v>
      </c>
      <c r="G722">
        <v>88588</v>
      </c>
      <c r="H722" s="116"/>
      <c r="I722" s="116"/>
      <c r="L722" s="170">
        <v>44071</v>
      </c>
      <c r="M722" s="116">
        <v>851.55</v>
      </c>
      <c r="N722" s="116">
        <v>858.7</v>
      </c>
      <c r="O722" s="116">
        <v>843.05</v>
      </c>
      <c r="P722" s="116">
        <v>846</v>
      </c>
      <c r="Q722" s="116">
        <v>851.55</v>
      </c>
      <c r="R722">
        <v>1640203</v>
      </c>
    </row>
    <row r="723" spans="1:18" x14ac:dyDescent="0.25">
      <c r="A723" s="170">
        <v>44074</v>
      </c>
      <c r="B723" s="116">
        <v>863.4</v>
      </c>
      <c r="C723" s="116">
        <v>827.25</v>
      </c>
      <c r="D723" s="116">
        <v>818.65</v>
      </c>
      <c r="E723" s="116">
        <v>852.55</v>
      </c>
      <c r="F723" s="116">
        <v>827.25</v>
      </c>
      <c r="G723">
        <v>96829</v>
      </c>
      <c r="H723" s="116"/>
      <c r="I723" s="116"/>
      <c r="L723" s="170">
        <v>44074</v>
      </c>
      <c r="M723" s="116">
        <v>827.75</v>
      </c>
      <c r="N723" s="116">
        <v>864</v>
      </c>
      <c r="O723" s="116">
        <v>818.55</v>
      </c>
      <c r="P723" s="116">
        <v>855.5</v>
      </c>
      <c r="Q723" s="116">
        <v>827.75</v>
      </c>
      <c r="R723">
        <v>2086202</v>
      </c>
    </row>
    <row r="724" spans="1:18" x14ac:dyDescent="0.25">
      <c r="A724" s="170">
        <v>44075</v>
      </c>
      <c r="B724" s="116">
        <v>840.45</v>
      </c>
      <c r="C724" s="116">
        <v>836.3</v>
      </c>
      <c r="D724" s="116">
        <v>819</v>
      </c>
      <c r="E724" s="116">
        <v>828.55</v>
      </c>
      <c r="F724" s="116">
        <v>836.3</v>
      </c>
      <c r="G724">
        <v>85109</v>
      </c>
      <c r="H724" s="116"/>
      <c r="I724" s="116"/>
      <c r="L724" s="170">
        <v>44075</v>
      </c>
      <c r="M724" s="116">
        <v>835.9</v>
      </c>
      <c r="N724" s="116">
        <v>840</v>
      </c>
      <c r="O724" s="116">
        <v>818.05</v>
      </c>
      <c r="P724" s="116">
        <v>825</v>
      </c>
      <c r="Q724" s="116">
        <v>835.9</v>
      </c>
      <c r="R724">
        <v>1148611</v>
      </c>
    </row>
    <row r="725" spans="1:18" x14ac:dyDescent="0.25">
      <c r="A725" s="170">
        <v>44076</v>
      </c>
      <c r="B725" s="116">
        <v>863.9</v>
      </c>
      <c r="C725" s="116">
        <v>849.85</v>
      </c>
      <c r="D725" s="116">
        <v>831.1</v>
      </c>
      <c r="E725" s="116">
        <v>831.1</v>
      </c>
      <c r="F725" s="116">
        <v>849.85</v>
      </c>
      <c r="G725">
        <v>101338</v>
      </c>
      <c r="H725" s="116"/>
      <c r="I725" s="116"/>
      <c r="L725" s="170">
        <v>44076</v>
      </c>
      <c r="M725" s="116">
        <v>850.3</v>
      </c>
      <c r="N725" s="116">
        <v>865</v>
      </c>
      <c r="O725" s="116">
        <v>841.3</v>
      </c>
      <c r="P725" s="116">
        <v>843</v>
      </c>
      <c r="Q725" s="116">
        <v>850.3</v>
      </c>
      <c r="R725">
        <v>2006969</v>
      </c>
    </row>
    <row r="726" spans="1:18" x14ac:dyDescent="0.25">
      <c r="A726" s="170">
        <v>44077</v>
      </c>
      <c r="B726" s="116">
        <v>863</v>
      </c>
      <c r="C726" s="116">
        <v>852.95</v>
      </c>
      <c r="D726" s="116">
        <v>849.9</v>
      </c>
      <c r="E726" s="116">
        <v>849.9</v>
      </c>
      <c r="F726" s="116">
        <v>852.95</v>
      </c>
      <c r="G726">
        <v>14734</v>
      </c>
      <c r="H726" s="116"/>
      <c r="I726" s="116"/>
      <c r="L726" s="170">
        <v>44077</v>
      </c>
      <c r="M726" s="116">
        <v>852.3</v>
      </c>
      <c r="N726" s="116">
        <v>863.75</v>
      </c>
      <c r="O726" s="116">
        <v>851</v>
      </c>
      <c r="P726" s="116">
        <v>853.9</v>
      </c>
      <c r="Q726" s="116">
        <v>852.3</v>
      </c>
      <c r="R726">
        <v>888552</v>
      </c>
    </row>
    <row r="727" spans="1:18" x14ac:dyDescent="0.25">
      <c r="A727" s="170">
        <v>44078</v>
      </c>
      <c r="B727" s="116">
        <v>845.75</v>
      </c>
      <c r="C727" s="116">
        <v>834.55</v>
      </c>
      <c r="D727" s="116">
        <v>825</v>
      </c>
      <c r="E727" s="116">
        <v>825</v>
      </c>
      <c r="F727" s="116">
        <v>834.55</v>
      </c>
      <c r="G727">
        <v>33200</v>
      </c>
      <c r="H727" s="116"/>
      <c r="I727" s="116"/>
      <c r="L727" s="170">
        <v>44078</v>
      </c>
      <c r="M727" s="116">
        <v>834.55</v>
      </c>
      <c r="N727" s="116">
        <v>845.8</v>
      </c>
      <c r="O727" s="116">
        <v>833</v>
      </c>
      <c r="P727" s="116">
        <v>842</v>
      </c>
      <c r="Q727" s="116">
        <v>834.55</v>
      </c>
      <c r="R727">
        <v>1069706</v>
      </c>
    </row>
    <row r="728" spans="1:18" x14ac:dyDescent="0.25">
      <c r="A728" s="170">
        <v>44081</v>
      </c>
      <c r="B728" s="116">
        <v>842</v>
      </c>
      <c r="C728" s="116">
        <v>838.25</v>
      </c>
      <c r="D728" s="116">
        <v>825.25</v>
      </c>
      <c r="E728" s="116">
        <v>833.05</v>
      </c>
      <c r="F728" s="116">
        <v>838.25</v>
      </c>
      <c r="G728">
        <v>12750</v>
      </c>
      <c r="H728" s="116"/>
      <c r="I728" s="116"/>
      <c r="L728" s="170">
        <v>44081</v>
      </c>
      <c r="M728" s="116">
        <v>838.45</v>
      </c>
      <c r="N728" s="116">
        <v>842</v>
      </c>
      <c r="O728" s="116">
        <v>826</v>
      </c>
      <c r="P728" s="116">
        <v>835.5</v>
      </c>
      <c r="Q728" s="116">
        <v>838.45</v>
      </c>
      <c r="R728">
        <v>808907</v>
      </c>
    </row>
    <row r="729" spans="1:18" x14ac:dyDescent="0.25">
      <c r="A729" s="170">
        <v>44082</v>
      </c>
      <c r="B729" s="116">
        <v>851</v>
      </c>
      <c r="C729" s="116">
        <v>844.75</v>
      </c>
      <c r="D729" s="116">
        <v>831.2</v>
      </c>
      <c r="E729" s="116">
        <v>840</v>
      </c>
      <c r="F729" s="116">
        <v>844.75</v>
      </c>
      <c r="G729">
        <v>13195</v>
      </c>
      <c r="H729" s="116"/>
      <c r="I729" s="116"/>
      <c r="L729" s="170">
        <v>44082</v>
      </c>
      <c r="M729" s="116">
        <v>845</v>
      </c>
      <c r="N729" s="116">
        <v>850.85</v>
      </c>
      <c r="O729" s="116">
        <v>830.2</v>
      </c>
      <c r="P729" s="116">
        <v>840.95</v>
      </c>
      <c r="Q729" s="116">
        <v>845</v>
      </c>
      <c r="R729">
        <v>1438741</v>
      </c>
    </row>
    <row r="730" spans="1:18" x14ac:dyDescent="0.25">
      <c r="A730" s="170">
        <v>44083</v>
      </c>
      <c r="B730" s="116">
        <v>843.05</v>
      </c>
      <c r="C730" s="116">
        <v>830.2</v>
      </c>
      <c r="D730" s="116">
        <v>822.5</v>
      </c>
      <c r="E730" s="116">
        <v>843</v>
      </c>
      <c r="F730" s="116">
        <v>830.2</v>
      </c>
      <c r="G730">
        <v>13673</v>
      </c>
      <c r="H730" s="116"/>
      <c r="I730" s="116"/>
      <c r="L730" s="170">
        <v>44083</v>
      </c>
      <c r="M730" s="116">
        <v>830.5</v>
      </c>
      <c r="N730" s="116">
        <v>843.5</v>
      </c>
      <c r="O730" s="116">
        <v>822</v>
      </c>
      <c r="P730" s="116">
        <v>837.75</v>
      </c>
      <c r="Q730" s="116">
        <v>830.5</v>
      </c>
      <c r="R730">
        <v>1685144</v>
      </c>
    </row>
    <row r="731" spans="1:18" x14ac:dyDescent="0.25">
      <c r="A731" s="170">
        <v>44084</v>
      </c>
      <c r="B731" s="116">
        <v>848.15</v>
      </c>
      <c r="C731" s="116">
        <v>846.4</v>
      </c>
      <c r="D731" s="116">
        <v>836</v>
      </c>
      <c r="E731" s="116">
        <v>843.85</v>
      </c>
      <c r="F731" s="116">
        <v>846.4</v>
      </c>
      <c r="G731">
        <v>10534</v>
      </c>
      <c r="H731" s="116"/>
      <c r="I731" s="116"/>
      <c r="L731" s="170">
        <v>44084</v>
      </c>
      <c r="M731" s="116">
        <v>845.2</v>
      </c>
      <c r="N731" s="116">
        <v>848</v>
      </c>
      <c r="O731" s="116">
        <v>833.1</v>
      </c>
      <c r="P731" s="116">
        <v>833.9</v>
      </c>
      <c r="Q731" s="116">
        <v>845.2</v>
      </c>
      <c r="R731">
        <v>659109</v>
      </c>
    </row>
    <row r="732" spans="1:18" x14ac:dyDescent="0.25">
      <c r="A732" s="170">
        <v>44085</v>
      </c>
      <c r="B732" s="116">
        <v>866.7</v>
      </c>
      <c r="C732" s="116">
        <v>864.5</v>
      </c>
      <c r="D732" s="116">
        <v>844.05</v>
      </c>
      <c r="E732" s="116">
        <v>844.05</v>
      </c>
      <c r="F732" s="116">
        <v>864.5</v>
      </c>
      <c r="G732">
        <v>83537</v>
      </c>
      <c r="H732" s="116"/>
      <c r="I732" s="116"/>
      <c r="L732" s="170">
        <v>44085</v>
      </c>
      <c r="M732" s="116">
        <v>864.4</v>
      </c>
      <c r="N732" s="116">
        <v>866.9</v>
      </c>
      <c r="O732" s="116">
        <v>843.75</v>
      </c>
      <c r="P732" s="116">
        <v>846</v>
      </c>
      <c r="Q732" s="116">
        <v>864.4</v>
      </c>
      <c r="R732">
        <v>1559677</v>
      </c>
    </row>
    <row r="733" spans="1:18" x14ac:dyDescent="0.25">
      <c r="A733" s="170">
        <v>44088</v>
      </c>
      <c r="B733" s="116">
        <v>874.95</v>
      </c>
      <c r="C733" s="116">
        <v>856.65</v>
      </c>
      <c r="D733" s="116">
        <v>849.6</v>
      </c>
      <c r="E733" s="116">
        <v>869.45</v>
      </c>
      <c r="F733" s="116">
        <v>856.65</v>
      </c>
      <c r="G733">
        <v>49993</v>
      </c>
      <c r="H733" s="116"/>
      <c r="I733" s="116"/>
      <c r="L733" s="170">
        <v>44088</v>
      </c>
      <c r="M733" s="116">
        <v>857.1</v>
      </c>
      <c r="N733" s="116">
        <v>876</v>
      </c>
      <c r="O733" s="116">
        <v>850</v>
      </c>
      <c r="P733" s="116">
        <v>871</v>
      </c>
      <c r="Q733" s="116">
        <v>857.1</v>
      </c>
      <c r="R733">
        <v>1346301</v>
      </c>
    </row>
    <row r="734" spans="1:18" x14ac:dyDescent="0.25">
      <c r="A734" s="170">
        <v>44089</v>
      </c>
      <c r="B734" s="116">
        <v>871.05</v>
      </c>
      <c r="C734" s="116">
        <v>864.2</v>
      </c>
      <c r="D734" s="116">
        <v>853.1</v>
      </c>
      <c r="E734" s="116">
        <v>865</v>
      </c>
      <c r="F734" s="116">
        <v>864.2</v>
      </c>
      <c r="G734">
        <v>10672</v>
      </c>
      <c r="H734" s="116"/>
      <c r="I734" s="116"/>
      <c r="L734" s="170">
        <v>44089</v>
      </c>
      <c r="M734" s="116">
        <v>864.7</v>
      </c>
      <c r="N734" s="116">
        <v>871</v>
      </c>
      <c r="O734" s="116">
        <v>853.05</v>
      </c>
      <c r="P734" s="116">
        <v>861.3</v>
      </c>
      <c r="Q734" s="116">
        <v>864.7</v>
      </c>
      <c r="R734">
        <v>725017</v>
      </c>
    </row>
    <row r="735" spans="1:18" x14ac:dyDescent="0.25">
      <c r="A735" s="170">
        <v>44090</v>
      </c>
      <c r="B735" s="116">
        <v>873</v>
      </c>
      <c r="C735" s="116">
        <v>867.6</v>
      </c>
      <c r="D735" s="116">
        <v>861.7</v>
      </c>
      <c r="E735" s="116">
        <v>869.6</v>
      </c>
      <c r="F735" s="116">
        <v>867.6</v>
      </c>
      <c r="G735">
        <v>14096</v>
      </c>
      <c r="H735" s="116"/>
      <c r="I735" s="116"/>
      <c r="L735" s="170">
        <v>44090</v>
      </c>
      <c r="M735" s="116">
        <v>867.65</v>
      </c>
      <c r="N735" s="116">
        <v>873.5</v>
      </c>
      <c r="O735" s="116">
        <v>861.3</v>
      </c>
      <c r="P735" s="116">
        <v>865</v>
      </c>
      <c r="Q735" s="116">
        <v>867.65</v>
      </c>
      <c r="R735">
        <v>823952</v>
      </c>
    </row>
    <row r="736" spans="1:18" x14ac:dyDescent="0.25">
      <c r="A736" s="170">
        <v>44091</v>
      </c>
      <c r="B736" s="116">
        <v>866</v>
      </c>
      <c r="C736" s="116">
        <v>854.85</v>
      </c>
      <c r="D736" s="116">
        <v>852.7</v>
      </c>
      <c r="E736" s="116">
        <v>866</v>
      </c>
      <c r="F736" s="116">
        <v>854.85</v>
      </c>
      <c r="G736">
        <v>29125</v>
      </c>
      <c r="H736" s="116"/>
      <c r="I736" s="116"/>
      <c r="L736" s="170">
        <v>44091</v>
      </c>
      <c r="M736" s="116">
        <v>856.15</v>
      </c>
      <c r="N736" s="116">
        <v>866.4</v>
      </c>
      <c r="O736" s="116">
        <v>852.55</v>
      </c>
      <c r="P736" s="116">
        <v>858.4</v>
      </c>
      <c r="Q736" s="116">
        <v>856.15</v>
      </c>
      <c r="R736">
        <v>612366</v>
      </c>
    </row>
    <row r="737" spans="1:18" x14ac:dyDescent="0.25">
      <c r="A737" s="170">
        <v>44092</v>
      </c>
      <c r="B737" s="116">
        <v>863.2</v>
      </c>
      <c r="C737" s="116">
        <v>847.9</v>
      </c>
      <c r="D737" s="116">
        <v>845.75</v>
      </c>
      <c r="E737" s="116">
        <v>863.2</v>
      </c>
      <c r="F737" s="116">
        <v>847.9</v>
      </c>
      <c r="G737">
        <v>11426</v>
      </c>
      <c r="H737" s="116"/>
      <c r="I737" s="116"/>
      <c r="L737" s="170">
        <v>44092</v>
      </c>
      <c r="M737" s="116">
        <v>848.1</v>
      </c>
      <c r="N737" s="116">
        <v>861.8</v>
      </c>
      <c r="O737" s="116">
        <v>845.05</v>
      </c>
      <c r="P737" s="116">
        <v>856.95</v>
      </c>
      <c r="Q737" s="116">
        <v>848.1</v>
      </c>
      <c r="R737">
        <v>1245818</v>
      </c>
    </row>
    <row r="738" spans="1:18" x14ac:dyDescent="0.25">
      <c r="A738" s="170">
        <v>44095</v>
      </c>
      <c r="B738" s="116">
        <v>852.25</v>
      </c>
      <c r="C738" s="116">
        <v>840.55</v>
      </c>
      <c r="D738" s="116">
        <v>836.05</v>
      </c>
      <c r="E738" s="116">
        <v>850</v>
      </c>
      <c r="F738" s="116">
        <v>840.55</v>
      </c>
      <c r="G738">
        <v>35157</v>
      </c>
      <c r="H738" s="116"/>
      <c r="I738" s="116"/>
      <c r="L738" s="170">
        <v>44095</v>
      </c>
      <c r="M738" s="116">
        <v>840.1</v>
      </c>
      <c r="N738" s="116">
        <v>851.8</v>
      </c>
      <c r="O738" s="116">
        <v>835.6</v>
      </c>
      <c r="P738" s="116">
        <v>849</v>
      </c>
      <c r="Q738" s="116">
        <v>840.1</v>
      </c>
      <c r="R738">
        <v>875668</v>
      </c>
    </row>
    <row r="739" spans="1:18" x14ac:dyDescent="0.25">
      <c r="A739" s="170">
        <v>44096</v>
      </c>
      <c r="B739" s="116">
        <v>838.2</v>
      </c>
      <c r="C739" s="116">
        <v>832.95</v>
      </c>
      <c r="D739" s="116">
        <v>801.05</v>
      </c>
      <c r="E739" s="116">
        <v>833.7</v>
      </c>
      <c r="F739" s="116">
        <v>832.95</v>
      </c>
      <c r="G739">
        <v>38563</v>
      </c>
      <c r="H739" s="116"/>
      <c r="I739" s="116"/>
      <c r="L739" s="170">
        <v>44096</v>
      </c>
      <c r="M739" s="116">
        <v>831.85</v>
      </c>
      <c r="N739" s="116">
        <v>840</v>
      </c>
      <c r="O739" s="116">
        <v>801.6</v>
      </c>
      <c r="P739" s="116">
        <v>840</v>
      </c>
      <c r="Q739" s="116">
        <v>831.85</v>
      </c>
      <c r="R739">
        <v>1265561</v>
      </c>
    </row>
    <row r="740" spans="1:18" x14ac:dyDescent="0.25">
      <c r="A740" s="170">
        <v>44097</v>
      </c>
      <c r="B740" s="116">
        <v>840.55</v>
      </c>
      <c r="C740" s="116">
        <v>834</v>
      </c>
      <c r="D740" s="116">
        <v>826</v>
      </c>
      <c r="E740" s="116">
        <v>826</v>
      </c>
      <c r="F740" s="116">
        <v>834</v>
      </c>
      <c r="G740">
        <v>22191</v>
      </c>
      <c r="H740" s="116"/>
      <c r="I740" s="116"/>
      <c r="L740" s="170">
        <v>44097</v>
      </c>
      <c r="M740" s="116">
        <v>833</v>
      </c>
      <c r="N740" s="116">
        <v>841.5</v>
      </c>
      <c r="O740" s="116">
        <v>827.15</v>
      </c>
      <c r="P740" s="116">
        <v>833.35</v>
      </c>
      <c r="Q740" s="116">
        <v>833</v>
      </c>
      <c r="R740">
        <v>628823</v>
      </c>
    </row>
    <row r="741" spans="1:18" x14ac:dyDescent="0.25">
      <c r="A741" s="170">
        <v>44098</v>
      </c>
      <c r="B741" s="116">
        <v>832</v>
      </c>
      <c r="C741" s="116">
        <v>797.45</v>
      </c>
      <c r="D741" s="116">
        <v>782.75</v>
      </c>
      <c r="E741" s="116">
        <v>810.05</v>
      </c>
      <c r="F741" s="116">
        <v>797.45</v>
      </c>
      <c r="G741">
        <v>69416</v>
      </c>
      <c r="H741" s="116"/>
      <c r="I741" s="116"/>
      <c r="L741" s="170">
        <v>44098</v>
      </c>
      <c r="M741" s="116">
        <v>804.4</v>
      </c>
      <c r="N741" s="116">
        <v>832.15</v>
      </c>
      <c r="O741" s="116">
        <v>782.35</v>
      </c>
      <c r="P741" s="116">
        <v>830.6</v>
      </c>
      <c r="Q741" s="116">
        <v>804.4</v>
      </c>
      <c r="R741">
        <v>14778958</v>
      </c>
    </row>
    <row r="742" spans="1:18" x14ac:dyDescent="0.25">
      <c r="A742" s="170">
        <v>44099</v>
      </c>
      <c r="B742" s="116">
        <v>813</v>
      </c>
      <c r="C742" s="116">
        <v>796.25</v>
      </c>
      <c r="D742" s="116">
        <v>780</v>
      </c>
      <c r="E742" s="116">
        <v>797</v>
      </c>
      <c r="F742" s="116">
        <v>796.25</v>
      </c>
      <c r="G742">
        <v>43260</v>
      </c>
      <c r="H742" s="116"/>
      <c r="I742" s="116"/>
      <c r="L742" s="170">
        <v>44099</v>
      </c>
      <c r="M742" s="116">
        <v>797.05</v>
      </c>
      <c r="N742" s="116">
        <v>813.5</v>
      </c>
      <c r="O742" s="116">
        <v>780</v>
      </c>
      <c r="P742" s="116">
        <v>796</v>
      </c>
      <c r="Q742" s="116">
        <v>797.05</v>
      </c>
      <c r="R742">
        <v>2252162</v>
      </c>
    </row>
    <row r="743" spans="1:18" x14ac:dyDescent="0.25">
      <c r="A743" s="170">
        <v>44102</v>
      </c>
      <c r="B743" s="116">
        <v>816.8</v>
      </c>
      <c r="C743" s="116">
        <v>813</v>
      </c>
      <c r="D743" s="116">
        <v>801</v>
      </c>
      <c r="E743" s="116">
        <v>803</v>
      </c>
      <c r="F743" s="116">
        <v>813</v>
      </c>
      <c r="G743">
        <v>12796</v>
      </c>
      <c r="H743" s="116"/>
      <c r="I743" s="116"/>
      <c r="L743" s="170">
        <v>44102</v>
      </c>
      <c r="M743" s="116">
        <v>813</v>
      </c>
      <c r="N743" s="116">
        <v>816.25</v>
      </c>
      <c r="O743" s="116">
        <v>800</v>
      </c>
      <c r="P743" s="116">
        <v>803</v>
      </c>
      <c r="Q743" s="116">
        <v>813</v>
      </c>
      <c r="R743">
        <v>1108316</v>
      </c>
    </row>
    <row r="744" spans="1:18" x14ac:dyDescent="0.25">
      <c r="A744" s="170">
        <v>44103</v>
      </c>
      <c r="B744" s="116">
        <v>832</v>
      </c>
      <c r="C744" s="116">
        <v>807.65</v>
      </c>
      <c r="D744" s="116">
        <v>802.5</v>
      </c>
      <c r="E744" s="116">
        <v>824.95</v>
      </c>
      <c r="F744" s="116">
        <v>807.65</v>
      </c>
      <c r="G744">
        <v>71176</v>
      </c>
      <c r="H744" s="116"/>
      <c r="I744" s="116"/>
      <c r="L744" s="170">
        <v>44103</v>
      </c>
      <c r="M744" s="116">
        <v>809.1</v>
      </c>
      <c r="N744" s="116">
        <v>831.4</v>
      </c>
      <c r="O744" s="116">
        <v>802.1</v>
      </c>
      <c r="P744" s="116">
        <v>819</v>
      </c>
      <c r="Q744" s="116">
        <v>809.1</v>
      </c>
      <c r="R744">
        <v>1666688</v>
      </c>
    </row>
    <row r="745" spans="1:18" x14ac:dyDescent="0.25">
      <c r="A745" s="170">
        <v>44104</v>
      </c>
      <c r="B745" s="116">
        <v>814</v>
      </c>
      <c r="C745" s="116">
        <v>811.25</v>
      </c>
      <c r="D745" s="116">
        <v>805</v>
      </c>
      <c r="E745" s="116">
        <v>812.45</v>
      </c>
      <c r="F745" s="116">
        <v>811.25</v>
      </c>
      <c r="G745">
        <v>7811</v>
      </c>
      <c r="H745" s="116"/>
      <c r="I745" s="116"/>
      <c r="L745" s="170">
        <v>44104</v>
      </c>
      <c r="M745" s="116">
        <v>811.45</v>
      </c>
      <c r="N745" s="116">
        <v>814.55</v>
      </c>
      <c r="O745" s="116">
        <v>802.4</v>
      </c>
      <c r="P745" s="116">
        <v>809.4</v>
      </c>
      <c r="Q745" s="116">
        <v>811.45</v>
      </c>
      <c r="R745">
        <v>701139</v>
      </c>
    </row>
    <row r="746" spans="1:18" x14ac:dyDescent="0.25">
      <c r="A746" s="170">
        <v>44105</v>
      </c>
      <c r="B746" s="116">
        <v>824.95</v>
      </c>
      <c r="C746" s="116">
        <v>820.15</v>
      </c>
      <c r="D746" s="116">
        <v>808.8</v>
      </c>
      <c r="E746" s="116">
        <v>813.55</v>
      </c>
      <c r="F746" s="116">
        <v>820.15</v>
      </c>
      <c r="G746">
        <v>16117</v>
      </c>
      <c r="H746" s="116"/>
      <c r="I746" s="116"/>
      <c r="L746" s="170">
        <v>44105</v>
      </c>
      <c r="M746" s="116">
        <v>818.9</v>
      </c>
      <c r="N746" s="116">
        <v>824.95</v>
      </c>
      <c r="O746" s="116">
        <v>807.65</v>
      </c>
      <c r="P746" s="116">
        <v>817</v>
      </c>
      <c r="Q746" s="116">
        <v>818.9</v>
      </c>
      <c r="R746">
        <v>941061</v>
      </c>
    </row>
    <row r="747" spans="1:18" x14ac:dyDescent="0.25">
      <c r="A747" s="170">
        <v>44109</v>
      </c>
      <c r="B747" s="116">
        <v>834.25</v>
      </c>
      <c r="C747" s="116">
        <v>824.75</v>
      </c>
      <c r="D747" s="116">
        <v>815.4</v>
      </c>
      <c r="E747" s="116">
        <v>820.15</v>
      </c>
      <c r="F747" s="116">
        <v>824.75</v>
      </c>
      <c r="G747">
        <v>31018</v>
      </c>
      <c r="H747" s="116"/>
      <c r="I747" s="116"/>
      <c r="L747" s="170">
        <v>44109</v>
      </c>
      <c r="M747" s="116">
        <v>824.95</v>
      </c>
      <c r="N747" s="116">
        <v>835</v>
      </c>
      <c r="O747" s="116">
        <v>815</v>
      </c>
      <c r="P747" s="116">
        <v>822</v>
      </c>
      <c r="Q747" s="116">
        <v>824.95</v>
      </c>
      <c r="R747">
        <v>803756</v>
      </c>
    </row>
    <row r="748" spans="1:18" x14ac:dyDescent="0.25">
      <c r="A748" s="170">
        <v>44110</v>
      </c>
      <c r="B748" s="116">
        <v>835.45</v>
      </c>
      <c r="C748" s="116">
        <v>830.15</v>
      </c>
      <c r="D748" s="116">
        <v>822.1</v>
      </c>
      <c r="E748" s="116">
        <v>822.1</v>
      </c>
      <c r="F748" s="116">
        <v>830.15</v>
      </c>
      <c r="G748">
        <v>64371</v>
      </c>
      <c r="H748" s="116"/>
      <c r="I748" s="116"/>
      <c r="L748" s="170">
        <v>44110</v>
      </c>
      <c r="M748" s="116">
        <v>830.05</v>
      </c>
      <c r="N748" s="116">
        <v>836</v>
      </c>
      <c r="O748" s="116">
        <v>822.25</v>
      </c>
      <c r="P748" s="116">
        <v>826</v>
      </c>
      <c r="Q748" s="116">
        <v>830.05</v>
      </c>
      <c r="R748">
        <v>1211894</v>
      </c>
    </row>
    <row r="749" spans="1:18" x14ac:dyDescent="0.25">
      <c r="A749" s="170">
        <v>44111</v>
      </c>
      <c r="B749" s="116">
        <v>835</v>
      </c>
      <c r="C749" s="116">
        <v>827.6</v>
      </c>
      <c r="D749" s="116">
        <v>825</v>
      </c>
      <c r="E749" s="116">
        <v>830</v>
      </c>
      <c r="F749" s="116">
        <v>827.6</v>
      </c>
      <c r="G749">
        <v>15583</v>
      </c>
      <c r="H749" s="116"/>
      <c r="I749" s="116"/>
      <c r="L749" s="170">
        <v>44111</v>
      </c>
      <c r="M749" s="116">
        <v>827.95</v>
      </c>
      <c r="N749" s="116">
        <v>836</v>
      </c>
      <c r="O749" s="116">
        <v>825.05</v>
      </c>
      <c r="P749" s="116">
        <v>832.5</v>
      </c>
      <c r="Q749" s="116">
        <v>827.95</v>
      </c>
      <c r="R749">
        <v>637358</v>
      </c>
    </row>
    <row r="750" spans="1:18" x14ac:dyDescent="0.25">
      <c r="A750" s="170">
        <v>44112</v>
      </c>
      <c r="B750" s="116">
        <v>835</v>
      </c>
      <c r="C750" s="116">
        <v>821.25</v>
      </c>
      <c r="D750" s="116">
        <v>818.25</v>
      </c>
      <c r="E750" s="116">
        <v>831.15</v>
      </c>
      <c r="F750" s="116">
        <v>821.25</v>
      </c>
      <c r="G750">
        <v>17969</v>
      </c>
      <c r="H750" s="116"/>
      <c r="I750" s="116"/>
      <c r="L750" s="170">
        <v>44112</v>
      </c>
      <c r="M750" s="116">
        <v>821.05</v>
      </c>
      <c r="N750" s="116">
        <v>836</v>
      </c>
      <c r="O750" s="116">
        <v>818</v>
      </c>
      <c r="P750" s="116">
        <v>835.25</v>
      </c>
      <c r="Q750" s="116">
        <v>821.05</v>
      </c>
      <c r="R750">
        <v>1313341</v>
      </c>
    </row>
    <row r="751" spans="1:18" x14ac:dyDescent="0.25">
      <c r="A751" s="170">
        <v>44113</v>
      </c>
      <c r="B751" s="116">
        <v>832</v>
      </c>
      <c r="C751" s="116">
        <v>806.15</v>
      </c>
      <c r="D751" s="116">
        <v>803.65</v>
      </c>
      <c r="E751" s="116">
        <v>832</v>
      </c>
      <c r="F751" s="116">
        <v>806.15</v>
      </c>
      <c r="G751">
        <v>33045</v>
      </c>
      <c r="H751" s="116"/>
      <c r="I751" s="116"/>
      <c r="L751" s="170">
        <v>44113</v>
      </c>
      <c r="M751" s="116">
        <v>805.9</v>
      </c>
      <c r="N751" s="116">
        <v>827.3</v>
      </c>
      <c r="O751" s="116">
        <v>803.5</v>
      </c>
      <c r="P751" s="116">
        <v>826.15</v>
      </c>
      <c r="Q751" s="116">
        <v>805.9</v>
      </c>
      <c r="R751">
        <v>1188895</v>
      </c>
    </row>
    <row r="752" spans="1:18" x14ac:dyDescent="0.25">
      <c r="A752" s="170">
        <v>44116</v>
      </c>
      <c r="B752" s="116">
        <v>815.95</v>
      </c>
      <c r="C752" s="116">
        <v>791.6</v>
      </c>
      <c r="D752" s="116">
        <v>788</v>
      </c>
      <c r="E752" s="116">
        <v>815.95</v>
      </c>
      <c r="F752" s="116">
        <v>791.6</v>
      </c>
      <c r="G752">
        <v>42854</v>
      </c>
      <c r="H752" s="116"/>
      <c r="I752" s="116"/>
      <c r="L752" s="170">
        <v>44116</v>
      </c>
      <c r="M752" s="116">
        <v>791.65</v>
      </c>
      <c r="N752" s="116">
        <v>812.9</v>
      </c>
      <c r="O752" s="116">
        <v>787.2</v>
      </c>
      <c r="P752" s="116">
        <v>812.9</v>
      </c>
      <c r="Q752" s="116">
        <v>791.65</v>
      </c>
      <c r="R752">
        <v>1097167</v>
      </c>
    </row>
    <row r="753" spans="1:18" x14ac:dyDescent="0.25">
      <c r="A753" s="170">
        <v>44117</v>
      </c>
      <c r="B753" s="116">
        <v>791.7</v>
      </c>
      <c r="C753" s="116">
        <v>786.6</v>
      </c>
      <c r="D753" s="116">
        <v>781</v>
      </c>
      <c r="E753" s="116">
        <v>791.6</v>
      </c>
      <c r="F753" s="116">
        <v>786.6</v>
      </c>
      <c r="G753">
        <v>12475</v>
      </c>
      <c r="H753" s="116"/>
      <c r="I753" s="116"/>
      <c r="L753" s="170">
        <v>44117</v>
      </c>
      <c r="M753" s="116">
        <v>786.55</v>
      </c>
      <c r="N753" s="116">
        <v>795</v>
      </c>
      <c r="O753" s="116">
        <v>781</v>
      </c>
      <c r="P753" s="116">
        <v>790</v>
      </c>
      <c r="Q753" s="116">
        <v>786.55</v>
      </c>
      <c r="R753">
        <v>1142720</v>
      </c>
    </row>
    <row r="754" spans="1:18" x14ac:dyDescent="0.25">
      <c r="A754" s="170">
        <v>44118</v>
      </c>
      <c r="B754" s="116">
        <v>813.5</v>
      </c>
      <c r="C754" s="116">
        <v>810.95</v>
      </c>
      <c r="D754" s="116">
        <v>776.15</v>
      </c>
      <c r="E754" s="116">
        <v>787</v>
      </c>
      <c r="F754" s="116">
        <v>810.95</v>
      </c>
      <c r="G754">
        <v>74201</v>
      </c>
      <c r="H754" s="116"/>
      <c r="I754" s="116"/>
      <c r="L754" s="170">
        <v>44118</v>
      </c>
      <c r="M754" s="116">
        <v>810.6</v>
      </c>
      <c r="N754" s="116">
        <v>813.65</v>
      </c>
      <c r="O754" s="116">
        <v>776.65</v>
      </c>
      <c r="P754" s="116">
        <v>788</v>
      </c>
      <c r="Q754" s="116">
        <v>810.6</v>
      </c>
      <c r="R754">
        <v>2146423</v>
      </c>
    </row>
    <row r="755" spans="1:18" x14ac:dyDescent="0.25">
      <c r="A755" s="170">
        <v>44119</v>
      </c>
      <c r="B755" s="116">
        <v>822</v>
      </c>
      <c r="C755" s="116">
        <v>804.6</v>
      </c>
      <c r="D755" s="116">
        <v>802.7</v>
      </c>
      <c r="E755" s="116">
        <v>811.05</v>
      </c>
      <c r="F755" s="116">
        <v>804.6</v>
      </c>
      <c r="G755">
        <v>67315</v>
      </c>
      <c r="H755" s="116"/>
      <c r="I755" s="116"/>
      <c r="L755" s="170">
        <v>44119</v>
      </c>
      <c r="M755" s="116">
        <v>804.75</v>
      </c>
      <c r="N755" s="116">
        <v>821.8</v>
      </c>
      <c r="O755" s="116">
        <v>801.75</v>
      </c>
      <c r="P755" s="116">
        <v>810.6</v>
      </c>
      <c r="Q755" s="116">
        <v>804.75</v>
      </c>
      <c r="R755">
        <v>1920570</v>
      </c>
    </row>
    <row r="756" spans="1:18" x14ac:dyDescent="0.25">
      <c r="A756" s="170">
        <v>44120</v>
      </c>
      <c r="B756" s="116">
        <v>810.5</v>
      </c>
      <c r="C756" s="116">
        <v>799.45</v>
      </c>
      <c r="D756" s="116">
        <v>797.1</v>
      </c>
      <c r="E756" s="116">
        <v>800</v>
      </c>
      <c r="F756" s="116">
        <v>799.45</v>
      </c>
      <c r="G756">
        <v>14685</v>
      </c>
      <c r="H756" s="116"/>
      <c r="I756" s="116"/>
      <c r="L756" s="170">
        <v>44120</v>
      </c>
      <c r="M756" s="116">
        <v>799.55</v>
      </c>
      <c r="N756" s="116">
        <v>811</v>
      </c>
      <c r="O756" s="116">
        <v>796.65</v>
      </c>
      <c r="P756" s="116">
        <v>802</v>
      </c>
      <c r="Q756" s="116">
        <v>799.55</v>
      </c>
      <c r="R756">
        <v>683003</v>
      </c>
    </row>
    <row r="757" spans="1:18" x14ac:dyDescent="0.25">
      <c r="A757" s="170">
        <v>44123</v>
      </c>
      <c r="B757" s="116">
        <v>811.5</v>
      </c>
      <c r="C757" s="116">
        <v>798.1</v>
      </c>
      <c r="D757" s="116">
        <v>794.65</v>
      </c>
      <c r="E757" s="116">
        <v>811.5</v>
      </c>
      <c r="F757" s="116">
        <v>798.1</v>
      </c>
      <c r="G757">
        <v>7442</v>
      </c>
      <c r="H757" s="116"/>
      <c r="I757" s="116"/>
      <c r="L757" s="170">
        <v>44123</v>
      </c>
      <c r="M757" s="116">
        <v>798.3</v>
      </c>
      <c r="N757" s="116">
        <v>808.55</v>
      </c>
      <c r="O757" s="116">
        <v>795</v>
      </c>
      <c r="P757" s="116">
        <v>800.5</v>
      </c>
      <c r="Q757" s="116">
        <v>798.3</v>
      </c>
      <c r="R757">
        <v>661678</v>
      </c>
    </row>
    <row r="758" spans="1:18" x14ac:dyDescent="0.25">
      <c r="A758" s="170">
        <v>44124</v>
      </c>
      <c r="B758" s="116">
        <v>809.7</v>
      </c>
      <c r="C758" s="116">
        <v>801</v>
      </c>
      <c r="D758" s="116">
        <v>790</v>
      </c>
      <c r="E758" s="116">
        <v>809.7</v>
      </c>
      <c r="F758" s="116">
        <v>801</v>
      </c>
      <c r="G758">
        <v>60385</v>
      </c>
      <c r="H758" s="116"/>
      <c r="I758" s="116"/>
      <c r="L758" s="170">
        <v>44124</v>
      </c>
      <c r="M758" s="116">
        <v>800.75</v>
      </c>
      <c r="N758" s="116">
        <v>809.25</v>
      </c>
      <c r="O758" s="116">
        <v>790</v>
      </c>
      <c r="P758" s="116">
        <v>809.25</v>
      </c>
      <c r="Q758" s="116">
        <v>800.75</v>
      </c>
      <c r="R758">
        <v>1616359</v>
      </c>
    </row>
    <row r="759" spans="1:18" x14ac:dyDescent="0.25">
      <c r="A759" s="170">
        <v>44125</v>
      </c>
      <c r="B759" s="116">
        <v>804.3</v>
      </c>
      <c r="C759" s="116">
        <v>785.45</v>
      </c>
      <c r="D759" s="116">
        <v>780.9</v>
      </c>
      <c r="E759" s="116">
        <v>799.95</v>
      </c>
      <c r="F759" s="116">
        <v>785.45</v>
      </c>
      <c r="G759">
        <v>59567</v>
      </c>
      <c r="H759" s="116"/>
      <c r="I759" s="116"/>
      <c r="L759" s="170">
        <v>44125</v>
      </c>
      <c r="M759" s="116">
        <v>785.35</v>
      </c>
      <c r="N759" s="116">
        <v>804</v>
      </c>
      <c r="O759" s="116">
        <v>780.8</v>
      </c>
      <c r="P759" s="116">
        <v>801</v>
      </c>
      <c r="Q759" s="116">
        <v>785.35</v>
      </c>
      <c r="R759">
        <v>1763644</v>
      </c>
    </row>
    <row r="760" spans="1:18" x14ac:dyDescent="0.25">
      <c r="A760" s="170">
        <v>44126</v>
      </c>
      <c r="B760" s="116">
        <v>789.9</v>
      </c>
      <c r="C760" s="116">
        <v>780.6</v>
      </c>
      <c r="D760" s="116">
        <v>771.15</v>
      </c>
      <c r="E760" s="116">
        <v>789.9</v>
      </c>
      <c r="F760" s="116">
        <v>780.6</v>
      </c>
      <c r="G760">
        <v>78561</v>
      </c>
      <c r="H760" s="116"/>
      <c r="I760" s="116"/>
      <c r="L760" s="170">
        <v>44126</v>
      </c>
      <c r="M760" s="116">
        <v>780.8</v>
      </c>
      <c r="N760" s="116">
        <v>788.3</v>
      </c>
      <c r="O760" s="116">
        <v>771.3</v>
      </c>
      <c r="P760" s="116">
        <v>788.3</v>
      </c>
      <c r="Q760" s="116">
        <v>780.8</v>
      </c>
      <c r="R760">
        <v>1861965</v>
      </c>
    </row>
    <row r="761" spans="1:18" x14ac:dyDescent="0.25">
      <c r="A761" s="170">
        <v>44127</v>
      </c>
      <c r="B761" s="116">
        <v>789</v>
      </c>
      <c r="C761" s="116">
        <v>770.3</v>
      </c>
      <c r="D761" s="116">
        <v>766.75</v>
      </c>
      <c r="E761" s="116">
        <v>781</v>
      </c>
      <c r="F761" s="116">
        <v>770.3</v>
      </c>
      <c r="G761">
        <v>142016</v>
      </c>
      <c r="H761" s="116"/>
      <c r="I761" s="116"/>
      <c r="L761" s="170">
        <v>44127</v>
      </c>
      <c r="M761" s="116">
        <v>770.7</v>
      </c>
      <c r="N761" s="116">
        <v>789.75</v>
      </c>
      <c r="O761" s="116">
        <v>767</v>
      </c>
      <c r="P761" s="116">
        <v>783.15</v>
      </c>
      <c r="Q761" s="116">
        <v>770.7</v>
      </c>
      <c r="R761">
        <v>2252467</v>
      </c>
    </row>
    <row r="762" spans="1:18" x14ac:dyDescent="0.25">
      <c r="A762" s="170">
        <v>44130</v>
      </c>
      <c r="B762" s="116">
        <v>784.95</v>
      </c>
      <c r="C762" s="116">
        <v>778.75</v>
      </c>
      <c r="D762" s="116">
        <v>765.3</v>
      </c>
      <c r="E762" s="116">
        <v>772.2</v>
      </c>
      <c r="F762" s="116">
        <v>778.75</v>
      </c>
      <c r="G762">
        <v>54462</v>
      </c>
      <c r="H762" s="116"/>
      <c r="I762" s="116"/>
      <c r="L762" s="170">
        <v>44130</v>
      </c>
      <c r="M762" s="116">
        <v>778.85</v>
      </c>
      <c r="N762" s="116">
        <v>784.9</v>
      </c>
      <c r="O762" s="116">
        <v>765.1</v>
      </c>
      <c r="P762" s="116">
        <v>775</v>
      </c>
      <c r="Q762" s="116">
        <v>778.85</v>
      </c>
      <c r="R762">
        <v>2638356</v>
      </c>
    </row>
    <row r="763" spans="1:18" x14ac:dyDescent="0.25">
      <c r="A763" s="170">
        <v>44131</v>
      </c>
      <c r="B763" s="116">
        <v>793.9</v>
      </c>
      <c r="C763" s="116">
        <v>774.4</v>
      </c>
      <c r="D763" s="116">
        <v>771.7</v>
      </c>
      <c r="E763" s="116">
        <v>793.9</v>
      </c>
      <c r="F763" s="116">
        <v>774.4</v>
      </c>
      <c r="G763">
        <v>41668</v>
      </c>
      <c r="H763" s="116"/>
      <c r="I763" s="116"/>
      <c r="L763" s="170">
        <v>44131</v>
      </c>
      <c r="M763" s="116">
        <v>774.45</v>
      </c>
      <c r="N763" s="116">
        <v>791.8</v>
      </c>
      <c r="O763" s="116">
        <v>771.1</v>
      </c>
      <c r="P763" s="116">
        <v>791</v>
      </c>
      <c r="Q763" s="116">
        <v>774.45</v>
      </c>
      <c r="R763">
        <v>2566509</v>
      </c>
    </row>
    <row r="764" spans="1:18" x14ac:dyDescent="0.25">
      <c r="A764" s="170">
        <v>44132</v>
      </c>
      <c r="B764" s="116">
        <v>779.95</v>
      </c>
      <c r="C764" s="116">
        <v>770.75</v>
      </c>
      <c r="D764" s="116">
        <v>766</v>
      </c>
      <c r="E764" s="116">
        <v>779.95</v>
      </c>
      <c r="F764" s="116">
        <v>770.75</v>
      </c>
      <c r="G764">
        <v>24590</v>
      </c>
      <c r="H764" s="116"/>
      <c r="I764" s="116"/>
      <c r="L764" s="170">
        <v>44132</v>
      </c>
      <c r="M764" s="116">
        <v>771</v>
      </c>
      <c r="N764" s="116">
        <v>778.2</v>
      </c>
      <c r="O764" s="116">
        <v>766</v>
      </c>
      <c r="P764" s="116">
        <v>777</v>
      </c>
      <c r="Q764" s="116">
        <v>771</v>
      </c>
      <c r="R764">
        <v>1156191</v>
      </c>
    </row>
    <row r="765" spans="1:18" x14ac:dyDescent="0.25">
      <c r="A765" s="170">
        <v>44133</v>
      </c>
      <c r="B765" s="116">
        <v>772.95</v>
      </c>
      <c r="C765" s="116">
        <v>761.2</v>
      </c>
      <c r="D765" s="116">
        <v>755.55</v>
      </c>
      <c r="E765" s="116">
        <v>769.95</v>
      </c>
      <c r="F765" s="116">
        <v>761.2</v>
      </c>
      <c r="G765">
        <v>24928</v>
      </c>
      <c r="H765" s="116"/>
      <c r="I765" s="116"/>
      <c r="L765" s="170">
        <v>44133</v>
      </c>
      <c r="M765" s="116">
        <v>761.5</v>
      </c>
      <c r="N765" s="116">
        <v>773</v>
      </c>
      <c r="O765" s="116">
        <v>755.25</v>
      </c>
      <c r="P765" s="116">
        <v>764.45</v>
      </c>
      <c r="Q765" s="116">
        <v>761.5</v>
      </c>
      <c r="R765">
        <v>1126691</v>
      </c>
    </row>
    <row r="766" spans="1:18" x14ac:dyDescent="0.25">
      <c r="A766" s="170">
        <v>44134</v>
      </c>
      <c r="B766" s="116">
        <v>775.65</v>
      </c>
      <c r="C766" s="116">
        <v>769.9</v>
      </c>
      <c r="D766" s="116">
        <v>757.5</v>
      </c>
      <c r="E766" s="116">
        <v>759.15</v>
      </c>
      <c r="F766" s="116">
        <v>769.9</v>
      </c>
      <c r="G766">
        <v>16831</v>
      </c>
      <c r="H766" s="116"/>
      <c r="I766" s="116"/>
      <c r="L766" s="170">
        <v>44134</v>
      </c>
      <c r="M766" s="116">
        <v>769.15</v>
      </c>
      <c r="N766" s="116">
        <v>775.7</v>
      </c>
      <c r="O766" s="116">
        <v>757.3</v>
      </c>
      <c r="P766" s="116">
        <v>761.5</v>
      </c>
      <c r="Q766" s="116">
        <v>769.15</v>
      </c>
      <c r="R766">
        <v>1156854</v>
      </c>
    </row>
    <row r="767" spans="1:18" x14ac:dyDescent="0.25">
      <c r="A767" s="170">
        <v>44137</v>
      </c>
      <c r="B767" s="116">
        <v>778.4</v>
      </c>
      <c r="C767" s="116">
        <v>766.15</v>
      </c>
      <c r="D767" s="116">
        <v>761.8</v>
      </c>
      <c r="E767" s="116">
        <v>770.15</v>
      </c>
      <c r="F767" s="116">
        <v>766.15</v>
      </c>
      <c r="G767">
        <v>46344</v>
      </c>
      <c r="H767" s="116"/>
      <c r="I767" s="116"/>
      <c r="L767" s="170">
        <v>44137</v>
      </c>
      <c r="M767" s="116">
        <v>766.05</v>
      </c>
      <c r="N767" s="116">
        <v>778.5</v>
      </c>
      <c r="O767" s="116">
        <v>762.2</v>
      </c>
      <c r="P767" s="116">
        <v>771</v>
      </c>
      <c r="Q767" s="116">
        <v>766.05</v>
      </c>
      <c r="R767">
        <v>891886</v>
      </c>
    </row>
    <row r="768" spans="1:18" x14ac:dyDescent="0.25">
      <c r="A768" s="170">
        <v>44138</v>
      </c>
      <c r="B768" s="116">
        <v>797.75</v>
      </c>
      <c r="C768" s="116">
        <v>788.8</v>
      </c>
      <c r="D768" s="116">
        <v>770.95</v>
      </c>
      <c r="E768" s="116">
        <v>774</v>
      </c>
      <c r="F768" s="116">
        <v>788.8</v>
      </c>
      <c r="G768">
        <v>100761</v>
      </c>
      <c r="H768" s="116"/>
      <c r="I768" s="116"/>
      <c r="L768" s="170">
        <v>44138</v>
      </c>
      <c r="M768" s="116">
        <v>788.9</v>
      </c>
      <c r="N768" s="116">
        <v>797.8</v>
      </c>
      <c r="O768" s="116">
        <v>769.15</v>
      </c>
      <c r="P768" s="116">
        <v>773.55</v>
      </c>
      <c r="Q768" s="116">
        <v>788.9</v>
      </c>
      <c r="R768">
        <v>1542962</v>
      </c>
    </row>
    <row r="769" spans="1:18" x14ac:dyDescent="0.25">
      <c r="A769" s="170">
        <v>44139</v>
      </c>
      <c r="B769" s="116">
        <v>794.7</v>
      </c>
      <c r="C769" s="116">
        <v>791.45</v>
      </c>
      <c r="D769" s="116">
        <v>784.05</v>
      </c>
      <c r="E769" s="116">
        <v>791.1</v>
      </c>
      <c r="F769" s="116">
        <v>791.45</v>
      </c>
      <c r="G769">
        <v>13767</v>
      </c>
      <c r="H769" s="116"/>
      <c r="I769" s="116"/>
      <c r="L769" s="170">
        <v>44139</v>
      </c>
      <c r="M769" s="116">
        <v>791</v>
      </c>
      <c r="N769" s="116">
        <v>796.75</v>
      </c>
      <c r="O769" s="116">
        <v>783.8</v>
      </c>
      <c r="P769" s="116">
        <v>796.75</v>
      </c>
      <c r="Q769" s="116">
        <v>791</v>
      </c>
      <c r="R769">
        <v>923658</v>
      </c>
    </row>
    <row r="770" spans="1:18" x14ac:dyDescent="0.25">
      <c r="A770" s="170">
        <v>44140</v>
      </c>
      <c r="B770" s="116">
        <v>806.8</v>
      </c>
      <c r="C770" s="116">
        <v>804.75</v>
      </c>
      <c r="D770" s="116">
        <v>793.05</v>
      </c>
      <c r="E770" s="116">
        <v>798</v>
      </c>
      <c r="F770" s="116">
        <v>804.75</v>
      </c>
      <c r="G770">
        <v>61781</v>
      </c>
      <c r="H770" s="116"/>
      <c r="I770" s="116"/>
      <c r="L770" s="170">
        <v>44140</v>
      </c>
      <c r="M770" s="116">
        <v>805</v>
      </c>
      <c r="N770" s="116">
        <v>806.8</v>
      </c>
      <c r="O770" s="116">
        <v>793</v>
      </c>
      <c r="P770" s="116">
        <v>797</v>
      </c>
      <c r="Q770" s="116">
        <v>805</v>
      </c>
      <c r="R770">
        <v>1373458</v>
      </c>
    </row>
    <row r="771" spans="1:18" x14ac:dyDescent="0.25">
      <c r="A771" s="170">
        <v>44141</v>
      </c>
      <c r="B771" s="116">
        <v>808.9</v>
      </c>
      <c r="C771" s="116">
        <v>801.25</v>
      </c>
      <c r="D771" s="116">
        <v>795</v>
      </c>
      <c r="E771" s="116">
        <v>806.2</v>
      </c>
      <c r="F771" s="116">
        <v>801.25</v>
      </c>
      <c r="G771">
        <v>17805</v>
      </c>
      <c r="H771" s="116"/>
      <c r="I771" s="116"/>
      <c r="L771" s="170">
        <v>44141</v>
      </c>
      <c r="M771" s="116">
        <v>801.25</v>
      </c>
      <c r="N771" s="116">
        <v>808.9</v>
      </c>
      <c r="O771" s="116">
        <v>795</v>
      </c>
      <c r="P771" s="116">
        <v>805.45</v>
      </c>
      <c r="Q771" s="116">
        <v>801.25</v>
      </c>
      <c r="R771">
        <v>1722728</v>
      </c>
    </row>
    <row r="772" spans="1:18" x14ac:dyDescent="0.25">
      <c r="A772" s="170">
        <v>44144</v>
      </c>
      <c r="B772" s="116">
        <v>817.8</v>
      </c>
      <c r="C772" s="116">
        <v>808.05</v>
      </c>
      <c r="D772" s="116">
        <v>802</v>
      </c>
      <c r="E772" s="116">
        <v>808</v>
      </c>
      <c r="F772" s="116">
        <v>808.05</v>
      </c>
      <c r="G772">
        <v>52779</v>
      </c>
      <c r="H772" s="116"/>
      <c r="I772" s="116"/>
      <c r="L772" s="170">
        <v>44144</v>
      </c>
      <c r="M772" s="116">
        <v>808.15</v>
      </c>
      <c r="N772" s="116">
        <v>817.85</v>
      </c>
      <c r="O772" s="116">
        <v>801.7</v>
      </c>
      <c r="P772" s="116">
        <v>808</v>
      </c>
      <c r="Q772" s="116">
        <v>808.15</v>
      </c>
      <c r="R772">
        <v>1255422</v>
      </c>
    </row>
    <row r="773" spans="1:18" x14ac:dyDescent="0.25">
      <c r="A773" s="170">
        <v>44145</v>
      </c>
      <c r="B773" s="116">
        <v>833</v>
      </c>
      <c r="C773" s="116">
        <v>829.55</v>
      </c>
      <c r="D773" s="116">
        <v>810.2</v>
      </c>
      <c r="E773" s="116">
        <v>810.2</v>
      </c>
      <c r="F773" s="116">
        <v>829.55</v>
      </c>
      <c r="G773">
        <v>60675</v>
      </c>
      <c r="H773" s="116"/>
      <c r="I773" s="116"/>
      <c r="L773" s="170">
        <v>44145</v>
      </c>
      <c r="M773" s="116">
        <v>829.4</v>
      </c>
      <c r="N773" s="116">
        <v>832.9</v>
      </c>
      <c r="O773" s="116">
        <v>811.35</v>
      </c>
      <c r="P773" s="116">
        <v>816.2</v>
      </c>
      <c r="Q773" s="116">
        <v>829.4</v>
      </c>
      <c r="R773">
        <v>1490688</v>
      </c>
    </row>
    <row r="774" spans="1:18" x14ac:dyDescent="0.25">
      <c r="A774" s="170">
        <v>44146</v>
      </c>
      <c r="B774" s="116">
        <v>846.75</v>
      </c>
      <c r="C774" s="116">
        <v>839.3</v>
      </c>
      <c r="D774" s="116">
        <v>831.25</v>
      </c>
      <c r="E774" s="116">
        <v>837</v>
      </c>
      <c r="F774" s="116">
        <v>839.3</v>
      </c>
      <c r="G774">
        <v>91576</v>
      </c>
      <c r="H774" s="116"/>
      <c r="I774" s="116"/>
      <c r="L774" s="170">
        <v>44146</v>
      </c>
      <c r="M774" s="116">
        <v>839.55</v>
      </c>
      <c r="N774" s="116">
        <v>847</v>
      </c>
      <c r="O774" s="116">
        <v>831.6</v>
      </c>
      <c r="P774" s="116">
        <v>833</v>
      </c>
      <c r="Q774" s="116">
        <v>839.55</v>
      </c>
      <c r="R774">
        <v>1822930</v>
      </c>
    </row>
    <row r="775" spans="1:18" x14ac:dyDescent="0.25">
      <c r="A775" s="170">
        <v>44147</v>
      </c>
      <c r="B775" s="116">
        <v>844</v>
      </c>
      <c r="C775" s="116">
        <v>838.55</v>
      </c>
      <c r="D775" s="116">
        <v>825</v>
      </c>
      <c r="E775" s="116">
        <v>842</v>
      </c>
      <c r="F775" s="116">
        <v>838.55</v>
      </c>
      <c r="G775">
        <v>25171</v>
      </c>
      <c r="H775" s="116"/>
      <c r="I775" s="116"/>
      <c r="L775" s="170">
        <v>44147</v>
      </c>
      <c r="M775" s="116">
        <v>837.75</v>
      </c>
      <c r="N775" s="116">
        <v>844.4</v>
      </c>
      <c r="O775" s="116">
        <v>825.1</v>
      </c>
      <c r="P775" s="116">
        <v>840</v>
      </c>
      <c r="Q775" s="116">
        <v>837.75</v>
      </c>
      <c r="R775">
        <v>1003690</v>
      </c>
    </row>
    <row r="776" spans="1:18" x14ac:dyDescent="0.25">
      <c r="A776" s="170">
        <v>44148</v>
      </c>
      <c r="B776" s="116">
        <v>842</v>
      </c>
      <c r="C776" s="116">
        <v>832.15</v>
      </c>
      <c r="D776" s="116">
        <v>824.15</v>
      </c>
      <c r="E776" s="116">
        <v>842</v>
      </c>
      <c r="F776" s="116">
        <v>832.15</v>
      </c>
      <c r="G776">
        <v>37002</v>
      </c>
      <c r="H776" s="116"/>
      <c r="I776" s="116"/>
      <c r="L776" s="170">
        <v>44148</v>
      </c>
      <c r="M776" s="116">
        <v>831.85</v>
      </c>
      <c r="N776" s="116">
        <v>838.95</v>
      </c>
      <c r="O776" s="116">
        <v>824.1</v>
      </c>
      <c r="P776" s="116">
        <v>837.75</v>
      </c>
      <c r="Q776" s="116">
        <v>831.85</v>
      </c>
      <c r="R776">
        <v>824124</v>
      </c>
    </row>
    <row r="777" spans="1:18" x14ac:dyDescent="0.25">
      <c r="A777" s="170">
        <v>44149</v>
      </c>
      <c r="B777" s="116">
        <v>844.05</v>
      </c>
      <c r="C777" s="116">
        <v>840.4</v>
      </c>
      <c r="D777" s="116">
        <v>836.2</v>
      </c>
      <c r="E777" s="116">
        <v>836.2</v>
      </c>
      <c r="F777" s="116">
        <v>840.4</v>
      </c>
      <c r="G777">
        <v>20942</v>
      </c>
      <c r="H777" s="116"/>
      <c r="I777" s="116"/>
      <c r="L777" s="170">
        <v>44149</v>
      </c>
      <c r="M777" s="116">
        <v>840.45</v>
      </c>
      <c r="N777" s="116">
        <v>844.7</v>
      </c>
      <c r="O777" s="116">
        <v>836.15</v>
      </c>
      <c r="P777" s="116">
        <v>844.7</v>
      </c>
      <c r="Q777" s="116">
        <v>840.45</v>
      </c>
      <c r="R777">
        <v>187698</v>
      </c>
    </row>
    <row r="778" spans="1:18" x14ac:dyDescent="0.25">
      <c r="A778" s="170">
        <v>44152</v>
      </c>
      <c r="B778" s="116">
        <v>866.8</v>
      </c>
      <c r="C778" s="116">
        <v>862.7</v>
      </c>
      <c r="D778" s="116">
        <v>836</v>
      </c>
      <c r="E778" s="116">
        <v>842</v>
      </c>
      <c r="F778" s="116">
        <v>862.7</v>
      </c>
      <c r="G778">
        <v>54180</v>
      </c>
      <c r="H778" s="116"/>
      <c r="I778" s="116"/>
      <c r="L778" s="170">
        <v>44152</v>
      </c>
      <c r="M778" s="116">
        <v>863.15</v>
      </c>
      <c r="N778" s="116">
        <v>866.9</v>
      </c>
      <c r="O778" s="116">
        <v>836.3</v>
      </c>
      <c r="P778" s="116">
        <v>841</v>
      </c>
      <c r="Q778" s="116">
        <v>863.15</v>
      </c>
      <c r="R778">
        <v>2140176</v>
      </c>
    </row>
    <row r="779" spans="1:18" x14ac:dyDescent="0.25">
      <c r="A779" s="170">
        <v>44153</v>
      </c>
      <c r="B779" s="116">
        <v>869</v>
      </c>
      <c r="C779" s="116">
        <v>857.7</v>
      </c>
      <c r="D779" s="116">
        <v>847.25</v>
      </c>
      <c r="E779" s="116">
        <v>869</v>
      </c>
      <c r="F779" s="116">
        <v>857.7</v>
      </c>
      <c r="G779">
        <v>24782</v>
      </c>
      <c r="H779" s="116"/>
      <c r="I779" s="116"/>
      <c r="L779" s="170">
        <v>44153</v>
      </c>
      <c r="M779" s="116">
        <v>857.95</v>
      </c>
      <c r="N779" s="116">
        <v>868.7</v>
      </c>
      <c r="O779" s="116">
        <v>846.8</v>
      </c>
      <c r="P779" s="116">
        <v>863.75</v>
      </c>
      <c r="Q779" s="116">
        <v>857.95</v>
      </c>
      <c r="R779">
        <v>968393</v>
      </c>
    </row>
    <row r="780" spans="1:18" x14ac:dyDescent="0.25">
      <c r="A780" s="170">
        <v>44154</v>
      </c>
      <c r="B780" s="116">
        <v>862.25</v>
      </c>
      <c r="C780" s="116">
        <v>847</v>
      </c>
      <c r="D780" s="116">
        <v>839</v>
      </c>
      <c r="E780" s="116">
        <v>860</v>
      </c>
      <c r="F780" s="116">
        <v>847</v>
      </c>
      <c r="G780">
        <v>297740</v>
      </c>
      <c r="H780" s="116"/>
      <c r="I780" s="116"/>
      <c r="L780" s="170">
        <v>44154</v>
      </c>
      <c r="M780" s="116">
        <v>846.75</v>
      </c>
      <c r="N780" s="116">
        <v>862.8</v>
      </c>
      <c r="O780" s="116">
        <v>838</v>
      </c>
      <c r="P780" s="116">
        <v>854.8</v>
      </c>
      <c r="Q780" s="116">
        <v>846.75</v>
      </c>
      <c r="R780">
        <v>1466056</v>
      </c>
    </row>
    <row r="781" spans="1:18" x14ac:dyDescent="0.25">
      <c r="A781" s="170">
        <v>44155</v>
      </c>
      <c r="B781" s="116">
        <v>850</v>
      </c>
      <c r="C781" s="116">
        <v>845.15</v>
      </c>
      <c r="D781" s="116">
        <v>835</v>
      </c>
      <c r="E781" s="116">
        <v>840</v>
      </c>
      <c r="F781" s="116">
        <v>845.15</v>
      </c>
      <c r="G781">
        <v>39362</v>
      </c>
      <c r="H781" s="116"/>
      <c r="I781" s="116"/>
      <c r="L781" s="170">
        <v>44155</v>
      </c>
      <c r="M781" s="116">
        <v>845.45</v>
      </c>
      <c r="N781" s="116">
        <v>850</v>
      </c>
      <c r="O781" s="116">
        <v>835</v>
      </c>
      <c r="P781" s="116">
        <v>848.8</v>
      </c>
      <c r="Q781" s="116">
        <v>845.45</v>
      </c>
      <c r="R781">
        <v>971981</v>
      </c>
    </row>
    <row r="782" spans="1:18" x14ac:dyDescent="0.25">
      <c r="A782" s="170">
        <v>44158</v>
      </c>
      <c r="B782" s="116">
        <v>854</v>
      </c>
      <c r="C782" s="116">
        <v>831.45</v>
      </c>
      <c r="D782" s="116">
        <v>830</v>
      </c>
      <c r="E782" s="116">
        <v>847</v>
      </c>
      <c r="F782" s="116">
        <v>831.45</v>
      </c>
      <c r="G782">
        <v>26509</v>
      </c>
      <c r="H782" s="116"/>
      <c r="I782" s="116"/>
      <c r="L782" s="170">
        <v>44158</v>
      </c>
      <c r="M782" s="116">
        <v>831.6</v>
      </c>
      <c r="N782" s="116">
        <v>854.4</v>
      </c>
      <c r="O782" s="116">
        <v>830</v>
      </c>
      <c r="P782" s="116">
        <v>847.2</v>
      </c>
      <c r="Q782" s="116">
        <v>831.6</v>
      </c>
      <c r="R782">
        <v>1668966</v>
      </c>
    </row>
    <row r="783" spans="1:18" x14ac:dyDescent="0.25">
      <c r="A783" s="170">
        <v>44159</v>
      </c>
      <c r="B783" s="116">
        <v>841.95</v>
      </c>
      <c r="C783" s="116">
        <v>838.5</v>
      </c>
      <c r="D783" s="116">
        <v>832.45</v>
      </c>
      <c r="E783" s="116">
        <v>841.95</v>
      </c>
      <c r="F783" s="116">
        <v>838.5</v>
      </c>
      <c r="G783">
        <v>17322</v>
      </c>
      <c r="H783" s="116"/>
      <c r="I783" s="116"/>
      <c r="L783" s="170">
        <v>44159</v>
      </c>
      <c r="M783" s="116">
        <v>838.95</v>
      </c>
      <c r="N783" s="116">
        <v>840</v>
      </c>
      <c r="O783" s="116">
        <v>831.95</v>
      </c>
      <c r="P783" s="116">
        <v>831.95</v>
      </c>
      <c r="Q783" s="116">
        <v>838.95</v>
      </c>
      <c r="R783">
        <v>874577</v>
      </c>
    </row>
    <row r="784" spans="1:18" x14ac:dyDescent="0.25">
      <c r="A784" s="170">
        <v>44160</v>
      </c>
      <c r="B784" s="116">
        <v>864.55</v>
      </c>
      <c r="C784" s="116">
        <v>848.65</v>
      </c>
      <c r="D784" s="116">
        <v>842.5</v>
      </c>
      <c r="E784" s="116">
        <v>842.5</v>
      </c>
      <c r="F784" s="116">
        <v>848.65</v>
      </c>
      <c r="G784">
        <v>61433</v>
      </c>
      <c r="H784" s="116"/>
      <c r="I784" s="116"/>
      <c r="L784" s="170">
        <v>44160</v>
      </c>
      <c r="M784" s="116">
        <v>849.05</v>
      </c>
      <c r="N784" s="116">
        <v>864.65</v>
      </c>
      <c r="O784" s="116">
        <v>844</v>
      </c>
      <c r="P784" s="116">
        <v>846.05</v>
      </c>
      <c r="Q784" s="116">
        <v>849.05</v>
      </c>
      <c r="R784">
        <v>2407145</v>
      </c>
    </row>
    <row r="785" spans="1:18" x14ac:dyDescent="0.25">
      <c r="A785" s="170">
        <v>44161</v>
      </c>
      <c r="B785" s="116">
        <v>858.65</v>
      </c>
      <c r="C785" s="116">
        <v>851.15</v>
      </c>
      <c r="D785" s="116">
        <v>848.75</v>
      </c>
      <c r="E785" s="116">
        <v>853.2</v>
      </c>
      <c r="F785" s="116">
        <v>851.15</v>
      </c>
      <c r="G785">
        <v>31669</v>
      </c>
      <c r="H785" s="116"/>
      <c r="I785" s="116"/>
      <c r="L785" s="170">
        <v>44161</v>
      </c>
      <c r="M785" s="116">
        <v>851.5</v>
      </c>
      <c r="N785" s="116">
        <v>858.65</v>
      </c>
      <c r="O785" s="116">
        <v>848.3</v>
      </c>
      <c r="P785" s="116">
        <v>853.3</v>
      </c>
      <c r="Q785" s="116">
        <v>851.5</v>
      </c>
      <c r="R785">
        <v>1791878</v>
      </c>
    </row>
    <row r="786" spans="1:18" x14ac:dyDescent="0.25">
      <c r="A786" s="170">
        <v>44162</v>
      </c>
      <c r="B786" s="116">
        <v>862.8</v>
      </c>
      <c r="C786" s="116">
        <v>846.3</v>
      </c>
      <c r="D786" s="116">
        <v>841.6</v>
      </c>
      <c r="E786" s="116">
        <v>862.8</v>
      </c>
      <c r="F786" s="116">
        <v>846.3</v>
      </c>
      <c r="G786">
        <v>23045</v>
      </c>
      <c r="H786" s="116"/>
      <c r="I786" s="116"/>
      <c r="L786" s="170">
        <v>44162</v>
      </c>
      <c r="M786" s="116">
        <v>846.05</v>
      </c>
      <c r="N786" s="116">
        <v>857.6</v>
      </c>
      <c r="O786" s="116">
        <v>841</v>
      </c>
      <c r="P786" s="116">
        <v>855</v>
      </c>
      <c r="Q786" s="116">
        <v>846.05</v>
      </c>
      <c r="R786">
        <v>2310173</v>
      </c>
    </row>
    <row r="787" spans="1:18" x14ac:dyDescent="0.25">
      <c r="A787" s="170">
        <v>44166</v>
      </c>
      <c r="B787" s="116">
        <v>854.8</v>
      </c>
      <c r="C787" s="116">
        <v>851.3</v>
      </c>
      <c r="D787" s="116">
        <v>840.1</v>
      </c>
      <c r="E787" s="116">
        <v>847.55</v>
      </c>
      <c r="F787" s="116">
        <v>851.3</v>
      </c>
      <c r="G787">
        <v>45483</v>
      </c>
      <c r="H787" s="116"/>
      <c r="I787" s="116"/>
      <c r="L787" s="170">
        <v>44166</v>
      </c>
      <c r="M787" s="116">
        <v>851.35</v>
      </c>
      <c r="N787" s="116">
        <v>855</v>
      </c>
      <c r="O787" s="116">
        <v>840.2</v>
      </c>
      <c r="P787" s="116">
        <v>849.9</v>
      </c>
      <c r="Q787" s="116">
        <v>851.35</v>
      </c>
      <c r="R787">
        <v>1027637</v>
      </c>
    </row>
    <row r="788" spans="1:18" x14ac:dyDescent="0.25">
      <c r="A788" s="170">
        <v>44167</v>
      </c>
      <c r="B788" s="116">
        <v>879.15</v>
      </c>
      <c r="C788" s="116">
        <v>875.7</v>
      </c>
      <c r="D788" s="116">
        <v>850.55</v>
      </c>
      <c r="E788" s="116">
        <v>855</v>
      </c>
      <c r="F788" s="116">
        <v>875.7</v>
      </c>
      <c r="G788">
        <v>45833</v>
      </c>
      <c r="H788" s="116"/>
      <c r="I788" s="116"/>
      <c r="L788" s="170">
        <v>44167</v>
      </c>
      <c r="M788" s="116">
        <v>875.55</v>
      </c>
      <c r="N788" s="116">
        <v>879.25</v>
      </c>
      <c r="O788" s="116">
        <v>850.3</v>
      </c>
      <c r="P788" s="116">
        <v>853</v>
      </c>
      <c r="Q788" s="116">
        <v>875.55</v>
      </c>
      <c r="R788">
        <v>2097626</v>
      </c>
    </row>
    <row r="789" spans="1:18" x14ac:dyDescent="0.25">
      <c r="A789" s="170">
        <v>44168</v>
      </c>
      <c r="B789" s="116">
        <v>883.35</v>
      </c>
      <c r="C789" s="116">
        <v>858.85</v>
      </c>
      <c r="D789" s="116">
        <v>854.75</v>
      </c>
      <c r="E789" s="116">
        <v>883.35</v>
      </c>
      <c r="F789" s="116">
        <v>858.85</v>
      </c>
      <c r="G789">
        <v>99939</v>
      </c>
      <c r="H789" s="116"/>
      <c r="I789" s="116"/>
      <c r="L789" s="170">
        <v>44168</v>
      </c>
      <c r="M789" s="116">
        <v>858.15</v>
      </c>
      <c r="N789" s="116">
        <v>881</v>
      </c>
      <c r="O789" s="116">
        <v>851.4</v>
      </c>
      <c r="P789" s="116">
        <v>880</v>
      </c>
      <c r="Q789" s="116">
        <v>858.15</v>
      </c>
      <c r="R789">
        <v>3804064</v>
      </c>
    </row>
    <row r="790" spans="1:18" x14ac:dyDescent="0.25">
      <c r="A790" s="170">
        <v>44169</v>
      </c>
      <c r="B790" s="116">
        <v>870.5</v>
      </c>
      <c r="C790" s="116">
        <v>862.55</v>
      </c>
      <c r="D790" s="116">
        <v>856.5</v>
      </c>
      <c r="E790" s="116">
        <v>863.5</v>
      </c>
      <c r="F790" s="116">
        <v>862.55</v>
      </c>
      <c r="G790">
        <v>113062</v>
      </c>
      <c r="H790" s="116"/>
      <c r="I790" s="116"/>
      <c r="L790" s="170">
        <v>44169</v>
      </c>
      <c r="M790" s="116">
        <v>863</v>
      </c>
      <c r="N790" s="116">
        <v>871</v>
      </c>
      <c r="O790" s="116">
        <v>856.45</v>
      </c>
      <c r="P790" s="116">
        <v>865.1</v>
      </c>
      <c r="Q790" s="116">
        <v>863</v>
      </c>
      <c r="R790">
        <v>1654173</v>
      </c>
    </row>
    <row r="791" spans="1:18" x14ac:dyDescent="0.25">
      <c r="A791" s="170">
        <v>44172</v>
      </c>
      <c r="B791" s="116">
        <v>866</v>
      </c>
      <c r="C791" s="116">
        <v>851.5</v>
      </c>
      <c r="D791" s="116">
        <v>848</v>
      </c>
      <c r="E791" s="116">
        <v>865</v>
      </c>
      <c r="F791" s="116">
        <v>851.5</v>
      </c>
      <c r="G791">
        <v>99456</v>
      </c>
      <c r="H791" s="116"/>
      <c r="I791" s="116"/>
      <c r="L791" s="170">
        <v>44172</v>
      </c>
      <c r="M791" s="116">
        <v>851.75</v>
      </c>
      <c r="N791" s="116">
        <v>866</v>
      </c>
      <c r="O791" s="116">
        <v>848</v>
      </c>
      <c r="P791" s="116">
        <v>863.5</v>
      </c>
      <c r="Q791" s="116">
        <v>851.75</v>
      </c>
      <c r="R791">
        <v>2151322</v>
      </c>
    </row>
    <row r="792" spans="1:18" x14ac:dyDescent="0.25">
      <c r="A792" s="170">
        <v>44173</v>
      </c>
      <c r="B792" s="116">
        <v>858.95</v>
      </c>
      <c r="C792" s="116">
        <v>853.85</v>
      </c>
      <c r="D792" s="116">
        <v>848.8</v>
      </c>
      <c r="E792" s="116">
        <v>857</v>
      </c>
      <c r="F792" s="116">
        <v>853.85</v>
      </c>
      <c r="G792">
        <v>43494</v>
      </c>
      <c r="H792" s="116"/>
      <c r="I792" s="116"/>
      <c r="L792" s="170">
        <v>44173</v>
      </c>
      <c r="M792" s="116">
        <v>853.8</v>
      </c>
      <c r="N792" s="116">
        <v>859.5</v>
      </c>
      <c r="O792" s="116">
        <v>848.2</v>
      </c>
      <c r="P792" s="116">
        <v>854.8</v>
      </c>
      <c r="Q792" s="116">
        <v>853.8</v>
      </c>
      <c r="R792">
        <v>2473148</v>
      </c>
    </row>
    <row r="793" spans="1:18" x14ac:dyDescent="0.25">
      <c r="A793" s="170">
        <v>44174</v>
      </c>
      <c r="B793" s="116">
        <v>863.95</v>
      </c>
      <c r="C793" s="116">
        <v>857.9</v>
      </c>
      <c r="D793" s="116">
        <v>855</v>
      </c>
      <c r="E793" s="116">
        <v>855.2</v>
      </c>
      <c r="F793" s="116">
        <v>857.9</v>
      </c>
      <c r="G793">
        <v>103220</v>
      </c>
      <c r="H793" s="116"/>
      <c r="I793" s="116"/>
      <c r="L793" s="170">
        <v>44174</v>
      </c>
      <c r="M793" s="116">
        <v>858</v>
      </c>
      <c r="N793" s="116">
        <v>864</v>
      </c>
      <c r="O793" s="116">
        <v>854.8</v>
      </c>
      <c r="P793" s="116">
        <v>858</v>
      </c>
      <c r="Q793" s="116">
        <v>858</v>
      </c>
      <c r="R793">
        <v>1813714</v>
      </c>
    </row>
    <row r="794" spans="1:18" x14ac:dyDescent="0.25">
      <c r="A794" s="170">
        <v>44175</v>
      </c>
      <c r="B794" s="116">
        <v>862.95</v>
      </c>
      <c r="C794" s="116">
        <v>856</v>
      </c>
      <c r="D794" s="116">
        <v>855</v>
      </c>
      <c r="E794" s="116">
        <v>859</v>
      </c>
      <c r="F794" s="116">
        <v>856</v>
      </c>
      <c r="G794">
        <v>33542</v>
      </c>
      <c r="H794" s="116"/>
      <c r="I794" s="116"/>
      <c r="L794" s="170">
        <v>44175</v>
      </c>
      <c r="M794" s="116">
        <v>856.05</v>
      </c>
      <c r="N794" s="116">
        <v>862.9</v>
      </c>
      <c r="O794" s="116">
        <v>855</v>
      </c>
      <c r="P794" s="116">
        <v>861</v>
      </c>
      <c r="Q794" s="116">
        <v>856.05</v>
      </c>
      <c r="R794">
        <v>2302834</v>
      </c>
    </row>
    <row r="795" spans="1:18" x14ac:dyDescent="0.25">
      <c r="A795" s="170">
        <v>44176</v>
      </c>
      <c r="B795" s="116">
        <v>864.7</v>
      </c>
      <c r="C795" s="116">
        <v>849.7</v>
      </c>
      <c r="D795" s="116">
        <v>845.5</v>
      </c>
      <c r="E795" s="116">
        <v>864.7</v>
      </c>
      <c r="F795" s="116">
        <v>849.7</v>
      </c>
      <c r="G795">
        <v>40741</v>
      </c>
      <c r="H795" s="116"/>
      <c r="I795" s="116"/>
      <c r="L795" s="170">
        <v>44176</v>
      </c>
      <c r="M795" s="116">
        <v>849.7</v>
      </c>
      <c r="N795" s="116">
        <v>862.8</v>
      </c>
      <c r="O795" s="116">
        <v>845.4</v>
      </c>
      <c r="P795" s="116">
        <v>860.9</v>
      </c>
      <c r="Q795" s="116">
        <v>849.7</v>
      </c>
      <c r="R795">
        <v>1939950</v>
      </c>
    </row>
    <row r="796" spans="1:18" x14ac:dyDescent="0.25">
      <c r="A796" s="170">
        <v>44179</v>
      </c>
      <c r="B796" s="116">
        <v>857.9</v>
      </c>
      <c r="C796" s="116">
        <v>849.85</v>
      </c>
      <c r="D796" s="116">
        <v>848.8</v>
      </c>
      <c r="E796" s="116">
        <v>852</v>
      </c>
      <c r="F796" s="116">
        <v>849.85</v>
      </c>
      <c r="G796">
        <v>49640</v>
      </c>
      <c r="H796" s="116"/>
      <c r="I796" s="116"/>
      <c r="L796" s="170">
        <v>44179</v>
      </c>
      <c r="M796" s="116">
        <v>850.2</v>
      </c>
      <c r="N796" s="116">
        <v>858.3</v>
      </c>
      <c r="O796" s="116">
        <v>848.05</v>
      </c>
      <c r="P796" s="116">
        <v>855</v>
      </c>
      <c r="Q796" s="116">
        <v>850.2</v>
      </c>
      <c r="R796">
        <v>1186967</v>
      </c>
    </row>
    <row r="797" spans="1:18" x14ac:dyDescent="0.25">
      <c r="A797" s="170">
        <v>44180</v>
      </c>
      <c r="B797" s="116">
        <v>857.8</v>
      </c>
      <c r="C797" s="116">
        <v>856.35</v>
      </c>
      <c r="D797" s="116">
        <v>842.45</v>
      </c>
      <c r="E797" s="116">
        <v>855</v>
      </c>
      <c r="F797" s="116">
        <v>856.35</v>
      </c>
      <c r="G797">
        <v>24463</v>
      </c>
      <c r="H797" s="116"/>
      <c r="I797" s="116"/>
      <c r="L797" s="170">
        <v>44180</v>
      </c>
      <c r="M797" s="116">
        <v>856.2</v>
      </c>
      <c r="N797" s="116">
        <v>858.45</v>
      </c>
      <c r="O797" s="116">
        <v>842.05</v>
      </c>
      <c r="P797" s="116">
        <v>851.2</v>
      </c>
      <c r="Q797" s="116">
        <v>856.2</v>
      </c>
      <c r="R797">
        <v>2044843</v>
      </c>
    </row>
    <row r="798" spans="1:18" x14ac:dyDescent="0.25">
      <c r="A798" s="170">
        <v>44181</v>
      </c>
      <c r="B798" s="116">
        <v>860.5</v>
      </c>
      <c r="C798" s="116">
        <v>857.1</v>
      </c>
      <c r="D798" s="116">
        <v>850.45</v>
      </c>
      <c r="E798" s="116">
        <v>858</v>
      </c>
      <c r="F798" s="116">
        <v>857.1</v>
      </c>
      <c r="G798">
        <v>53203</v>
      </c>
      <c r="H798" s="116"/>
      <c r="I798" s="116"/>
      <c r="L798" s="170">
        <v>44181</v>
      </c>
      <c r="M798" s="116">
        <v>857.5</v>
      </c>
      <c r="N798" s="116">
        <v>861.5</v>
      </c>
      <c r="O798" s="116">
        <v>850.5</v>
      </c>
      <c r="P798" s="116">
        <v>861.2</v>
      </c>
      <c r="Q798" s="116">
        <v>857.5</v>
      </c>
      <c r="R798">
        <v>1618300</v>
      </c>
    </row>
    <row r="799" spans="1:18" x14ac:dyDescent="0.25">
      <c r="A799" s="170">
        <v>44182</v>
      </c>
      <c r="B799" s="116">
        <v>865.45</v>
      </c>
      <c r="C799" s="116">
        <v>856</v>
      </c>
      <c r="D799" s="116">
        <v>851.5</v>
      </c>
      <c r="E799" s="116">
        <v>859.8</v>
      </c>
      <c r="F799" s="116">
        <v>856</v>
      </c>
      <c r="G799">
        <v>31542</v>
      </c>
      <c r="H799" s="116"/>
      <c r="I799" s="116"/>
      <c r="L799" s="170">
        <v>44182</v>
      </c>
      <c r="M799" s="116">
        <v>856.35</v>
      </c>
      <c r="N799" s="116">
        <v>865.9</v>
      </c>
      <c r="O799" s="116">
        <v>851.6</v>
      </c>
      <c r="P799" s="116">
        <v>857.5</v>
      </c>
      <c r="Q799" s="116">
        <v>856.35</v>
      </c>
      <c r="R799">
        <v>1650113</v>
      </c>
    </row>
    <row r="800" spans="1:18" x14ac:dyDescent="0.25">
      <c r="A800" s="170">
        <v>44183</v>
      </c>
      <c r="B800" s="116">
        <v>865.95</v>
      </c>
      <c r="C800" s="116">
        <v>858.35</v>
      </c>
      <c r="D800" s="116">
        <v>853.5</v>
      </c>
      <c r="E800" s="116">
        <v>865.95</v>
      </c>
      <c r="F800" s="116">
        <v>858.35</v>
      </c>
      <c r="G800">
        <v>16794</v>
      </c>
      <c r="H800" s="116"/>
      <c r="I800" s="116"/>
      <c r="L800" s="170">
        <v>44183</v>
      </c>
      <c r="M800" s="116">
        <v>857.15</v>
      </c>
      <c r="N800" s="116">
        <v>864</v>
      </c>
      <c r="O800" s="116">
        <v>852.8</v>
      </c>
      <c r="P800" s="116">
        <v>859</v>
      </c>
      <c r="Q800" s="116">
        <v>857.15</v>
      </c>
      <c r="R800">
        <v>1469894</v>
      </c>
    </row>
    <row r="801" spans="1:18" x14ac:dyDescent="0.25">
      <c r="A801" s="170">
        <v>44186</v>
      </c>
      <c r="B801" s="116">
        <v>863.8</v>
      </c>
      <c r="C801" s="116">
        <v>840.65</v>
      </c>
      <c r="D801" s="116">
        <v>833</v>
      </c>
      <c r="E801" s="116">
        <v>856</v>
      </c>
      <c r="F801" s="116">
        <v>840.65</v>
      </c>
      <c r="G801">
        <v>129608</v>
      </c>
      <c r="H801" s="116"/>
      <c r="I801" s="116"/>
      <c r="L801" s="170">
        <v>44186</v>
      </c>
      <c r="M801" s="116">
        <v>840.85</v>
      </c>
      <c r="N801" s="116">
        <v>864</v>
      </c>
      <c r="O801" s="116">
        <v>832.55</v>
      </c>
      <c r="P801" s="116">
        <v>858</v>
      </c>
      <c r="Q801" s="116">
        <v>840.85</v>
      </c>
      <c r="R801">
        <v>2239781</v>
      </c>
    </row>
    <row r="802" spans="1:18" x14ac:dyDescent="0.25">
      <c r="A802" s="170">
        <v>44187</v>
      </c>
      <c r="B802" s="116">
        <v>855.5</v>
      </c>
      <c r="C802" s="116">
        <v>853.8</v>
      </c>
      <c r="D802" s="116">
        <v>825</v>
      </c>
      <c r="E802" s="116">
        <v>840</v>
      </c>
      <c r="F802" s="116">
        <v>853.8</v>
      </c>
      <c r="G802">
        <v>29581</v>
      </c>
      <c r="H802" s="116"/>
      <c r="I802" s="116"/>
      <c r="L802" s="170">
        <v>44187</v>
      </c>
      <c r="M802" s="116">
        <v>853.95</v>
      </c>
      <c r="N802" s="116">
        <v>855.6</v>
      </c>
      <c r="O802" s="116">
        <v>825.2</v>
      </c>
      <c r="P802" s="116">
        <v>840.85</v>
      </c>
      <c r="Q802" s="116">
        <v>853.95</v>
      </c>
      <c r="R802">
        <v>2263176</v>
      </c>
    </row>
    <row r="803" spans="1:18" x14ac:dyDescent="0.25">
      <c r="A803" s="170">
        <v>44188</v>
      </c>
      <c r="B803" s="116">
        <v>858.35</v>
      </c>
      <c r="C803" s="116">
        <v>856.65</v>
      </c>
      <c r="D803" s="116">
        <v>847.45</v>
      </c>
      <c r="E803" s="116">
        <v>852.4</v>
      </c>
      <c r="F803" s="116">
        <v>856.65</v>
      </c>
      <c r="G803">
        <v>17288</v>
      </c>
      <c r="H803" s="116"/>
      <c r="I803" s="116"/>
      <c r="L803" s="170">
        <v>44188</v>
      </c>
      <c r="M803" s="116">
        <v>854.95</v>
      </c>
      <c r="N803" s="116">
        <v>859</v>
      </c>
      <c r="O803" s="116">
        <v>847.65</v>
      </c>
      <c r="P803" s="116">
        <v>855.5</v>
      </c>
      <c r="Q803" s="116">
        <v>854.95</v>
      </c>
      <c r="R803">
        <v>1535665</v>
      </c>
    </row>
    <row r="804" spans="1:18" x14ac:dyDescent="0.25">
      <c r="A804" s="170">
        <v>44189</v>
      </c>
      <c r="B804" s="116">
        <v>879.5</v>
      </c>
      <c r="C804" s="116">
        <v>873.8</v>
      </c>
      <c r="D804" s="116">
        <v>850.1</v>
      </c>
      <c r="E804" s="116">
        <v>850.1</v>
      </c>
      <c r="F804" s="116">
        <v>873.8</v>
      </c>
      <c r="G804">
        <v>199718</v>
      </c>
      <c r="H804" s="116"/>
      <c r="I804" s="116"/>
      <c r="L804" s="170">
        <v>44189</v>
      </c>
      <c r="M804" s="116">
        <v>873.9</v>
      </c>
      <c r="N804" s="116">
        <v>879.7</v>
      </c>
      <c r="O804" s="116">
        <v>851.25</v>
      </c>
      <c r="P804" s="116">
        <v>857.9</v>
      </c>
      <c r="Q804" s="116">
        <v>873.9</v>
      </c>
      <c r="R804">
        <v>2659479</v>
      </c>
    </row>
    <row r="805" spans="1:18" x14ac:dyDescent="0.25">
      <c r="A805" s="170">
        <v>44193</v>
      </c>
      <c r="B805" s="116">
        <v>905</v>
      </c>
      <c r="C805" s="116">
        <v>901.5</v>
      </c>
      <c r="D805" s="116">
        <v>878.3</v>
      </c>
      <c r="E805" s="116">
        <v>887</v>
      </c>
      <c r="F805" s="116">
        <v>901.5</v>
      </c>
      <c r="G805">
        <v>125168</v>
      </c>
      <c r="H805" s="116"/>
      <c r="I805" s="116"/>
      <c r="L805" s="170">
        <v>44193</v>
      </c>
      <c r="M805" s="116">
        <v>901.65</v>
      </c>
      <c r="N805" s="116">
        <v>904.5</v>
      </c>
      <c r="O805" s="116">
        <v>877.5</v>
      </c>
      <c r="P805" s="116">
        <v>882.9</v>
      </c>
      <c r="Q805" s="116">
        <v>901.65</v>
      </c>
      <c r="R805">
        <v>4187861</v>
      </c>
    </row>
    <row r="806" spans="1:18" x14ac:dyDescent="0.25">
      <c r="A806" s="170">
        <v>44194</v>
      </c>
      <c r="B806" s="116">
        <v>907.55</v>
      </c>
      <c r="C806" s="116">
        <v>899.2</v>
      </c>
      <c r="D806" s="116">
        <v>890.45</v>
      </c>
      <c r="E806" s="116">
        <v>906.95</v>
      </c>
      <c r="F806" s="116">
        <v>899.2</v>
      </c>
      <c r="G806">
        <v>44136</v>
      </c>
      <c r="H806" s="116"/>
      <c r="I806" s="116"/>
      <c r="L806" s="170">
        <v>44194</v>
      </c>
      <c r="M806" s="116">
        <v>899.3</v>
      </c>
      <c r="N806" s="116">
        <v>908.95</v>
      </c>
      <c r="O806" s="116">
        <v>890.3</v>
      </c>
      <c r="P806" s="116">
        <v>906.95</v>
      </c>
      <c r="Q806" s="116">
        <v>899.3</v>
      </c>
      <c r="R806">
        <v>1834129</v>
      </c>
    </row>
    <row r="807" spans="1:18" x14ac:dyDescent="0.25">
      <c r="A807" s="170">
        <v>44195</v>
      </c>
      <c r="B807" s="116">
        <v>911</v>
      </c>
      <c r="C807" s="116">
        <v>902.95</v>
      </c>
      <c r="D807" s="116">
        <v>890.5</v>
      </c>
      <c r="E807" s="116">
        <v>902.7</v>
      </c>
      <c r="F807" s="116">
        <v>902.95</v>
      </c>
      <c r="G807">
        <v>39819</v>
      </c>
      <c r="H807" s="116"/>
      <c r="I807" s="116"/>
      <c r="L807" s="170">
        <v>44195</v>
      </c>
      <c r="M807" s="116">
        <v>902.95</v>
      </c>
      <c r="N807" s="116">
        <v>911</v>
      </c>
      <c r="O807" s="116">
        <v>890.8</v>
      </c>
      <c r="P807" s="116">
        <v>902</v>
      </c>
      <c r="Q807" s="116">
        <v>902.95</v>
      </c>
      <c r="R807">
        <v>1969826</v>
      </c>
    </row>
    <row r="808" spans="1:18" x14ac:dyDescent="0.25">
      <c r="A808" s="170">
        <v>44196</v>
      </c>
      <c r="B808" s="116">
        <v>907.35</v>
      </c>
      <c r="C808" s="116">
        <v>904.25</v>
      </c>
      <c r="D808" s="116">
        <v>894.55</v>
      </c>
      <c r="E808" s="116">
        <v>903</v>
      </c>
      <c r="F808" s="116">
        <v>904.25</v>
      </c>
      <c r="G808">
        <v>38118</v>
      </c>
      <c r="H808" s="116"/>
      <c r="I808" s="116"/>
      <c r="L808" s="170">
        <v>44196</v>
      </c>
      <c r="M808" s="116">
        <v>904.25</v>
      </c>
      <c r="N808" s="116">
        <v>907.3</v>
      </c>
      <c r="O808" s="116">
        <v>894.25</v>
      </c>
      <c r="P808" s="116">
        <v>902</v>
      </c>
      <c r="Q808" s="116">
        <v>904.25</v>
      </c>
      <c r="R808">
        <v>1123846</v>
      </c>
    </row>
    <row r="809" spans="1:18" x14ac:dyDescent="0.25">
      <c r="A809" s="170">
        <v>44197</v>
      </c>
      <c r="B809" s="116">
        <v>905.1</v>
      </c>
      <c r="C809" s="116">
        <v>895.15</v>
      </c>
      <c r="D809" s="116">
        <v>894.2</v>
      </c>
      <c r="E809" s="116">
        <v>900.1</v>
      </c>
      <c r="F809" s="116">
        <v>895.15</v>
      </c>
      <c r="G809">
        <v>32597</v>
      </c>
      <c r="H809" s="116"/>
      <c r="I809" s="116"/>
      <c r="L809" s="170">
        <v>44197</v>
      </c>
      <c r="M809" s="116">
        <v>895.4</v>
      </c>
      <c r="N809" s="116">
        <v>907.05</v>
      </c>
      <c r="O809" s="116">
        <v>894</v>
      </c>
      <c r="P809" s="116">
        <v>903</v>
      </c>
      <c r="Q809" s="116">
        <v>895.4</v>
      </c>
      <c r="R809">
        <v>798399</v>
      </c>
    </row>
    <row r="810" spans="1:18" x14ac:dyDescent="0.25">
      <c r="A810" s="170">
        <v>44200</v>
      </c>
      <c r="B810" s="116">
        <v>917</v>
      </c>
      <c r="C810" s="116">
        <v>912.55</v>
      </c>
      <c r="D810" s="116">
        <v>894.55</v>
      </c>
      <c r="E810" s="116">
        <v>900</v>
      </c>
      <c r="F810" s="116">
        <v>912.55</v>
      </c>
      <c r="G810">
        <v>45448</v>
      </c>
      <c r="H810" s="116"/>
      <c r="I810" s="116"/>
      <c r="L810" s="170">
        <v>44200</v>
      </c>
      <c r="M810" s="116">
        <v>911.4</v>
      </c>
      <c r="N810" s="116">
        <v>917</v>
      </c>
      <c r="O810" s="116">
        <v>894.5</v>
      </c>
      <c r="P810" s="116">
        <v>900</v>
      </c>
      <c r="Q810" s="116">
        <v>911.4</v>
      </c>
      <c r="R810">
        <v>1028233</v>
      </c>
    </row>
    <row r="811" spans="1:18" x14ac:dyDescent="0.25">
      <c r="A811" s="170">
        <v>44201</v>
      </c>
      <c r="B811" s="116">
        <v>919.45</v>
      </c>
      <c r="C811" s="116">
        <v>905.65</v>
      </c>
      <c r="D811" s="116">
        <v>899.25</v>
      </c>
      <c r="E811" s="116">
        <v>910.1</v>
      </c>
      <c r="F811" s="116">
        <v>905.65</v>
      </c>
      <c r="G811">
        <v>95885</v>
      </c>
      <c r="H811" s="116"/>
      <c r="I811" s="116"/>
      <c r="L811" s="170">
        <v>44201</v>
      </c>
      <c r="M811" s="116">
        <v>905.55</v>
      </c>
      <c r="N811" s="116">
        <v>919.9</v>
      </c>
      <c r="O811" s="116">
        <v>899</v>
      </c>
      <c r="P811" s="116">
        <v>906.45</v>
      </c>
      <c r="Q811" s="116">
        <v>905.55</v>
      </c>
      <c r="R811">
        <v>1209912</v>
      </c>
    </row>
    <row r="812" spans="1:18" x14ac:dyDescent="0.25">
      <c r="A812" s="170">
        <v>44202</v>
      </c>
      <c r="B812" s="116">
        <v>914.3</v>
      </c>
      <c r="C812" s="116">
        <v>909.9</v>
      </c>
      <c r="D812" s="116">
        <v>900.7</v>
      </c>
      <c r="E812" s="116">
        <v>906</v>
      </c>
      <c r="F812" s="116">
        <v>909.9</v>
      </c>
      <c r="G812">
        <v>66163</v>
      </c>
      <c r="H812" s="116"/>
      <c r="I812" s="116"/>
      <c r="L812" s="170">
        <v>44202</v>
      </c>
      <c r="M812" s="116">
        <v>910.3</v>
      </c>
      <c r="N812" s="116">
        <v>915</v>
      </c>
      <c r="O812" s="116">
        <v>901</v>
      </c>
      <c r="P812" s="116">
        <v>906.55</v>
      </c>
      <c r="Q812" s="116">
        <v>910.3</v>
      </c>
      <c r="R812">
        <v>1214878</v>
      </c>
    </row>
    <row r="813" spans="1:18" x14ac:dyDescent="0.25">
      <c r="A813" s="170">
        <v>44203</v>
      </c>
      <c r="B813" s="116">
        <v>915.95</v>
      </c>
      <c r="C813" s="116">
        <v>912.95</v>
      </c>
      <c r="D813" s="116">
        <v>904.5</v>
      </c>
      <c r="E813" s="116">
        <v>913</v>
      </c>
      <c r="F813" s="116">
        <v>912.95</v>
      </c>
      <c r="G813">
        <v>33464</v>
      </c>
      <c r="H813" s="116"/>
      <c r="I813" s="116"/>
      <c r="L813" s="170">
        <v>44203</v>
      </c>
      <c r="M813" s="116">
        <v>914.15</v>
      </c>
      <c r="N813" s="116">
        <v>916.5</v>
      </c>
      <c r="O813" s="116">
        <v>904.25</v>
      </c>
      <c r="P813" s="116">
        <v>916.2</v>
      </c>
      <c r="Q813" s="116">
        <v>914.15</v>
      </c>
      <c r="R813">
        <v>1109459</v>
      </c>
    </row>
    <row r="814" spans="1:18" x14ac:dyDescent="0.25">
      <c r="A814" s="170">
        <v>44204</v>
      </c>
      <c r="B814" s="116">
        <v>954.65</v>
      </c>
      <c r="C814" s="116">
        <v>934.35</v>
      </c>
      <c r="D814" s="116">
        <v>918</v>
      </c>
      <c r="E814" s="116">
        <v>919</v>
      </c>
      <c r="F814" s="116">
        <v>934.35</v>
      </c>
      <c r="G814">
        <v>131932</v>
      </c>
      <c r="H814" s="116"/>
      <c r="I814" s="116"/>
      <c r="L814" s="170">
        <v>44204</v>
      </c>
      <c r="M814" s="116">
        <v>935.5</v>
      </c>
      <c r="N814" s="116">
        <v>954.5</v>
      </c>
      <c r="O814" s="116">
        <v>918</v>
      </c>
      <c r="P814" s="116">
        <v>920</v>
      </c>
      <c r="Q814" s="116">
        <v>935.5</v>
      </c>
      <c r="R814">
        <v>4436263</v>
      </c>
    </row>
    <row r="815" spans="1:18" x14ac:dyDescent="0.25">
      <c r="A815" s="170">
        <v>44207</v>
      </c>
      <c r="B815" s="116">
        <v>952.75</v>
      </c>
      <c r="C815" s="116">
        <v>934.75</v>
      </c>
      <c r="D815" s="116">
        <v>927.15</v>
      </c>
      <c r="E815" s="116">
        <v>940</v>
      </c>
      <c r="F815" s="116">
        <v>934.75</v>
      </c>
      <c r="G815">
        <v>56881</v>
      </c>
      <c r="H815" s="116"/>
      <c r="I815" s="116"/>
      <c r="L815" s="170">
        <v>44207</v>
      </c>
      <c r="M815" s="116">
        <v>936.25</v>
      </c>
      <c r="N815" s="116">
        <v>952.5</v>
      </c>
      <c r="O815" s="116">
        <v>926.85</v>
      </c>
      <c r="P815" s="116">
        <v>940</v>
      </c>
      <c r="Q815" s="116">
        <v>936.25</v>
      </c>
      <c r="R815">
        <v>2146652</v>
      </c>
    </row>
    <row r="816" spans="1:18" x14ac:dyDescent="0.25">
      <c r="A816" s="170">
        <v>44208</v>
      </c>
      <c r="B816" s="116">
        <v>945</v>
      </c>
      <c r="C816" s="116">
        <v>924.95</v>
      </c>
      <c r="D816" s="116">
        <v>922</v>
      </c>
      <c r="E816" s="116">
        <v>945</v>
      </c>
      <c r="F816" s="116">
        <v>924.95</v>
      </c>
      <c r="G816">
        <v>28432</v>
      </c>
      <c r="H816" s="116"/>
      <c r="I816" s="116"/>
      <c r="L816" s="170">
        <v>44208</v>
      </c>
      <c r="M816" s="116">
        <v>925</v>
      </c>
      <c r="N816" s="116">
        <v>936</v>
      </c>
      <c r="O816" s="116">
        <v>921.55</v>
      </c>
      <c r="P816" s="116">
        <v>934.8</v>
      </c>
      <c r="Q816" s="116">
        <v>925</v>
      </c>
      <c r="R816">
        <v>1573331</v>
      </c>
    </row>
    <row r="817" spans="1:18" x14ac:dyDescent="0.25">
      <c r="A817" s="170">
        <v>44209</v>
      </c>
      <c r="B817" s="116">
        <v>949</v>
      </c>
      <c r="C817" s="116">
        <v>928.15</v>
      </c>
      <c r="D817" s="116">
        <v>922.25</v>
      </c>
      <c r="E817" s="116">
        <v>928</v>
      </c>
      <c r="F817" s="116">
        <v>928.15</v>
      </c>
      <c r="G817">
        <v>63852</v>
      </c>
      <c r="H817" s="116"/>
      <c r="I817" s="116"/>
      <c r="L817" s="170">
        <v>44209</v>
      </c>
      <c r="M817" s="116">
        <v>926.55</v>
      </c>
      <c r="N817" s="116">
        <v>949</v>
      </c>
      <c r="O817" s="116">
        <v>922.5</v>
      </c>
      <c r="P817" s="116">
        <v>927.5</v>
      </c>
      <c r="Q817" s="116">
        <v>926.55</v>
      </c>
      <c r="R817">
        <v>1996557</v>
      </c>
    </row>
    <row r="818" spans="1:18" x14ac:dyDescent="0.25">
      <c r="A818" s="170">
        <v>44210</v>
      </c>
      <c r="B818" s="116">
        <v>933.6</v>
      </c>
      <c r="C818" s="116">
        <v>925.15</v>
      </c>
      <c r="D818" s="116">
        <v>918.55</v>
      </c>
      <c r="E818" s="116">
        <v>933.6</v>
      </c>
      <c r="F818" s="116">
        <v>925.15</v>
      </c>
      <c r="G818">
        <v>26096</v>
      </c>
      <c r="H818" s="116"/>
      <c r="I818" s="116"/>
      <c r="L818" s="170">
        <v>44210</v>
      </c>
      <c r="M818" s="116">
        <v>925.15</v>
      </c>
      <c r="N818" s="116">
        <v>931.85</v>
      </c>
      <c r="O818" s="116">
        <v>918.5</v>
      </c>
      <c r="P818" s="116">
        <v>930.1</v>
      </c>
      <c r="Q818" s="116">
        <v>925.15</v>
      </c>
      <c r="R818">
        <v>719918</v>
      </c>
    </row>
    <row r="819" spans="1:18" x14ac:dyDescent="0.25">
      <c r="A819" s="170">
        <v>44211</v>
      </c>
      <c r="B819" s="116">
        <v>929.9</v>
      </c>
      <c r="C819" s="116">
        <v>910.4</v>
      </c>
      <c r="D819" s="116">
        <v>903.4</v>
      </c>
      <c r="E819" s="116">
        <v>925.15</v>
      </c>
      <c r="F819" s="116">
        <v>910.4</v>
      </c>
      <c r="G819">
        <v>53161</v>
      </c>
      <c r="H819" s="116"/>
      <c r="I819" s="116"/>
      <c r="L819" s="170">
        <v>44211</v>
      </c>
      <c r="M819" s="116">
        <v>910.25</v>
      </c>
      <c r="N819" s="116">
        <v>929.8</v>
      </c>
      <c r="O819" s="116">
        <v>903.4</v>
      </c>
      <c r="P819" s="116">
        <v>925.15</v>
      </c>
      <c r="Q819" s="116">
        <v>910.25</v>
      </c>
      <c r="R819">
        <v>733660</v>
      </c>
    </row>
    <row r="820" spans="1:18" x14ac:dyDescent="0.25">
      <c r="A820" s="170">
        <v>44214</v>
      </c>
      <c r="B820" s="116">
        <v>905.75</v>
      </c>
      <c r="C820" s="116">
        <v>892.85</v>
      </c>
      <c r="D820" s="116">
        <v>884</v>
      </c>
      <c r="E820" s="116">
        <v>891.1</v>
      </c>
      <c r="F820" s="116">
        <v>892.85</v>
      </c>
      <c r="G820">
        <v>51643</v>
      </c>
      <c r="H820" s="116"/>
      <c r="I820" s="116"/>
      <c r="L820" s="170">
        <v>44214</v>
      </c>
      <c r="M820" s="116">
        <v>892.9</v>
      </c>
      <c r="N820" s="116">
        <v>907.2</v>
      </c>
      <c r="O820" s="116">
        <v>883.2</v>
      </c>
      <c r="P820" s="116">
        <v>899</v>
      </c>
      <c r="Q820" s="116">
        <v>892.9</v>
      </c>
      <c r="R820">
        <v>936905</v>
      </c>
    </row>
    <row r="821" spans="1:18" x14ac:dyDescent="0.25">
      <c r="A821" s="170">
        <v>44215</v>
      </c>
      <c r="B821" s="116">
        <v>917.9</v>
      </c>
      <c r="C821" s="116">
        <v>903.85</v>
      </c>
      <c r="D821" s="116">
        <v>891.5</v>
      </c>
      <c r="E821" s="116">
        <v>893</v>
      </c>
      <c r="F821" s="116">
        <v>903.85</v>
      </c>
      <c r="G821">
        <v>44384</v>
      </c>
      <c r="H821" s="116"/>
      <c r="I821" s="116"/>
      <c r="L821" s="170">
        <v>44215</v>
      </c>
      <c r="M821" s="116">
        <v>904.4</v>
      </c>
      <c r="N821" s="116">
        <v>918</v>
      </c>
      <c r="O821" s="116">
        <v>890.5</v>
      </c>
      <c r="P821" s="116">
        <v>890.5</v>
      </c>
      <c r="Q821" s="116">
        <v>904.4</v>
      </c>
      <c r="R821">
        <v>1420092</v>
      </c>
    </row>
    <row r="822" spans="1:18" x14ac:dyDescent="0.25">
      <c r="A822" s="170">
        <v>44216</v>
      </c>
      <c r="B822" s="116">
        <v>910.95</v>
      </c>
      <c r="C822" s="116">
        <v>896.55</v>
      </c>
      <c r="D822" s="116">
        <v>895.15</v>
      </c>
      <c r="E822" s="116">
        <v>910.95</v>
      </c>
      <c r="F822" s="116">
        <v>896.55</v>
      </c>
      <c r="G822">
        <v>49653</v>
      </c>
      <c r="H822" s="116"/>
      <c r="I822" s="116"/>
      <c r="L822" s="170">
        <v>44216</v>
      </c>
      <c r="M822" s="116">
        <v>896.75</v>
      </c>
      <c r="N822" s="116">
        <v>910.9</v>
      </c>
      <c r="O822" s="116">
        <v>895</v>
      </c>
      <c r="P822" s="116">
        <v>905.1</v>
      </c>
      <c r="Q822" s="116">
        <v>896.75</v>
      </c>
      <c r="R822">
        <v>1147187</v>
      </c>
    </row>
    <row r="823" spans="1:18" x14ac:dyDescent="0.25">
      <c r="A823" s="170">
        <v>44217</v>
      </c>
      <c r="B823" s="116">
        <v>905</v>
      </c>
      <c r="C823" s="116">
        <v>879.25</v>
      </c>
      <c r="D823" s="116">
        <v>875.5</v>
      </c>
      <c r="E823" s="116">
        <v>900.25</v>
      </c>
      <c r="F823" s="116">
        <v>879.25</v>
      </c>
      <c r="G823">
        <v>35689</v>
      </c>
      <c r="H823" s="116"/>
      <c r="I823" s="116"/>
      <c r="L823" s="170">
        <v>44217</v>
      </c>
      <c r="M823" s="116">
        <v>878.3</v>
      </c>
      <c r="N823" s="116">
        <v>907.8</v>
      </c>
      <c r="O823" s="116">
        <v>875</v>
      </c>
      <c r="P823" s="116">
        <v>907.8</v>
      </c>
      <c r="Q823" s="116">
        <v>878.3</v>
      </c>
      <c r="R823">
        <v>1913821</v>
      </c>
    </row>
    <row r="824" spans="1:18" x14ac:dyDescent="0.25">
      <c r="A824" s="170">
        <v>44218</v>
      </c>
      <c r="B824" s="116">
        <v>885.45</v>
      </c>
      <c r="C824" s="116">
        <v>861.6</v>
      </c>
      <c r="D824" s="116">
        <v>838.2</v>
      </c>
      <c r="E824" s="116">
        <v>882.15</v>
      </c>
      <c r="F824" s="116">
        <v>861.6</v>
      </c>
      <c r="G824">
        <v>174279</v>
      </c>
      <c r="H824" s="116"/>
      <c r="I824" s="116"/>
      <c r="L824" s="170">
        <v>44218</v>
      </c>
      <c r="M824" s="116">
        <v>862.55</v>
      </c>
      <c r="N824" s="116">
        <v>885.7</v>
      </c>
      <c r="O824" s="116">
        <v>838</v>
      </c>
      <c r="P824" s="116">
        <v>885.5</v>
      </c>
      <c r="Q824" s="116">
        <v>862.55</v>
      </c>
      <c r="R824">
        <v>3421388</v>
      </c>
    </row>
    <row r="825" spans="1:18" x14ac:dyDescent="0.25">
      <c r="A825" s="170">
        <v>44221</v>
      </c>
      <c r="B825" s="116">
        <v>881.6</v>
      </c>
      <c r="C825" s="116">
        <v>862.85</v>
      </c>
      <c r="D825" s="116">
        <v>853.2</v>
      </c>
      <c r="E825" s="116">
        <v>861.6</v>
      </c>
      <c r="F825" s="116">
        <v>862.85</v>
      </c>
      <c r="G825">
        <v>60210</v>
      </c>
      <c r="H825" s="116"/>
      <c r="I825" s="116"/>
      <c r="L825" s="170">
        <v>44221</v>
      </c>
      <c r="M825" s="116">
        <v>862.85</v>
      </c>
      <c r="N825" s="116">
        <v>882.75</v>
      </c>
      <c r="O825" s="116">
        <v>853</v>
      </c>
      <c r="P825" s="116">
        <v>865.9</v>
      </c>
      <c r="Q825" s="116">
        <v>862.85</v>
      </c>
      <c r="R825">
        <v>2534590</v>
      </c>
    </row>
    <row r="826" spans="1:18" x14ac:dyDescent="0.25">
      <c r="A826" s="170">
        <v>44223</v>
      </c>
      <c r="B826" s="116">
        <v>885</v>
      </c>
      <c r="C826" s="116">
        <v>881.75</v>
      </c>
      <c r="D826" s="116">
        <v>858.75</v>
      </c>
      <c r="E826" s="116">
        <v>871.8</v>
      </c>
      <c r="F826" s="116">
        <v>881.75</v>
      </c>
      <c r="G826">
        <v>90718</v>
      </c>
      <c r="H826" s="116"/>
      <c r="I826" s="116"/>
      <c r="L826" s="170">
        <v>44223</v>
      </c>
      <c r="M826" s="116">
        <v>881.75</v>
      </c>
      <c r="N826" s="116">
        <v>885</v>
      </c>
      <c r="O826" s="116">
        <v>859.1</v>
      </c>
      <c r="P826" s="116">
        <v>865.3</v>
      </c>
      <c r="Q826" s="116">
        <v>881.75</v>
      </c>
      <c r="R826">
        <v>2745728</v>
      </c>
    </row>
    <row r="827" spans="1:18" x14ac:dyDescent="0.25">
      <c r="A827" s="170">
        <v>44224</v>
      </c>
      <c r="B827" s="116">
        <v>888</v>
      </c>
      <c r="C827" s="116">
        <v>872.25</v>
      </c>
      <c r="D827" s="116">
        <v>868.3</v>
      </c>
      <c r="E827" s="116">
        <v>888</v>
      </c>
      <c r="F827" s="116">
        <v>872.25</v>
      </c>
      <c r="G827">
        <v>80550</v>
      </c>
      <c r="H827" s="116"/>
      <c r="I827" s="116"/>
      <c r="L827" s="170">
        <v>44224</v>
      </c>
      <c r="M827" s="116">
        <v>872.55</v>
      </c>
      <c r="N827" s="116">
        <v>884.35</v>
      </c>
      <c r="O827" s="116">
        <v>868.85</v>
      </c>
      <c r="P827" s="116">
        <v>883</v>
      </c>
      <c r="Q827" s="116">
        <v>872.55</v>
      </c>
      <c r="R827">
        <v>1855486</v>
      </c>
    </row>
    <row r="828" spans="1:18" x14ac:dyDescent="0.25">
      <c r="A828" s="170">
        <v>44225</v>
      </c>
      <c r="B828" s="116">
        <v>883.9</v>
      </c>
      <c r="C828" s="116">
        <v>864.6</v>
      </c>
      <c r="D828" s="116">
        <v>858.15</v>
      </c>
      <c r="E828" s="116">
        <v>883.9</v>
      </c>
      <c r="F828" s="116">
        <v>864.6</v>
      </c>
      <c r="G828">
        <v>41442</v>
      </c>
      <c r="H828" s="116"/>
      <c r="I828" s="116"/>
      <c r="L828" s="170">
        <v>44225</v>
      </c>
      <c r="M828" s="116">
        <v>864.45</v>
      </c>
      <c r="N828" s="116">
        <v>883.05</v>
      </c>
      <c r="O828" s="116">
        <v>858.05</v>
      </c>
      <c r="P828" s="116">
        <v>876.55</v>
      </c>
      <c r="Q828" s="116">
        <v>864.45</v>
      </c>
      <c r="R828">
        <v>2286478</v>
      </c>
    </row>
    <row r="829" spans="1:18" x14ac:dyDescent="0.25">
      <c r="A829" s="170">
        <v>44228</v>
      </c>
      <c r="B829" s="116">
        <v>897</v>
      </c>
      <c r="C829" s="116">
        <v>875</v>
      </c>
      <c r="D829" s="116">
        <v>852.05</v>
      </c>
      <c r="E829" s="116">
        <v>870</v>
      </c>
      <c r="F829" s="116">
        <v>875</v>
      </c>
      <c r="G829">
        <v>204384</v>
      </c>
      <c r="H829" s="116"/>
      <c r="I829" s="116"/>
      <c r="L829" s="170">
        <v>44228</v>
      </c>
      <c r="M829" s="116">
        <v>874.5</v>
      </c>
      <c r="N829" s="116">
        <v>897</v>
      </c>
      <c r="O829" s="116">
        <v>852.05</v>
      </c>
      <c r="P829" s="116">
        <v>875</v>
      </c>
      <c r="Q829" s="116">
        <v>874.5</v>
      </c>
      <c r="R829">
        <v>3099408</v>
      </c>
    </row>
    <row r="830" spans="1:18" x14ac:dyDescent="0.25">
      <c r="A830" s="170">
        <v>44229</v>
      </c>
      <c r="B830" s="116">
        <v>890</v>
      </c>
      <c r="C830" s="116">
        <v>865.5</v>
      </c>
      <c r="D830" s="116">
        <v>858.5</v>
      </c>
      <c r="E830" s="116">
        <v>885</v>
      </c>
      <c r="F830" s="116">
        <v>865.5</v>
      </c>
      <c r="G830">
        <v>81079</v>
      </c>
      <c r="H830" s="116"/>
      <c r="I830" s="116"/>
      <c r="L830" s="170">
        <v>44229</v>
      </c>
      <c r="M830" s="116">
        <v>865.35</v>
      </c>
      <c r="N830" s="116">
        <v>890</v>
      </c>
      <c r="O830" s="116">
        <v>857.95</v>
      </c>
      <c r="P830" s="116">
        <v>888</v>
      </c>
      <c r="Q830" s="116">
        <v>865.35</v>
      </c>
      <c r="R830">
        <v>2781083</v>
      </c>
    </row>
    <row r="831" spans="1:18" x14ac:dyDescent="0.25">
      <c r="A831" s="170">
        <v>44230</v>
      </c>
      <c r="B831" s="116">
        <v>879.65</v>
      </c>
      <c r="C831" s="116">
        <v>866.05</v>
      </c>
      <c r="D831" s="116">
        <v>858.8</v>
      </c>
      <c r="E831" s="116">
        <v>868</v>
      </c>
      <c r="F831" s="116">
        <v>866.05</v>
      </c>
      <c r="G831">
        <v>76663</v>
      </c>
      <c r="H831" s="116"/>
      <c r="I831" s="116"/>
      <c r="L831" s="170">
        <v>44230</v>
      </c>
      <c r="M831" s="116">
        <v>866.15</v>
      </c>
      <c r="N831" s="116">
        <v>879.95</v>
      </c>
      <c r="O831" s="116">
        <v>858.35</v>
      </c>
      <c r="P831" s="116">
        <v>870</v>
      </c>
      <c r="Q831" s="116">
        <v>866.15</v>
      </c>
      <c r="R831">
        <v>1883217</v>
      </c>
    </row>
    <row r="832" spans="1:18" x14ac:dyDescent="0.25">
      <c r="A832" s="170">
        <v>44231</v>
      </c>
      <c r="B832" s="116">
        <v>878</v>
      </c>
      <c r="C832" s="116">
        <v>864.65</v>
      </c>
      <c r="D832" s="116">
        <v>859.05</v>
      </c>
      <c r="E832" s="116">
        <v>878</v>
      </c>
      <c r="F832" s="116">
        <v>864.65</v>
      </c>
      <c r="G832">
        <v>47368</v>
      </c>
      <c r="H832" s="116"/>
      <c r="I832" s="116"/>
      <c r="L832" s="170">
        <v>44231</v>
      </c>
      <c r="M832" s="116">
        <v>863.9</v>
      </c>
      <c r="N832" s="116">
        <v>870.7</v>
      </c>
      <c r="O832" s="116">
        <v>859</v>
      </c>
      <c r="P832" s="116">
        <v>866.15</v>
      </c>
      <c r="Q832" s="116">
        <v>863.9</v>
      </c>
      <c r="R832">
        <v>2094974</v>
      </c>
    </row>
    <row r="833" spans="1:18" x14ac:dyDescent="0.25">
      <c r="A833" s="170">
        <v>44232</v>
      </c>
      <c r="B833" s="116">
        <v>869.6</v>
      </c>
      <c r="C833" s="116">
        <v>864.35</v>
      </c>
      <c r="D833" s="116">
        <v>854</v>
      </c>
      <c r="E833" s="116">
        <v>865.4</v>
      </c>
      <c r="F833" s="116">
        <v>864.35</v>
      </c>
      <c r="G833">
        <v>61633</v>
      </c>
      <c r="H833" s="116"/>
      <c r="I833" s="116"/>
      <c r="L833" s="170">
        <v>44232</v>
      </c>
      <c r="M833" s="116">
        <v>864.2</v>
      </c>
      <c r="N833" s="116">
        <v>870</v>
      </c>
      <c r="O833" s="116">
        <v>853.65</v>
      </c>
      <c r="P833" s="116">
        <v>866.75</v>
      </c>
      <c r="Q833" s="116">
        <v>864.2</v>
      </c>
      <c r="R833">
        <v>1766235</v>
      </c>
    </row>
    <row r="834" spans="1:18" x14ac:dyDescent="0.25">
      <c r="A834" s="170">
        <v>44235</v>
      </c>
      <c r="B834" s="116">
        <v>871.6</v>
      </c>
      <c r="C834" s="116">
        <v>859</v>
      </c>
      <c r="D834" s="116">
        <v>856.55</v>
      </c>
      <c r="E834" s="116">
        <v>869.6</v>
      </c>
      <c r="F834" s="116">
        <v>859</v>
      </c>
      <c r="G834">
        <v>111151</v>
      </c>
      <c r="H834" s="116"/>
      <c r="I834" s="116"/>
      <c r="L834" s="170">
        <v>44235</v>
      </c>
      <c r="M834" s="116">
        <v>859.1</v>
      </c>
      <c r="N834" s="116">
        <v>871.7</v>
      </c>
      <c r="O834" s="116">
        <v>857</v>
      </c>
      <c r="P834" s="116">
        <v>865</v>
      </c>
      <c r="Q834" s="116">
        <v>859.1</v>
      </c>
      <c r="R834">
        <v>1899676</v>
      </c>
    </row>
    <row r="835" spans="1:18" x14ac:dyDescent="0.25">
      <c r="A835" s="170">
        <v>44236</v>
      </c>
      <c r="B835" s="116">
        <v>895.4</v>
      </c>
      <c r="C835" s="116">
        <v>889.1</v>
      </c>
      <c r="D835" s="116">
        <v>864.7</v>
      </c>
      <c r="E835" s="116">
        <v>865</v>
      </c>
      <c r="F835" s="116">
        <v>889.1</v>
      </c>
      <c r="G835">
        <v>131733</v>
      </c>
      <c r="H835" s="116"/>
      <c r="I835" s="116"/>
      <c r="L835" s="170">
        <v>44236</v>
      </c>
      <c r="M835" s="116">
        <v>888.7</v>
      </c>
      <c r="N835" s="116">
        <v>895</v>
      </c>
      <c r="O835" s="116">
        <v>863</v>
      </c>
      <c r="P835" s="116">
        <v>869</v>
      </c>
      <c r="Q835" s="116">
        <v>888.7</v>
      </c>
      <c r="R835">
        <v>4311868</v>
      </c>
    </row>
    <row r="836" spans="1:18" x14ac:dyDescent="0.25">
      <c r="A836" s="170">
        <v>44237</v>
      </c>
      <c r="B836" s="116">
        <v>915</v>
      </c>
      <c r="C836" s="116">
        <v>909.35</v>
      </c>
      <c r="D836" s="116">
        <v>893.9</v>
      </c>
      <c r="E836" s="116">
        <v>899</v>
      </c>
      <c r="F836" s="116">
        <v>909.35</v>
      </c>
      <c r="G836">
        <v>392311</v>
      </c>
      <c r="H836" s="116"/>
      <c r="I836" s="116"/>
      <c r="L836" s="170">
        <v>44237</v>
      </c>
      <c r="M836" s="116">
        <v>911.35</v>
      </c>
      <c r="N836" s="116">
        <v>915.25</v>
      </c>
      <c r="O836" s="116">
        <v>894</v>
      </c>
      <c r="P836" s="116">
        <v>898</v>
      </c>
      <c r="Q836" s="116">
        <v>911.35</v>
      </c>
      <c r="R836">
        <v>4993209</v>
      </c>
    </row>
    <row r="837" spans="1:18" x14ac:dyDescent="0.25">
      <c r="A837" s="170">
        <v>44238</v>
      </c>
      <c r="B837" s="116">
        <v>921.75</v>
      </c>
      <c r="C837" s="116">
        <v>906.55</v>
      </c>
      <c r="D837" s="116">
        <v>905.05</v>
      </c>
      <c r="E837" s="116">
        <v>912.95</v>
      </c>
      <c r="F837" s="116">
        <v>906.55</v>
      </c>
      <c r="G837">
        <v>75753</v>
      </c>
      <c r="H837" s="116"/>
      <c r="I837" s="116"/>
      <c r="L837" s="170">
        <v>44238</v>
      </c>
      <c r="M837" s="116">
        <v>907.35</v>
      </c>
      <c r="N837" s="116">
        <v>921.9</v>
      </c>
      <c r="O837" s="116">
        <v>905.55</v>
      </c>
      <c r="P837" s="116">
        <v>909.8</v>
      </c>
      <c r="Q837" s="116">
        <v>907.35</v>
      </c>
      <c r="R837">
        <v>2184819</v>
      </c>
    </row>
    <row r="838" spans="1:18" x14ac:dyDescent="0.25">
      <c r="A838" s="170">
        <v>44239</v>
      </c>
      <c r="B838" s="116">
        <v>913.25</v>
      </c>
      <c r="C838" s="116">
        <v>896.4</v>
      </c>
      <c r="D838" s="116">
        <v>894</v>
      </c>
      <c r="E838" s="116">
        <v>913</v>
      </c>
      <c r="F838" s="116">
        <v>896.4</v>
      </c>
      <c r="G838">
        <v>37656</v>
      </c>
      <c r="H838" s="116"/>
      <c r="I838" s="116"/>
      <c r="L838" s="170">
        <v>44239</v>
      </c>
      <c r="M838" s="116">
        <v>896.85</v>
      </c>
      <c r="N838" s="116">
        <v>913.5</v>
      </c>
      <c r="O838" s="116">
        <v>893.45</v>
      </c>
      <c r="P838" s="116">
        <v>908</v>
      </c>
      <c r="Q838" s="116">
        <v>896.85</v>
      </c>
      <c r="R838">
        <v>984794</v>
      </c>
    </row>
    <row r="839" spans="1:18" x14ac:dyDescent="0.25">
      <c r="A839" s="170">
        <v>44242</v>
      </c>
      <c r="B839" s="116">
        <v>900</v>
      </c>
      <c r="C839" s="116">
        <v>877.25</v>
      </c>
      <c r="D839" s="116">
        <v>875</v>
      </c>
      <c r="E839" s="116">
        <v>900</v>
      </c>
      <c r="F839" s="116">
        <v>877.25</v>
      </c>
      <c r="G839">
        <v>46093</v>
      </c>
      <c r="H839" s="116"/>
      <c r="I839" s="116"/>
      <c r="L839" s="170">
        <v>44242</v>
      </c>
      <c r="M839" s="116">
        <v>877.25</v>
      </c>
      <c r="N839" s="116">
        <v>901.15</v>
      </c>
      <c r="O839" s="116">
        <v>875</v>
      </c>
      <c r="P839" s="116">
        <v>898</v>
      </c>
      <c r="Q839" s="116">
        <v>877.25</v>
      </c>
      <c r="R839">
        <v>1715171</v>
      </c>
    </row>
    <row r="840" spans="1:18" x14ac:dyDescent="0.25">
      <c r="A840" s="170">
        <v>44243</v>
      </c>
      <c r="B840" s="116">
        <v>888.55</v>
      </c>
      <c r="C840" s="116">
        <v>871.9</v>
      </c>
      <c r="D840" s="116">
        <v>869</v>
      </c>
      <c r="E840" s="116">
        <v>877</v>
      </c>
      <c r="F840" s="116">
        <v>871.9</v>
      </c>
      <c r="G840">
        <v>36156</v>
      </c>
      <c r="H840" s="116"/>
      <c r="I840" s="116"/>
      <c r="L840" s="170">
        <v>44243</v>
      </c>
      <c r="M840" s="116">
        <v>872</v>
      </c>
      <c r="N840" s="116">
        <v>888.3</v>
      </c>
      <c r="O840" s="116">
        <v>869</v>
      </c>
      <c r="P840" s="116">
        <v>877.25</v>
      </c>
      <c r="Q840" s="116">
        <v>872</v>
      </c>
      <c r="R840">
        <v>1634864</v>
      </c>
    </row>
    <row r="841" spans="1:18" x14ac:dyDescent="0.25">
      <c r="A841" s="170">
        <v>44244</v>
      </c>
      <c r="B841" s="116">
        <v>883.35</v>
      </c>
      <c r="C841" s="116">
        <v>877.2</v>
      </c>
      <c r="D841" s="116">
        <v>871.5</v>
      </c>
      <c r="E841" s="116">
        <v>872.5</v>
      </c>
      <c r="F841" s="116">
        <v>877.2</v>
      </c>
      <c r="G841">
        <v>28978</v>
      </c>
      <c r="H841" s="116"/>
      <c r="I841" s="116"/>
      <c r="L841" s="170">
        <v>44244</v>
      </c>
      <c r="M841" s="116">
        <v>877.15</v>
      </c>
      <c r="N841" s="116">
        <v>883.15</v>
      </c>
      <c r="O841" s="116">
        <v>870</v>
      </c>
      <c r="P841" s="116">
        <v>870</v>
      </c>
      <c r="Q841" s="116">
        <v>877.15</v>
      </c>
      <c r="R841">
        <v>1496973</v>
      </c>
    </row>
    <row r="842" spans="1:18" x14ac:dyDescent="0.25">
      <c r="A842" s="170">
        <v>44245</v>
      </c>
      <c r="B842" s="116">
        <v>898.5</v>
      </c>
      <c r="C842" s="116">
        <v>893.4</v>
      </c>
      <c r="D842" s="116">
        <v>870</v>
      </c>
      <c r="E842" s="116">
        <v>883.8</v>
      </c>
      <c r="F842" s="116">
        <v>893.4</v>
      </c>
      <c r="G842">
        <v>157946</v>
      </c>
      <c r="H842" s="116"/>
      <c r="I842" s="116"/>
      <c r="L842" s="170">
        <v>44245</v>
      </c>
      <c r="M842" s="116">
        <v>893.5</v>
      </c>
      <c r="N842" s="116">
        <v>898.85</v>
      </c>
      <c r="O842" s="116">
        <v>878.7</v>
      </c>
      <c r="P842" s="116">
        <v>880.1</v>
      </c>
      <c r="Q842" s="116">
        <v>893.5</v>
      </c>
      <c r="R842">
        <v>2387930</v>
      </c>
    </row>
    <row r="843" spans="1:18" x14ac:dyDescent="0.25">
      <c r="A843" s="170">
        <v>44246</v>
      </c>
      <c r="B843" s="116">
        <v>901.8</v>
      </c>
      <c r="C843" s="116">
        <v>881.3</v>
      </c>
      <c r="D843" s="116">
        <v>875</v>
      </c>
      <c r="E843" s="116">
        <v>901.8</v>
      </c>
      <c r="F843" s="116">
        <v>881.3</v>
      </c>
      <c r="G843">
        <v>30260</v>
      </c>
      <c r="H843" s="116"/>
      <c r="I843" s="116"/>
      <c r="L843" s="170">
        <v>44246</v>
      </c>
      <c r="M843" s="116">
        <v>881.5</v>
      </c>
      <c r="N843" s="116">
        <v>899.15</v>
      </c>
      <c r="O843" s="116">
        <v>874.25</v>
      </c>
      <c r="P843" s="116">
        <v>898.4</v>
      </c>
      <c r="Q843" s="116">
        <v>881.5</v>
      </c>
      <c r="R843">
        <v>1120800</v>
      </c>
    </row>
    <row r="844" spans="1:18" x14ac:dyDescent="0.25">
      <c r="A844" s="170">
        <v>44249</v>
      </c>
      <c r="B844" s="116">
        <v>884.5</v>
      </c>
      <c r="C844" s="116">
        <v>848.85</v>
      </c>
      <c r="D844" s="116">
        <v>845.5</v>
      </c>
      <c r="E844" s="116">
        <v>876.15</v>
      </c>
      <c r="F844" s="116">
        <v>848.85</v>
      </c>
      <c r="G844">
        <v>74802</v>
      </c>
      <c r="H844" s="116"/>
      <c r="I844" s="116"/>
      <c r="L844" s="170">
        <v>44249</v>
      </c>
      <c r="M844" s="116">
        <v>849.05</v>
      </c>
      <c r="N844" s="116">
        <v>885</v>
      </c>
      <c r="O844" s="116">
        <v>845.1</v>
      </c>
      <c r="P844" s="116">
        <v>880</v>
      </c>
      <c r="Q844" s="116">
        <v>849.05</v>
      </c>
      <c r="R844">
        <v>1810985</v>
      </c>
    </row>
    <row r="845" spans="1:18" x14ac:dyDescent="0.25">
      <c r="A845" s="170">
        <v>44250</v>
      </c>
      <c r="B845" s="116">
        <v>873.8</v>
      </c>
      <c r="C845" s="116">
        <v>869.65</v>
      </c>
      <c r="D845" s="116">
        <v>849</v>
      </c>
      <c r="E845" s="116">
        <v>852.8</v>
      </c>
      <c r="F845" s="116">
        <v>869.65</v>
      </c>
      <c r="G845">
        <v>33600</v>
      </c>
      <c r="H845" s="116"/>
      <c r="I845" s="116"/>
      <c r="L845" s="170">
        <v>44250</v>
      </c>
      <c r="M845" s="116">
        <v>869.7</v>
      </c>
      <c r="N845" s="116">
        <v>874.4</v>
      </c>
      <c r="O845" s="116">
        <v>849</v>
      </c>
      <c r="P845" s="116">
        <v>853</v>
      </c>
      <c r="Q845" s="116">
        <v>869.7</v>
      </c>
      <c r="R845">
        <v>1480977</v>
      </c>
    </row>
    <row r="846" spans="1:18" x14ac:dyDescent="0.25">
      <c r="A846" s="170">
        <v>44251</v>
      </c>
      <c r="B846" s="116">
        <v>889.8</v>
      </c>
      <c r="C846" s="116">
        <v>871.1</v>
      </c>
      <c r="D846" s="116">
        <v>850</v>
      </c>
      <c r="E846" s="116">
        <v>879.9</v>
      </c>
      <c r="F846" s="116">
        <v>871.1</v>
      </c>
      <c r="G846">
        <v>168237</v>
      </c>
      <c r="H846" s="116"/>
      <c r="I846" s="116"/>
      <c r="L846" s="170">
        <v>44251</v>
      </c>
      <c r="M846" s="116">
        <v>871.55</v>
      </c>
      <c r="N846" s="116">
        <v>875.9</v>
      </c>
      <c r="O846" s="116">
        <v>852.7</v>
      </c>
      <c r="P846" s="116">
        <v>870.1</v>
      </c>
      <c r="Q846" s="116">
        <v>871.55</v>
      </c>
      <c r="R846">
        <v>683427</v>
      </c>
    </row>
    <row r="847" spans="1:18" x14ac:dyDescent="0.25">
      <c r="A847" s="170">
        <v>44252</v>
      </c>
      <c r="B847" s="116">
        <v>882.6</v>
      </c>
      <c r="C847" s="116">
        <v>872.1</v>
      </c>
      <c r="D847" s="116">
        <v>869.85</v>
      </c>
      <c r="E847" s="116">
        <v>878</v>
      </c>
      <c r="F847" s="116">
        <v>872.1</v>
      </c>
      <c r="G847">
        <v>159513</v>
      </c>
      <c r="H847" s="116"/>
      <c r="I847" s="116"/>
      <c r="L847" s="170">
        <v>44252</v>
      </c>
      <c r="M847" s="116">
        <v>872.4</v>
      </c>
      <c r="N847" s="116">
        <v>882.9</v>
      </c>
      <c r="O847" s="116">
        <v>869.7</v>
      </c>
      <c r="P847" s="116">
        <v>873.2</v>
      </c>
      <c r="Q847" s="116">
        <v>872.4</v>
      </c>
      <c r="R847">
        <v>1885254</v>
      </c>
    </row>
    <row r="848" spans="1:18" x14ac:dyDescent="0.25">
      <c r="A848" s="170">
        <v>44253</v>
      </c>
      <c r="B848" s="116">
        <v>878</v>
      </c>
      <c r="C848" s="116">
        <v>867.1</v>
      </c>
      <c r="D848" s="116">
        <v>858.05</v>
      </c>
      <c r="E848" s="116">
        <v>865</v>
      </c>
      <c r="F848" s="116">
        <v>867.1</v>
      </c>
      <c r="G848">
        <v>28669</v>
      </c>
      <c r="H848" s="116"/>
      <c r="I848" s="116"/>
      <c r="L848" s="170">
        <v>44253</v>
      </c>
      <c r="M848" s="116">
        <v>866.9</v>
      </c>
      <c r="N848" s="116">
        <v>878.95</v>
      </c>
      <c r="O848" s="116">
        <v>858.05</v>
      </c>
      <c r="P848" s="116">
        <v>860</v>
      </c>
      <c r="Q848" s="116">
        <v>866.9</v>
      </c>
      <c r="R848">
        <v>2636891</v>
      </c>
    </row>
    <row r="849" spans="1:18" x14ac:dyDescent="0.25">
      <c r="A849" s="170">
        <v>44256</v>
      </c>
      <c r="B849" s="116">
        <v>878.5</v>
      </c>
      <c r="C849" s="116">
        <v>875.3</v>
      </c>
      <c r="D849" s="116">
        <v>852.5</v>
      </c>
      <c r="E849" s="116">
        <v>860</v>
      </c>
      <c r="F849" s="116">
        <v>875.3</v>
      </c>
      <c r="G849">
        <v>81826</v>
      </c>
      <c r="H849" s="116"/>
      <c r="I849" s="116"/>
      <c r="L849" s="170">
        <v>44256</v>
      </c>
      <c r="M849" s="116">
        <v>876.4</v>
      </c>
      <c r="N849" s="116">
        <v>879</v>
      </c>
      <c r="O849" s="116">
        <v>852.2</v>
      </c>
      <c r="P849" s="116">
        <v>860</v>
      </c>
      <c r="Q849" s="116">
        <v>876.4</v>
      </c>
      <c r="R849">
        <v>2648545</v>
      </c>
    </row>
    <row r="850" spans="1:18" x14ac:dyDescent="0.25">
      <c r="A850" s="170">
        <v>44257</v>
      </c>
      <c r="B850" s="116">
        <v>885.95</v>
      </c>
      <c r="C850" s="116">
        <v>878.3</v>
      </c>
      <c r="D850" s="116">
        <v>871</v>
      </c>
      <c r="E850" s="116">
        <v>875.3</v>
      </c>
      <c r="F850" s="116">
        <v>878.3</v>
      </c>
      <c r="G850">
        <v>38694</v>
      </c>
      <c r="H850" s="116"/>
      <c r="I850" s="116"/>
      <c r="L850" s="170">
        <v>44257</v>
      </c>
      <c r="M850" s="116">
        <v>879.15</v>
      </c>
      <c r="N850" s="116">
        <v>886</v>
      </c>
      <c r="O850" s="116">
        <v>870.5</v>
      </c>
      <c r="P850" s="116">
        <v>876.75</v>
      </c>
      <c r="Q850" s="116">
        <v>879.15</v>
      </c>
      <c r="R850">
        <v>1583910</v>
      </c>
    </row>
    <row r="851" spans="1:18" x14ac:dyDescent="0.25">
      <c r="A851" s="170">
        <v>44258</v>
      </c>
      <c r="B851" s="116">
        <v>909.4</v>
      </c>
      <c r="C851" s="116">
        <v>906.1</v>
      </c>
      <c r="D851" s="116">
        <v>884.2</v>
      </c>
      <c r="E851" s="116">
        <v>884.2</v>
      </c>
      <c r="F851" s="116">
        <v>906.1</v>
      </c>
      <c r="G851">
        <v>241686</v>
      </c>
      <c r="H851" s="116"/>
      <c r="I851" s="116"/>
      <c r="L851" s="170">
        <v>44258</v>
      </c>
      <c r="M851" s="116">
        <v>906.45</v>
      </c>
      <c r="N851" s="116">
        <v>910</v>
      </c>
      <c r="O851" s="116">
        <v>883.5</v>
      </c>
      <c r="P851" s="116">
        <v>888</v>
      </c>
      <c r="Q851" s="116">
        <v>906.45</v>
      </c>
      <c r="R851">
        <v>2127137</v>
      </c>
    </row>
    <row r="852" spans="1:18" x14ac:dyDescent="0.25">
      <c r="A852" s="170">
        <v>44259</v>
      </c>
      <c r="B852" s="116">
        <v>924.35</v>
      </c>
      <c r="C852" s="116">
        <v>915.5</v>
      </c>
      <c r="D852" s="116">
        <v>893.3</v>
      </c>
      <c r="E852" s="116">
        <v>895</v>
      </c>
      <c r="F852" s="116">
        <v>915.5</v>
      </c>
      <c r="G852">
        <v>72438</v>
      </c>
      <c r="H852" s="116"/>
      <c r="I852" s="116"/>
      <c r="L852" s="170">
        <v>44259</v>
      </c>
      <c r="M852" s="116">
        <v>915.9</v>
      </c>
      <c r="N852" s="116">
        <v>924.8</v>
      </c>
      <c r="O852" s="116">
        <v>892.4</v>
      </c>
      <c r="P852" s="116">
        <v>899.7</v>
      </c>
      <c r="Q852" s="116">
        <v>915.9</v>
      </c>
      <c r="R852">
        <v>3140379</v>
      </c>
    </row>
    <row r="853" spans="1:18" x14ac:dyDescent="0.25">
      <c r="A853" s="170">
        <v>44260</v>
      </c>
      <c r="B853" s="116">
        <v>914.95</v>
      </c>
      <c r="C853" s="116">
        <v>903.65</v>
      </c>
      <c r="D853" s="116">
        <v>895.65</v>
      </c>
      <c r="E853" s="116">
        <v>914.95</v>
      </c>
      <c r="F853" s="116">
        <v>903.65</v>
      </c>
      <c r="G853">
        <v>27915</v>
      </c>
      <c r="H853" s="116"/>
      <c r="I853" s="116"/>
      <c r="L853" s="170">
        <v>44260</v>
      </c>
      <c r="M853" s="116">
        <v>903.55</v>
      </c>
      <c r="N853" s="116">
        <v>915</v>
      </c>
      <c r="O853" s="116">
        <v>894.95</v>
      </c>
      <c r="P853" s="116">
        <v>910</v>
      </c>
      <c r="Q853" s="116">
        <v>903.55</v>
      </c>
      <c r="R853">
        <v>1268992</v>
      </c>
    </row>
    <row r="854" spans="1:18" x14ac:dyDescent="0.25">
      <c r="A854" s="170">
        <v>44263</v>
      </c>
      <c r="B854" s="116">
        <v>930</v>
      </c>
      <c r="C854" s="116">
        <v>923.9</v>
      </c>
      <c r="D854" s="116">
        <v>900</v>
      </c>
      <c r="E854" s="116">
        <v>900</v>
      </c>
      <c r="F854" s="116">
        <v>923.9</v>
      </c>
      <c r="G854">
        <v>102907</v>
      </c>
      <c r="H854" s="116"/>
      <c r="I854" s="116"/>
      <c r="L854" s="170">
        <v>44263</v>
      </c>
      <c r="M854" s="116">
        <v>923.85</v>
      </c>
      <c r="N854" s="116">
        <v>930.65</v>
      </c>
      <c r="O854" s="116">
        <v>901.7</v>
      </c>
      <c r="P854" s="116">
        <v>903.6</v>
      </c>
      <c r="Q854" s="116">
        <v>923.85</v>
      </c>
      <c r="R854">
        <v>1396479</v>
      </c>
    </row>
    <row r="855" spans="1:18" x14ac:dyDescent="0.25">
      <c r="A855" s="170">
        <v>44264</v>
      </c>
      <c r="B855" s="116">
        <v>983.95</v>
      </c>
      <c r="C855" s="116">
        <v>971.85</v>
      </c>
      <c r="D855" s="116">
        <v>939.5</v>
      </c>
      <c r="E855" s="116">
        <v>945.3</v>
      </c>
      <c r="F855" s="116">
        <v>971.85</v>
      </c>
      <c r="G855">
        <v>521597</v>
      </c>
      <c r="H855" s="116"/>
      <c r="I855" s="116"/>
      <c r="L855" s="170">
        <v>44264</v>
      </c>
      <c r="M855" s="116">
        <v>971.3</v>
      </c>
      <c r="N855" s="116">
        <v>983.75</v>
      </c>
      <c r="O855" s="116">
        <v>939</v>
      </c>
      <c r="P855" s="116">
        <v>950</v>
      </c>
      <c r="Q855" s="116">
        <v>971.3</v>
      </c>
      <c r="R855">
        <v>11031435</v>
      </c>
    </row>
    <row r="856" spans="1:18" x14ac:dyDescent="0.25">
      <c r="A856" s="170">
        <v>44265</v>
      </c>
      <c r="B856" s="116">
        <v>972.55</v>
      </c>
      <c r="C856" s="116">
        <v>940</v>
      </c>
      <c r="D856" s="116">
        <v>934.25</v>
      </c>
      <c r="E856" s="116">
        <v>972.4</v>
      </c>
      <c r="F856" s="116">
        <v>940</v>
      </c>
      <c r="G856">
        <v>136846</v>
      </c>
      <c r="H856" s="116"/>
      <c r="I856" s="116"/>
      <c r="L856" s="170">
        <v>44265</v>
      </c>
      <c r="M856" s="116">
        <v>940.75</v>
      </c>
      <c r="N856" s="116">
        <v>974</v>
      </c>
      <c r="O856" s="116">
        <v>936</v>
      </c>
      <c r="P856" s="116">
        <v>973.7</v>
      </c>
      <c r="Q856" s="116">
        <v>940.75</v>
      </c>
      <c r="R856">
        <v>2362998</v>
      </c>
    </row>
    <row r="857" spans="1:18" x14ac:dyDescent="0.25">
      <c r="A857" s="170">
        <v>44267</v>
      </c>
      <c r="B857" s="116">
        <v>936</v>
      </c>
      <c r="C857" s="116">
        <v>913.9</v>
      </c>
      <c r="D857" s="116">
        <v>901.2</v>
      </c>
      <c r="E857" s="116">
        <v>906</v>
      </c>
      <c r="F857" s="116">
        <v>913.9</v>
      </c>
      <c r="G857">
        <v>54820357</v>
      </c>
      <c r="H857" s="116"/>
      <c r="I857" s="116"/>
      <c r="L857" s="170">
        <v>44267</v>
      </c>
      <c r="M857" s="116">
        <v>914.2</v>
      </c>
      <c r="N857" s="116">
        <v>936.3</v>
      </c>
      <c r="O857" s="116">
        <v>905</v>
      </c>
      <c r="P857" s="116">
        <v>905.05</v>
      </c>
      <c r="Q857" s="116">
        <v>914.2</v>
      </c>
      <c r="R857">
        <v>28967831</v>
      </c>
    </row>
    <row r="858" spans="1:18" x14ac:dyDescent="0.25">
      <c r="A858" s="170">
        <v>44270</v>
      </c>
      <c r="B858" s="116">
        <v>926.45</v>
      </c>
      <c r="C858" s="116">
        <v>919.65</v>
      </c>
      <c r="D858" s="116">
        <v>902.3</v>
      </c>
      <c r="E858" s="116">
        <v>920</v>
      </c>
      <c r="F858" s="116">
        <v>919.65</v>
      </c>
      <c r="G858">
        <v>124451</v>
      </c>
      <c r="H858" s="116"/>
      <c r="I858" s="116"/>
      <c r="L858" s="170">
        <v>44270</v>
      </c>
      <c r="M858" s="116">
        <v>920</v>
      </c>
      <c r="N858" s="116">
        <v>926.75</v>
      </c>
      <c r="O858" s="116">
        <v>902</v>
      </c>
      <c r="P858" s="116">
        <v>921</v>
      </c>
      <c r="Q858" s="116">
        <v>920</v>
      </c>
      <c r="R858">
        <v>4581841</v>
      </c>
    </row>
    <row r="859" spans="1:18" x14ac:dyDescent="0.25">
      <c r="A859" s="170">
        <v>44271</v>
      </c>
      <c r="B859" s="116">
        <v>924.25</v>
      </c>
      <c r="C859" s="116">
        <v>913.85</v>
      </c>
      <c r="D859" s="116">
        <v>912</v>
      </c>
      <c r="E859" s="116">
        <v>920</v>
      </c>
      <c r="F859" s="116">
        <v>913.85</v>
      </c>
      <c r="G859">
        <v>45093</v>
      </c>
      <c r="H859" s="116"/>
      <c r="I859" s="116"/>
      <c r="L859" s="170">
        <v>44271</v>
      </c>
      <c r="M859" s="116">
        <v>914.05</v>
      </c>
      <c r="N859" s="116">
        <v>923.9</v>
      </c>
      <c r="O859" s="116">
        <v>911</v>
      </c>
      <c r="P859" s="116">
        <v>918.45</v>
      </c>
      <c r="Q859" s="116">
        <v>914.05</v>
      </c>
      <c r="R859">
        <v>1422174</v>
      </c>
    </row>
    <row r="860" spans="1:18" x14ac:dyDescent="0.25">
      <c r="A860" s="170">
        <v>44272</v>
      </c>
      <c r="B860" s="116">
        <v>926</v>
      </c>
      <c r="C860" s="116">
        <v>888.8</v>
      </c>
      <c r="D860" s="116">
        <v>884.7</v>
      </c>
      <c r="E860" s="116">
        <v>926</v>
      </c>
      <c r="F860" s="116">
        <v>888.8</v>
      </c>
      <c r="G860">
        <v>118112</v>
      </c>
      <c r="H860" s="116"/>
      <c r="I860" s="116"/>
      <c r="L860" s="170">
        <v>44272</v>
      </c>
      <c r="M860" s="116">
        <v>888.95</v>
      </c>
      <c r="N860" s="116">
        <v>923.9</v>
      </c>
      <c r="O860" s="116">
        <v>885.2</v>
      </c>
      <c r="P860" s="116">
        <v>923.9</v>
      </c>
      <c r="Q860" s="116">
        <v>888.95</v>
      </c>
      <c r="R860">
        <v>3809803</v>
      </c>
    </row>
    <row r="861" spans="1:18" x14ac:dyDescent="0.25">
      <c r="A861" s="170">
        <v>44273</v>
      </c>
      <c r="B861" s="116">
        <v>899.9</v>
      </c>
      <c r="C861" s="116">
        <v>890.15</v>
      </c>
      <c r="D861" s="116">
        <v>881.95</v>
      </c>
      <c r="E861" s="116">
        <v>899.9</v>
      </c>
      <c r="F861" s="116">
        <v>890.15</v>
      </c>
      <c r="G861">
        <v>50304</v>
      </c>
      <c r="H861" s="116"/>
      <c r="I861" s="116"/>
      <c r="L861" s="170">
        <v>44273</v>
      </c>
      <c r="M861" s="116">
        <v>890.45</v>
      </c>
      <c r="N861" s="116">
        <v>898</v>
      </c>
      <c r="O861" s="116">
        <v>882.3</v>
      </c>
      <c r="P861" s="116">
        <v>895</v>
      </c>
      <c r="Q861" s="116">
        <v>890.45</v>
      </c>
      <c r="R861">
        <v>2657918</v>
      </c>
    </row>
    <row r="862" spans="1:18" x14ac:dyDescent="0.25">
      <c r="A862" s="170">
        <v>44274</v>
      </c>
      <c r="B862" s="116">
        <v>909.1</v>
      </c>
      <c r="C862" s="116">
        <v>907.2</v>
      </c>
      <c r="D862" s="116">
        <v>882.25</v>
      </c>
      <c r="E862" s="116">
        <v>893</v>
      </c>
      <c r="F862" s="116">
        <v>907.2</v>
      </c>
      <c r="G862">
        <v>61815</v>
      </c>
      <c r="H862" s="116"/>
      <c r="I862" s="116"/>
      <c r="L862" s="170">
        <v>44274</v>
      </c>
      <c r="M862" s="116">
        <v>906.7</v>
      </c>
      <c r="N862" s="116">
        <v>909.95</v>
      </c>
      <c r="O862" s="116">
        <v>882.3</v>
      </c>
      <c r="P862" s="116">
        <v>887.95</v>
      </c>
      <c r="Q862" s="116">
        <v>906.7</v>
      </c>
      <c r="R862">
        <v>2849173</v>
      </c>
    </row>
    <row r="863" spans="1:18" x14ac:dyDescent="0.25">
      <c r="A863" s="170">
        <v>44277</v>
      </c>
      <c r="B863" s="116">
        <v>909.9</v>
      </c>
      <c r="C863" s="116">
        <v>899.7</v>
      </c>
      <c r="D863" s="116">
        <v>840</v>
      </c>
      <c r="E863" s="116">
        <v>840</v>
      </c>
      <c r="F863" s="116">
        <v>899.7</v>
      </c>
      <c r="G863">
        <v>67789</v>
      </c>
      <c r="H863" s="116"/>
      <c r="I863" s="116"/>
      <c r="L863" s="170">
        <v>44277</v>
      </c>
      <c r="M863" s="116">
        <v>900.2</v>
      </c>
      <c r="N863" s="116">
        <v>909.25</v>
      </c>
      <c r="O863" s="116">
        <v>895.35</v>
      </c>
      <c r="P863" s="116">
        <v>905</v>
      </c>
      <c r="Q863" s="116">
        <v>900.2</v>
      </c>
      <c r="R863">
        <v>1660688</v>
      </c>
    </row>
    <row r="864" spans="1:18" x14ac:dyDescent="0.25">
      <c r="A864" s="170">
        <v>44278</v>
      </c>
      <c r="B864" s="116">
        <v>910.75</v>
      </c>
      <c r="C864" s="116">
        <v>898.2</v>
      </c>
      <c r="D864" s="116">
        <v>896</v>
      </c>
      <c r="E864" s="116">
        <v>909.95</v>
      </c>
      <c r="F864" s="116">
        <v>898.2</v>
      </c>
      <c r="G864">
        <v>52320</v>
      </c>
      <c r="H864" s="116"/>
      <c r="I864" s="116"/>
      <c r="L864" s="170">
        <v>44278</v>
      </c>
      <c r="M864" s="116">
        <v>898.9</v>
      </c>
      <c r="N864" s="116">
        <v>910.85</v>
      </c>
      <c r="O864" s="116">
        <v>895</v>
      </c>
      <c r="P864" s="116">
        <v>904.8</v>
      </c>
      <c r="Q864" s="116">
        <v>898.9</v>
      </c>
      <c r="R864">
        <v>1642691</v>
      </c>
    </row>
    <row r="865" spans="1:18" x14ac:dyDescent="0.25">
      <c r="A865" s="170">
        <v>44279</v>
      </c>
      <c r="B865" s="116">
        <v>899</v>
      </c>
      <c r="C865" s="116">
        <v>880.45</v>
      </c>
      <c r="D865" s="116">
        <v>875.15</v>
      </c>
      <c r="E865" s="116">
        <v>899</v>
      </c>
      <c r="F865" s="116">
        <v>880.45</v>
      </c>
      <c r="G865">
        <v>38849</v>
      </c>
      <c r="H865" s="116"/>
      <c r="I865" s="116"/>
      <c r="L865" s="170">
        <v>44279</v>
      </c>
      <c r="M865" s="116">
        <v>880.7</v>
      </c>
      <c r="N865" s="116">
        <v>895</v>
      </c>
      <c r="O865" s="116">
        <v>875.05</v>
      </c>
      <c r="P865" s="116">
        <v>893</v>
      </c>
      <c r="Q865" s="116">
        <v>880.7</v>
      </c>
      <c r="R865">
        <v>1900721</v>
      </c>
    </row>
    <row r="866" spans="1:18" x14ac:dyDescent="0.25">
      <c r="A866" s="170">
        <v>44280</v>
      </c>
      <c r="B866" s="116">
        <v>883.4</v>
      </c>
      <c r="C866" s="116">
        <v>864.45</v>
      </c>
      <c r="D866" s="116">
        <v>861.3</v>
      </c>
      <c r="E866" s="116">
        <v>877.95</v>
      </c>
      <c r="F866" s="116">
        <v>864.45</v>
      </c>
      <c r="G866">
        <v>44911</v>
      </c>
      <c r="H866" s="116"/>
      <c r="I866" s="116"/>
      <c r="L866" s="170">
        <v>44280</v>
      </c>
      <c r="M866" s="116">
        <v>864.1</v>
      </c>
      <c r="N866" s="116">
        <v>884.3</v>
      </c>
      <c r="O866" s="116">
        <v>861</v>
      </c>
      <c r="P866" s="116">
        <v>875.1</v>
      </c>
      <c r="Q866" s="116">
        <v>864.1</v>
      </c>
      <c r="R866">
        <v>2711471</v>
      </c>
    </row>
    <row r="867" spans="1:18" x14ac:dyDescent="0.25">
      <c r="A867" s="170">
        <v>44281</v>
      </c>
      <c r="B867" s="116">
        <v>876.75</v>
      </c>
      <c r="C867" s="116">
        <v>873.75</v>
      </c>
      <c r="D867" s="116">
        <v>866.55</v>
      </c>
      <c r="E867" s="116">
        <v>866.55</v>
      </c>
      <c r="F867" s="116">
        <v>873.75</v>
      </c>
      <c r="G867">
        <v>61523</v>
      </c>
      <c r="H867" s="116"/>
      <c r="I867" s="116"/>
      <c r="L867" s="170">
        <v>44281</v>
      </c>
      <c r="M867" s="116">
        <v>873.95</v>
      </c>
      <c r="N867" s="116">
        <v>876.9</v>
      </c>
      <c r="O867" s="116">
        <v>868.1</v>
      </c>
      <c r="P867" s="116">
        <v>870</v>
      </c>
      <c r="Q867" s="116">
        <v>873.95</v>
      </c>
      <c r="R867">
        <v>1194885</v>
      </c>
    </row>
    <row r="868" spans="1:18" x14ac:dyDescent="0.25">
      <c r="A868" s="170">
        <v>44285</v>
      </c>
      <c r="B868" s="116">
        <v>884</v>
      </c>
      <c r="C868" s="116">
        <v>872.7</v>
      </c>
      <c r="D868" s="116">
        <v>868.05</v>
      </c>
      <c r="E868" s="116">
        <v>884</v>
      </c>
      <c r="F868" s="116">
        <v>872.7</v>
      </c>
      <c r="G868">
        <v>32252</v>
      </c>
      <c r="H868" s="116"/>
      <c r="I868" s="116"/>
      <c r="L868" s="170">
        <v>44285</v>
      </c>
      <c r="M868" s="116">
        <v>872.15</v>
      </c>
      <c r="N868" s="116">
        <v>881</v>
      </c>
      <c r="O868" s="116">
        <v>868</v>
      </c>
      <c r="P868" s="116">
        <v>876</v>
      </c>
      <c r="Q868" s="116">
        <v>872.15</v>
      </c>
      <c r="R868">
        <v>1276847</v>
      </c>
    </row>
    <row r="869" spans="1:18" x14ac:dyDescent="0.25">
      <c r="A869" s="170">
        <v>44286</v>
      </c>
      <c r="B869" s="116">
        <v>891.1</v>
      </c>
      <c r="C869" s="116">
        <v>880.5</v>
      </c>
      <c r="D869" s="116">
        <v>871.35</v>
      </c>
      <c r="E869" s="116">
        <v>872.1</v>
      </c>
      <c r="F869" s="116">
        <v>880.5</v>
      </c>
      <c r="G869">
        <v>69433</v>
      </c>
      <c r="H869" s="116"/>
      <c r="I869" s="116"/>
      <c r="L869" s="170">
        <v>44286</v>
      </c>
      <c r="M869" s="116">
        <v>880.85</v>
      </c>
      <c r="N869" s="116">
        <v>890.9</v>
      </c>
      <c r="O869" s="116">
        <v>870.95</v>
      </c>
      <c r="P869" s="116">
        <v>876</v>
      </c>
      <c r="Q869" s="116">
        <v>880.85</v>
      </c>
      <c r="R869">
        <v>1929013</v>
      </c>
    </row>
    <row r="870" spans="1:18" x14ac:dyDescent="0.25">
      <c r="A870" s="170">
        <v>44287</v>
      </c>
      <c r="B870" s="116">
        <v>890</v>
      </c>
      <c r="C870" s="116">
        <v>883.3</v>
      </c>
      <c r="D870" s="116">
        <v>876.35</v>
      </c>
      <c r="E870" s="116">
        <v>890</v>
      </c>
      <c r="F870" s="116">
        <v>883.3</v>
      </c>
      <c r="G870">
        <v>24573</v>
      </c>
      <c r="H870" s="116"/>
      <c r="I870" s="116"/>
      <c r="L870" s="170">
        <v>44287</v>
      </c>
      <c r="M870" s="116">
        <v>883.45</v>
      </c>
      <c r="N870" s="116">
        <v>890.05</v>
      </c>
      <c r="O870" s="116">
        <v>876.5</v>
      </c>
      <c r="P870" s="116">
        <v>881.6</v>
      </c>
      <c r="Q870" s="116">
        <v>883.45</v>
      </c>
      <c r="R870">
        <v>1193426</v>
      </c>
    </row>
    <row r="871" spans="1:18" x14ac:dyDescent="0.25">
      <c r="A871" s="170">
        <v>44291</v>
      </c>
      <c r="B871" s="116">
        <v>887.8</v>
      </c>
      <c r="C871" s="116">
        <v>872.1</v>
      </c>
      <c r="D871" s="116">
        <v>865.2</v>
      </c>
      <c r="E871" s="116">
        <v>887.8</v>
      </c>
      <c r="F871" s="116">
        <v>872.1</v>
      </c>
      <c r="G871">
        <v>20645</v>
      </c>
      <c r="H871" s="116"/>
      <c r="I871" s="116"/>
      <c r="L871" s="170">
        <v>44291</v>
      </c>
      <c r="M871" s="116">
        <v>872.55</v>
      </c>
      <c r="N871" s="116">
        <v>887</v>
      </c>
      <c r="O871" s="116">
        <v>864.8</v>
      </c>
      <c r="P871" s="116">
        <v>885</v>
      </c>
      <c r="Q871" s="116">
        <v>872.55</v>
      </c>
      <c r="R871">
        <v>1091002</v>
      </c>
    </row>
    <row r="872" spans="1:18" x14ac:dyDescent="0.25">
      <c r="A872" s="170">
        <v>44292</v>
      </c>
      <c r="B872" s="116">
        <v>902.85</v>
      </c>
      <c r="C872" s="116">
        <v>896.75</v>
      </c>
      <c r="D872" s="116">
        <v>866.5</v>
      </c>
      <c r="E872" s="116">
        <v>869.05</v>
      </c>
      <c r="F872" s="116">
        <v>896.75</v>
      </c>
      <c r="G872">
        <v>29155</v>
      </c>
      <c r="H872" s="116"/>
      <c r="I872" s="116"/>
      <c r="L872" s="170">
        <v>44292</v>
      </c>
      <c r="M872" s="116">
        <v>897.55</v>
      </c>
      <c r="N872" s="116">
        <v>903</v>
      </c>
      <c r="O872" s="116">
        <v>865.95</v>
      </c>
      <c r="P872" s="116">
        <v>872.8</v>
      </c>
      <c r="Q872" s="116">
        <v>897.55</v>
      </c>
      <c r="R872">
        <v>1351799</v>
      </c>
    </row>
    <row r="873" spans="1:18" x14ac:dyDescent="0.25">
      <c r="A873" s="170">
        <v>44293</v>
      </c>
      <c r="B873" s="116">
        <v>921</v>
      </c>
      <c r="C873" s="116">
        <v>918.25</v>
      </c>
      <c r="D873" s="116">
        <v>898</v>
      </c>
      <c r="E873" s="116">
        <v>898</v>
      </c>
      <c r="F873" s="116">
        <v>918.25</v>
      </c>
      <c r="G873">
        <v>80641</v>
      </c>
      <c r="H873" s="116"/>
      <c r="I873" s="116"/>
      <c r="L873" s="170">
        <v>44293</v>
      </c>
      <c r="M873" s="116">
        <v>918.5</v>
      </c>
      <c r="N873" s="116">
        <v>921</v>
      </c>
      <c r="O873" s="116">
        <v>898.25</v>
      </c>
      <c r="P873" s="116">
        <v>901</v>
      </c>
      <c r="Q873" s="116">
        <v>918.5</v>
      </c>
      <c r="R873">
        <v>2860132</v>
      </c>
    </row>
    <row r="874" spans="1:18" x14ac:dyDescent="0.25">
      <c r="A874" s="170">
        <v>44294</v>
      </c>
      <c r="B874" s="116">
        <v>921.6</v>
      </c>
      <c r="C874" s="116">
        <v>908.45</v>
      </c>
      <c r="D874" s="116">
        <v>905</v>
      </c>
      <c r="E874" s="116">
        <v>919.25</v>
      </c>
      <c r="F874" s="116">
        <v>908.45</v>
      </c>
      <c r="G874">
        <v>227927</v>
      </c>
      <c r="H874" s="116"/>
      <c r="I874" s="116"/>
      <c r="L874" s="170">
        <v>44294</v>
      </c>
      <c r="M874" s="116">
        <v>908.5</v>
      </c>
      <c r="N874" s="116">
        <v>921.4</v>
      </c>
      <c r="O874" s="116">
        <v>905</v>
      </c>
      <c r="P874" s="116">
        <v>921.4</v>
      </c>
      <c r="Q874" s="116">
        <v>908.5</v>
      </c>
      <c r="R874">
        <v>1342782</v>
      </c>
    </row>
    <row r="875" spans="1:18" x14ac:dyDescent="0.25">
      <c r="A875" s="170">
        <v>44295</v>
      </c>
      <c r="B875" s="116">
        <v>916.75</v>
      </c>
      <c r="C875" s="116">
        <v>908.65</v>
      </c>
      <c r="D875" s="116">
        <v>901</v>
      </c>
      <c r="E875" s="116">
        <v>907.7</v>
      </c>
      <c r="F875" s="116">
        <v>908.65</v>
      </c>
      <c r="G875">
        <v>23484</v>
      </c>
      <c r="H875" s="116"/>
      <c r="I875" s="116"/>
      <c r="L875" s="170">
        <v>44295</v>
      </c>
      <c r="M875" s="116">
        <v>910.1</v>
      </c>
      <c r="N875" s="116">
        <v>915.95</v>
      </c>
      <c r="O875" s="116">
        <v>900.2</v>
      </c>
      <c r="P875" s="116">
        <v>904.6</v>
      </c>
      <c r="Q875" s="116">
        <v>910.1</v>
      </c>
      <c r="R875">
        <v>1344813</v>
      </c>
    </row>
    <row r="876" spans="1:18" x14ac:dyDescent="0.25">
      <c r="A876" s="170">
        <v>44298</v>
      </c>
      <c r="B876" s="116">
        <v>910</v>
      </c>
      <c r="C876" s="116">
        <v>872.15</v>
      </c>
      <c r="D876" s="116">
        <v>868.25</v>
      </c>
      <c r="E876" s="116">
        <v>910</v>
      </c>
      <c r="F876" s="116">
        <v>872.15</v>
      </c>
      <c r="G876">
        <v>30986</v>
      </c>
      <c r="H876" s="116"/>
      <c r="I876" s="116"/>
      <c r="L876" s="170">
        <v>44298</v>
      </c>
      <c r="M876" s="116">
        <v>872.45</v>
      </c>
      <c r="N876" s="116">
        <v>905.4</v>
      </c>
      <c r="O876" s="116">
        <v>868.5</v>
      </c>
      <c r="P876" s="116">
        <v>900.65</v>
      </c>
      <c r="Q876" s="116">
        <v>872.45</v>
      </c>
      <c r="R876">
        <v>1485108</v>
      </c>
    </row>
    <row r="877" spans="1:18" x14ac:dyDescent="0.25">
      <c r="A877" s="170">
        <v>44299</v>
      </c>
      <c r="B877" s="116">
        <v>913.25</v>
      </c>
      <c r="C877" s="116">
        <v>902.8</v>
      </c>
      <c r="D877" s="116">
        <v>874.9</v>
      </c>
      <c r="E877" s="116">
        <v>874.9</v>
      </c>
      <c r="F877" s="116">
        <v>902.8</v>
      </c>
      <c r="G877">
        <v>36164</v>
      </c>
      <c r="H877" s="116"/>
      <c r="I877" s="116"/>
      <c r="L877" s="170">
        <v>44299</v>
      </c>
      <c r="M877" s="116">
        <v>897.8</v>
      </c>
      <c r="N877" s="116">
        <v>900.75</v>
      </c>
      <c r="O877" s="116">
        <v>874.75</v>
      </c>
      <c r="P877" s="116">
        <v>881.45</v>
      </c>
      <c r="Q877" s="116">
        <v>897.8</v>
      </c>
      <c r="R877">
        <v>1174856</v>
      </c>
    </row>
    <row r="878" spans="1:18" x14ac:dyDescent="0.25">
      <c r="A878" s="170">
        <v>44301</v>
      </c>
      <c r="B878" s="116">
        <v>912</v>
      </c>
      <c r="C878" s="116">
        <v>908.9</v>
      </c>
      <c r="D878" s="116">
        <v>886.7</v>
      </c>
      <c r="E878" s="116">
        <v>886.7</v>
      </c>
      <c r="F878" s="116">
        <v>908.9</v>
      </c>
      <c r="G878">
        <v>49508</v>
      </c>
      <c r="H878" s="116"/>
      <c r="I878" s="116"/>
      <c r="L878" s="170">
        <v>44301</v>
      </c>
      <c r="M878" s="116">
        <v>908.7</v>
      </c>
      <c r="N878" s="116">
        <v>912</v>
      </c>
      <c r="O878" s="116">
        <v>890</v>
      </c>
      <c r="P878" s="116">
        <v>895</v>
      </c>
      <c r="Q878" s="116">
        <v>908.7</v>
      </c>
      <c r="R878">
        <v>1464475</v>
      </c>
    </row>
    <row r="879" spans="1:18" x14ac:dyDescent="0.25">
      <c r="A879" s="170">
        <v>44302</v>
      </c>
      <c r="B879" s="116">
        <v>919.8</v>
      </c>
      <c r="C879" s="116">
        <v>914.05</v>
      </c>
      <c r="D879" s="116">
        <v>905.8</v>
      </c>
      <c r="E879" s="116">
        <v>910.8</v>
      </c>
      <c r="F879" s="116">
        <v>914.05</v>
      </c>
      <c r="G879">
        <v>78958</v>
      </c>
      <c r="H879" s="116"/>
      <c r="I879" s="116"/>
      <c r="L879" s="170">
        <v>44302</v>
      </c>
      <c r="M879" s="116">
        <v>914.2</v>
      </c>
      <c r="N879" s="116">
        <v>919.55</v>
      </c>
      <c r="O879" s="116">
        <v>905.6</v>
      </c>
      <c r="P879" s="116">
        <v>917</v>
      </c>
      <c r="Q879" s="116">
        <v>914.2</v>
      </c>
      <c r="R879">
        <v>1310422</v>
      </c>
    </row>
    <row r="880" spans="1:18" x14ac:dyDescent="0.25">
      <c r="A880" s="170">
        <v>44305</v>
      </c>
      <c r="B880" s="116">
        <v>909.3</v>
      </c>
      <c r="C880" s="116">
        <v>905.9</v>
      </c>
      <c r="D880" s="116">
        <v>889</v>
      </c>
      <c r="E880" s="116">
        <v>902</v>
      </c>
      <c r="F880" s="116">
        <v>905.9</v>
      </c>
      <c r="G880">
        <v>21695</v>
      </c>
      <c r="H880" s="116"/>
      <c r="I880" s="116"/>
      <c r="L880" s="170">
        <v>44305</v>
      </c>
      <c r="M880" s="116">
        <v>906.25</v>
      </c>
      <c r="N880" s="116">
        <v>909.9</v>
      </c>
      <c r="O880" s="116">
        <v>888.5</v>
      </c>
      <c r="P880" s="116">
        <v>897.2</v>
      </c>
      <c r="Q880" s="116">
        <v>906.25</v>
      </c>
      <c r="R880">
        <v>1580387</v>
      </c>
    </row>
    <row r="881" spans="1:18" x14ac:dyDescent="0.25">
      <c r="A881" s="170">
        <v>44306</v>
      </c>
      <c r="B881" s="116">
        <v>930.7</v>
      </c>
      <c r="C881" s="116">
        <v>898.3</v>
      </c>
      <c r="D881" s="116">
        <v>896</v>
      </c>
      <c r="E881" s="116">
        <v>912</v>
      </c>
      <c r="F881" s="116">
        <v>898.3</v>
      </c>
      <c r="G881">
        <v>55020</v>
      </c>
      <c r="H881" s="116"/>
      <c r="I881" s="116"/>
      <c r="L881" s="170">
        <v>44306</v>
      </c>
      <c r="M881" s="116">
        <v>898.95</v>
      </c>
      <c r="N881" s="116">
        <v>931.1</v>
      </c>
      <c r="O881" s="116">
        <v>895.35</v>
      </c>
      <c r="P881" s="116">
        <v>917</v>
      </c>
      <c r="Q881" s="116">
        <v>898.95</v>
      </c>
      <c r="R881">
        <v>3593124</v>
      </c>
    </row>
    <row r="882" spans="1:18" x14ac:dyDescent="0.25">
      <c r="A882" s="170">
        <v>44308</v>
      </c>
      <c r="B882" s="116">
        <v>920.5</v>
      </c>
      <c r="C882" s="116">
        <v>914.2</v>
      </c>
      <c r="D882" s="116">
        <v>896.55</v>
      </c>
      <c r="E882" s="116">
        <v>898.4</v>
      </c>
      <c r="F882" s="116">
        <v>914.2</v>
      </c>
      <c r="G882">
        <v>84807</v>
      </c>
      <c r="H882" s="116"/>
      <c r="I882" s="116"/>
      <c r="L882" s="170">
        <v>44308</v>
      </c>
      <c r="M882" s="116">
        <v>914.4</v>
      </c>
      <c r="N882" s="116">
        <v>920.65</v>
      </c>
      <c r="O882" s="116">
        <v>895.05</v>
      </c>
      <c r="P882" s="116">
        <v>900</v>
      </c>
      <c r="Q882" s="116">
        <v>914.4</v>
      </c>
      <c r="R882">
        <v>1988641</v>
      </c>
    </row>
    <row r="883" spans="1:18" x14ac:dyDescent="0.25">
      <c r="A883" s="170">
        <v>44309</v>
      </c>
      <c r="B883" s="116">
        <v>942</v>
      </c>
      <c r="C883" s="116">
        <v>922.4</v>
      </c>
      <c r="D883" s="116">
        <v>900.5</v>
      </c>
      <c r="E883" s="116">
        <v>909.35</v>
      </c>
      <c r="F883" s="116">
        <v>922.4</v>
      </c>
      <c r="G883">
        <v>114659</v>
      </c>
      <c r="H883" s="116"/>
      <c r="I883" s="116"/>
      <c r="L883" s="170">
        <v>44309</v>
      </c>
      <c r="M883" s="116">
        <v>922.85</v>
      </c>
      <c r="N883" s="116">
        <v>941.9</v>
      </c>
      <c r="O883" s="116">
        <v>896.35</v>
      </c>
      <c r="P883" s="116">
        <v>896.35</v>
      </c>
      <c r="Q883" s="116">
        <v>922.85</v>
      </c>
      <c r="R883">
        <v>3601606</v>
      </c>
    </row>
    <row r="884" spans="1:18" x14ac:dyDescent="0.25">
      <c r="A884" s="170">
        <v>44312</v>
      </c>
      <c r="B884" s="116">
        <v>946.95</v>
      </c>
      <c r="C884" s="116">
        <v>942</v>
      </c>
      <c r="D884" s="116">
        <v>917.7</v>
      </c>
      <c r="E884" s="116">
        <v>924.9</v>
      </c>
      <c r="F884" s="116">
        <v>942</v>
      </c>
      <c r="G884">
        <v>48456</v>
      </c>
      <c r="H884" s="116"/>
      <c r="I884" s="116"/>
      <c r="L884" s="170">
        <v>44312</v>
      </c>
      <c r="M884" s="116">
        <v>942.5</v>
      </c>
      <c r="N884" s="116">
        <v>946.9</v>
      </c>
      <c r="O884" s="116">
        <v>916</v>
      </c>
      <c r="P884" s="116">
        <v>919.15</v>
      </c>
      <c r="Q884" s="116">
        <v>942.5</v>
      </c>
      <c r="R884">
        <v>3751088</v>
      </c>
    </row>
    <row r="885" spans="1:18" x14ac:dyDescent="0.25">
      <c r="A885" s="170">
        <v>44313</v>
      </c>
      <c r="B885" s="116">
        <v>947.95</v>
      </c>
      <c r="C885" s="116">
        <v>928.35</v>
      </c>
      <c r="D885" s="116">
        <v>925</v>
      </c>
      <c r="E885" s="116">
        <v>946</v>
      </c>
      <c r="F885" s="116">
        <v>928.35</v>
      </c>
      <c r="G885">
        <v>32910</v>
      </c>
      <c r="H885" s="116"/>
      <c r="I885" s="116"/>
      <c r="L885" s="170">
        <v>44313</v>
      </c>
      <c r="M885" s="116">
        <v>928.75</v>
      </c>
      <c r="N885" s="116">
        <v>946.8</v>
      </c>
      <c r="O885" s="116">
        <v>925</v>
      </c>
      <c r="P885" s="116">
        <v>946</v>
      </c>
      <c r="Q885" s="116">
        <v>928.75</v>
      </c>
      <c r="R885">
        <v>1926977</v>
      </c>
    </row>
    <row r="886" spans="1:18" x14ac:dyDescent="0.25">
      <c r="A886" s="170">
        <v>44314</v>
      </c>
      <c r="B886" s="116">
        <v>935</v>
      </c>
      <c r="C886" s="116">
        <v>930.35</v>
      </c>
      <c r="D886" s="116">
        <v>914.35</v>
      </c>
      <c r="E886" s="116">
        <v>935</v>
      </c>
      <c r="F886" s="116">
        <v>930.35</v>
      </c>
      <c r="G886">
        <v>27275</v>
      </c>
      <c r="H886" s="116"/>
      <c r="I886" s="116"/>
      <c r="L886" s="170">
        <v>44314</v>
      </c>
      <c r="M886" s="116">
        <v>930.4</v>
      </c>
      <c r="N886" s="116">
        <v>934</v>
      </c>
      <c r="O886" s="116">
        <v>914.15</v>
      </c>
      <c r="P886" s="116">
        <v>934</v>
      </c>
      <c r="Q886" s="116">
        <v>930.4</v>
      </c>
      <c r="R886">
        <v>1904945</v>
      </c>
    </row>
    <row r="887" spans="1:18" x14ac:dyDescent="0.25">
      <c r="A887" s="170">
        <v>44315</v>
      </c>
      <c r="B887" s="116">
        <v>936.15</v>
      </c>
      <c r="C887" s="116">
        <v>927.7</v>
      </c>
      <c r="D887" s="116">
        <v>922</v>
      </c>
      <c r="E887" s="116">
        <v>930.5</v>
      </c>
      <c r="F887" s="116">
        <v>927.7</v>
      </c>
      <c r="G887">
        <v>18908</v>
      </c>
      <c r="H887" s="116"/>
      <c r="I887" s="116"/>
      <c r="L887" s="170">
        <v>44315</v>
      </c>
      <c r="M887" s="116">
        <v>928.2</v>
      </c>
      <c r="N887" s="116">
        <v>935</v>
      </c>
      <c r="O887" s="116">
        <v>921.3</v>
      </c>
      <c r="P887" s="116">
        <v>930.4</v>
      </c>
      <c r="Q887" s="116">
        <v>928.2</v>
      </c>
      <c r="R887">
        <v>830577</v>
      </c>
    </row>
    <row r="888" spans="1:18" x14ac:dyDescent="0.25">
      <c r="A888" s="170">
        <v>44316</v>
      </c>
      <c r="B888" s="116">
        <v>940</v>
      </c>
      <c r="C888" s="116">
        <v>928.3</v>
      </c>
      <c r="D888" s="116">
        <v>920.65</v>
      </c>
      <c r="E888" s="116">
        <v>927.4</v>
      </c>
      <c r="F888" s="116">
        <v>928.3</v>
      </c>
      <c r="G888">
        <v>30090</v>
      </c>
      <c r="H888" s="116"/>
      <c r="I888" s="116"/>
      <c r="L888" s="170">
        <v>44316</v>
      </c>
      <c r="M888" s="116">
        <v>928.7</v>
      </c>
      <c r="N888" s="116">
        <v>940.5</v>
      </c>
      <c r="O888" s="116">
        <v>919.8</v>
      </c>
      <c r="P888" s="116">
        <v>928</v>
      </c>
      <c r="Q888" s="116">
        <v>928.7</v>
      </c>
      <c r="R888">
        <v>1326833</v>
      </c>
    </row>
    <row r="889" spans="1:18" x14ac:dyDescent="0.25">
      <c r="A889" s="170">
        <v>44319</v>
      </c>
      <c r="B889" s="116">
        <v>979.3</v>
      </c>
      <c r="C889" s="116">
        <v>959.45</v>
      </c>
      <c r="D889" s="116">
        <v>917</v>
      </c>
      <c r="E889" s="116">
        <v>932.7</v>
      </c>
      <c r="F889" s="116">
        <v>959.45</v>
      </c>
      <c r="G889">
        <v>162267</v>
      </c>
      <c r="H889" s="116"/>
      <c r="I889" s="116"/>
      <c r="L889" s="170">
        <v>44319</v>
      </c>
      <c r="M889" s="116">
        <v>958.6</v>
      </c>
      <c r="N889" s="116">
        <v>980</v>
      </c>
      <c r="O889" s="116">
        <v>916.05</v>
      </c>
      <c r="P889" s="116">
        <v>921.95</v>
      </c>
      <c r="Q889" s="116">
        <v>958.6</v>
      </c>
      <c r="R889">
        <v>5424609</v>
      </c>
    </row>
    <row r="890" spans="1:18" x14ac:dyDescent="0.25">
      <c r="A890" s="170">
        <v>44320</v>
      </c>
      <c r="B890" s="116">
        <v>1005.05</v>
      </c>
      <c r="C890" s="116">
        <v>983.25</v>
      </c>
      <c r="D890" s="116">
        <v>943.65</v>
      </c>
      <c r="E890" s="116">
        <v>995</v>
      </c>
      <c r="F890" s="116">
        <v>983.25</v>
      </c>
      <c r="G890">
        <v>359068</v>
      </c>
      <c r="H890" s="116"/>
      <c r="I890" s="116"/>
      <c r="L890" s="170">
        <v>44320</v>
      </c>
      <c r="M890" s="116">
        <v>982.9</v>
      </c>
      <c r="N890" s="116">
        <v>1005</v>
      </c>
      <c r="O890" s="116">
        <v>942.55</v>
      </c>
      <c r="P890" s="116">
        <v>998</v>
      </c>
      <c r="Q890" s="116">
        <v>982.9</v>
      </c>
      <c r="R890">
        <v>10515809</v>
      </c>
    </row>
    <row r="891" spans="1:18" x14ac:dyDescent="0.25">
      <c r="A891" s="170">
        <v>44321</v>
      </c>
      <c r="B891" s="116">
        <v>1020</v>
      </c>
      <c r="C891" s="116">
        <v>972.7</v>
      </c>
      <c r="D891" s="116">
        <v>966</v>
      </c>
      <c r="E891" s="116">
        <v>992</v>
      </c>
      <c r="F891" s="116">
        <v>972.7</v>
      </c>
      <c r="G891">
        <v>270048</v>
      </c>
      <c r="H891" s="116"/>
      <c r="I891" s="116"/>
      <c r="L891" s="170">
        <v>44321</v>
      </c>
      <c r="M891" s="116">
        <v>973.1</v>
      </c>
      <c r="N891" s="116">
        <v>1019.8</v>
      </c>
      <c r="O891" s="116">
        <v>965</v>
      </c>
      <c r="P891" s="116">
        <v>989.95</v>
      </c>
      <c r="Q891" s="116">
        <v>973.1</v>
      </c>
      <c r="R891">
        <v>5475550</v>
      </c>
    </row>
    <row r="892" spans="1:18" x14ac:dyDescent="0.25">
      <c r="A892" s="170">
        <v>44322</v>
      </c>
      <c r="B892" s="116">
        <v>982.35</v>
      </c>
      <c r="C892" s="116">
        <v>969.3</v>
      </c>
      <c r="D892" s="116">
        <v>961.95</v>
      </c>
      <c r="E892" s="116">
        <v>977.05</v>
      </c>
      <c r="F892" s="116">
        <v>969.3</v>
      </c>
      <c r="G892">
        <v>61991</v>
      </c>
      <c r="H892" s="116"/>
      <c r="I892" s="116"/>
      <c r="L892" s="170">
        <v>44322</v>
      </c>
      <c r="M892" s="116">
        <v>969.4</v>
      </c>
      <c r="N892" s="116">
        <v>983.45</v>
      </c>
      <c r="O892" s="116">
        <v>961.2</v>
      </c>
      <c r="P892" s="116">
        <v>977.3</v>
      </c>
      <c r="Q892" s="116">
        <v>969.4</v>
      </c>
      <c r="R892">
        <v>1800692</v>
      </c>
    </row>
    <row r="893" spans="1:18" x14ac:dyDescent="0.25">
      <c r="A893" s="170">
        <v>44323</v>
      </c>
      <c r="B893" s="116">
        <v>1040</v>
      </c>
      <c r="C893" s="116">
        <v>1000.5</v>
      </c>
      <c r="D893" s="116">
        <v>974</v>
      </c>
      <c r="E893" s="116">
        <v>1026</v>
      </c>
      <c r="F893" s="116">
        <v>1000.5</v>
      </c>
      <c r="G893">
        <v>41772565</v>
      </c>
      <c r="H893" s="116"/>
      <c r="I893" s="116"/>
      <c r="L893" s="170">
        <v>44323</v>
      </c>
      <c r="M893" s="116">
        <v>1000.25</v>
      </c>
      <c r="N893" s="116">
        <v>1044.7</v>
      </c>
      <c r="O893" s="116">
        <v>974.4</v>
      </c>
      <c r="P893" s="116">
        <v>1030</v>
      </c>
      <c r="Q893" s="116">
        <v>1000.25</v>
      </c>
      <c r="R893">
        <v>11010394</v>
      </c>
    </row>
    <row r="894" spans="1:18" x14ac:dyDescent="0.25">
      <c r="A894" s="170">
        <v>44326</v>
      </c>
      <c r="B894" s="116">
        <v>1017.2</v>
      </c>
      <c r="C894" s="116">
        <v>1004.3</v>
      </c>
      <c r="D894" s="116">
        <v>994.75</v>
      </c>
      <c r="E894" s="116">
        <v>1003.05</v>
      </c>
      <c r="F894" s="116">
        <v>1004.3</v>
      </c>
      <c r="G894">
        <v>129943</v>
      </c>
      <c r="H894" s="116"/>
      <c r="I894" s="116"/>
      <c r="L894" s="170">
        <v>44326</v>
      </c>
      <c r="M894" s="116">
        <v>1005</v>
      </c>
      <c r="N894" s="116">
        <v>1017.5</v>
      </c>
      <c r="O894" s="116">
        <v>995</v>
      </c>
      <c r="P894" s="116">
        <v>1009.3</v>
      </c>
      <c r="Q894" s="116">
        <v>1005</v>
      </c>
      <c r="R894">
        <v>2370879</v>
      </c>
    </row>
    <row r="895" spans="1:18" x14ac:dyDescent="0.25">
      <c r="A895" s="170">
        <v>44327</v>
      </c>
      <c r="B895" s="116">
        <v>1015</v>
      </c>
      <c r="C895" s="116">
        <v>1000.85</v>
      </c>
      <c r="D895" s="116">
        <v>993</v>
      </c>
      <c r="E895" s="116">
        <v>993.1</v>
      </c>
      <c r="F895" s="116">
        <v>1000.85</v>
      </c>
      <c r="G895">
        <v>43153</v>
      </c>
      <c r="H895" s="116"/>
      <c r="I895" s="116"/>
      <c r="L895" s="170">
        <v>44327</v>
      </c>
      <c r="M895" s="116">
        <v>1000.95</v>
      </c>
      <c r="N895" s="116">
        <v>1015</v>
      </c>
      <c r="O895" s="116">
        <v>990.5</v>
      </c>
      <c r="P895" s="116">
        <v>998</v>
      </c>
      <c r="Q895" s="116">
        <v>1000.95</v>
      </c>
      <c r="R895">
        <v>1297672</v>
      </c>
    </row>
    <row r="896" spans="1:18" x14ac:dyDescent="0.25">
      <c r="A896" s="170">
        <v>44328</v>
      </c>
      <c r="B896" s="116">
        <v>999.85</v>
      </c>
      <c r="C896" s="116">
        <v>972.55</v>
      </c>
      <c r="D896" s="116">
        <v>970</v>
      </c>
      <c r="E896" s="116">
        <v>999</v>
      </c>
      <c r="F896" s="116">
        <v>972.55</v>
      </c>
      <c r="G896">
        <v>92233</v>
      </c>
      <c r="H896" s="116"/>
      <c r="I896" s="116"/>
      <c r="L896" s="170">
        <v>44328</v>
      </c>
      <c r="M896" s="116">
        <v>972.9</v>
      </c>
      <c r="N896" s="116">
        <v>1000.9</v>
      </c>
      <c r="O896" s="116">
        <v>970</v>
      </c>
      <c r="P896" s="116">
        <v>995.55</v>
      </c>
      <c r="Q896" s="116">
        <v>972.9</v>
      </c>
      <c r="R896">
        <v>3513520</v>
      </c>
    </row>
    <row r="897" spans="1:18" x14ac:dyDescent="0.25">
      <c r="A897" s="170">
        <v>44330</v>
      </c>
      <c r="B897" s="116">
        <v>982.25</v>
      </c>
      <c r="C897" s="116">
        <v>977.25</v>
      </c>
      <c r="D897" s="116">
        <v>965.25</v>
      </c>
      <c r="E897" s="116">
        <v>977</v>
      </c>
      <c r="F897" s="116">
        <v>977.25</v>
      </c>
      <c r="G897">
        <v>35172</v>
      </c>
      <c r="H897" s="116"/>
      <c r="I897" s="116"/>
      <c r="L897" s="170">
        <v>44330</v>
      </c>
      <c r="M897" s="116">
        <v>978.4</v>
      </c>
      <c r="N897" s="116">
        <v>982</v>
      </c>
      <c r="O897" s="116">
        <v>965</v>
      </c>
      <c r="P897" s="116">
        <v>972.95</v>
      </c>
      <c r="Q897" s="116">
        <v>978.4</v>
      </c>
      <c r="R897">
        <v>1331063</v>
      </c>
    </row>
    <row r="898" spans="1:18" x14ac:dyDescent="0.25">
      <c r="A898" s="170">
        <v>44333</v>
      </c>
      <c r="B898" s="116">
        <v>988.75</v>
      </c>
      <c r="C898" s="116">
        <v>963.85</v>
      </c>
      <c r="D898" s="116">
        <v>960.7</v>
      </c>
      <c r="E898" s="116">
        <v>982</v>
      </c>
      <c r="F898" s="116">
        <v>963.85</v>
      </c>
      <c r="G898">
        <v>65063</v>
      </c>
      <c r="H898" s="116"/>
      <c r="I898" s="116"/>
      <c r="L898" s="170">
        <v>44333</v>
      </c>
      <c r="M898" s="116">
        <v>963.65</v>
      </c>
      <c r="N898" s="116">
        <v>988.8</v>
      </c>
      <c r="O898" s="116">
        <v>961.2</v>
      </c>
      <c r="P898" s="116">
        <v>978.4</v>
      </c>
      <c r="Q898" s="116">
        <v>963.65</v>
      </c>
      <c r="R898">
        <v>2181641</v>
      </c>
    </row>
    <row r="899" spans="1:18" x14ac:dyDescent="0.25">
      <c r="A899" s="170">
        <v>44334</v>
      </c>
      <c r="B899" s="116">
        <v>975.95</v>
      </c>
      <c r="C899" s="116">
        <v>968.45</v>
      </c>
      <c r="D899" s="116">
        <v>965</v>
      </c>
      <c r="E899" s="116">
        <v>969.65</v>
      </c>
      <c r="F899" s="116">
        <v>968.45</v>
      </c>
      <c r="G899">
        <v>49777</v>
      </c>
      <c r="H899" s="116"/>
      <c r="I899" s="116"/>
      <c r="L899" s="170">
        <v>44334</v>
      </c>
      <c r="M899" s="116">
        <v>968.45</v>
      </c>
      <c r="N899" s="116">
        <v>976</v>
      </c>
      <c r="O899" s="116">
        <v>964.2</v>
      </c>
      <c r="P899" s="116">
        <v>965.9</v>
      </c>
      <c r="Q899" s="116">
        <v>968.45</v>
      </c>
      <c r="R899">
        <v>1342840</v>
      </c>
    </row>
    <row r="900" spans="1:18" x14ac:dyDescent="0.25">
      <c r="A900" s="170">
        <v>44335</v>
      </c>
      <c r="B900" s="116">
        <v>981</v>
      </c>
      <c r="C900" s="116">
        <v>977.85</v>
      </c>
      <c r="D900" s="116">
        <v>963</v>
      </c>
      <c r="E900" s="116">
        <v>968.45</v>
      </c>
      <c r="F900" s="116">
        <v>977.85</v>
      </c>
      <c r="G900">
        <v>35469</v>
      </c>
      <c r="H900" s="116"/>
      <c r="I900" s="116"/>
      <c r="L900" s="170">
        <v>44335</v>
      </c>
      <c r="M900" s="116">
        <v>978.05</v>
      </c>
      <c r="N900" s="116">
        <v>979.9</v>
      </c>
      <c r="O900" s="116">
        <v>963</v>
      </c>
      <c r="P900" s="116">
        <v>968.45</v>
      </c>
      <c r="Q900" s="116">
        <v>978.05</v>
      </c>
      <c r="R900">
        <v>1101773</v>
      </c>
    </row>
    <row r="901" spans="1:18" x14ac:dyDescent="0.25">
      <c r="A901" s="170">
        <v>44336</v>
      </c>
      <c r="B901" s="116">
        <v>993.8</v>
      </c>
      <c r="C901" s="116">
        <v>969.1</v>
      </c>
      <c r="D901" s="116">
        <v>966.55</v>
      </c>
      <c r="E901" s="116">
        <v>987</v>
      </c>
      <c r="F901" s="116">
        <v>969.1</v>
      </c>
      <c r="G901">
        <v>46472</v>
      </c>
      <c r="H901" s="116"/>
      <c r="I901" s="116"/>
      <c r="L901" s="170">
        <v>44336</v>
      </c>
      <c r="M901" s="116">
        <v>969.15</v>
      </c>
      <c r="N901" s="116">
        <v>984.45</v>
      </c>
      <c r="O901" s="116">
        <v>965.8</v>
      </c>
      <c r="P901" s="116">
        <v>981.45</v>
      </c>
      <c r="Q901" s="116">
        <v>969.15</v>
      </c>
      <c r="R901">
        <v>1463348</v>
      </c>
    </row>
    <row r="902" spans="1:18" x14ac:dyDescent="0.25">
      <c r="A902" s="170">
        <v>44337</v>
      </c>
      <c r="B902" s="116">
        <v>975.35</v>
      </c>
      <c r="C902" s="116">
        <v>969</v>
      </c>
      <c r="D902" s="116">
        <v>965.8</v>
      </c>
      <c r="E902" s="116">
        <v>975.35</v>
      </c>
      <c r="F902" s="116">
        <v>969</v>
      </c>
      <c r="G902">
        <v>55211</v>
      </c>
      <c r="H902" s="116"/>
      <c r="I902" s="116"/>
      <c r="L902" s="170">
        <v>44337</v>
      </c>
      <c r="M902" s="116">
        <v>969.25</v>
      </c>
      <c r="N902" s="116">
        <v>975.7</v>
      </c>
      <c r="O902" s="116">
        <v>965.25</v>
      </c>
      <c r="P902" s="116">
        <v>968.1</v>
      </c>
      <c r="Q902" s="116">
        <v>969.25</v>
      </c>
      <c r="R902">
        <v>1245988</v>
      </c>
    </row>
    <row r="903" spans="1:18" x14ac:dyDescent="0.25">
      <c r="A903" s="170">
        <v>44340</v>
      </c>
      <c r="B903" s="116">
        <v>974.9</v>
      </c>
      <c r="C903" s="116">
        <v>962.05</v>
      </c>
      <c r="D903" s="116">
        <v>960.8</v>
      </c>
      <c r="E903" s="116">
        <v>974.9</v>
      </c>
      <c r="F903" s="116">
        <v>962.05</v>
      </c>
      <c r="G903">
        <v>23698</v>
      </c>
      <c r="H903" s="116"/>
      <c r="I903" s="116"/>
      <c r="L903" s="170">
        <v>44340</v>
      </c>
      <c r="M903" s="116">
        <v>962.5</v>
      </c>
      <c r="N903" s="116">
        <v>971.95</v>
      </c>
      <c r="O903" s="116">
        <v>960.65</v>
      </c>
      <c r="P903" s="116">
        <v>967.35</v>
      </c>
      <c r="Q903" s="116">
        <v>962.5</v>
      </c>
      <c r="R903">
        <v>1841255</v>
      </c>
    </row>
    <row r="904" spans="1:18" x14ac:dyDescent="0.25">
      <c r="A904" s="170">
        <v>44341</v>
      </c>
      <c r="B904" s="116">
        <v>980.95</v>
      </c>
      <c r="C904" s="116">
        <v>965.4</v>
      </c>
      <c r="D904" s="116">
        <v>963.6</v>
      </c>
      <c r="E904" s="116">
        <v>980.95</v>
      </c>
      <c r="F904" s="116">
        <v>965.4</v>
      </c>
      <c r="G904">
        <v>18895</v>
      </c>
      <c r="H904" s="116"/>
      <c r="I904" s="116"/>
      <c r="L904" s="170">
        <v>44341</v>
      </c>
      <c r="M904" s="116">
        <v>965.3</v>
      </c>
      <c r="N904" s="116">
        <v>972.6</v>
      </c>
      <c r="O904" s="116">
        <v>963.15</v>
      </c>
      <c r="P904" s="116">
        <v>967</v>
      </c>
      <c r="Q904" s="116">
        <v>965.3</v>
      </c>
      <c r="R904">
        <v>1235079</v>
      </c>
    </row>
    <row r="905" spans="1:18" x14ac:dyDescent="0.25">
      <c r="A905" s="170">
        <v>44342</v>
      </c>
      <c r="B905" s="116">
        <v>979.95</v>
      </c>
      <c r="C905" s="116">
        <v>971.45</v>
      </c>
      <c r="D905" s="116">
        <v>966</v>
      </c>
      <c r="E905" s="116">
        <v>966</v>
      </c>
      <c r="F905" s="116">
        <v>971.45</v>
      </c>
      <c r="G905">
        <v>59344</v>
      </c>
      <c r="H905" s="116"/>
      <c r="I905" s="116"/>
      <c r="L905" s="170">
        <v>44342</v>
      </c>
      <c r="M905" s="116">
        <v>971.75</v>
      </c>
      <c r="N905" s="116">
        <v>980</v>
      </c>
      <c r="O905" s="116">
        <v>969</v>
      </c>
      <c r="P905" s="116">
        <v>969</v>
      </c>
      <c r="Q905" s="116">
        <v>971.75</v>
      </c>
      <c r="R905">
        <v>1719675</v>
      </c>
    </row>
    <row r="906" spans="1:18" x14ac:dyDescent="0.25">
      <c r="A906" s="170">
        <v>44343</v>
      </c>
      <c r="B906" s="116">
        <v>986.65</v>
      </c>
      <c r="C906" s="116">
        <v>981.65</v>
      </c>
      <c r="D906" s="116">
        <v>965.7</v>
      </c>
      <c r="E906" s="116">
        <v>976</v>
      </c>
      <c r="F906" s="116">
        <v>981.65</v>
      </c>
      <c r="G906">
        <v>25400</v>
      </c>
      <c r="H906" s="116"/>
      <c r="I906" s="116"/>
      <c r="L906" s="170">
        <v>44343</v>
      </c>
      <c r="M906" s="116">
        <v>982.1</v>
      </c>
      <c r="N906" s="116">
        <v>986</v>
      </c>
      <c r="O906" s="116">
        <v>965.55</v>
      </c>
      <c r="P906" s="116">
        <v>976.5</v>
      </c>
      <c r="Q906" s="116">
        <v>982.1</v>
      </c>
      <c r="R906">
        <v>2428883</v>
      </c>
    </row>
    <row r="907" spans="1:18" x14ac:dyDescent="0.25">
      <c r="A907" s="170">
        <v>44344</v>
      </c>
      <c r="B907" s="116">
        <v>988.25</v>
      </c>
      <c r="C907" s="116">
        <v>977.4</v>
      </c>
      <c r="D907" s="116">
        <v>968.2</v>
      </c>
      <c r="E907" s="116">
        <v>968.2</v>
      </c>
      <c r="F907" s="116">
        <v>977.4</v>
      </c>
      <c r="G907">
        <v>29722</v>
      </c>
      <c r="H907" s="116"/>
      <c r="I907" s="116"/>
      <c r="L907" s="170">
        <v>44344</v>
      </c>
      <c r="M907" s="116">
        <v>976.85</v>
      </c>
      <c r="N907" s="116">
        <v>987</v>
      </c>
      <c r="O907" s="116">
        <v>972</v>
      </c>
      <c r="P907" s="116">
        <v>986</v>
      </c>
      <c r="Q907" s="116">
        <v>976.85</v>
      </c>
      <c r="R907">
        <v>1137566</v>
      </c>
    </row>
    <row r="908" spans="1:18" x14ac:dyDescent="0.25">
      <c r="A908" s="170">
        <v>44347</v>
      </c>
      <c r="B908" s="116">
        <v>982</v>
      </c>
      <c r="C908" s="116">
        <v>975.2</v>
      </c>
      <c r="D908" s="116">
        <v>970.8</v>
      </c>
      <c r="E908" s="116">
        <v>979.4</v>
      </c>
      <c r="F908" s="116">
        <v>975.2</v>
      </c>
      <c r="G908">
        <v>43330</v>
      </c>
      <c r="H908" s="116"/>
      <c r="I908" s="116"/>
      <c r="L908" s="170">
        <v>44347</v>
      </c>
      <c r="M908" s="116">
        <v>975.65</v>
      </c>
      <c r="N908" s="116">
        <v>982.8</v>
      </c>
      <c r="O908" s="116">
        <v>970.65</v>
      </c>
      <c r="P908" s="116">
        <v>977</v>
      </c>
      <c r="Q908" s="116">
        <v>975.65</v>
      </c>
      <c r="R908">
        <v>785669</v>
      </c>
    </row>
    <row r="909" spans="1:18" x14ac:dyDescent="0.25">
      <c r="A909" s="170">
        <v>44348</v>
      </c>
      <c r="B909" s="116">
        <v>981.7</v>
      </c>
      <c r="C909" s="116">
        <v>966.2</v>
      </c>
      <c r="D909" s="116">
        <v>960.05</v>
      </c>
      <c r="E909" s="116">
        <v>981</v>
      </c>
      <c r="F909" s="116">
        <v>966.2</v>
      </c>
      <c r="G909">
        <v>27877</v>
      </c>
      <c r="H909" s="116"/>
      <c r="I909" s="116"/>
      <c r="L909" s="170">
        <v>44348</v>
      </c>
      <c r="M909" s="116">
        <v>966.3</v>
      </c>
      <c r="N909" s="116">
        <v>982</v>
      </c>
      <c r="O909" s="116">
        <v>960.1</v>
      </c>
      <c r="P909" s="116">
        <v>978.4</v>
      </c>
      <c r="Q909" s="116">
        <v>966.3</v>
      </c>
      <c r="R909">
        <v>1420625</v>
      </c>
    </row>
    <row r="910" spans="1:18" x14ac:dyDescent="0.25">
      <c r="A910" s="170">
        <v>44349</v>
      </c>
      <c r="B910" s="116">
        <v>993.25</v>
      </c>
      <c r="C910" s="116">
        <v>984.35</v>
      </c>
      <c r="D910" s="116">
        <v>964.3</v>
      </c>
      <c r="E910" s="116">
        <v>967.95</v>
      </c>
      <c r="F910" s="116">
        <v>984.35</v>
      </c>
      <c r="G910">
        <v>59044</v>
      </c>
      <c r="H910" s="116"/>
      <c r="I910" s="116"/>
      <c r="L910" s="170">
        <v>44349</v>
      </c>
      <c r="M910" s="116">
        <v>984.4</v>
      </c>
      <c r="N910" s="116">
        <v>993.45</v>
      </c>
      <c r="O910" s="116">
        <v>963.4</v>
      </c>
      <c r="P910" s="116">
        <v>965</v>
      </c>
      <c r="Q910" s="116">
        <v>984.4</v>
      </c>
      <c r="R910">
        <v>2488600</v>
      </c>
    </row>
    <row r="911" spans="1:18" x14ac:dyDescent="0.25">
      <c r="A911" s="170">
        <v>44350</v>
      </c>
      <c r="B911" s="116">
        <v>990.9</v>
      </c>
      <c r="C911" s="116">
        <v>987.1</v>
      </c>
      <c r="D911" s="116">
        <v>981.1</v>
      </c>
      <c r="E911" s="116">
        <v>985</v>
      </c>
      <c r="F911" s="116">
        <v>987.1</v>
      </c>
      <c r="G911">
        <v>41274</v>
      </c>
      <c r="H911" s="116"/>
      <c r="I911" s="116"/>
      <c r="L911" s="170">
        <v>44350</v>
      </c>
      <c r="M911" s="116">
        <v>986.85</v>
      </c>
      <c r="N911" s="116">
        <v>990.85</v>
      </c>
      <c r="O911" s="116">
        <v>981.5</v>
      </c>
      <c r="P911" s="116">
        <v>986.5</v>
      </c>
      <c r="Q911" s="116">
        <v>986.85</v>
      </c>
      <c r="R911">
        <v>1724751</v>
      </c>
    </row>
    <row r="912" spans="1:18" x14ac:dyDescent="0.25">
      <c r="A912" s="170">
        <v>44351</v>
      </c>
      <c r="B912" s="116">
        <v>997</v>
      </c>
      <c r="C912" s="116">
        <v>988.8</v>
      </c>
      <c r="D912" s="116">
        <v>983.9</v>
      </c>
      <c r="E912" s="116">
        <v>997</v>
      </c>
      <c r="F912" s="116">
        <v>988.8</v>
      </c>
      <c r="G912">
        <v>51254</v>
      </c>
      <c r="H912" s="116"/>
      <c r="I912" s="116"/>
      <c r="L912" s="170">
        <v>44351</v>
      </c>
      <c r="M912" s="116">
        <v>989.15</v>
      </c>
      <c r="N912" s="116">
        <v>994.95</v>
      </c>
      <c r="O912" s="116">
        <v>984</v>
      </c>
      <c r="P912" s="116">
        <v>994.95</v>
      </c>
      <c r="Q912" s="116">
        <v>989.15</v>
      </c>
      <c r="R912">
        <v>996919</v>
      </c>
    </row>
    <row r="913" spans="1:18" x14ac:dyDescent="0.25">
      <c r="A913" s="170">
        <v>44354</v>
      </c>
      <c r="B913" s="116">
        <v>995</v>
      </c>
      <c r="C913" s="116">
        <v>988.65</v>
      </c>
      <c r="D913" s="116">
        <v>986.95</v>
      </c>
      <c r="E913" s="116">
        <v>990</v>
      </c>
      <c r="F913" s="116">
        <v>988.65</v>
      </c>
      <c r="G913">
        <v>13573</v>
      </c>
      <c r="H913" s="116"/>
      <c r="I913" s="116"/>
      <c r="L913" s="170">
        <v>44354</v>
      </c>
      <c r="M913" s="116">
        <v>988.5</v>
      </c>
      <c r="N913" s="116">
        <v>997.95</v>
      </c>
      <c r="O913" s="116">
        <v>987</v>
      </c>
      <c r="P913" s="116">
        <v>995</v>
      </c>
      <c r="Q913" s="116">
        <v>988.5</v>
      </c>
      <c r="R913">
        <v>693875</v>
      </c>
    </row>
    <row r="914" spans="1:18" x14ac:dyDescent="0.25">
      <c r="A914" s="170">
        <v>44355</v>
      </c>
      <c r="B914" s="116">
        <v>985.5</v>
      </c>
      <c r="C914" s="116">
        <v>980.05</v>
      </c>
      <c r="D914" s="116">
        <v>962.55</v>
      </c>
      <c r="E914" s="116">
        <v>985.1</v>
      </c>
      <c r="F914" s="116">
        <v>980.05</v>
      </c>
      <c r="G914">
        <v>84089</v>
      </c>
      <c r="H914" s="116"/>
      <c r="I914" s="116"/>
      <c r="L914" s="170">
        <v>44355</v>
      </c>
      <c r="M914" s="116">
        <v>979.85</v>
      </c>
      <c r="N914" s="116">
        <v>988</v>
      </c>
      <c r="O914" s="116">
        <v>963</v>
      </c>
      <c r="P914" s="116">
        <v>988</v>
      </c>
      <c r="Q914" s="116">
        <v>979.85</v>
      </c>
      <c r="R914">
        <v>3262160</v>
      </c>
    </row>
    <row r="915" spans="1:18" x14ac:dyDescent="0.25">
      <c r="A915" s="170">
        <v>44356</v>
      </c>
      <c r="B915" s="116">
        <v>1007</v>
      </c>
      <c r="C915" s="116">
        <v>998</v>
      </c>
      <c r="D915" s="116">
        <v>979.8</v>
      </c>
      <c r="E915" s="116">
        <v>979.8</v>
      </c>
      <c r="F915" s="116">
        <v>998</v>
      </c>
      <c r="G915">
        <v>168854</v>
      </c>
      <c r="H915" s="116"/>
      <c r="I915" s="116"/>
      <c r="L915" s="170">
        <v>44356</v>
      </c>
      <c r="M915" s="116">
        <v>998.6</v>
      </c>
      <c r="N915" s="116">
        <v>1007</v>
      </c>
      <c r="O915" s="116">
        <v>978.15</v>
      </c>
      <c r="P915" s="116">
        <v>978.15</v>
      </c>
      <c r="Q915" s="116">
        <v>998.6</v>
      </c>
      <c r="R915">
        <v>3809219</v>
      </c>
    </row>
    <row r="916" spans="1:18" x14ac:dyDescent="0.25">
      <c r="A916" s="170">
        <v>44357</v>
      </c>
      <c r="B916" s="116">
        <v>1004.45</v>
      </c>
      <c r="C916" s="116">
        <v>997.35</v>
      </c>
      <c r="D916" s="116">
        <v>992.4</v>
      </c>
      <c r="E916" s="116">
        <v>1001.1</v>
      </c>
      <c r="F916" s="116">
        <v>997.35</v>
      </c>
      <c r="G916">
        <v>34579</v>
      </c>
      <c r="H916" s="116"/>
      <c r="I916" s="116"/>
      <c r="L916" s="170">
        <v>44357</v>
      </c>
      <c r="M916" s="116">
        <v>997.55</v>
      </c>
      <c r="N916" s="116">
        <v>1005</v>
      </c>
      <c r="O916" s="116">
        <v>992.05</v>
      </c>
      <c r="P916" s="116">
        <v>1005</v>
      </c>
      <c r="Q916" s="116">
        <v>997.55</v>
      </c>
      <c r="R916">
        <v>1041345</v>
      </c>
    </row>
    <row r="917" spans="1:18" x14ac:dyDescent="0.25">
      <c r="A917" s="170">
        <v>44358</v>
      </c>
      <c r="B917" s="116">
        <v>1001.7</v>
      </c>
      <c r="C917" s="116">
        <v>988.15</v>
      </c>
      <c r="D917" s="116">
        <v>984.15</v>
      </c>
      <c r="E917" s="116">
        <v>1000</v>
      </c>
      <c r="F917" s="116">
        <v>988.15</v>
      </c>
      <c r="G917">
        <v>25296</v>
      </c>
      <c r="H917" s="116"/>
      <c r="I917" s="116"/>
      <c r="L917" s="170">
        <v>44358</v>
      </c>
      <c r="M917" s="116">
        <v>988.1</v>
      </c>
      <c r="N917" s="116">
        <v>1002.5</v>
      </c>
      <c r="O917" s="116">
        <v>984</v>
      </c>
      <c r="P917" s="116">
        <v>998.9</v>
      </c>
      <c r="Q917" s="116">
        <v>988.1</v>
      </c>
      <c r="R917">
        <v>823207</v>
      </c>
    </row>
    <row r="918" spans="1:18" x14ac:dyDescent="0.25">
      <c r="A918" s="170">
        <v>44361</v>
      </c>
      <c r="B918" s="116">
        <v>991.8</v>
      </c>
      <c r="C918" s="116">
        <v>986.5</v>
      </c>
      <c r="D918" s="116">
        <v>971.55</v>
      </c>
      <c r="E918" s="116">
        <v>990.2</v>
      </c>
      <c r="F918" s="116">
        <v>986.5</v>
      </c>
      <c r="G918">
        <v>40837</v>
      </c>
      <c r="H918" s="116"/>
      <c r="I918" s="116"/>
      <c r="L918" s="170">
        <v>44361</v>
      </c>
      <c r="M918" s="116">
        <v>986.15</v>
      </c>
      <c r="N918" s="116">
        <v>992.75</v>
      </c>
      <c r="O918" s="116">
        <v>971.35</v>
      </c>
      <c r="P918" s="116">
        <v>988.1</v>
      </c>
      <c r="Q918" s="116">
        <v>986.15</v>
      </c>
      <c r="R918">
        <v>514960</v>
      </c>
    </row>
    <row r="919" spans="1:18" x14ac:dyDescent="0.25">
      <c r="A919" s="170">
        <v>44362</v>
      </c>
      <c r="B919" s="116">
        <v>1003.35</v>
      </c>
      <c r="C919" s="116">
        <v>996.95</v>
      </c>
      <c r="D919" s="116">
        <v>981.1</v>
      </c>
      <c r="E919" s="116">
        <v>986</v>
      </c>
      <c r="F919" s="116">
        <v>996.95</v>
      </c>
      <c r="G919">
        <v>65953</v>
      </c>
      <c r="H919" s="116"/>
      <c r="I919" s="116"/>
      <c r="L919" s="170">
        <v>44362</v>
      </c>
      <c r="M919" s="116">
        <v>995.85</v>
      </c>
      <c r="N919" s="116">
        <v>1003.75</v>
      </c>
      <c r="O919" s="116">
        <v>980.85</v>
      </c>
      <c r="P919" s="116">
        <v>991.8</v>
      </c>
      <c r="Q919" s="116">
        <v>995.85</v>
      </c>
      <c r="R919">
        <v>1137725</v>
      </c>
    </row>
    <row r="920" spans="1:18" x14ac:dyDescent="0.25">
      <c r="A920" s="170">
        <v>44363</v>
      </c>
      <c r="B920" s="116">
        <v>1002.4</v>
      </c>
      <c r="C920" s="116">
        <v>991.8</v>
      </c>
      <c r="D920" s="116">
        <v>988.7</v>
      </c>
      <c r="E920" s="116">
        <v>1001.8</v>
      </c>
      <c r="F920" s="116">
        <v>991.8</v>
      </c>
      <c r="G920">
        <v>54320</v>
      </c>
      <c r="H920" s="116"/>
      <c r="I920" s="116"/>
      <c r="L920" s="170">
        <v>44363</v>
      </c>
      <c r="M920" s="116">
        <v>991.8</v>
      </c>
      <c r="N920" s="116">
        <v>1003.85</v>
      </c>
      <c r="O920" s="116">
        <v>988.35</v>
      </c>
      <c r="P920" s="116">
        <v>999.95</v>
      </c>
      <c r="Q920" s="116">
        <v>991.8</v>
      </c>
      <c r="R920">
        <v>833286</v>
      </c>
    </row>
    <row r="921" spans="1:18" x14ac:dyDescent="0.25">
      <c r="A921" s="170">
        <v>44364</v>
      </c>
      <c r="B921" s="116">
        <v>993.2</v>
      </c>
      <c r="C921" s="116">
        <v>983.25</v>
      </c>
      <c r="D921" s="116">
        <v>975</v>
      </c>
      <c r="E921" s="116">
        <v>975</v>
      </c>
      <c r="F921" s="116">
        <v>983.25</v>
      </c>
      <c r="G921">
        <v>36290</v>
      </c>
      <c r="H921" s="116"/>
      <c r="I921" s="116"/>
      <c r="L921" s="170">
        <v>44364</v>
      </c>
      <c r="M921" s="116">
        <v>983.3</v>
      </c>
      <c r="N921" s="116">
        <v>992.7</v>
      </c>
      <c r="O921" s="116">
        <v>977</v>
      </c>
      <c r="P921" s="116">
        <v>983</v>
      </c>
      <c r="Q921" s="116">
        <v>983.3</v>
      </c>
      <c r="R921">
        <v>869613</v>
      </c>
    </row>
    <row r="922" spans="1:18" x14ac:dyDescent="0.25">
      <c r="A922" s="170">
        <v>44365</v>
      </c>
      <c r="B922" s="116">
        <v>1000.05</v>
      </c>
      <c r="C922" s="116">
        <v>982.9</v>
      </c>
      <c r="D922" s="116">
        <v>956.85</v>
      </c>
      <c r="E922" s="116">
        <v>995</v>
      </c>
      <c r="F922" s="116">
        <v>982.9</v>
      </c>
      <c r="G922">
        <v>50460</v>
      </c>
      <c r="H922" s="116"/>
      <c r="I922" s="116"/>
      <c r="L922" s="170">
        <v>44365</v>
      </c>
      <c r="M922" s="116">
        <v>982.55</v>
      </c>
      <c r="N922" s="116">
        <v>1000.7</v>
      </c>
      <c r="O922" s="116">
        <v>956.75</v>
      </c>
      <c r="P922" s="116">
        <v>1000.7</v>
      </c>
      <c r="Q922" s="116">
        <v>982.55</v>
      </c>
      <c r="R922">
        <v>1888723</v>
      </c>
    </row>
    <row r="923" spans="1:18" x14ac:dyDescent="0.25">
      <c r="A923" s="170">
        <v>44368</v>
      </c>
      <c r="B923" s="116">
        <v>990</v>
      </c>
      <c r="C923" s="116">
        <v>981.75</v>
      </c>
      <c r="D923" s="116">
        <v>967.05</v>
      </c>
      <c r="E923" s="116">
        <v>967.05</v>
      </c>
      <c r="F923" s="116">
        <v>981.75</v>
      </c>
      <c r="G923">
        <v>34995</v>
      </c>
      <c r="H923" s="116"/>
      <c r="I923" s="116"/>
      <c r="L923" s="170">
        <v>44368</v>
      </c>
      <c r="M923" s="116">
        <v>981.55</v>
      </c>
      <c r="N923" s="116">
        <v>990.4</v>
      </c>
      <c r="O923" s="116">
        <v>968.35</v>
      </c>
      <c r="P923" s="116">
        <v>973</v>
      </c>
      <c r="Q923" s="116">
        <v>981.55</v>
      </c>
      <c r="R923">
        <v>887943</v>
      </c>
    </row>
    <row r="924" spans="1:18" x14ac:dyDescent="0.25">
      <c r="A924" s="170">
        <v>44369</v>
      </c>
      <c r="B924" s="116">
        <v>1010.9</v>
      </c>
      <c r="C924" s="116">
        <v>1006.5</v>
      </c>
      <c r="D924" s="116">
        <v>980.8</v>
      </c>
      <c r="E924" s="116">
        <v>981.55</v>
      </c>
      <c r="F924" s="116">
        <v>1006.5</v>
      </c>
      <c r="G924">
        <v>204795</v>
      </c>
      <c r="H924" s="116"/>
      <c r="I924" s="116"/>
      <c r="L924" s="170">
        <v>44369</v>
      </c>
      <c r="M924" s="116">
        <v>1007</v>
      </c>
      <c r="N924" s="116">
        <v>1011</v>
      </c>
      <c r="O924" s="116">
        <v>980.05</v>
      </c>
      <c r="P924" s="116">
        <v>982</v>
      </c>
      <c r="Q924" s="116">
        <v>1007</v>
      </c>
      <c r="R924">
        <v>2289172</v>
      </c>
    </row>
    <row r="925" spans="1:18" x14ac:dyDescent="0.25">
      <c r="A925" s="170">
        <v>44370</v>
      </c>
      <c r="B925" s="116">
        <v>1014.95</v>
      </c>
      <c r="C925" s="116">
        <v>1000.7</v>
      </c>
      <c r="D925" s="116">
        <v>998.55</v>
      </c>
      <c r="E925" s="116">
        <v>1007.05</v>
      </c>
      <c r="F925" s="116">
        <v>1000.7</v>
      </c>
      <c r="G925">
        <v>41581</v>
      </c>
      <c r="H925" s="116"/>
      <c r="I925" s="116"/>
      <c r="L925" s="170">
        <v>44370</v>
      </c>
      <c r="M925" s="116">
        <v>1000.55</v>
      </c>
      <c r="N925" s="116">
        <v>1015.05</v>
      </c>
      <c r="O925" s="116">
        <v>999</v>
      </c>
      <c r="P925" s="116">
        <v>1010.5</v>
      </c>
      <c r="Q925" s="116">
        <v>1000.55</v>
      </c>
      <c r="R925">
        <v>1802617</v>
      </c>
    </row>
    <row r="926" spans="1:18" x14ac:dyDescent="0.25">
      <c r="A926" s="170">
        <v>44371</v>
      </c>
      <c r="B926" s="116">
        <v>1005.35</v>
      </c>
      <c r="C926" s="116">
        <v>1001.6</v>
      </c>
      <c r="D926" s="116">
        <v>994.4</v>
      </c>
      <c r="E926" s="116">
        <v>1000.9</v>
      </c>
      <c r="F926" s="116">
        <v>1001.6</v>
      </c>
      <c r="G926">
        <v>29651</v>
      </c>
      <c r="H926" s="116"/>
      <c r="I926" s="116"/>
      <c r="L926" s="170">
        <v>44371</v>
      </c>
      <c r="M926" s="116">
        <v>1002.15</v>
      </c>
      <c r="N926" s="116">
        <v>1005.45</v>
      </c>
      <c r="O926" s="116">
        <v>995</v>
      </c>
      <c r="P926" s="116">
        <v>1000.1</v>
      </c>
      <c r="Q926" s="116">
        <v>1002.15</v>
      </c>
      <c r="R926">
        <v>932721</v>
      </c>
    </row>
    <row r="927" spans="1:18" x14ac:dyDescent="0.25">
      <c r="A927" s="170">
        <v>44372</v>
      </c>
      <c r="B927" s="116">
        <v>1017.4</v>
      </c>
      <c r="C927" s="116">
        <v>1006.9</v>
      </c>
      <c r="D927" s="116">
        <v>992</v>
      </c>
      <c r="E927" s="116">
        <v>998.8</v>
      </c>
      <c r="F927" s="116">
        <v>1006.9</v>
      </c>
      <c r="G927">
        <v>43720</v>
      </c>
      <c r="H927" s="116"/>
      <c r="I927" s="116"/>
      <c r="L927" s="170">
        <v>44372</v>
      </c>
      <c r="M927" s="116">
        <v>1007.15</v>
      </c>
      <c r="N927" s="116">
        <v>1017.55</v>
      </c>
      <c r="O927" s="116">
        <v>991.4</v>
      </c>
      <c r="P927" s="116">
        <v>997</v>
      </c>
      <c r="Q927" s="116">
        <v>1007.15</v>
      </c>
      <c r="R927">
        <v>980203</v>
      </c>
    </row>
    <row r="928" spans="1:18" x14ac:dyDescent="0.25">
      <c r="A928" s="170">
        <v>44375</v>
      </c>
      <c r="B928" s="116">
        <v>1019.3</v>
      </c>
      <c r="C928" s="116">
        <v>1002.1</v>
      </c>
      <c r="D928" s="116">
        <v>998.3</v>
      </c>
      <c r="E928" s="116">
        <v>1012.95</v>
      </c>
      <c r="F928" s="116">
        <v>1002.1</v>
      </c>
      <c r="G928">
        <v>35768</v>
      </c>
      <c r="H928" s="116"/>
      <c r="I928" s="116"/>
      <c r="L928" s="170">
        <v>44375</v>
      </c>
      <c r="M928" s="116">
        <v>1002.1</v>
      </c>
      <c r="N928" s="116">
        <v>1019.7</v>
      </c>
      <c r="O928" s="116">
        <v>998</v>
      </c>
      <c r="P928" s="116">
        <v>1010.5</v>
      </c>
      <c r="Q928" s="116">
        <v>1002.1</v>
      </c>
      <c r="R928">
        <v>1107325</v>
      </c>
    </row>
    <row r="929" spans="1:18" x14ac:dyDescent="0.25">
      <c r="A929" s="170">
        <v>44376</v>
      </c>
      <c r="B929" s="116">
        <v>1017.05</v>
      </c>
      <c r="C929" s="116">
        <v>998.85</v>
      </c>
      <c r="D929" s="116">
        <v>995.5</v>
      </c>
      <c r="E929" s="116">
        <v>1002.2</v>
      </c>
      <c r="F929" s="116">
        <v>998.85</v>
      </c>
      <c r="G929">
        <v>39226</v>
      </c>
      <c r="H929" s="116"/>
      <c r="I929" s="116"/>
      <c r="L929" s="170">
        <v>44376</v>
      </c>
      <c r="M929" s="116">
        <v>999.4</v>
      </c>
      <c r="N929" s="116">
        <v>1017.3</v>
      </c>
      <c r="O929" s="116">
        <v>995.25</v>
      </c>
      <c r="P929" s="116">
        <v>1000.1</v>
      </c>
      <c r="Q929" s="116">
        <v>999.4</v>
      </c>
      <c r="R929">
        <v>2486963</v>
      </c>
    </row>
    <row r="930" spans="1:18" x14ac:dyDescent="0.25">
      <c r="A930" s="170">
        <v>44377</v>
      </c>
      <c r="B930" s="116">
        <v>1011.6</v>
      </c>
      <c r="C930" s="116">
        <v>1007.65</v>
      </c>
      <c r="D930" s="116">
        <v>998.85</v>
      </c>
      <c r="E930" s="116">
        <v>999.5</v>
      </c>
      <c r="F930" s="116">
        <v>1007.65</v>
      </c>
      <c r="G930">
        <v>17919</v>
      </c>
      <c r="H930" s="116"/>
      <c r="I930" s="116"/>
      <c r="L930" s="170">
        <v>44377</v>
      </c>
      <c r="M930" s="116">
        <v>1008.15</v>
      </c>
      <c r="N930" s="116">
        <v>1011.75</v>
      </c>
      <c r="O930" s="116">
        <v>998.45</v>
      </c>
      <c r="P930" s="116">
        <v>1002.4</v>
      </c>
      <c r="Q930" s="116">
        <v>1008.15</v>
      </c>
      <c r="R930">
        <v>777901</v>
      </c>
    </row>
    <row r="931" spans="1:18" x14ac:dyDescent="0.25">
      <c r="A931" s="170">
        <v>44378</v>
      </c>
      <c r="B931" s="116">
        <v>1017</v>
      </c>
      <c r="C931" s="116">
        <v>1006.75</v>
      </c>
      <c r="D931" s="116">
        <v>1002.9</v>
      </c>
      <c r="E931" s="116">
        <v>1010</v>
      </c>
      <c r="F931" s="116">
        <v>1006.75</v>
      </c>
      <c r="G931">
        <v>15296</v>
      </c>
      <c r="H931" s="116"/>
      <c r="I931" s="116"/>
      <c r="L931" s="170">
        <v>44378</v>
      </c>
      <c r="M931" s="116">
        <v>1006.9</v>
      </c>
      <c r="N931" s="116">
        <v>1017.4</v>
      </c>
      <c r="O931" s="116">
        <v>1002.6</v>
      </c>
      <c r="P931" s="116">
        <v>1009</v>
      </c>
      <c r="Q931" s="116">
        <v>1006.9</v>
      </c>
      <c r="R931">
        <v>834379</v>
      </c>
    </row>
    <row r="932" spans="1:18" x14ac:dyDescent="0.25">
      <c r="A932" s="170">
        <v>44379</v>
      </c>
      <c r="B932" s="116">
        <v>1008.95</v>
      </c>
      <c r="C932" s="116">
        <v>1007.45</v>
      </c>
      <c r="D932" s="116">
        <v>996.05</v>
      </c>
      <c r="E932" s="116">
        <v>1006.15</v>
      </c>
      <c r="F932" s="116">
        <v>1007.45</v>
      </c>
      <c r="G932">
        <v>20983</v>
      </c>
      <c r="H932" s="116"/>
      <c r="I932" s="116"/>
      <c r="L932" s="170">
        <v>44379</v>
      </c>
      <c r="M932" s="116">
        <v>1007.2</v>
      </c>
      <c r="N932" s="116">
        <v>1010.9</v>
      </c>
      <c r="O932" s="116">
        <v>996.05</v>
      </c>
      <c r="P932" s="116">
        <v>1010.9</v>
      </c>
      <c r="Q932" s="116">
        <v>1007.2</v>
      </c>
      <c r="R932">
        <v>581097</v>
      </c>
    </row>
    <row r="933" spans="1:18" x14ac:dyDescent="0.25">
      <c r="A933" s="170">
        <v>44382</v>
      </c>
      <c r="B933" s="116">
        <v>1014.4</v>
      </c>
      <c r="C933" s="116">
        <v>1009.85</v>
      </c>
      <c r="D933" s="116">
        <v>1006.1</v>
      </c>
      <c r="E933" s="116">
        <v>1010</v>
      </c>
      <c r="F933" s="116">
        <v>1009.85</v>
      </c>
      <c r="G933">
        <v>22989</v>
      </c>
      <c r="H933" s="116"/>
      <c r="I933" s="116"/>
      <c r="L933" s="170">
        <v>44382</v>
      </c>
      <c r="M933" s="116">
        <v>1009.85</v>
      </c>
      <c r="N933" s="116">
        <v>1014.95</v>
      </c>
      <c r="O933" s="116">
        <v>1005.8</v>
      </c>
      <c r="P933" s="116">
        <v>1014</v>
      </c>
      <c r="Q933" s="116">
        <v>1009.85</v>
      </c>
      <c r="R933">
        <v>431929</v>
      </c>
    </row>
    <row r="934" spans="1:18" x14ac:dyDescent="0.25">
      <c r="A934" s="170">
        <v>44383</v>
      </c>
      <c r="B934" s="116">
        <v>1032.7</v>
      </c>
      <c r="C934" s="116">
        <v>1023.3</v>
      </c>
      <c r="D934" s="116">
        <v>1006</v>
      </c>
      <c r="E934" s="116">
        <v>1015</v>
      </c>
      <c r="F934" s="116">
        <v>1023.3</v>
      </c>
      <c r="G934">
        <v>87387</v>
      </c>
      <c r="H934" s="116"/>
      <c r="I934" s="116"/>
      <c r="L934" s="170">
        <v>44383</v>
      </c>
      <c r="M934" s="116">
        <v>1023.15</v>
      </c>
      <c r="N934" s="116">
        <v>1032.9000000000001</v>
      </c>
      <c r="O934" s="116">
        <v>1006.1</v>
      </c>
      <c r="P934" s="116">
        <v>1010.95</v>
      </c>
      <c r="Q934" s="116">
        <v>1023.15</v>
      </c>
      <c r="R934">
        <v>1693798</v>
      </c>
    </row>
    <row r="935" spans="1:18" x14ac:dyDescent="0.25">
      <c r="A935" s="170">
        <v>44384</v>
      </c>
      <c r="B935" s="116">
        <v>1030</v>
      </c>
      <c r="C935" s="116">
        <v>1014.65</v>
      </c>
      <c r="D935" s="116">
        <v>1012.05</v>
      </c>
      <c r="E935" s="116">
        <v>1030</v>
      </c>
      <c r="F935" s="116">
        <v>1014.65</v>
      </c>
      <c r="G935">
        <v>26228</v>
      </c>
      <c r="H935" s="116"/>
      <c r="I935" s="116"/>
      <c r="L935" s="170">
        <v>44384</v>
      </c>
      <c r="M935" s="116">
        <v>1014.4</v>
      </c>
      <c r="N935" s="116">
        <v>1027</v>
      </c>
      <c r="O935" s="116">
        <v>1012.55</v>
      </c>
      <c r="P935" s="116">
        <v>1023.5</v>
      </c>
      <c r="Q935" s="116">
        <v>1014.4</v>
      </c>
      <c r="R935">
        <v>888200</v>
      </c>
    </row>
    <row r="936" spans="1:18" x14ac:dyDescent="0.25">
      <c r="A936" s="170">
        <v>44385</v>
      </c>
      <c r="B936" s="116">
        <v>1025.75</v>
      </c>
      <c r="C936" s="116">
        <v>1021.3</v>
      </c>
      <c r="D936" s="116">
        <v>1002.15</v>
      </c>
      <c r="E936" s="116">
        <v>1014.65</v>
      </c>
      <c r="F936" s="116">
        <v>1021.3</v>
      </c>
      <c r="G936">
        <v>34704</v>
      </c>
      <c r="H936" s="116"/>
      <c r="I936" s="116"/>
      <c r="L936" s="170">
        <v>44385</v>
      </c>
      <c r="M936" s="116">
        <v>1021.6</v>
      </c>
      <c r="N936" s="116">
        <v>1026</v>
      </c>
      <c r="O936" s="116">
        <v>1002.1</v>
      </c>
      <c r="P936" s="116">
        <v>1010.75</v>
      </c>
      <c r="Q936" s="116">
        <v>1021.6</v>
      </c>
      <c r="R936">
        <v>868890</v>
      </c>
    </row>
    <row r="937" spans="1:18" x14ac:dyDescent="0.25">
      <c r="A937" s="170">
        <v>44386</v>
      </c>
      <c r="B937" s="116">
        <v>1028.0999999999999</v>
      </c>
      <c r="C937" s="116">
        <v>1018.95</v>
      </c>
      <c r="D937" s="116">
        <v>1013.15</v>
      </c>
      <c r="E937" s="116">
        <v>1019</v>
      </c>
      <c r="F937" s="116">
        <v>1018.95</v>
      </c>
      <c r="G937">
        <v>13740</v>
      </c>
      <c r="H937" s="116"/>
      <c r="I937" s="116"/>
      <c r="L937" s="170">
        <v>44386</v>
      </c>
      <c r="M937" s="116">
        <v>1019.6</v>
      </c>
      <c r="N937" s="116">
        <v>1028</v>
      </c>
      <c r="O937" s="116">
        <v>1012.55</v>
      </c>
      <c r="P937" s="116">
        <v>1014.1</v>
      </c>
      <c r="Q937" s="116">
        <v>1019.6</v>
      </c>
      <c r="R937">
        <v>930387</v>
      </c>
    </row>
    <row r="938" spans="1:18" x14ac:dyDescent="0.25">
      <c r="A938" s="170">
        <v>44389</v>
      </c>
      <c r="B938" s="116">
        <v>1035.95</v>
      </c>
      <c r="C938" s="116">
        <v>1034</v>
      </c>
      <c r="D938" s="116">
        <v>1019.25</v>
      </c>
      <c r="E938" s="116">
        <v>1026.8499999999999</v>
      </c>
      <c r="F938" s="116">
        <v>1034</v>
      </c>
      <c r="G938">
        <v>210944</v>
      </c>
      <c r="H938" s="116"/>
      <c r="I938" s="116"/>
      <c r="L938" s="170">
        <v>44389</v>
      </c>
      <c r="M938" s="116">
        <v>1033.45</v>
      </c>
      <c r="N938" s="116">
        <v>1036</v>
      </c>
      <c r="O938" s="116">
        <v>1018.95</v>
      </c>
      <c r="P938" s="116">
        <v>1019.7</v>
      </c>
      <c r="Q938" s="116">
        <v>1033.45</v>
      </c>
      <c r="R938">
        <v>1297301</v>
      </c>
    </row>
    <row r="939" spans="1:18" x14ac:dyDescent="0.25">
      <c r="A939" s="170">
        <v>44390</v>
      </c>
      <c r="B939" s="116">
        <v>1056</v>
      </c>
      <c r="C939" s="116">
        <v>1052.7</v>
      </c>
      <c r="D939" s="116">
        <v>1035.6500000000001</v>
      </c>
      <c r="E939" s="116">
        <v>1042</v>
      </c>
      <c r="F939" s="116">
        <v>1052.7</v>
      </c>
      <c r="G939">
        <v>87323</v>
      </c>
      <c r="H939" s="116"/>
      <c r="I939" s="116"/>
      <c r="L939" s="170">
        <v>44390</v>
      </c>
      <c r="M939" s="116">
        <v>1052.6500000000001</v>
      </c>
      <c r="N939" s="116">
        <v>1056.5</v>
      </c>
      <c r="O939" s="116">
        <v>1036.05</v>
      </c>
      <c r="P939" s="116">
        <v>1040</v>
      </c>
      <c r="Q939" s="116">
        <v>1052.6500000000001</v>
      </c>
      <c r="R939">
        <v>2525938</v>
      </c>
    </row>
    <row r="940" spans="1:18" x14ac:dyDescent="0.25">
      <c r="A940" s="170">
        <v>44391</v>
      </c>
      <c r="B940" s="116">
        <v>1060.4000000000001</v>
      </c>
      <c r="C940" s="116">
        <v>1052.55</v>
      </c>
      <c r="D940" s="116">
        <v>1047.05</v>
      </c>
      <c r="E940" s="116">
        <v>1055.55</v>
      </c>
      <c r="F940" s="116">
        <v>1052.55</v>
      </c>
      <c r="G940">
        <v>63721</v>
      </c>
      <c r="H940" s="116"/>
      <c r="I940" s="116"/>
      <c r="L940" s="170">
        <v>44391</v>
      </c>
      <c r="M940" s="116">
        <v>1052.4000000000001</v>
      </c>
      <c r="N940" s="116">
        <v>1060.8499999999999</v>
      </c>
      <c r="O940" s="116">
        <v>1047</v>
      </c>
      <c r="P940" s="116">
        <v>1050</v>
      </c>
      <c r="Q940" s="116">
        <v>1052.4000000000001</v>
      </c>
      <c r="R940">
        <v>1596046</v>
      </c>
    </row>
    <row r="941" spans="1:18" x14ac:dyDescent="0.25">
      <c r="A941" s="170">
        <v>44392</v>
      </c>
      <c r="B941" s="116">
        <v>1059.55</v>
      </c>
      <c r="C941" s="116">
        <v>1052.3499999999999</v>
      </c>
      <c r="D941" s="116">
        <v>1049.7</v>
      </c>
      <c r="E941" s="116">
        <v>1055</v>
      </c>
      <c r="F941" s="116">
        <v>1052.3499999999999</v>
      </c>
      <c r="G941">
        <v>26099</v>
      </c>
      <c r="H941" s="116"/>
      <c r="I941" s="116"/>
      <c r="L941" s="170">
        <v>44392</v>
      </c>
      <c r="M941" s="116">
        <v>1052.95</v>
      </c>
      <c r="N941" s="116">
        <v>1064.95</v>
      </c>
      <c r="O941" s="116">
        <v>1049.3499999999999</v>
      </c>
      <c r="P941" s="116">
        <v>1053.5</v>
      </c>
      <c r="Q941" s="116">
        <v>1052.95</v>
      </c>
      <c r="R941">
        <v>796945</v>
      </c>
    </row>
    <row r="942" spans="1:18" x14ac:dyDescent="0.25">
      <c r="A942" s="170">
        <v>44393</v>
      </c>
      <c r="B942" s="116">
        <v>1057.25</v>
      </c>
      <c r="C942" s="116">
        <v>1050.3499999999999</v>
      </c>
      <c r="D942" s="116">
        <v>1047.45</v>
      </c>
      <c r="E942" s="116">
        <v>1053</v>
      </c>
      <c r="F942" s="116">
        <v>1050.3499999999999</v>
      </c>
      <c r="G942">
        <v>12514</v>
      </c>
      <c r="H942" s="116"/>
      <c r="I942" s="116"/>
      <c r="L942" s="170">
        <v>44393</v>
      </c>
      <c r="M942" s="116">
        <v>1050.25</v>
      </c>
      <c r="N942" s="116">
        <v>1057.8499999999999</v>
      </c>
      <c r="O942" s="116">
        <v>1047.0999999999999</v>
      </c>
      <c r="P942" s="116">
        <v>1054</v>
      </c>
      <c r="Q942" s="116">
        <v>1050.25</v>
      </c>
      <c r="R942">
        <v>699003</v>
      </c>
    </row>
    <row r="943" spans="1:18" x14ac:dyDescent="0.25">
      <c r="A943" s="170">
        <v>44396</v>
      </c>
      <c r="B943" s="116">
        <v>1050</v>
      </c>
      <c r="C943" s="116">
        <v>1036.1500000000001</v>
      </c>
      <c r="D943" s="116">
        <v>1027.6500000000001</v>
      </c>
      <c r="E943" s="116">
        <v>1046</v>
      </c>
      <c r="F943" s="116">
        <v>1036.1500000000001</v>
      </c>
      <c r="G943">
        <v>215004</v>
      </c>
      <c r="H943" s="116"/>
      <c r="I943" s="116"/>
      <c r="L943" s="170">
        <v>44396</v>
      </c>
      <c r="M943" s="116">
        <v>1037.8499999999999</v>
      </c>
      <c r="N943" s="116">
        <v>1050.25</v>
      </c>
      <c r="O943" s="116">
        <v>1027.3</v>
      </c>
      <c r="P943" s="116">
        <v>1044.9000000000001</v>
      </c>
      <c r="Q943" s="116">
        <v>1037.8499999999999</v>
      </c>
      <c r="R943">
        <v>643558</v>
      </c>
    </row>
    <row r="944" spans="1:18" x14ac:dyDescent="0.25">
      <c r="A944" s="170">
        <v>44397</v>
      </c>
      <c r="B944" s="116">
        <v>1039.5</v>
      </c>
      <c r="C944" s="116">
        <v>1015.05</v>
      </c>
      <c r="D944" s="116">
        <v>1012</v>
      </c>
      <c r="E944" s="116">
        <v>1033.0999999999999</v>
      </c>
      <c r="F944" s="116">
        <v>1015.05</v>
      </c>
      <c r="G944">
        <v>21976</v>
      </c>
      <c r="H944" s="116"/>
      <c r="I944" s="116"/>
      <c r="L944" s="170">
        <v>44397</v>
      </c>
      <c r="M944" s="116">
        <v>1014.75</v>
      </c>
      <c r="N944" s="116">
        <v>1041.2</v>
      </c>
      <c r="O944" s="116">
        <v>1012.8</v>
      </c>
      <c r="P944" s="116">
        <v>1037.25</v>
      </c>
      <c r="Q944" s="116">
        <v>1014.75</v>
      </c>
      <c r="R944">
        <v>695099</v>
      </c>
    </row>
    <row r="945" spans="1:18" x14ac:dyDescent="0.25">
      <c r="A945" s="170">
        <v>44399</v>
      </c>
      <c r="B945" s="116">
        <v>1038.6500000000001</v>
      </c>
      <c r="C945" s="116">
        <v>1025.25</v>
      </c>
      <c r="D945" s="116">
        <v>1010.3</v>
      </c>
      <c r="E945" s="116">
        <v>1010.3</v>
      </c>
      <c r="F945" s="116">
        <v>1025.25</v>
      </c>
      <c r="G945">
        <v>28185</v>
      </c>
      <c r="H945" s="116"/>
      <c r="I945" s="116"/>
      <c r="L945" s="170">
        <v>44399</v>
      </c>
      <c r="M945" s="116">
        <v>1026</v>
      </c>
      <c r="N945" s="116">
        <v>1038.8</v>
      </c>
      <c r="O945" s="116">
        <v>1017</v>
      </c>
      <c r="P945" s="116">
        <v>1017</v>
      </c>
      <c r="Q945" s="116">
        <v>1026</v>
      </c>
      <c r="R945">
        <v>915518</v>
      </c>
    </row>
    <row r="946" spans="1:18" x14ac:dyDescent="0.25">
      <c r="A946" s="170">
        <v>44400</v>
      </c>
      <c r="B946" s="116">
        <v>1053.8499999999999</v>
      </c>
      <c r="C946" s="116">
        <v>1050.55</v>
      </c>
      <c r="D946" s="116">
        <v>1026.55</v>
      </c>
      <c r="E946" s="116">
        <v>1028.45</v>
      </c>
      <c r="F946" s="116">
        <v>1050.55</v>
      </c>
      <c r="G946">
        <v>122877</v>
      </c>
      <c r="H946" s="116"/>
      <c r="I946" s="116"/>
      <c r="L946" s="170">
        <v>44400</v>
      </c>
      <c r="M946" s="116">
        <v>1050.45</v>
      </c>
      <c r="N946" s="116">
        <v>1053.95</v>
      </c>
      <c r="O946" s="116">
        <v>1023.55</v>
      </c>
      <c r="P946" s="116">
        <v>1025.5</v>
      </c>
      <c r="Q946" s="116">
        <v>1050.45</v>
      </c>
      <c r="R946">
        <v>1290998</v>
      </c>
    </row>
    <row r="947" spans="1:18" x14ac:dyDescent="0.25">
      <c r="A947" s="170">
        <v>44403</v>
      </c>
      <c r="B947" s="116">
        <v>1104.0999999999999</v>
      </c>
      <c r="C947" s="116">
        <v>1077</v>
      </c>
      <c r="D947" s="116">
        <v>1040.9000000000001</v>
      </c>
      <c r="E947" s="116">
        <v>1050</v>
      </c>
      <c r="F947" s="116">
        <v>1077</v>
      </c>
      <c r="G947">
        <v>86108</v>
      </c>
      <c r="H947" s="116"/>
      <c r="I947" s="116"/>
      <c r="L947" s="170">
        <v>44403</v>
      </c>
      <c r="M947" s="116">
        <v>1076.6500000000001</v>
      </c>
      <c r="N947" s="116">
        <v>1104.9000000000001</v>
      </c>
      <c r="O947" s="116">
        <v>1040.0999999999999</v>
      </c>
      <c r="P947" s="116">
        <v>1048</v>
      </c>
      <c r="Q947" s="116">
        <v>1076.6500000000001</v>
      </c>
      <c r="R947">
        <v>2151393</v>
      </c>
    </row>
    <row r="948" spans="1:18" x14ac:dyDescent="0.25">
      <c r="A948" s="170">
        <v>44404</v>
      </c>
      <c r="B948" s="116">
        <v>1113</v>
      </c>
      <c r="C948" s="116">
        <v>1105.9000000000001</v>
      </c>
      <c r="D948" s="116">
        <v>1062.8499999999999</v>
      </c>
      <c r="E948" s="116">
        <v>1095.05</v>
      </c>
      <c r="F948" s="116">
        <v>1105.9000000000001</v>
      </c>
      <c r="G948">
        <v>203656</v>
      </c>
      <c r="H948" s="116"/>
      <c r="I948" s="116"/>
      <c r="L948" s="170">
        <v>44404</v>
      </c>
      <c r="M948" s="116">
        <v>1105.1500000000001</v>
      </c>
      <c r="N948" s="116">
        <v>1113.75</v>
      </c>
      <c r="O948" s="116">
        <v>1063</v>
      </c>
      <c r="P948" s="116">
        <v>1098</v>
      </c>
      <c r="Q948" s="116">
        <v>1105.1500000000001</v>
      </c>
      <c r="R948">
        <v>6096747</v>
      </c>
    </row>
    <row r="949" spans="1:18" x14ac:dyDescent="0.25">
      <c r="A949" s="170">
        <v>44405</v>
      </c>
      <c r="B949" s="116">
        <v>1137.95</v>
      </c>
      <c r="C949" s="116">
        <v>1133.8</v>
      </c>
      <c r="D949" s="116">
        <v>1092.95</v>
      </c>
      <c r="E949" s="116">
        <v>1119.5999999999999</v>
      </c>
      <c r="F949" s="116">
        <v>1133.8</v>
      </c>
      <c r="G949">
        <v>189611</v>
      </c>
      <c r="H949" s="116"/>
      <c r="I949" s="116"/>
      <c r="L949" s="170">
        <v>44405</v>
      </c>
      <c r="M949" s="116">
        <v>1133.4000000000001</v>
      </c>
      <c r="N949" s="116">
        <v>1138.8</v>
      </c>
      <c r="O949" s="116">
        <v>1093</v>
      </c>
      <c r="P949" s="116">
        <v>1115</v>
      </c>
      <c r="Q949" s="116">
        <v>1133.4000000000001</v>
      </c>
      <c r="R949">
        <v>4409570</v>
      </c>
    </row>
    <row r="950" spans="1:18" x14ac:dyDescent="0.25">
      <c r="A950" s="170">
        <v>44406</v>
      </c>
      <c r="B950" s="116">
        <v>1147.95</v>
      </c>
      <c r="C950" s="116">
        <v>1127.75</v>
      </c>
      <c r="D950" s="116">
        <v>1124</v>
      </c>
      <c r="E950" s="116">
        <v>1134</v>
      </c>
      <c r="F950" s="116">
        <v>1127.75</v>
      </c>
      <c r="G950">
        <v>62173</v>
      </c>
      <c r="H950" s="116"/>
      <c r="I950" s="116"/>
      <c r="L950" s="170">
        <v>44406</v>
      </c>
      <c r="M950" s="116">
        <v>1128.8499999999999</v>
      </c>
      <c r="N950" s="116">
        <v>1148</v>
      </c>
      <c r="O950" s="116">
        <v>1124.05</v>
      </c>
      <c r="P950" s="116">
        <v>1133</v>
      </c>
      <c r="Q950" s="116">
        <v>1128.8499999999999</v>
      </c>
      <c r="R950">
        <v>1555904</v>
      </c>
    </row>
    <row r="951" spans="1:18" x14ac:dyDescent="0.25">
      <c r="A951" s="170">
        <v>44407</v>
      </c>
      <c r="B951" s="116">
        <v>1127.2</v>
      </c>
      <c r="C951" s="116">
        <v>1099.7</v>
      </c>
      <c r="D951" s="116">
        <v>1092.05</v>
      </c>
      <c r="E951" s="116">
        <v>1127.2</v>
      </c>
      <c r="F951" s="116">
        <v>1099.7</v>
      </c>
      <c r="G951">
        <v>36178</v>
      </c>
      <c r="H951" s="116"/>
      <c r="I951" s="116"/>
      <c r="L951" s="170">
        <v>44407</v>
      </c>
      <c r="M951" s="116">
        <v>1098.5999999999999</v>
      </c>
      <c r="N951" s="116">
        <v>1123</v>
      </c>
      <c r="O951" s="116">
        <v>1092</v>
      </c>
      <c r="P951" s="116">
        <v>1123</v>
      </c>
      <c r="Q951" s="116">
        <v>1098.5999999999999</v>
      </c>
      <c r="R951">
        <v>1238229</v>
      </c>
    </row>
    <row r="952" spans="1:18" x14ac:dyDescent="0.25">
      <c r="A952" s="170">
        <v>44410</v>
      </c>
      <c r="B952" s="116">
        <v>1128.5999999999999</v>
      </c>
      <c r="C952" s="116">
        <v>1106.3499999999999</v>
      </c>
      <c r="D952" s="116">
        <v>1099.7</v>
      </c>
      <c r="E952" s="116">
        <v>1099.7</v>
      </c>
      <c r="F952" s="116">
        <v>1106.3499999999999</v>
      </c>
      <c r="G952">
        <v>62122</v>
      </c>
      <c r="H952" s="116"/>
      <c r="I952" s="116"/>
      <c r="L952" s="170">
        <v>44410</v>
      </c>
      <c r="M952" s="116">
        <v>1107.2</v>
      </c>
      <c r="N952" s="116">
        <v>1128.5</v>
      </c>
      <c r="O952" s="116">
        <v>1101.95</v>
      </c>
      <c r="P952" s="116">
        <v>1111.05</v>
      </c>
      <c r="Q952" s="116">
        <v>1107.2</v>
      </c>
      <c r="R952">
        <v>1582968</v>
      </c>
    </row>
    <row r="953" spans="1:18" x14ac:dyDescent="0.25">
      <c r="A953" s="170">
        <v>44411</v>
      </c>
      <c r="B953" s="116">
        <v>1134.55</v>
      </c>
      <c r="C953" s="116">
        <v>1131.8</v>
      </c>
      <c r="D953" s="116">
        <v>1094.5999999999999</v>
      </c>
      <c r="E953" s="116">
        <v>1113</v>
      </c>
      <c r="F953" s="116">
        <v>1131.8</v>
      </c>
      <c r="G953">
        <v>47102</v>
      </c>
      <c r="H953" s="116"/>
      <c r="I953" s="116"/>
      <c r="L953" s="170">
        <v>44411</v>
      </c>
      <c r="M953" s="116">
        <v>1131.7</v>
      </c>
      <c r="N953" s="116">
        <v>1134.9000000000001</v>
      </c>
      <c r="O953" s="116">
        <v>1094.8</v>
      </c>
      <c r="P953" s="116">
        <v>1105.25</v>
      </c>
      <c r="Q953" s="116">
        <v>1131.7</v>
      </c>
      <c r="R953">
        <v>1033719</v>
      </c>
    </row>
    <row r="954" spans="1:18" x14ac:dyDescent="0.25">
      <c r="A954" s="170">
        <v>44412</v>
      </c>
      <c r="B954" s="116">
        <v>1144.3</v>
      </c>
      <c r="C954" s="116">
        <v>1136.8499999999999</v>
      </c>
      <c r="D954" s="116">
        <v>1125</v>
      </c>
      <c r="E954" s="116">
        <v>1125</v>
      </c>
      <c r="F954" s="116">
        <v>1136.8499999999999</v>
      </c>
      <c r="G954">
        <v>67568</v>
      </c>
      <c r="H954" s="116"/>
      <c r="I954" s="116"/>
      <c r="L954" s="170">
        <v>44412</v>
      </c>
      <c r="M954" s="116">
        <v>1136.8499999999999</v>
      </c>
      <c r="N954" s="116">
        <v>1144.6500000000001</v>
      </c>
      <c r="O954" s="116">
        <v>1125</v>
      </c>
      <c r="P954" s="116">
        <v>1130</v>
      </c>
      <c r="Q954" s="116">
        <v>1136.8499999999999</v>
      </c>
      <c r="R954">
        <v>1840302</v>
      </c>
    </row>
    <row r="955" spans="1:18" x14ac:dyDescent="0.25">
      <c r="A955" s="170">
        <v>44413</v>
      </c>
      <c r="B955" s="116">
        <v>1174</v>
      </c>
      <c r="C955" s="116">
        <v>1134.8499999999999</v>
      </c>
      <c r="D955" s="116">
        <v>1124.8</v>
      </c>
      <c r="E955" s="116">
        <v>1170</v>
      </c>
      <c r="F955" s="116">
        <v>1134.8499999999999</v>
      </c>
      <c r="G955">
        <v>19318703</v>
      </c>
      <c r="H955" s="116"/>
      <c r="I955" s="116"/>
      <c r="L955" s="170">
        <v>44413</v>
      </c>
      <c r="M955" s="116">
        <v>1134.75</v>
      </c>
      <c r="N955" s="116">
        <v>1175.7</v>
      </c>
      <c r="O955" s="116">
        <v>1125</v>
      </c>
      <c r="P955" s="116">
        <v>1170.2</v>
      </c>
      <c r="Q955" s="116">
        <v>1134.75</v>
      </c>
      <c r="R955">
        <v>6687775</v>
      </c>
    </row>
    <row r="956" spans="1:18" x14ac:dyDescent="0.25">
      <c r="A956" s="170">
        <v>44414</v>
      </c>
      <c r="B956" s="116">
        <v>1153</v>
      </c>
      <c r="C956" s="116">
        <v>1151</v>
      </c>
      <c r="D956" s="116">
        <v>1128.0999999999999</v>
      </c>
      <c r="E956" s="116">
        <v>1147</v>
      </c>
      <c r="F956" s="116">
        <v>1151</v>
      </c>
      <c r="G956">
        <v>73044</v>
      </c>
      <c r="H956" s="116"/>
      <c r="I956" s="116"/>
      <c r="L956" s="170">
        <v>44414</v>
      </c>
      <c r="M956" s="116">
        <v>1150.7</v>
      </c>
      <c r="N956" s="116">
        <v>1154.25</v>
      </c>
      <c r="O956" s="116">
        <v>1127.45</v>
      </c>
      <c r="P956" s="116">
        <v>1140</v>
      </c>
      <c r="Q956" s="116">
        <v>1150.7</v>
      </c>
      <c r="R956">
        <v>1654283</v>
      </c>
    </row>
    <row r="957" spans="1:18" x14ac:dyDescent="0.25">
      <c r="A957" s="170">
        <v>44417</v>
      </c>
      <c r="B957" s="116">
        <v>1156.05</v>
      </c>
      <c r="C957" s="116">
        <v>1135.0999999999999</v>
      </c>
      <c r="D957" s="116">
        <v>1129</v>
      </c>
      <c r="E957" s="116">
        <v>1155</v>
      </c>
      <c r="F957" s="116">
        <v>1135.0999999999999</v>
      </c>
      <c r="G957">
        <v>56792</v>
      </c>
      <c r="H957" s="116"/>
      <c r="I957" s="116"/>
      <c r="L957" s="170">
        <v>44417</v>
      </c>
      <c r="M957" s="116">
        <v>1136.45</v>
      </c>
      <c r="N957" s="116">
        <v>1156</v>
      </c>
      <c r="O957" s="116">
        <v>1128.8499999999999</v>
      </c>
      <c r="P957" s="116">
        <v>1151.25</v>
      </c>
      <c r="Q957" s="116">
        <v>1136.45</v>
      </c>
      <c r="R957">
        <v>1491795</v>
      </c>
    </row>
    <row r="958" spans="1:18" x14ac:dyDescent="0.25">
      <c r="A958" s="170">
        <v>44418</v>
      </c>
      <c r="B958" s="116">
        <v>1150.75</v>
      </c>
      <c r="C958" s="116">
        <v>1128</v>
      </c>
      <c r="D958" s="116">
        <v>1121</v>
      </c>
      <c r="E958" s="116">
        <v>1150.75</v>
      </c>
      <c r="F958" s="116">
        <v>1128</v>
      </c>
      <c r="G958">
        <v>31776</v>
      </c>
      <c r="H958" s="116"/>
      <c r="I958" s="116"/>
      <c r="L958" s="170">
        <v>44418</v>
      </c>
      <c r="M958" s="116">
        <v>1127.5999999999999</v>
      </c>
      <c r="N958" s="116">
        <v>1146</v>
      </c>
      <c r="O958" s="116">
        <v>1120.1500000000001</v>
      </c>
      <c r="P958" s="116">
        <v>1142.75</v>
      </c>
      <c r="Q958" s="116">
        <v>1127.5999999999999</v>
      </c>
      <c r="R958">
        <v>1911046</v>
      </c>
    </row>
    <row r="959" spans="1:18" x14ac:dyDescent="0.25">
      <c r="A959" s="170">
        <v>44419</v>
      </c>
      <c r="B959" s="116">
        <v>1142.0999999999999</v>
      </c>
      <c r="C959" s="116">
        <v>1135.5</v>
      </c>
      <c r="D959" s="116">
        <v>1112.8499999999999</v>
      </c>
      <c r="E959" s="116">
        <v>1116.0999999999999</v>
      </c>
      <c r="F959" s="116">
        <v>1135.5</v>
      </c>
      <c r="G959">
        <v>46014</v>
      </c>
      <c r="H959" s="116"/>
      <c r="I959" s="116"/>
      <c r="L959" s="170">
        <v>44419</v>
      </c>
      <c r="M959" s="116">
        <v>1135.4000000000001</v>
      </c>
      <c r="N959" s="116">
        <v>1142.0999999999999</v>
      </c>
      <c r="O959" s="116">
        <v>1113.0999999999999</v>
      </c>
      <c r="P959" s="116">
        <v>1130</v>
      </c>
      <c r="Q959" s="116">
        <v>1135.4000000000001</v>
      </c>
      <c r="R959">
        <v>1458158</v>
      </c>
    </row>
    <row r="960" spans="1:18" x14ac:dyDescent="0.25">
      <c r="A960" s="170">
        <v>44420</v>
      </c>
      <c r="B960" s="116">
        <v>1150.8</v>
      </c>
      <c r="C960" s="116">
        <v>1133.3</v>
      </c>
      <c r="D960" s="116">
        <v>1129.7</v>
      </c>
      <c r="E960" s="116">
        <v>1140</v>
      </c>
      <c r="F960" s="116">
        <v>1133.3</v>
      </c>
      <c r="G960">
        <v>31472</v>
      </c>
      <c r="H960" s="116"/>
      <c r="I960" s="116"/>
      <c r="L960" s="170">
        <v>44420</v>
      </c>
      <c r="M960" s="116">
        <v>1134.05</v>
      </c>
      <c r="N960" s="116">
        <v>1150.95</v>
      </c>
      <c r="O960" s="116">
        <v>1128.55</v>
      </c>
      <c r="P960" s="116">
        <v>1136.3</v>
      </c>
      <c r="Q960" s="116">
        <v>1134.05</v>
      </c>
      <c r="R960">
        <v>1054244</v>
      </c>
    </row>
    <row r="961" spans="1:18" x14ac:dyDescent="0.25">
      <c r="A961" s="170">
        <v>44421</v>
      </c>
      <c r="B961" s="116">
        <v>1142</v>
      </c>
      <c r="C961" s="116">
        <v>1138.45</v>
      </c>
      <c r="D961" s="116">
        <v>1132.55</v>
      </c>
      <c r="E961" s="116">
        <v>1139.9000000000001</v>
      </c>
      <c r="F961" s="116">
        <v>1138.45</v>
      </c>
      <c r="G961">
        <v>11876</v>
      </c>
      <c r="H961" s="116"/>
      <c r="I961" s="116"/>
      <c r="L961" s="170">
        <v>44421</v>
      </c>
      <c r="M961" s="116">
        <v>1138.5999999999999</v>
      </c>
      <c r="N961" s="116">
        <v>1142.5</v>
      </c>
      <c r="O961" s="116">
        <v>1131.05</v>
      </c>
      <c r="P961" s="116">
        <v>1132</v>
      </c>
      <c r="Q961" s="116">
        <v>1138.5999999999999</v>
      </c>
      <c r="R961">
        <v>712776</v>
      </c>
    </row>
    <row r="962" spans="1:18" x14ac:dyDescent="0.25">
      <c r="A962" s="170">
        <v>44424</v>
      </c>
      <c r="B962" s="116">
        <v>1144.95</v>
      </c>
      <c r="C962" s="116">
        <v>1139.5999999999999</v>
      </c>
      <c r="D962" s="116">
        <v>1129</v>
      </c>
      <c r="E962" s="116">
        <v>1140</v>
      </c>
      <c r="F962" s="116">
        <v>1139.5999999999999</v>
      </c>
      <c r="G962">
        <v>8750</v>
      </c>
      <c r="H962" s="116"/>
      <c r="I962" s="116"/>
      <c r="L962" s="170">
        <v>44424</v>
      </c>
      <c r="M962" s="116">
        <v>1139.0999999999999</v>
      </c>
      <c r="N962" s="116">
        <v>1144.5</v>
      </c>
      <c r="O962" s="116">
        <v>1128.3499999999999</v>
      </c>
      <c r="P962" s="116">
        <v>1132</v>
      </c>
      <c r="Q962" s="116">
        <v>1139.0999999999999</v>
      </c>
      <c r="R962">
        <v>479277</v>
      </c>
    </row>
    <row r="963" spans="1:18" x14ac:dyDescent="0.25">
      <c r="A963" s="170">
        <v>44425</v>
      </c>
      <c r="B963" s="116">
        <v>1151.6500000000001</v>
      </c>
      <c r="C963" s="116">
        <v>1133.7</v>
      </c>
      <c r="D963" s="116">
        <v>1123.95</v>
      </c>
      <c r="E963" s="116">
        <v>1130</v>
      </c>
      <c r="F963" s="116">
        <v>1133.7</v>
      </c>
      <c r="G963">
        <v>213451</v>
      </c>
      <c r="H963" s="116"/>
      <c r="I963" s="116"/>
      <c r="L963" s="170">
        <v>44425</v>
      </c>
      <c r="M963" s="116">
        <v>1134.8</v>
      </c>
      <c r="N963" s="116">
        <v>1151.8</v>
      </c>
      <c r="O963" s="116">
        <v>1123.55</v>
      </c>
      <c r="P963" s="116">
        <v>1138</v>
      </c>
      <c r="Q963" s="116">
        <v>1134.8</v>
      </c>
      <c r="R963">
        <v>1991904</v>
      </c>
    </row>
    <row r="964" spans="1:18" x14ac:dyDescent="0.25">
      <c r="A964" s="170">
        <v>44426</v>
      </c>
      <c r="B964" s="116">
        <v>1146.5999999999999</v>
      </c>
      <c r="C964" s="116">
        <v>1114.6500000000001</v>
      </c>
      <c r="D964" s="116">
        <v>1100.5</v>
      </c>
      <c r="E964" s="116">
        <v>1131</v>
      </c>
      <c r="F964" s="116">
        <v>1114.6500000000001</v>
      </c>
      <c r="G964">
        <v>40612</v>
      </c>
      <c r="H964" s="116"/>
      <c r="I964" s="116"/>
      <c r="L964" s="170">
        <v>44426</v>
      </c>
      <c r="M964" s="116">
        <v>1114.05</v>
      </c>
      <c r="N964" s="116">
        <v>1146.4000000000001</v>
      </c>
      <c r="O964" s="116">
        <v>1100.2</v>
      </c>
      <c r="P964" s="116">
        <v>1135</v>
      </c>
      <c r="Q964" s="116">
        <v>1114.05</v>
      </c>
      <c r="R964">
        <v>3428721</v>
      </c>
    </row>
    <row r="965" spans="1:18" x14ac:dyDescent="0.25">
      <c r="A965" s="170">
        <v>44428</v>
      </c>
      <c r="B965" s="116">
        <v>1133.75</v>
      </c>
      <c r="C965" s="116">
        <v>1122.2</v>
      </c>
      <c r="D965" s="116">
        <v>1101</v>
      </c>
      <c r="E965" s="116">
        <v>1101.05</v>
      </c>
      <c r="F965" s="116">
        <v>1122.2</v>
      </c>
      <c r="G965">
        <v>46347</v>
      </c>
      <c r="H965" s="116"/>
      <c r="I965" s="116"/>
      <c r="L965" s="170">
        <v>44428</v>
      </c>
      <c r="M965" s="116">
        <v>1125.3</v>
      </c>
      <c r="N965" s="116">
        <v>1133.5</v>
      </c>
      <c r="O965" s="116">
        <v>1100.5</v>
      </c>
      <c r="P965" s="116">
        <v>1114.05</v>
      </c>
      <c r="Q965" s="116">
        <v>1125.3</v>
      </c>
      <c r="R965">
        <v>2127671</v>
      </c>
    </row>
    <row r="966" spans="1:18" x14ac:dyDescent="0.25">
      <c r="A966" s="170">
        <v>44431</v>
      </c>
      <c r="B966" s="116">
        <v>1140.7</v>
      </c>
      <c r="C966" s="116">
        <v>1135.0999999999999</v>
      </c>
      <c r="D966" s="116">
        <v>1118.95</v>
      </c>
      <c r="E966" s="116">
        <v>1138.95</v>
      </c>
      <c r="F966" s="116">
        <v>1135.0999999999999</v>
      </c>
      <c r="G966">
        <v>33715</v>
      </c>
      <c r="H966" s="116"/>
      <c r="I966" s="116"/>
      <c r="L966" s="170">
        <v>44431</v>
      </c>
      <c r="M966" s="116">
        <v>1135.45</v>
      </c>
      <c r="N966" s="116">
        <v>1140.95</v>
      </c>
      <c r="O966" s="116">
        <v>1118.5999999999999</v>
      </c>
      <c r="P966" s="116">
        <v>1127</v>
      </c>
      <c r="Q966" s="116">
        <v>1135.45</v>
      </c>
      <c r="R966">
        <v>1251406</v>
      </c>
    </row>
    <row r="967" spans="1:18" x14ac:dyDescent="0.25">
      <c r="A967" s="170">
        <v>44432</v>
      </c>
      <c r="B967" s="116">
        <v>1165.2</v>
      </c>
      <c r="C967" s="116">
        <v>1160.7</v>
      </c>
      <c r="D967" s="116">
        <v>1131.3499999999999</v>
      </c>
      <c r="E967" s="116">
        <v>1144</v>
      </c>
      <c r="F967" s="116">
        <v>1160.7</v>
      </c>
      <c r="G967">
        <v>34688</v>
      </c>
      <c r="H967" s="116"/>
      <c r="I967" s="116"/>
      <c r="L967" s="170">
        <v>44432</v>
      </c>
      <c r="M967" s="116">
        <v>1160.4000000000001</v>
      </c>
      <c r="N967" s="116">
        <v>1165.9000000000001</v>
      </c>
      <c r="O967" s="116">
        <v>1130.6500000000001</v>
      </c>
      <c r="P967" s="116">
        <v>1140</v>
      </c>
      <c r="Q967" s="116">
        <v>1160.4000000000001</v>
      </c>
      <c r="R967">
        <v>1211218</v>
      </c>
    </row>
    <row r="968" spans="1:18" x14ac:dyDescent="0.25">
      <c r="A968" s="170">
        <v>44433</v>
      </c>
      <c r="B968" s="116">
        <v>1169</v>
      </c>
      <c r="C968" s="116">
        <v>1155.3</v>
      </c>
      <c r="D968" s="116">
        <v>1150</v>
      </c>
      <c r="E968" s="116">
        <v>1166.2</v>
      </c>
      <c r="F968" s="116">
        <v>1155.3</v>
      </c>
      <c r="G968">
        <v>45003</v>
      </c>
      <c r="H968" s="116"/>
      <c r="I968" s="116"/>
      <c r="L968" s="170">
        <v>44433</v>
      </c>
      <c r="M968" s="116">
        <v>1156.1500000000001</v>
      </c>
      <c r="N968" s="116">
        <v>1171.6500000000001</v>
      </c>
      <c r="O968" s="116">
        <v>1150.1500000000001</v>
      </c>
      <c r="P968" s="116">
        <v>1168</v>
      </c>
      <c r="Q968" s="116">
        <v>1156.1500000000001</v>
      </c>
      <c r="R968">
        <v>893931</v>
      </c>
    </row>
    <row r="969" spans="1:18" x14ac:dyDescent="0.25">
      <c r="A969" s="170">
        <v>44434</v>
      </c>
      <c r="B969" s="116">
        <v>1163.0999999999999</v>
      </c>
      <c r="C969" s="116">
        <v>1152.0999999999999</v>
      </c>
      <c r="D969" s="116">
        <v>1145.7</v>
      </c>
      <c r="E969" s="116">
        <v>1155.3</v>
      </c>
      <c r="F969" s="116">
        <v>1152.0999999999999</v>
      </c>
      <c r="G969">
        <v>20448</v>
      </c>
      <c r="H969" s="116"/>
      <c r="I969" s="116"/>
      <c r="L969" s="170">
        <v>44434</v>
      </c>
      <c r="M969" s="116">
        <v>1151.8</v>
      </c>
      <c r="N969" s="116">
        <v>1164.5</v>
      </c>
      <c r="O969" s="116">
        <v>1144.8499999999999</v>
      </c>
      <c r="P969" s="116">
        <v>1151.2</v>
      </c>
      <c r="Q969" s="116">
        <v>1151.8</v>
      </c>
      <c r="R969">
        <v>823814</v>
      </c>
    </row>
    <row r="970" spans="1:18" x14ac:dyDescent="0.25">
      <c r="A970" s="170">
        <v>44435</v>
      </c>
      <c r="B970" s="116">
        <v>1192.05</v>
      </c>
      <c r="C970" s="116">
        <v>1183.6500000000001</v>
      </c>
      <c r="D970" s="116">
        <v>1145.25</v>
      </c>
      <c r="E970" s="116">
        <v>1153</v>
      </c>
      <c r="F970" s="116">
        <v>1183.6500000000001</v>
      </c>
      <c r="G970">
        <v>2276028</v>
      </c>
      <c r="H970" s="116"/>
      <c r="I970" s="116"/>
      <c r="L970" s="170">
        <v>44435</v>
      </c>
      <c r="M970" s="116">
        <v>1184.05</v>
      </c>
      <c r="N970" s="116">
        <v>1192.6500000000001</v>
      </c>
      <c r="O970" s="116">
        <v>1145.3</v>
      </c>
      <c r="P970" s="116">
        <v>1154.8</v>
      </c>
      <c r="Q970" s="116">
        <v>1184.05</v>
      </c>
      <c r="R970">
        <v>2469538</v>
      </c>
    </row>
    <row r="971" spans="1:18" x14ac:dyDescent="0.25">
      <c r="A971" s="170">
        <v>44438</v>
      </c>
      <c r="B971" s="116">
        <v>1198.3499999999999</v>
      </c>
      <c r="C971" s="116">
        <v>1180.2</v>
      </c>
      <c r="D971" s="116">
        <v>1177</v>
      </c>
      <c r="E971" s="116">
        <v>1191.8</v>
      </c>
      <c r="F971" s="116">
        <v>1180.2</v>
      </c>
      <c r="G971">
        <v>44426</v>
      </c>
      <c r="H971" s="116"/>
      <c r="I971" s="116"/>
      <c r="L971" s="170">
        <v>44438</v>
      </c>
      <c r="M971" s="116">
        <v>1180.7</v>
      </c>
      <c r="N971" s="116">
        <v>1199</v>
      </c>
      <c r="O971" s="116">
        <v>1176.55</v>
      </c>
      <c r="P971" s="116">
        <v>1189.5</v>
      </c>
      <c r="Q971" s="116">
        <v>1180.7</v>
      </c>
      <c r="R971">
        <v>1690833</v>
      </c>
    </row>
    <row r="972" spans="1:18" x14ac:dyDescent="0.25">
      <c r="A972" s="170">
        <v>44439</v>
      </c>
      <c r="B972" s="116">
        <v>1194.5</v>
      </c>
      <c r="C972" s="116">
        <v>1191.7</v>
      </c>
      <c r="D972" s="116">
        <v>1172</v>
      </c>
      <c r="E972" s="116">
        <v>1185.95</v>
      </c>
      <c r="F972" s="116">
        <v>1191.7</v>
      </c>
      <c r="G972">
        <v>197895</v>
      </c>
      <c r="H972" s="116"/>
      <c r="I972" s="116"/>
      <c r="L972" s="170">
        <v>44439</v>
      </c>
      <c r="M972" s="116">
        <v>1192.05</v>
      </c>
      <c r="N972" s="116">
        <v>1194.5</v>
      </c>
      <c r="O972" s="116">
        <v>1171.6500000000001</v>
      </c>
      <c r="P972" s="116">
        <v>1180.7</v>
      </c>
      <c r="Q972" s="116">
        <v>1192.05</v>
      </c>
      <c r="R972">
        <v>1719768</v>
      </c>
    </row>
    <row r="973" spans="1:18" x14ac:dyDescent="0.25">
      <c r="A973" s="170">
        <v>44440</v>
      </c>
      <c r="B973" s="116">
        <v>1222.9000000000001</v>
      </c>
      <c r="C973" s="116">
        <v>1220.3499999999999</v>
      </c>
      <c r="D973" s="116">
        <v>1185</v>
      </c>
      <c r="E973" s="116">
        <v>1191</v>
      </c>
      <c r="F973" s="116">
        <v>1220.3499999999999</v>
      </c>
      <c r="G973">
        <v>45639</v>
      </c>
      <c r="H973" s="116"/>
      <c r="I973" s="116"/>
      <c r="L973" s="170">
        <v>44440</v>
      </c>
      <c r="M973" s="116">
        <v>1220.5</v>
      </c>
      <c r="N973" s="116">
        <v>1222.8</v>
      </c>
      <c r="O973" s="116">
        <v>1183.9000000000001</v>
      </c>
      <c r="P973" s="116">
        <v>1189</v>
      </c>
      <c r="Q973" s="116">
        <v>1220.5</v>
      </c>
      <c r="R973">
        <v>1955177</v>
      </c>
    </row>
    <row r="974" spans="1:18" x14ac:dyDescent="0.25">
      <c r="A974" s="170">
        <v>44441</v>
      </c>
      <c r="B974" s="116">
        <v>1249</v>
      </c>
      <c r="C974" s="116">
        <v>1243.45</v>
      </c>
      <c r="D974" s="116">
        <v>1224.8</v>
      </c>
      <c r="E974" s="116">
        <v>1231</v>
      </c>
      <c r="F974" s="116">
        <v>1243.45</v>
      </c>
      <c r="G974">
        <v>46099</v>
      </c>
      <c r="H974" s="116"/>
      <c r="I974" s="116"/>
      <c r="L974" s="170">
        <v>44441</v>
      </c>
      <c r="M974" s="116">
        <v>1243.4000000000001</v>
      </c>
      <c r="N974" s="116">
        <v>1250</v>
      </c>
      <c r="O974" s="116">
        <v>1224.2</v>
      </c>
      <c r="P974" s="116">
        <v>1229.8</v>
      </c>
      <c r="Q974" s="116">
        <v>1243.4000000000001</v>
      </c>
      <c r="R974">
        <v>2468599</v>
      </c>
    </row>
    <row r="975" spans="1:18" x14ac:dyDescent="0.25">
      <c r="A975" s="170">
        <v>44442</v>
      </c>
      <c r="B975" s="116">
        <v>1253.5</v>
      </c>
      <c r="C975" s="116">
        <v>1242.9000000000001</v>
      </c>
      <c r="D975" s="116">
        <v>1225.7</v>
      </c>
      <c r="E975" s="116">
        <v>1243.45</v>
      </c>
      <c r="F975" s="116">
        <v>1242.9000000000001</v>
      </c>
      <c r="G975">
        <v>44817</v>
      </c>
      <c r="H975" s="116"/>
      <c r="I975" s="116"/>
      <c r="L975" s="170">
        <v>44442</v>
      </c>
      <c r="M975" s="116">
        <v>1244.1500000000001</v>
      </c>
      <c r="N975" s="116">
        <v>1253.6500000000001</v>
      </c>
      <c r="O975" s="116">
        <v>1226</v>
      </c>
      <c r="P975" s="116">
        <v>1246.95</v>
      </c>
      <c r="Q975" s="116">
        <v>1244.1500000000001</v>
      </c>
      <c r="R975">
        <v>1295336</v>
      </c>
    </row>
    <row r="976" spans="1:18" x14ac:dyDescent="0.25">
      <c r="A976" s="170">
        <v>44445</v>
      </c>
      <c r="B976" s="116">
        <v>1252</v>
      </c>
      <c r="C976" s="116">
        <v>1244</v>
      </c>
      <c r="D976" s="116">
        <v>1234</v>
      </c>
      <c r="E976" s="116">
        <v>1252</v>
      </c>
      <c r="F976" s="116">
        <v>1244</v>
      </c>
      <c r="G976">
        <v>14611</v>
      </c>
      <c r="H976" s="116"/>
      <c r="I976" s="116"/>
      <c r="L976" s="170">
        <v>44445</v>
      </c>
      <c r="M976" s="116">
        <v>1244.6500000000001</v>
      </c>
      <c r="N976" s="116">
        <v>1248</v>
      </c>
      <c r="O976" s="116">
        <v>1233.5</v>
      </c>
      <c r="P976" s="116">
        <v>1245</v>
      </c>
      <c r="Q976" s="116">
        <v>1244.6500000000001</v>
      </c>
      <c r="R976">
        <v>1166873</v>
      </c>
    </row>
    <row r="977" spans="1:18" x14ac:dyDescent="0.25">
      <c r="A977" s="170">
        <v>44446</v>
      </c>
      <c r="B977" s="116">
        <v>1252</v>
      </c>
      <c r="C977" s="116">
        <v>1240.2</v>
      </c>
      <c r="D977" s="116">
        <v>1228.55</v>
      </c>
      <c r="E977" s="116">
        <v>1251</v>
      </c>
      <c r="F977" s="116">
        <v>1240.2</v>
      </c>
      <c r="G977">
        <v>25599</v>
      </c>
      <c r="H977" s="116"/>
      <c r="I977" s="116"/>
      <c r="L977" s="170">
        <v>44446</v>
      </c>
      <c r="M977" s="116">
        <v>1238.75</v>
      </c>
      <c r="N977" s="116">
        <v>1253.3499999999999</v>
      </c>
      <c r="O977" s="116">
        <v>1228.25</v>
      </c>
      <c r="P977" s="116">
        <v>1245</v>
      </c>
      <c r="Q977" s="116">
        <v>1238.75</v>
      </c>
      <c r="R977">
        <v>1164891</v>
      </c>
    </row>
    <row r="978" spans="1:18" x14ac:dyDescent="0.25">
      <c r="A978" s="170">
        <v>44447</v>
      </c>
      <c r="B978" s="116">
        <v>1241.5</v>
      </c>
      <c r="C978" s="116">
        <v>1219.9000000000001</v>
      </c>
      <c r="D978" s="116">
        <v>1212.6500000000001</v>
      </c>
      <c r="E978" s="116">
        <v>1241.5</v>
      </c>
      <c r="F978" s="116">
        <v>1219.9000000000001</v>
      </c>
      <c r="G978">
        <v>49373</v>
      </c>
      <c r="H978" s="116"/>
      <c r="I978" s="116"/>
      <c r="L978" s="170">
        <v>44447</v>
      </c>
      <c r="M978" s="116">
        <v>1220.05</v>
      </c>
      <c r="N978" s="116">
        <v>1246.95</v>
      </c>
      <c r="O978" s="116">
        <v>1211.95</v>
      </c>
      <c r="P978" s="116">
        <v>1246.05</v>
      </c>
      <c r="Q978" s="116">
        <v>1220.05</v>
      </c>
      <c r="R978">
        <v>1909087</v>
      </c>
    </row>
    <row r="979" spans="1:18" x14ac:dyDescent="0.25">
      <c r="A979" s="170">
        <v>44448</v>
      </c>
      <c r="B979" s="116">
        <v>1199.7</v>
      </c>
      <c r="C979" s="116">
        <v>1172.8</v>
      </c>
      <c r="D979" s="116">
        <v>1168.3</v>
      </c>
      <c r="E979" s="116">
        <v>1176</v>
      </c>
      <c r="F979" s="116">
        <v>1172.8</v>
      </c>
      <c r="G979">
        <v>23963696</v>
      </c>
      <c r="H979" s="116"/>
      <c r="I979" s="116"/>
      <c r="L979" s="170">
        <v>44448</v>
      </c>
      <c r="M979" s="116">
        <v>1173.2</v>
      </c>
      <c r="N979" s="116">
        <v>1199.6500000000001</v>
      </c>
      <c r="O979" s="116">
        <v>1168</v>
      </c>
      <c r="P979" s="116">
        <v>1177</v>
      </c>
      <c r="Q979" s="116">
        <v>1173.2</v>
      </c>
      <c r="R979">
        <v>10115407</v>
      </c>
    </row>
    <row r="980" spans="1:18" x14ac:dyDescent="0.25">
      <c r="A980" s="170">
        <v>44452</v>
      </c>
      <c r="B980" s="116">
        <v>1180</v>
      </c>
      <c r="C980" s="116">
        <v>1165.0999999999999</v>
      </c>
      <c r="D980" s="116">
        <v>1153.5</v>
      </c>
      <c r="E980" s="116">
        <v>1180</v>
      </c>
      <c r="F980" s="116">
        <v>1165.0999999999999</v>
      </c>
      <c r="G980">
        <v>61279</v>
      </c>
      <c r="H980" s="116"/>
      <c r="I980" s="116"/>
      <c r="L980" s="170">
        <v>44452</v>
      </c>
      <c r="M980" s="116">
        <v>1165.1500000000001</v>
      </c>
      <c r="N980" s="116">
        <v>1179.05</v>
      </c>
      <c r="O980" s="116">
        <v>1153.3499999999999</v>
      </c>
      <c r="P980" s="116">
        <v>1179.05</v>
      </c>
      <c r="Q980" s="116">
        <v>1165.1500000000001</v>
      </c>
      <c r="R980">
        <v>2374250</v>
      </c>
    </row>
    <row r="981" spans="1:18" x14ac:dyDescent="0.25">
      <c r="A981" s="170">
        <v>44453</v>
      </c>
      <c r="B981" s="116">
        <v>1173.45</v>
      </c>
      <c r="C981" s="116">
        <v>1168.1500000000001</v>
      </c>
      <c r="D981" s="116">
        <v>1156.3</v>
      </c>
      <c r="E981" s="116">
        <v>1172</v>
      </c>
      <c r="F981" s="116">
        <v>1168.1500000000001</v>
      </c>
      <c r="G981">
        <v>31068</v>
      </c>
      <c r="H981" s="116"/>
      <c r="I981" s="116"/>
      <c r="L981" s="170">
        <v>44453</v>
      </c>
      <c r="M981" s="116">
        <v>1170.9000000000001</v>
      </c>
      <c r="N981" s="116">
        <v>1174</v>
      </c>
      <c r="O981" s="116">
        <v>1158.05</v>
      </c>
      <c r="P981" s="116">
        <v>1170</v>
      </c>
      <c r="Q981" s="116">
        <v>1170.9000000000001</v>
      </c>
      <c r="R981">
        <v>1338821</v>
      </c>
    </row>
    <row r="982" spans="1:18" x14ac:dyDescent="0.25">
      <c r="A982" s="170">
        <v>44454</v>
      </c>
      <c r="B982" s="116">
        <v>1176</v>
      </c>
      <c r="C982" s="116">
        <v>1172.5999999999999</v>
      </c>
      <c r="D982" s="116">
        <v>1165.5999999999999</v>
      </c>
      <c r="E982" s="116">
        <v>1172</v>
      </c>
      <c r="F982" s="116">
        <v>1172.5999999999999</v>
      </c>
      <c r="G982">
        <v>1287709</v>
      </c>
      <c r="H982" s="116"/>
      <c r="I982" s="116"/>
      <c r="L982" s="170">
        <v>44454</v>
      </c>
      <c r="M982" s="116">
        <v>1172.45</v>
      </c>
      <c r="N982" s="116">
        <v>1176</v>
      </c>
      <c r="O982" s="116">
        <v>1165.5</v>
      </c>
      <c r="P982" s="116">
        <v>1170.9000000000001</v>
      </c>
      <c r="Q982" s="116">
        <v>1172.45</v>
      </c>
      <c r="R982">
        <v>1875092</v>
      </c>
    </row>
    <row r="983" spans="1:18" x14ac:dyDescent="0.25">
      <c r="A983" s="170">
        <v>44455</v>
      </c>
      <c r="B983" s="116">
        <v>1187</v>
      </c>
      <c r="C983" s="116">
        <v>1184.75</v>
      </c>
      <c r="D983" s="116">
        <v>1168.2</v>
      </c>
      <c r="E983" s="116">
        <v>1172.5999999999999</v>
      </c>
      <c r="F983" s="116">
        <v>1184.75</v>
      </c>
      <c r="G983">
        <v>92355</v>
      </c>
      <c r="H983" s="116"/>
      <c r="I983" s="116"/>
      <c r="L983" s="170">
        <v>44455</v>
      </c>
      <c r="M983" s="116">
        <v>1184.9000000000001</v>
      </c>
      <c r="N983" s="116">
        <v>1187</v>
      </c>
      <c r="O983" s="116">
        <v>1168</v>
      </c>
      <c r="P983" s="116">
        <v>1174.2</v>
      </c>
      <c r="Q983" s="116">
        <v>1184.9000000000001</v>
      </c>
      <c r="R983">
        <v>3028407</v>
      </c>
    </row>
    <row r="984" spans="1:18" x14ac:dyDescent="0.25">
      <c r="A984" s="170">
        <v>44456</v>
      </c>
      <c r="B984" s="116">
        <v>1204.45</v>
      </c>
      <c r="C984" s="116">
        <v>1198.4000000000001</v>
      </c>
      <c r="D984" s="116">
        <v>1183.8</v>
      </c>
      <c r="E984" s="116">
        <v>1198</v>
      </c>
      <c r="F984" s="116">
        <v>1198.4000000000001</v>
      </c>
      <c r="G984">
        <v>72149</v>
      </c>
      <c r="H984" s="116"/>
      <c r="I984" s="116"/>
      <c r="L984" s="170">
        <v>44456</v>
      </c>
      <c r="M984" s="116">
        <v>1198.8</v>
      </c>
      <c r="N984" s="116">
        <v>1204.8</v>
      </c>
      <c r="O984" s="116">
        <v>1183.45</v>
      </c>
      <c r="P984" s="116">
        <v>1203</v>
      </c>
      <c r="Q984" s="116">
        <v>1198.8</v>
      </c>
      <c r="R984">
        <v>4143024</v>
      </c>
    </row>
    <row r="985" spans="1:18" x14ac:dyDescent="0.25">
      <c r="A985" s="170">
        <v>44459</v>
      </c>
      <c r="B985" s="116">
        <v>1197.95</v>
      </c>
      <c r="C985" s="116">
        <v>1177.95</v>
      </c>
      <c r="D985" s="116">
        <v>1174</v>
      </c>
      <c r="E985" s="116">
        <v>1196</v>
      </c>
      <c r="F985" s="116">
        <v>1177.95</v>
      </c>
      <c r="G985">
        <v>59945</v>
      </c>
      <c r="H985" s="116"/>
      <c r="I985" s="116"/>
      <c r="L985" s="170">
        <v>44459</v>
      </c>
      <c r="M985" s="116">
        <v>1177.5</v>
      </c>
      <c r="N985" s="116">
        <v>1198.7</v>
      </c>
      <c r="O985" s="116">
        <v>1174</v>
      </c>
      <c r="P985" s="116">
        <v>1189.8499999999999</v>
      </c>
      <c r="Q985" s="116">
        <v>1177.5</v>
      </c>
      <c r="R985">
        <v>2117784</v>
      </c>
    </row>
    <row r="986" spans="1:18" x14ac:dyDescent="0.25">
      <c r="A986" s="170">
        <v>44460</v>
      </c>
      <c r="B986" s="116">
        <v>1195.8499999999999</v>
      </c>
      <c r="C986" s="116">
        <v>1184.4000000000001</v>
      </c>
      <c r="D986" s="116">
        <v>1171.05</v>
      </c>
      <c r="E986" s="116">
        <v>1184</v>
      </c>
      <c r="F986" s="116">
        <v>1184.4000000000001</v>
      </c>
      <c r="G986">
        <v>64805</v>
      </c>
      <c r="H986" s="116"/>
      <c r="I986" s="116"/>
      <c r="L986" s="170">
        <v>44460</v>
      </c>
      <c r="M986" s="116">
        <v>1184.5999999999999</v>
      </c>
      <c r="N986" s="116">
        <v>1195.95</v>
      </c>
      <c r="O986" s="116">
        <v>1170.9000000000001</v>
      </c>
      <c r="P986" s="116">
        <v>1189</v>
      </c>
      <c r="Q986" s="116">
        <v>1184.5999999999999</v>
      </c>
      <c r="R986">
        <v>2117913</v>
      </c>
    </row>
    <row r="987" spans="1:18" x14ac:dyDescent="0.25">
      <c r="A987" s="170">
        <v>44461</v>
      </c>
      <c r="B987" s="116">
        <v>1203.5</v>
      </c>
      <c r="C987" s="116">
        <v>1191.5</v>
      </c>
      <c r="D987" s="116">
        <v>1178.0999999999999</v>
      </c>
      <c r="E987" s="116">
        <v>1184.5</v>
      </c>
      <c r="F987" s="116">
        <v>1191.5</v>
      </c>
      <c r="G987">
        <v>30862</v>
      </c>
      <c r="H987" s="116"/>
      <c r="I987" s="116"/>
      <c r="L987" s="170">
        <v>44461</v>
      </c>
      <c r="M987" s="116">
        <v>1191.3</v>
      </c>
      <c r="N987" s="116">
        <v>1203.55</v>
      </c>
      <c r="O987" s="116">
        <v>1177.75</v>
      </c>
      <c r="P987" s="116">
        <v>1184.5999999999999</v>
      </c>
      <c r="Q987" s="116">
        <v>1191.3</v>
      </c>
      <c r="R987">
        <v>1399326</v>
      </c>
    </row>
    <row r="988" spans="1:18" x14ac:dyDescent="0.25">
      <c r="A988" s="170">
        <v>44462</v>
      </c>
      <c r="B988" s="116">
        <v>1221</v>
      </c>
      <c r="C988" s="116">
        <v>1217.9000000000001</v>
      </c>
      <c r="D988" s="116">
        <v>1197.2</v>
      </c>
      <c r="E988" s="116">
        <v>1221</v>
      </c>
      <c r="F988" s="116">
        <v>1217.9000000000001</v>
      </c>
      <c r="G988">
        <v>506387</v>
      </c>
      <c r="H988" s="116"/>
      <c r="I988" s="116"/>
      <c r="L988" s="170">
        <v>44462</v>
      </c>
      <c r="M988" s="116">
        <v>1218.3</v>
      </c>
      <c r="N988" s="116">
        <v>1224</v>
      </c>
      <c r="O988" s="116">
        <v>1198.5</v>
      </c>
      <c r="P988" s="116">
        <v>1224</v>
      </c>
      <c r="Q988" s="116">
        <v>1218.3</v>
      </c>
      <c r="R988">
        <v>2659260</v>
      </c>
    </row>
    <row r="989" spans="1:18" x14ac:dyDescent="0.25">
      <c r="A989" s="170">
        <v>44463</v>
      </c>
      <c r="B989" s="116">
        <v>1238.45</v>
      </c>
      <c r="C989" s="116">
        <v>1221.55</v>
      </c>
      <c r="D989" s="116">
        <v>1207.8</v>
      </c>
      <c r="E989" s="116">
        <v>1215.5</v>
      </c>
      <c r="F989" s="116">
        <v>1221.55</v>
      </c>
      <c r="G989">
        <v>39663</v>
      </c>
      <c r="H989" s="116"/>
      <c r="I989" s="116"/>
      <c r="L989" s="170">
        <v>44463</v>
      </c>
      <c r="M989" s="116">
        <v>1222.05</v>
      </c>
      <c r="N989" s="116">
        <v>1238.55</v>
      </c>
      <c r="O989" s="116">
        <v>1207.5999999999999</v>
      </c>
      <c r="P989" s="116">
        <v>1219</v>
      </c>
      <c r="Q989" s="116">
        <v>1222.05</v>
      </c>
      <c r="R989">
        <v>1703375</v>
      </c>
    </row>
    <row r="990" spans="1:18" x14ac:dyDescent="0.25">
      <c r="A990" s="170">
        <v>44466</v>
      </c>
      <c r="B990" s="116">
        <v>1233.8</v>
      </c>
      <c r="C990" s="116">
        <v>1222.9000000000001</v>
      </c>
      <c r="D990" s="116">
        <v>1208.8499999999999</v>
      </c>
      <c r="E990" s="116">
        <v>1230</v>
      </c>
      <c r="F990" s="116">
        <v>1222.9000000000001</v>
      </c>
      <c r="G990">
        <v>21347</v>
      </c>
      <c r="H990" s="116"/>
      <c r="I990" s="116"/>
      <c r="L990" s="170">
        <v>44466</v>
      </c>
      <c r="M990" s="116">
        <v>1222.8</v>
      </c>
      <c r="N990" s="116">
        <v>1233</v>
      </c>
      <c r="O990" s="116">
        <v>1208.8499999999999</v>
      </c>
      <c r="P990" s="116">
        <v>1229.95</v>
      </c>
      <c r="Q990" s="116">
        <v>1222.8</v>
      </c>
      <c r="R990">
        <v>728019</v>
      </c>
    </row>
    <row r="991" spans="1:18" x14ac:dyDescent="0.25">
      <c r="A991" s="170">
        <v>44467</v>
      </c>
      <c r="B991" s="116">
        <v>1228.45</v>
      </c>
      <c r="C991" s="116">
        <v>1209.8</v>
      </c>
      <c r="D991" s="116">
        <v>1202.45</v>
      </c>
      <c r="E991" s="116">
        <v>1225</v>
      </c>
      <c r="F991" s="116">
        <v>1209.8</v>
      </c>
      <c r="G991">
        <v>31508</v>
      </c>
      <c r="H991" s="116"/>
      <c r="I991" s="116"/>
      <c r="L991" s="170">
        <v>44467</v>
      </c>
      <c r="M991" s="116">
        <v>1210.3</v>
      </c>
      <c r="N991" s="116">
        <v>1229.1500000000001</v>
      </c>
      <c r="O991" s="116">
        <v>1202.3</v>
      </c>
      <c r="P991" s="116">
        <v>1222.5</v>
      </c>
      <c r="Q991" s="116">
        <v>1210.3</v>
      </c>
      <c r="R991">
        <v>1588306</v>
      </c>
    </row>
    <row r="992" spans="1:18" x14ac:dyDescent="0.25">
      <c r="A992" s="170">
        <v>44468</v>
      </c>
      <c r="B992" s="116">
        <v>1215.2</v>
      </c>
      <c r="C992" s="116">
        <v>1206.3</v>
      </c>
      <c r="D992" s="116">
        <v>1196.95</v>
      </c>
      <c r="E992" s="116">
        <v>1206</v>
      </c>
      <c r="F992" s="116">
        <v>1206.3</v>
      </c>
      <c r="G992">
        <v>22785</v>
      </c>
      <c r="H992" s="116"/>
      <c r="I992" s="116"/>
      <c r="L992" s="170">
        <v>44468</v>
      </c>
      <c r="M992" s="116">
        <v>1205.95</v>
      </c>
      <c r="N992" s="116">
        <v>1214.8</v>
      </c>
      <c r="O992" s="116">
        <v>1196.8</v>
      </c>
      <c r="P992" s="116">
        <v>1206</v>
      </c>
      <c r="Q992" s="116">
        <v>1205.95</v>
      </c>
      <c r="R992">
        <v>1623118</v>
      </c>
    </row>
    <row r="993" spans="1:18" x14ac:dyDescent="0.25">
      <c r="A993" s="170">
        <v>44469</v>
      </c>
      <c r="B993" s="116">
        <v>1218.95</v>
      </c>
      <c r="C993" s="116">
        <v>1214.75</v>
      </c>
      <c r="D993" s="116">
        <v>1197</v>
      </c>
      <c r="E993" s="116">
        <v>1217.8</v>
      </c>
      <c r="F993" s="116">
        <v>1214.75</v>
      </c>
      <c r="G993">
        <v>39101</v>
      </c>
      <c r="H993" s="116"/>
      <c r="I993" s="116"/>
      <c r="L993" s="170">
        <v>44469</v>
      </c>
      <c r="M993" s="116">
        <v>1215.0999999999999</v>
      </c>
      <c r="N993" s="116">
        <v>1219</v>
      </c>
      <c r="O993" s="116">
        <v>1196.75</v>
      </c>
      <c r="P993" s="116">
        <v>1209.1500000000001</v>
      </c>
      <c r="Q993" s="116">
        <v>1215.0999999999999</v>
      </c>
      <c r="R993">
        <v>1234882</v>
      </c>
    </row>
    <row r="994" spans="1:18" x14ac:dyDescent="0.25">
      <c r="A994" s="170">
        <v>44470</v>
      </c>
      <c r="B994" s="116">
        <v>1217.05</v>
      </c>
      <c r="C994" s="116">
        <v>1209.6500000000001</v>
      </c>
      <c r="D994" s="116">
        <v>1200</v>
      </c>
      <c r="E994" s="116">
        <v>1208.75</v>
      </c>
      <c r="F994" s="116">
        <v>1209.6500000000001</v>
      </c>
      <c r="G994">
        <v>20743</v>
      </c>
      <c r="H994" s="116"/>
      <c r="I994" s="116"/>
      <c r="L994" s="170">
        <v>44470</v>
      </c>
      <c r="M994" s="116">
        <v>1209.05</v>
      </c>
      <c r="N994" s="116">
        <v>1217.55</v>
      </c>
      <c r="O994" s="116">
        <v>1199.4000000000001</v>
      </c>
      <c r="P994" s="116">
        <v>1204</v>
      </c>
      <c r="Q994" s="116">
        <v>1209.05</v>
      </c>
      <c r="R994">
        <v>830634</v>
      </c>
    </row>
    <row r="995" spans="1:18" x14ac:dyDescent="0.25">
      <c r="A995" s="170">
        <v>44473</v>
      </c>
      <c r="B995" s="116">
        <v>1239.95</v>
      </c>
      <c r="C995" s="116">
        <v>1230.3499999999999</v>
      </c>
      <c r="D995" s="116">
        <v>1205.25</v>
      </c>
      <c r="E995" s="116">
        <v>1205.25</v>
      </c>
      <c r="F995" s="116">
        <v>1230.3499999999999</v>
      </c>
      <c r="G995">
        <v>67845</v>
      </c>
      <c r="H995" s="116"/>
      <c r="I995" s="116"/>
      <c r="L995" s="170">
        <v>44473</v>
      </c>
      <c r="M995" s="116">
        <v>1230.8499999999999</v>
      </c>
      <c r="N995" s="116">
        <v>1240</v>
      </c>
      <c r="O995" s="116">
        <v>1206.05</v>
      </c>
      <c r="P995" s="116">
        <v>1211</v>
      </c>
      <c r="Q995" s="116">
        <v>1230.8499999999999</v>
      </c>
      <c r="R995">
        <v>1664614</v>
      </c>
    </row>
    <row r="996" spans="1:18" x14ac:dyDescent="0.25">
      <c r="A996" s="170">
        <v>44474</v>
      </c>
      <c r="B996" s="116">
        <v>1266.95</v>
      </c>
      <c r="C996" s="116">
        <v>1261.25</v>
      </c>
      <c r="D996" s="116">
        <v>1227.0999999999999</v>
      </c>
      <c r="E996" s="116">
        <v>1230.3499999999999</v>
      </c>
      <c r="F996" s="116">
        <v>1261.25</v>
      </c>
      <c r="G996">
        <v>45565</v>
      </c>
      <c r="H996" s="116"/>
      <c r="I996" s="116"/>
      <c r="L996" s="170">
        <v>44474</v>
      </c>
      <c r="M996" s="116">
        <v>1261.95</v>
      </c>
      <c r="N996" s="116">
        <v>1267.5</v>
      </c>
      <c r="O996" s="116">
        <v>1227</v>
      </c>
      <c r="P996" s="116">
        <v>1231</v>
      </c>
      <c r="Q996" s="116">
        <v>1261.95</v>
      </c>
      <c r="R996">
        <v>2282814</v>
      </c>
    </row>
    <row r="997" spans="1:18" x14ac:dyDescent="0.25">
      <c r="A997" s="170">
        <v>44475</v>
      </c>
      <c r="B997" s="116">
        <v>1273.4000000000001</v>
      </c>
      <c r="C997" s="116">
        <v>1211.95</v>
      </c>
      <c r="D997" s="116">
        <v>1206.0999999999999</v>
      </c>
      <c r="E997" s="116">
        <v>1271</v>
      </c>
      <c r="F997" s="116">
        <v>1211.95</v>
      </c>
      <c r="G997">
        <v>90619</v>
      </c>
      <c r="H997" s="116"/>
      <c r="I997" s="116"/>
      <c r="L997" s="170">
        <v>44475</v>
      </c>
      <c r="M997" s="116">
        <v>1212.05</v>
      </c>
      <c r="N997" s="116">
        <v>1273.9000000000001</v>
      </c>
      <c r="O997" s="116">
        <v>1205.4000000000001</v>
      </c>
      <c r="P997" s="116">
        <v>1273</v>
      </c>
      <c r="Q997" s="116">
        <v>1212.05</v>
      </c>
      <c r="R997">
        <v>2630744</v>
      </c>
    </row>
    <row r="998" spans="1:18" x14ac:dyDescent="0.25">
      <c r="A998" s="170">
        <v>44476</v>
      </c>
      <c r="B998" s="116">
        <v>1233.45</v>
      </c>
      <c r="C998" s="116">
        <v>1215.9000000000001</v>
      </c>
      <c r="D998" s="116">
        <v>1207</v>
      </c>
      <c r="E998" s="116">
        <v>1230</v>
      </c>
      <c r="F998" s="116">
        <v>1215.9000000000001</v>
      </c>
      <c r="G998">
        <v>30815</v>
      </c>
      <c r="H998" s="116"/>
      <c r="I998" s="116"/>
      <c r="L998" s="170">
        <v>44476</v>
      </c>
      <c r="M998" s="116">
        <v>1215.05</v>
      </c>
      <c r="N998" s="116">
        <v>1234.2</v>
      </c>
      <c r="O998" s="116">
        <v>1207.2</v>
      </c>
      <c r="P998" s="116">
        <v>1227</v>
      </c>
      <c r="Q998" s="116">
        <v>1215.05</v>
      </c>
      <c r="R998">
        <v>2674007</v>
      </c>
    </row>
    <row r="999" spans="1:18" x14ac:dyDescent="0.25">
      <c r="A999" s="170">
        <v>44477</v>
      </c>
      <c r="B999" s="116">
        <v>1228.95</v>
      </c>
      <c r="C999" s="116">
        <v>1196.5</v>
      </c>
      <c r="D999" s="116">
        <v>1192</v>
      </c>
      <c r="E999" s="116">
        <v>1225</v>
      </c>
      <c r="F999" s="116">
        <v>1196.5</v>
      </c>
      <c r="G999">
        <v>61223</v>
      </c>
      <c r="H999" s="116"/>
      <c r="I999" s="116"/>
      <c r="L999" s="170">
        <v>44477</v>
      </c>
      <c r="M999" s="116">
        <v>1196.45</v>
      </c>
      <c r="N999" s="116">
        <v>1229</v>
      </c>
      <c r="O999" s="116">
        <v>1191.95</v>
      </c>
      <c r="P999" s="116">
        <v>1224.95</v>
      </c>
      <c r="Q999" s="116">
        <v>1196.45</v>
      </c>
      <c r="R999">
        <v>1661548</v>
      </c>
    </row>
    <row r="1000" spans="1:18" x14ac:dyDescent="0.25">
      <c r="A1000" s="170">
        <v>44480</v>
      </c>
      <c r="B1000" s="116">
        <v>1218.0999999999999</v>
      </c>
      <c r="C1000" s="116">
        <v>1207.8</v>
      </c>
      <c r="D1000" s="116">
        <v>1196.5</v>
      </c>
      <c r="E1000" s="116">
        <v>1196.5</v>
      </c>
      <c r="F1000" s="116">
        <v>1207.8</v>
      </c>
      <c r="G1000">
        <v>453723</v>
      </c>
      <c r="H1000" s="116"/>
      <c r="I1000" s="116"/>
      <c r="L1000" s="170">
        <v>44480</v>
      </c>
      <c r="M1000" s="116">
        <v>1206.0999999999999</v>
      </c>
      <c r="N1000" s="116">
        <v>1218.5</v>
      </c>
      <c r="O1000" s="116">
        <v>1199.95</v>
      </c>
      <c r="P1000" s="116">
        <v>1199.95</v>
      </c>
      <c r="Q1000" s="116">
        <v>1206.0999999999999</v>
      </c>
      <c r="R1000">
        <v>822914</v>
      </c>
    </row>
    <row r="1001" spans="1:18" x14ac:dyDescent="0.25">
      <c r="A1001" s="170">
        <v>44481</v>
      </c>
      <c r="B1001" s="116">
        <v>1217.75</v>
      </c>
      <c r="C1001" s="116">
        <v>1210.3499999999999</v>
      </c>
      <c r="D1001" s="116">
        <v>1198.7</v>
      </c>
      <c r="E1001" s="116">
        <v>1217.75</v>
      </c>
      <c r="F1001" s="116">
        <v>1210.3499999999999</v>
      </c>
      <c r="G1001">
        <v>31231</v>
      </c>
      <c r="H1001" s="116"/>
      <c r="I1001" s="116"/>
      <c r="L1001" s="170">
        <v>44481</v>
      </c>
      <c r="M1001" s="116">
        <v>1210.5999999999999</v>
      </c>
      <c r="N1001" s="116">
        <v>1215</v>
      </c>
      <c r="O1001" s="116">
        <v>1198.1500000000001</v>
      </c>
      <c r="P1001" s="116">
        <v>1209</v>
      </c>
      <c r="Q1001" s="116">
        <v>1210.5999999999999</v>
      </c>
      <c r="R1001">
        <v>815338</v>
      </c>
    </row>
    <row r="1002" spans="1:18" x14ac:dyDescent="0.25">
      <c r="A1002" s="170">
        <v>44482</v>
      </c>
      <c r="B1002" s="116">
        <v>1218</v>
      </c>
      <c r="C1002" s="116">
        <v>1192.7</v>
      </c>
      <c r="D1002" s="116">
        <v>1183.9000000000001</v>
      </c>
      <c r="E1002" s="116">
        <v>1218</v>
      </c>
      <c r="F1002" s="116">
        <v>1192.7</v>
      </c>
      <c r="G1002">
        <v>20605</v>
      </c>
      <c r="H1002" s="116"/>
      <c r="I1002" s="116"/>
      <c r="L1002" s="170">
        <v>44482</v>
      </c>
      <c r="M1002" s="116">
        <v>1191.75</v>
      </c>
      <c r="N1002" s="116">
        <v>1218.6500000000001</v>
      </c>
      <c r="O1002" s="116">
        <v>1184.4000000000001</v>
      </c>
      <c r="P1002" s="116">
        <v>1210.5999999999999</v>
      </c>
      <c r="Q1002" s="116">
        <v>1191.75</v>
      </c>
      <c r="R1002">
        <v>1281752</v>
      </c>
    </row>
    <row r="1003" spans="1:18" x14ac:dyDescent="0.25">
      <c r="A1003" s="170">
        <v>44483</v>
      </c>
      <c r="B1003" s="116">
        <v>1200</v>
      </c>
      <c r="C1003" s="116">
        <v>1183.8</v>
      </c>
      <c r="D1003" s="116">
        <v>1174</v>
      </c>
      <c r="E1003" s="116">
        <v>1200</v>
      </c>
      <c r="F1003" s="116">
        <v>1183.8</v>
      </c>
      <c r="G1003">
        <v>58502</v>
      </c>
      <c r="H1003" s="116"/>
      <c r="I1003" s="116"/>
      <c r="L1003" s="170">
        <v>44483</v>
      </c>
      <c r="M1003" s="116">
        <v>1185.55</v>
      </c>
      <c r="N1003" s="116">
        <v>1198.9000000000001</v>
      </c>
      <c r="O1003" s="116">
        <v>1173.8</v>
      </c>
      <c r="P1003" s="116">
        <v>1192.95</v>
      </c>
      <c r="Q1003" s="116">
        <v>1185.55</v>
      </c>
      <c r="R1003">
        <v>2080766</v>
      </c>
    </row>
    <row r="1004" spans="1:18" x14ac:dyDescent="0.25">
      <c r="A1004" s="170">
        <v>44487</v>
      </c>
      <c r="B1004" s="116">
        <v>1213.0999999999999</v>
      </c>
      <c r="C1004" s="116">
        <v>1193.1500000000001</v>
      </c>
      <c r="D1004" s="116">
        <v>1191</v>
      </c>
      <c r="E1004" s="116">
        <v>1213.05</v>
      </c>
      <c r="F1004" s="116">
        <v>1193.1500000000001</v>
      </c>
      <c r="G1004">
        <v>35374</v>
      </c>
      <c r="H1004" s="116"/>
      <c r="I1004" s="116"/>
      <c r="L1004" s="170">
        <v>44487</v>
      </c>
      <c r="M1004" s="116">
        <v>1192.5</v>
      </c>
      <c r="N1004" s="116">
        <v>1220</v>
      </c>
      <c r="O1004" s="116">
        <v>1185.55</v>
      </c>
      <c r="P1004" s="116">
        <v>1220</v>
      </c>
      <c r="Q1004" s="116">
        <v>1192.5</v>
      </c>
      <c r="R1004">
        <v>934860</v>
      </c>
    </row>
    <row r="1005" spans="1:18" x14ac:dyDescent="0.25">
      <c r="A1005" s="170">
        <v>44488</v>
      </c>
      <c r="B1005" s="116">
        <v>1215.8</v>
      </c>
      <c r="C1005" s="116">
        <v>1193.3</v>
      </c>
      <c r="D1005" s="116">
        <v>1186.7</v>
      </c>
      <c r="E1005" s="116">
        <v>1201.3499999999999</v>
      </c>
      <c r="F1005" s="116">
        <v>1193.3</v>
      </c>
      <c r="G1005">
        <v>47077</v>
      </c>
      <c r="H1005" s="116"/>
      <c r="I1005" s="116"/>
      <c r="L1005" s="170">
        <v>44488</v>
      </c>
      <c r="M1005" s="116">
        <v>1193.45</v>
      </c>
      <c r="N1005" s="116">
        <v>1215.9000000000001</v>
      </c>
      <c r="O1005" s="116">
        <v>1186.55</v>
      </c>
      <c r="P1005" s="116">
        <v>1193.5</v>
      </c>
      <c r="Q1005" s="116">
        <v>1193.45</v>
      </c>
      <c r="R1005">
        <v>1313098</v>
      </c>
    </row>
    <row r="1006" spans="1:18" x14ac:dyDescent="0.25">
      <c r="A1006" s="170">
        <v>44489</v>
      </c>
      <c r="B1006" s="116">
        <v>1208</v>
      </c>
      <c r="C1006" s="116">
        <v>1168.55</v>
      </c>
      <c r="D1006" s="116">
        <v>1156.25</v>
      </c>
      <c r="E1006" s="116">
        <v>1208</v>
      </c>
      <c r="F1006" s="116">
        <v>1168.55</v>
      </c>
      <c r="G1006">
        <v>456601</v>
      </c>
      <c r="H1006" s="116"/>
      <c r="I1006" s="116"/>
      <c r="L1006" s="170">
        <v>44489</v>
      </c>
      <c r="M1006" s="116">
        <v>1168.75</v>
      </c>
      <c r="N1006" s="116">
        <v>1203</v>
      </c>
      <c r="O1006" s="116">
        <v>1155.9000000000001</v>
      </c>
      <c r="P1006" s="116">
        <v>1199</v>
      </c>
      <c r="Q1006" s="116">
        <v>1168.75</v>
      </c>
      <c r="R1006">
        <v>2063277</v>
      </c>
    </row>
    <row r="1007" spans="1:18" x14ac:dyDescent="0.25">
      <c r="A1007" s="170">
        <v>44490</v>
      </c>
      <c r="B1007" s="116">
        <v>1184.3499999999999</v>
      </c>
      <c r="C1007" s="116">
        <v>1157.55</v>
      </c>
      <c r="D1007" s="116">
        <v>1137.5999999999999</v>
      </c>
      <c r="E1007" s="116">
        <v>1172</v>
      </c>
      <c r="F1007" s="116">
        <v>1157.55</v>
      </c>
      <c r="G1007">
        <v>38334</v>
      </c>
      <c r="H1007" s="116"/>
      <c r="I1007" s="116"/>
      <c r="L1007" s="170">
        <v>44490</v>
      </c>
      <c r="M1007" s="116">
        <v>1158.3</v>
      </c>
      <c r="N1007" s="116">
        <v>1184.45</v>
      </c>
      <c r="O1007" s="116">
        <v>1138.05</v>
      </c>
      <c r="P1007" s="116">
        <v>1170</v>
      </c>
      <c r="Q1007" s="116">
        <v>1158.3</v>
      </c>
      <c r="R1007">
        <v>1985866</v>
      </c>
    </row>
    <row r="1008" spans="1:18" x14ac:dyDescent="0.25">
      <c r="A1008" s="170">
        <v>44491</v>
      </c>
      <c r="B1008" s="116">
        <v>1177.2</v>
      </c>
      <c r="C1008" s="116">
        <v>1165.55</v>
      </c>
      <c r="D1008" s="116">
        <v>1141.8</v>
      </c>
      <c r="E1008" s="116">
        <v>1177.2</v>
      </c>
      <c r="F1008" s="116">
        <v>1165.55</v>
      </c>
      <c r="G1008">
        <v>37951</v>
      </c>
      <c r="H1008" s="116"/>
      <c r="I1008" s="116"/>
      <c r="L1008" s="170">
        <v>44491</v>
      </c>
      <c r="M1008" s="116">
        <v>1167.2</v>
      </c>
      <c r="N1008" s="116">
        <v>1171.8</v>
      </c>
      <c r="O1008" s="116">
        <v>1141.7</v>
      </c>
      <c r="P1008" s="116">
        <v>1168</v>
      </c>
      <c r="Q1008" s="116">
        <v>1167.2</v>
      </c>
      <c r="R1008">
        <v>1112991</v>
      </c>
    </row>
    <row r="1009" spans="1:18" x14ac:dyDescent="0.25">
      <c r="A1009" s="170">
        <v>44494</v>
      </c>
      <c r="B1009" s="116">
        <v>1167.5</v>
      </c>
      <c r="C1009" s="116">
        <v>1130.3499999999999</v>
      </c>
      <c r="D1009" s="116">
        <v>1127</v>
      </c>
      <c r="E1009" s="116">
        <v>1166</v>
      </c>
      <c r="F1009" s="116">
        <v>1130.3499999999999</v>
      </c>
      <c r="G1009">
        <v>36779</v>
      </c>
      <c r="H1009" s="116"/>
      <c r="I1009" s="116"/>
      <c r="L1009" s="170">
        <v>44494</v>
      </c>
      <c r="M1009" s="116">
        <v>1129.7</v>
      </c>
      <c r="N1009" s="116">
        <v>1166.95</v>
      </c>
      <c r="O1009" s="116">
        <v>1126.3</v>
      </c>
      <c r="P1009" s="116">
        <v>1157.5999999999999</v>
      </c>
      <c r="Q1009" s="116">
        <v>1129.7</v>
      </c>
      <c r="R1009">
        <v>1843700</v>
      </c>
    </row>
    <row r="1010" spans="1:18" x14ac:dyDescent="0.25">
      <c r="A1010" s="170">
        <v>44495</v>
      </c>
      <c r="B1010" s="116">
        <v>1177.95</v>
      </c>
      <c r="C1010" s="116">
        <v>1171.6500000000001</v>
      </c>
      <c r="D1010" s="116">
        <v>1131.05</v>
      </c>
      <c r="E1010" s="116">
        <v>1131.05</v>
      </c>
      <c r="F1010" s="116">
        <v>1171.6500000000001</v>
      </c>
      <c r="G1010">
        <v>45806</v>
      </c>
      <c r="H1010" s="116"/>
      <c r="I1010" s="116"/>
      <c r="L1010" s="170">
        <v>44495</v>
      </c>
      <c r="M1010" s="116">
        <v>1172.05</v>
      </c>
      <c r="N1010" s="116">
        <v>1178.3</v>
      </c>
      <c r="O1010" s="116">
        <v>1134</v>
      </c>
      <c r="P1010" s="116">
        <v>1135</v>
      </c>
      <c r="Q1010" s="116">
        <v>1172.05</v>
      </c>
      <c r="R1010">
        <v>1572647</v>
      </c>
    </row>
    <row r="1011" spans="1:18" x14ac:dyDescent="0.25">
      <c r="A1011" s="170">
        <v>44496</v>
      </c>
      <c r="B1011" s="116">
        <v>1202</v>
      </c>
      <c r="C1011" s="116">
        <v>1183.95</v>
      </c>
      <c r="D1011" s="116">
        <v>1175.95</v>
      </c>
      <c r="E1011" s="116">
        <v>1179.8</v>
      </c>
      <c r="F1011" s="116">
        <v>1183.95</v>
      </c>
      <c r="G1011">
        <v>44284</v>
      </c>
      <c r="H1011" s="116"/>
      <c r="I1011" s="116"/>
      <c r="L1011" s="170">
        <v>44496</v>
      </c>
      <c r="M1011" s="116">
        <v>1186</v>
      </c>
      <c r="N1011" s="116">
        <v>1202.05</v>
      </c>
      <c r="O1011" s="116">
        <v>1175.3</v>
      </c>
      <c r="P1011" s="116">
        <v>1175.4000000000001</v>
      </c>
      <c r="Q1011" s="116">
        <v>1186</v>
      </c>
      <c r="R1011">
        <v>1916766</v>
      </c>
    </row>
    <row r="1012" spans="1:18" x14ac:dyDescent="0.25">
      <c r="A1012" s="170">
        <v>44497</v>
      </c>
      <c r="B1012" s="116">
        <v>1222.1500000000001</v>
      </c>
      <c r="C1012" s="116">
        <v>1168.55</v>
      </c>
      <c r="D1012" s="116">
        <v>1158.55</v>
      </c>
      <c r="E1012" s="116">
        <v>1208</v>
      </c>
      <c r="F1012" s="116">
        <v>1168.55</v>
      </c>
      <c r="G1012">
        <v>172488</v>
      </c>
      <c r="H1012" s="116"/>
      <c r="I1012" s="116"/>
      <c r="L1012" s="170">
        <v>44497</v>
      </c>
      <c r="M1012" s="116">
        <v>1167.0999999999999</v>
      </c>
      <c r="N1012" s="116">
        <v>1221.75</v>
      </c>
      <c r="O1012" s="116">
        <v>1158.0999999999999</v>
      </c>
      <c r="P1012" s="116">
        <v>1210</v>
      </c>
      <c r="Q1012" s="116">
        <v>1167.0999999999999</v>
      </c>
      <c r="R1012">
        <v>3565017</v>
      </c>
    </row>
    <row r="1013" spans="1:18" x14ac:dyDescent="0.25">
      <c r="A1013" s="170">
        <v>44498</v>
      </c>
      <c r="B1013" s="116">
        <v>1179.9000000000001</v>
      </c>
      <c r="C1013" s="116">
        <v>1145.7</v>
      </c>
      <c r="D1013" s="116">
        <v>1142.8</v>
      </c>
      <c r="E1013" s="116">
        <v>1173.1500000000001</v>
      </c>
      <c r="F1013" s="116">
        <v>1145.7</v>
      </c>
      <c r="G1013">
        <v>49096</v>
      </c>
      <c r="H1013" s="116"/>
      <c r="I1013" s="116"/>
      <c r="L1013" s="170">
        <v>44498</v>
      </c>
      <c r="M1013" s="116">
        <v>1145.55</v>
      </c>
      <c r="N1013" s="116">
        <v>1180</v>
      </c>
      <c r="O1013" s="116">
        <v>1142.0999999999999</v>
      </c>
      <c r="P1013" s="116">
        <v>1167.0999999999999</v>
      </c>
      <c r="Q1013" s="116">
        <v>1145.55</v>
      </c>
      <c r="R1013">
        <v>1518940</v>
      </c>
    </row>
    <row r="1014" spans="1:18" x14ac:dyDescent="0.25">
      <c r="A1014" s="170">
        <v>44501</v>
      </c>
      <c r="B1014" s="116">
        <v>1173.1500000000001</v>
      </c>
      <c r="C1014" s="116">
        <v>1162</v>
      </c>
      <c r="D1014" s="116">
        <v>1139.5</v>
      </c>
      <c r="E1014" s="116">
        <v>1145</v>
      </c>
      <c r="F1014" s="116">
        <v>1162</v>
      </c>
      <c r="G1014">
        <v>35367</v>
      </c>
      <c r="H1014" s="116"/>
      <c r="I1014" s="116"/>
      <c r="L1014" s="170">
        <v>44501</v>
      </c>
      <c r="M1014" s="116">
        <v>1163.3499999999999</v>
      </c>
      <c r="N1014" s="116">
        <v>1173.05</v>
      </c>
      <c r="O1014" s="116">
        <v>1138.55</v>
      </c>
      <c r="P1014" s="116">
        <v>1148</v>
      </c>
      <c r="Q1014" s="116">
        <v>1163.3499999999999</v>
      </c>
      <c r="R1014">
        <v>972538</v>
      </c>
    </row>
    <row r="1015" spans="1:18" x14ac:dyDescent="0.25">
      <c r="A1015" s="170">
        <v>44502</v>
      </c>
      <c r="B1015" s="116">
        <v>1172</v>
      </c>
      <c r="C1015" s="116">
        <v>1165.5</v>
      </c>
      <c r="D1015" s="116">
        <v>1155.55</v>
      </c>
      <c r="E1015" s="116">
        <v>1166.9000000000001</v>
      </c>
      <c r="F1015" s="116">
        <v>1165.5</v>
      </c>
      <c r="G1015">
        <v>20322</v>
      </c>
      <c r="H1015" s="116"/>
      <c r="I1015" s="116"/>
      <c r="L1015" s="170">
        <v>44502</v>
      </c>
      <c r="M1015" s="116">
        <v>1166.05</v>
      </c>
      <c r="N1015" s="116">
        <v>1172.25</v>
      </c>
      <c r="O1015" s="116">
        <v>1155.3</v>
      </c>
      <c r="P1015" s="116">
        <v>1163.3499999999999</v>
      </c>
      <c r="Q1015" s="116">
        <v>1166.05</v>
      </c>
      <c r="R1015">
        <v>1159884</v>
      </c>
    </row>
    <row r="1016" spans="1:18" x14ac:dyDescent="0.25">
      <c r="A1016" s="170">
        <v>44503</v>
      </c>
      <c r="B1016" s="116">
        <v>1198.05</v>
      </c>
      <c r="C1016" s="116">
        <v>1178.4000000000001</v>
      </c>
      <c r="D1016" s="116">
        <v>1167.0999999999999</v>
      </c>
      <c r="E1016" s="116">
        <v>1178.2</v>
      </c>
      <c r="F1016" s="116">
        <v>1178.4000000000001</v>
      </c>
      <c r="G1016">
        <v>57551</v>
      </c>
      <c r="H1016" s="116"/>
      <c r="I1016" s="116"/>
      <c r="L1016" s="170">
        <v>44503</v>
      </c>
      <c r="M1016" s="116">
        <v>1178.8</v>
      </c>
      <c r="N1016" s="116">
        <v>1198.4000000000001</v>
      </c>
      <c r="O1016" s="116">
        <v>1167</v>
      </c>
      <c r="P1016" s="116">
        <v>1170</v>
      </c>
      <c r="Q1016" s="116">
        <v>1178.8</v>
      </c>
      <c r="R1016">
        <v>1941052</v>
      </c>
    </row>
    <row r="1017" spans="1:18" x14ac:dyDescent="0.25">
      <c r="A1017" s="170">
        <v>44504</v>
      </c>
      <c r="B1017" s="116">
        <v>1198.3</v>
      </c>
      <c r="C1017" s="116">
        <v>1182.0999999999999</v>
      </c>
      <c r="D1017" s="116">
        <v>1174.9000000000001</v>
      </c>
      <c r="E1017" s="116">
        <v>1198.3</v>
      </c>
      <c r="F1017" s="116">
        <v>1182.0999999999999</v>
      </c>
      <c r="G1017">
        <v>8718</v>
      </c>
      <c r="H1017" s="116"/>
      <c r="I1017" s="116"/>
      <c r="L1017" s="170">
        <v>44504</v>
      </c>
      <c r="M1017" s="116">
        <v>1181.75</v>
      </c>
      <c r="N1017" s="116">
        <v>1189.95</v>
      </c>
      <c r="O1017" s="116">
        <v>1172.55</v>
      </c>
      <c r="P1017" s="116">
        <v>1189.95</v>
      </c>
      <c r="Q1017" s="116">
        <v>1181.75</v>
      </c>
      <c r="R1017">
        <v>119047</v>
      </c>
    </row>
    <row r="1018" spans="1:18" x14ac:dyDescent="0.25">
      <c r="A1018" s="170">
        <v>44508</v>
      </c>
      <c r="B1018" s="116">
        <v>1202.9000000000001</v>
      </c>
      <c r="C1018" s="116">
        <v>1199.9000000000001</v>
      </c>
      <c r="D1018" s="116">
        <v>1177.7</v>
      </c>
      <c r="E1018" s="116">
        <v>1182.5</v>
      </c>
      <c r="F1018" s="116">
        <v>1199.9000000000001</v>
      </c>
      <c r="G1018">
        <v>49063</v>
      </c>
      <c r="H1018" s="116"/>
      <c r="I1018" s="116"/>
      <c r="L1018" s="170">
        <v>44508</v>
      </c>
      <c r="M1018" s="116">
        <v>1200.6500000000001</v>
      </c>
      <c r="N1018" s="116">
        <v>1202.0999999999999</v>
      </c>
      <c r="O1018" s="116">
        <v>1177.3499999999999</v>
      </c>
      <c r="P1018" s="116">
        <v>1183</v>
      </c>
      <c r="Q1018" s="116">
        <v>1200.6500000000001</v>
      </c>
      <c r="R1018">
        <v>1361707</v>
      </c>
    </row>
    <row r="1019" spans="1:18" x14ac:dyDescent="0.25">
      <c r="A1019" s="170">
        <v>44509</v>
      </c>
      <c r="B1019" s="116">
        <v>1218.45</v>
      </c>
      <c r="C1019" s="116">
        <v>1207.25</v>
      </c>
      <c r="D1019" s="116">
        <v>1192.5</v>
      </c>
      <c r="E1019" s="116">
        <v>1218.45</v>
      </c>
      <c r="F1019" s="116">
        <v>1207.25</v>
      </c>
      <c r="G1019">
        <v>18721</v>
      </c>
      <c r="H1019" s="116"/>
      <c r="I1019" s="116"/>
      <c r="L1019" s="170">
        <v>44509</v>
      </c>
      <c r="M1019" s="116">
        <v>1207.25</v>
      </c>
      <c r="N1019" s="116">
        <v>1212</v>
      </c>
      <c r="O1019" s="116">
        <v>1192.4000000000001</v>
      </c>
      <c r="P1019" s="116">
        <v>1212</v>
      </c>
      <c r="Q1019" s="116">
        <v>1207.25</v>
      </c>
      <c r="R1019">
        <v>1521269</v>
      </c>
    </row>
    <row r="1020" spans="1:18" x14ac:dyDescent="0.25">
      <c r="A1020" s="170">
        <v>44510</v>
      </c>
      <c r="B1020" s="116">
        <v>1204</v>
      </c>
      <c r="C1020" s="116">
        <v>1183.7</v>
      </c>
      <c r="D1020" s="116">
        <v>1180.8</v>
      </c>
      <c r="E1020" s="116">
        <v>1203</v>
      </c>
      <c r="F1020" s="116">
        <v>1183.7</v>
      </c>
      <c r="G1020">
        <v>19650</v>
      </c>
      <c r="H1020" s="116"/>
      <c r="I1020" s="116"/>
      <c r="L1020" s="170">
        <v>44510</v>
      </c>
      <c r="M1020" s="116">
        <v>1183.75</v>
      </c>
      <c r="N1020" s="116">
        <v>1204.8</v>
      </c>
      <c r="O1020" s="116">
        <v>1181.05</v>
      </c>
      <c r="P1020" s="116">
        <v>1197.0999999999999</v>
      </c>
      <c r="Q1020" s="116">
        <v>1183.75</v>
      </c>
      <c r="R1020">
        <v>842679</v>
      </c>
    </row>
    <row r="1021" spans="1:18" x14ac:dyDescent="0.25">
      <c r="A1021" s="170">
        <v>44511</v>
      </c>
      <c r="B1021" s="116">
        <v>1190.7</v>
      </c>
      <c r="C1021" s="116">
        <v>1153.7</v>
      </c>
      <c r="D1021" s="116">
        <v>1150.25</v>
      </c>
      <c r="E1021" s="116">
        <v>1183.7</v>
      </c>
      <c r="F1021" s="116">
        <v>1153.7</v>
      </c>
      <c r="G1021">
        <v>35524</v>
      </c>
      <c r="H1021" s="116"/>
      <c r="I1021" s="116"/>
      <c r="L1021" s="170">
        <v>44511</v>
      </c>
      <c r="M1021" s="116">
        <v>1153.2</v>
      </c>
      <c r="N1021" s="116">
        <v>1192.0999999999999</v>
      </c>
      <c r="O1021" s="116">
        <v>1150.0999999999999</v>
      </c>
      <c r="P1021" s="116">
        <v>1178</v>
      </c>
      <c r="Q1021" s="116">
        <v>1153.2</v>
      </c>
      <c r="R1021">
        <v>1271079</v>
      </c>
    </row>
    <row r="1022" spans="1:18" x14ac:dyDescent="0.25">
      <c r="A1022" s="170">
        <v>44512</v>
      </c>
      <c r="B1022" s="116">
        <v>1176.95</v>
      </c>
      <c r="C1022" s="116">
        <v>1174.8</v>
      </c>
      <c r="D1022" s="116">
        <v>1147.1500000000001</v>
      </c>
      <c r="E1022" s="116">
        <v>1163.55</v>
      </c>
      <c r="F1022" s="116">
        <v>1174.8</v>
      </c>
      <c r="G1022">
        <v>36773</v>
      </c>
      <c r="H1022" s="116"/>
      <c r="I1022" s="116"/>
      <c r="L1022" s="170">
        <v>44512</v>
      </c>
      <c r="M1022" s="116">
        <v>1174.9000000000001</v>
      </c>
      <c r="N1022" s="116">
        <v>1177</v>
      </c>
      <c r="O1022" s="116">
        <v>1147.5999999999999</v>
      </c>
      <c r="P1022" s="116">
        <v>1154</v>
      </c>
      <c r="Q1022" s="116">
        <v>1174.9000000000001</v>
      </c>
      <c r="R1022">
        <v>1281030</v>
      </c>
    </row>
    <row r="1023" spans="1:18" x14ac:dyDescent="0.25">
      <c r="A1023" s="170">
        <v>44515</v>
      </c>
      <c r="B1023" s="116">
        <v>1187.05</v>
      </c>
      <c r="C1023" s="116">
        <v>1160</v>
      </c>
      <c r="D1023" s="116">
        <v>1155.7</v>
      </c>
      <c r="E1023" s="116">
        <v>1187.05</v>
      </c>
      <c r="F1023" s="116">
        <v>1160</v>
      </c>
      <c r="G1023">
        <v>16235</v>
      </c>
      <c r="H1023" s="116"/>
      <c r="I1023" s="116"/>
      <c r="L1023" s="170">
        <v>44515</v>
      </c>
      <c r="M1023" s="116">
        <v>1159.9000000000001</v>
      </c>
      <c r="N1023" s="116">
        <v>1179.5</v>
      </c>
      <c r="O1023" s="116">
        <v>1155.5</v>
      </c>
      <c r="P1023" s="116">
        <v>1177.2</v>
      </c>
      <c r="Q1023" s="116">
        <v>1159.9000000000001</v>
      </c>
      <c r="R1023">
        <v>662558</v>
      </c>
    </row>
    <row r="1024" spans="1:18" x14ac:dyDescent="0.25">
      <c r="A1024" s="170">
        <v>44516</v>
      </c>
      <c r="B1024" s="116">
        <v>1172.0999999999999</v>
      </c>
      <c r="C1024" s="116">
        <v>1152.9000000000001</v>
      </c>
      <c r="D1024" s="116">
        <v>1151</v>
      </c>
      <c r="E1024" s="116">
        <v>1170.95</v>
      </c>
      <c r="F1024" s="116">
        <v>1152.9000000000001</v>
      </c>
      <c r="G1024">
        <v>20438</v>
      </c>
      <c r="H1024" s="116"/>
      <c r="I1024" s="116"/>
      <c r="L1024" s="170">
        <v>44516</v>
      </c>
      <c r="M1024" s="116">
        <v>1153</v>
      </c>
      <c r="N1024" s="116">
        <v>1174.1500000000001</v>
      </c>
      <c r="O1024" s="116">
        <v>1150.6500000000001</v>
      </c>
      <c r="P1024" s="116">
        <v>1169.9000000000001</v>
      </c>
      <c r="Q1024" s="116">
        <v>1153</v>
      </c>
      <c r="R1024">
        <v>694696</v>
      </c>
    </row>
    <row r="1025" spans="1:18" x14ac:dyDescent="0.25">
      <c r="A1025" s="170">
        <v>44517</v>
      </c>
      <c r="B1025" s="116">
        <v>1195.95</v>
      </c>
      <c r="C1025" s="116">
        <v>1187</v>
      </c>
      <c r="D1025" s="116">
        <v>1152</v>
      </c>
      <c r="E1025" s="116">
        <v>1158.05</v>
      </c>
      <c r="F1025" s="116">
        <v>1187</v>
      </c>
      <c r="G1025">
        <v>79453</v>
      </c>
      <c r="H1025" s="116"/>
      <c r="I1025" s="116"/>
      <c r="L1025" s="170">
        <v>44517</v>
      </c>
      <c r="M1025" s="116">
        <v>1187.2</v>
      </c>
      <c r="N1025" s="116">
        <v>1196.95</v>
      </c>
      <c r="O1025" s="116">
        <v>1150</v>
      </c>
      <c r="P1025" s="116">
        <v>1150</v>
      </c>
      <c r="Q1025" s="116">
        <v>1187.2</v>
      </c>
      <c r="R1025">
        <v>2862829</v>
      </c>
    </row>
    <row r="1026" spans="1:18" x14ac:dyDescent="0.25">
      <c r="A1026" s="170">
        <v>44518</v>
      </c>
      <c r="B1026" s="116">
        <v>1204.4000000000001</v>
      </c>
      <c r="C1026" s="116">
        <v>1181.8</v>
      </c>
      <c r="D1026" s="116">
        <v>1179.45</v>
      </c>
      <c r="E1026" s="116">
        <v>1190</v>
      </c>
      <c r="F1026" s="116">
        <v>1181.8</v>
      </c>
      <c r="G1026">
        <v>33377</v>
      </c>
      <c r="H1026" s="116"/>
      <c r="I1026" s="116"/>
      <c r="L1026" s="170">
        <v>44518</v>
      </c>
      <c r="M1026" s="116">
        <v>1182.05</v>
      </c>
      <c r="N1026" s="116">
        <v>1205</v>
      </c>
      <c r="O1026" s="116">
        <v>1178.5</v>
      </c>
      <c r="P1026" s="116">
        <v>1190</v>
      </c>
      <c r="Q1026" s="116">
        <v>1182.05</v>
      </c>
      <c r="R1026">
        <v>1527355</v>
      </c>
    </row>
    <row r="1027" spans="1:18" x14ac:dyDescent="0.25">
      <c r="A1027" s="170">
        <v>44522</v>
      </c>
      <c r="B1027" s="116">
        <v>1190</v>
      </c>
      <c r="C1027" s="116">
        <v>1150.45</v>
      </c>
      <c r="D1027" s="116">
        <v>1138.25</v>
      </c>
      <c r="E1027" s="116">
        <v>1190</v>
      </c>
      <c r="F1027" s="116">
        <v>1150.45</v>
      </c>
      <c r="G1027">
        <v>38838</v>
      </c>
      <c r="H1027" s="116"/>
      <c r="I1027" s="116"/>
      <c r="L1027" s="170">
        <v>44522</v>
      </c>
      <c r="M1027" s="116">
        <v>1150.6500000000001</v>
      </c>
      <c r="N1027" s="116">
        <v>1189.6500000000001</v>
      </c>
      <c r="O1027" s="116">
        <v>1137.1500000000001</v>
      </c>
      <c r="P1027" s="116">
        <v>1182.05</v>
      </c>
      <c r="Q1027" s="116">
        <v>1150.6500000000001</v>
      </c>
      <c r="R1027">
        <v>772737</v>
      </c>
    </row>
    <row r="1028" spans="1:18" x14ac:dyDescent="0.25">
      <c r="A1028" s="170">
        <v>44523</v>
      </c>
      <c r="B1028" s="116">
        <v>1158.3499999999999</v>
      </c>
      <c r="C1028" s="116">
        <v>1153.3499999999999</v>
      </c>
      <c r="D1028" s="116">
        <v>1132.45</v>
      </c>
      <c r="E1028" s="116">
        <v>1150</v>
      </c>
      <c r="F1028" s="116">
        <v>1153.3499999999999</v>
      </c>
      <c r="G1028">
        <v>34930</v>
      </c>
      <c r="H1028" s="116"/>
      <c r="I1028" s="116"/>
      <c r="L1028" s="170">
        <v>44523</v>
      </c>
      <c r="M1028" s="116">
        <v>1153.5</v>
      </c>
      <c r="N1028" s="116">
        <v>1159.2</v>
      </c>
      <c r="O1028" s="116">
        <v>1131.55</v>
      </c>
      <c r="P1028" s="116">
        <v>1143.5999999999999</v>
      </c>
      <c r="Q1028" s="116">
        <v>1153.5</v>
      </c>
      <c r="R1028">
        <v>820238</v>
      </c>
    </row>
    <row r="1029" spans="1:18" x14ac:dyDescent="0.25">
      <c r="A1029" s="170">
        <v>44524</v>
      </c>
      <c r="B1029" s="116">
        <v>1180.55</v>
      </c>
      <c r="C1029" s="116">
        <v>1161.05</v>
      </c>
      <c r="D1029" s="116">
        <v>1153.3</v>
      </c>
      <c r="E1029" s="116">
        <v>1158</v>
      </c>
      <c r="F1029" s="116">
        <v>1161.05</v>
      </c>
      <c r="G1029">
        <v>30026</v>
      </c>
      <c r="H1029" s="116"/>
      <c r="I1029" s="116"/>
      <c r="L1029" s="170">
        <v>44524</v>
      </c>
      <c r="M1029" s="116">
        <v>1163.75</v>
      </c>
      <c r="N1029" s="116">
        <v>1181.3499999999999</v>
      </c>
      <c r="O1029" s="116">
        <v>1152</v>
      </c>
      <c r="P1029" s="116">
        <v>1159.25</v>
      </c>
      <c r="Q1029" s="116">
        <v>1163.75</v>
      </c>
      <c r="R1029">
        <v>1136850</v>
      </c>
    </row>
    <row r="1030" spans="1:18" x14ac:dyDescent="0.25">
      <c r="A1030" s="170">
        <v>44525</v>
      </c>
      <c r="B1030" s="116">
        <v>1173.95</v>
      </c>
      <c r="C1030" s="116">
        <v>1159.0999999999999</v>
      </c>
      <c r="D1030" s="116">
        <v>1152.5</v>
      </c>
      <c r="E1030" s="116">
        <v>1162</v>
      </c>
      <c r="F1030" s="116">
        <v>1159.0999999999999</v>
      </c>
      <c r="G1030">
        <v>23646</v>
      </c>
      <c r="H1030" s="116"/>
      <c r="I1030" s="116"/>
      <c r="L1030" s="170">
        <v>44525</v>
      </c>
      <c r="M1030" s="116">
        <v>1159.5</v>
      </c>
      <c r="N1030" s="116">
        <v>1174</v>
      </c>
      <c r="O1030" s="116">
        <v>1152.5</v>
      </c>
      <c r="P1030" s="116">
        <v>1157.75</v>
      </c>
      <c r="Q1030" s="116">
        <v>1159.5</v>
      </c>
      <c r="R1030">
        <v>768462</v>
      </c>
    </row>
    <row r="1031" spans="1:18" x14ac:dyDescent="0.25">
      <c r="A1031" s="170">
        <v>44526</v>
      </c>
      <c r="B1031" s="116">
        <v>1159.95</v>
      </c>
      <c r="C1031" s="116">
        <v>1128.4000000000001</v>
      </c>
      <c r="D1031" s="116">
        <v>1105.8499999999999</v>
      </c>
      <c r="E1031" s="116">
        <v>1159.95</v>
      </c>
      <c r="F1031" s="116">
        <v>1128.4000000000001</v>
      </c>
      <c r="G1031">
        <v>53309</v>
      </c>
      <c r="H1031" s="116"/>
      <c r="I1031" s="116"/>
      <c r="L1031" s="170">
        <v>44526</v>
      </c>
      <c r="M1031" s="116">
        <v>1130.3499999999999</v>
      </c>
      <c r="N1031" s="116">
        <v>1154</v>
      </c>
      <c r="O1031" s="116">
        <v>1105.25</v>
      </c>
      <c r="P1031" s="116">
        <v>1154</v>
      </c>
      <c r="Q1031" s="116">
        <v>1130.3499999999999</v>
      </c>
      <c r="R1031">
        <v>2315515</v>
      </c>
    </row>
    <row r="1032" spans="1:18" x14ac:dyDescent="0.25">
      <c r="A1032" s="170">
        <v>44529</v>
      </c>
      <c r="B1032" s="116">
        <v>1147.5999999999999</v>
      </c>
      <c r="C1032" s="116">
        <v>1137.0999999999999</v>
      </c>
      <c r="D1032" s="116">
        <v>1104.05</v>
      </c>
      <c r="E1032" s="116">
        <v>1120</v>
      </c>
      <c r="F1032" s="116">
        <v>1137.0999999999999</v>
      </c>
      <c r="G1032">
        <v>33390</v>
      </c>
      <c r="H1032" s="116"/>
      <c r="I1032" s="116"/>
      <c r="L1032" s="170">
        <v>44529</v>
      </c>
      <c r="M1032" s="116">
        <v>1136.25</v>
      </c>
      <c r="N1032" s="116">
        <v>1147.8499999999999</v>
      </c>
      <c r="O1032" s="116">
        <v>1103.75</v>
      </c>
      <c r="P1032" s="116">
        <v>1112</v>
      </c>
      <c r="Q1032" s="116">
        <v>1136.25</v>
      </c>
      <c r="R1032">
        <v>1120859</v>
      </c>
    </row>
    <row r="1033" spans="1:18" x14ac:dyDescent="0.25">
      <c r="A1033" s="170">
        <v>44530</v>
      </c>
      <c r="B1033" s="116">
        <v>1167.25</v>
      </c>
      <c r="C1033" s="116">
        <v>1160.9000000000001</v>
      </c>
      <c r="D1033" s="116">
        <v>1135</v>
      </c>
      <c r="E1033" s="116">
        <v>1136</v>
      </c>
      <c r="F1033" s="116">
        <v>1160.9000000000001</v>
      </c>
      <c r="G1033">
        <v>39907</v>
      </c>
      <c r="H1033" s="116"/>
      <c r="I1033" s="116"/>
      <c r="L1033" s="170">
        <v>44530</v>
      </c>
      <c r="M1033" s="116">
        <v>1160.55</v>
      </c>
      <c r="N1033" s="116">
        <v>1167.9000000000001</v>
      </c>
      <c r="O1033" s="116">
        <v>1134.1500000000001</v>
      </c>
      <c r="P1033" s="116">
        <v>1135</v>
      </c>
      <c r="Q1033" s="116">
        <v>1160.55</v>
      </c>
      <c r="R1033">
        <v>2253521</v>
      </c>
    </row>
    <row r="1034" spans="1:18" x14ac:dyDescent="0.25">
      <c r="A1034" s="170">
        <v>44531</v>
      </c>
      <c r="B1034" s="116">
        <v>1179</v>
      </c>
      <c r="C1034" s="116">
        <v>1164</v>
      </c>
      <c r="D1034" s="116">
        <v>1149.8499999999999</v>
      </c>
      <c r="E1034" s="116">
        <v>1149.8499999999999</v>
      </c>
      <c r="F1034" s="116">
        <v>1164</v>
      </c>
      <c r="G1034">
        <v>38431</v>
      </c>
      <c r="H1034" s="116"/>
      <c r="I1034" s="116"/>
      <c r="L1034" s="170">
        <v>44531</v>
      </c>
      <c r="M1034" s="116">
        <v>1164.8499999999999</v>
      </c>
      <c r="N1034" s="116">
        <v>1179.45</v>
      </c>
      <c r="O1034" s="116">
        <v>1155.5</v>
      </c>
      <c r="P1034" s="116">
        <v>1160.8</v>
      </c>
      <c r="Q1034" s="116">
        <v>1164.8499999999999</v>
      </c>
      <c r="R1034">
        <v>1239348</v>
      </c>
    </row>
    <row r="1035" spans="1:18" x14ac:dyDescent="0.25">
      <c r="A1035" s="170">
        <v>44532</v>
      </c>
      <c r="B1035" s="116">
        <v>1190.8499999999999</v>
      </c>
      <c r="C1035" s="116">
        <v>1188.5999999999999</v>
      </c>
      <c r="D1035" s="116">
        <v>1157.5</v>
      </c>
      <c r="E1035" s="116">
        <v>1165</v>
      </c>
      <c r="F1035" s="116">
        <v>1188.5999999999999</v>
      </c>
      <c r="G1035">
        <v>22783</v>
      </c>
      <c r="H1035" s="116"/>
      <c r="I1035" s="116"/>
      <c r="L1035" s="170">
        <v>44532</v>
      </c>
      <c r="M1035" s="116">
        <v>1188.05</v>
      </c>
      <c r="N1035" s="116">
        <v>1190</v>
      </c>
      <c r="O1035" s="116">
        <v>1157.05</v>
      </c>
      <c r="P1035" s="116">
        <v>1170.6500000000001</v>
      </c>
      <c r="Q1035" s="116">
        <v>1188.05</v>
      </c>
      <c r="R1035">
        <v>1030248</v>
      </c>
    </row>
    <row r="1036" spans="1:18" x14ac:dyDescent="0.25">
      <c r="A1036" s="170">
        <v>44533</v>
      </c>
      <c r="B1036" s="116">
        <v>1188.1500000000001</v>
      </c>
      <c r="C1036" s="116">
        <v>1165.05</v>
      </c>
      <c r="D1036" s="116">
        <v>1162.3499999999999</v>
      </c>
      <c r="E1036" s="116">
        <v>1184.25</v>
      </c>
      <c r="F1036" s="116">
        <v>1165.05</v>
      </c>
      <c r="G1036">
        <v>38367</v>
      </c>
      <c r="H1036" s="116"/>
      <c r="I1036" s="116"/>
      <c r="L1036" s="170">
        <v>44533</v>
      </c>
      <c r="M1036" s="116">
        <v>1165.95</v>
      </c>
      <c r="N1036" s="116">
        <v>1188.05</v>
      </c>
      <c r="O1036" s="116">
        <v>1163.7</v>
      </c>
      <c r="P1036" s="116">
        <v>1177</v>
      </c>
      <c r="Q1036" s="116">
        <v>1165.95</v>
      </c>
      <c r="R1036">
        <v>1327943</v>
      </c>
    </row>
    <row r="1037" spans="1:18" x14ac:dyDescent="0.25">
      <c r="A1037" s="170">
        <v>44536</v>
      </c>
      <c r="B1037" s="116">
        <v>1178</v>
      </c>
      <c r="C1037" s="116">
        <v>1148.1500000000001</v>
      </c>
      <c r="D1037" s="116">
        <v>1143.95</v>
      </c>
      <c r="E1037" s="116">
        <v>1173</v>
      </c>
      <c r="F1037" s="116">
        <v>1148.1500000000001</v>
      </c>
      <c r="G1037">
        <v>21371</v>
      </c>
      <c r="H1037" s="116"/>
      <c r="I1037" s="116"/>
      <c r="L1037" s="170">
        <v>44536</v>
      </c>
      <c r="M1037" s="116">
        <v>1148.5</v>
      </c>
      <c r="N1037" s="116">
        <v>1179</v>
      </c>
      <c r="O1037" s="116">
        <v>1145</v>
      </c>
      <c r="P1037" s="116">
        <v>1165.95</v>
      </c>
      <c r="Q1037" s="116">
        <v>1148.5</v>
      </c>
      <c r="R1037">
        <v>936271</v>
      </c>
    </row>
    <row r="1038" spans="1:18" x14ac:dyDescent="0.25">
      <c r="A1038" s="170">
        <v>44537</v>
      </c>
      <c r="B1038" s="116">
        <v>1161.8</v>
      </c>
      <c r="C1038" s="116">
        <v>1158.75</v>
      </c>
      <c r="D1038" s="116">
        <v>1138.8499999999999</v>
      </c>
      <c r="E1038" s="116">
        <v>1150</v>
      </c>
      <c r="F1038" s="116">
        <v>1158.75</v>
      </c>
      <c r="G1038">
        <v>22042</v>
      </c>
      <c r="H1038" s="116"/>
      <c r="I1038" s="116"/>
      <c r="L1038" s="170">
        <v>44537</v>
      </c>
      <c r="M1038" s="116">
        <v>1159.1500000000001</v>
      </c>
      <c r="N1038" s="116">
        <v>1162.45</v>
      </c>
      <c r="O1038" s="116">
        <v>1139</v>
      </c>
      <c r="P1038" s="116">
        <v>1157</v>
      </c>
      <c r="Q1038" s="116">
        <v>1159.1500000000001</v>
      </c>
      <c r="R1038">
        <v>2090791</v>
      </c>
    </row>
    <row r="1039" spans="1:18" x14ac:dyDescent="0.25">
      <c r="A1039" s="170">
        <v>44538</v>
      </c>
      <c r="B1039" s="116">
        <v>1173.3</v>
      </c>
      <c r="C1039" s="116">
        <v>1170.2</v>
      </c>
      <c r="D1039" s="116">
        <v>1158.8499999999999</v>
      </c>
      <c r="E1039" s="116">
        <v>1171</v>
      </c>
      <c r="F1039" s="116">
        <v>1170.2</v>
      </c>
      <c r="G1039">
        <v>15546</v>
      </c>
      <c r="H1039" s="116"/>
      <c r="I1039" s="116"/>
      <c r="L1039" s="170">
        <v>44538</v>
      </c>
      <c r="M1039" s="116">
        <v>1169.5</v>
      </c>
      <c r="N1039" s="116">
        <v>1173</v>
      </c>
      <c r="O1039" s="116">
        <v>1158.5999999999999</v>
      </c>
      <c r="P1039" s="116">
        <v>1165</v>
      </c>
      <c r="Q1039" s="116">
        <v>1169.5</v>
      </c>
      <c r="R1039">
        <v>2315306</v>
      </c>
    </row>
    <row r="1040" spans="1:18" x14ac:dyDescent="0.25">
      <c r="A1040" s="170">
        <v>44539</v>
      </c>
      <c r="B1040" s="116">
        <v>1182</v>
      </c>
      <c r="C1040" s="116">
        <v>1160.6500000000001</v>
      </c>
      <c r="D1040" s="116">
        <v>1152.5999999999999</v>
      </c>
      <c r="E1040" s="116">
        <v>1180</v>
      </c>
      <c r="F1040" s="116">
        <v>1160.6500000000001</v>
      </c>
      <c r="G1040">
        <v>28129</v>
      </c>
      <c r="H1040" s="116"/>
      <c r="I1040" s="116"/>
      <c r="L1040" s="170">
        <v>44539</v>
      </c>
      <c r="M1040" s="116">
        <v>1161.3499999999999</v>
      </c>
      <c r="N1040" s="116">
        <v>1184.95</v>
      </c>
      <c r="O1040" s="116">
        <v>1153.0999999999999</v>
      </c>
      <c r="P1040" s="116">
        <v>1180</v>
      </c>
      <c r="Q1040" s="116">
        <v>1161.3499999999999</v>
      </c>
      <c r="R1040">
        <v>1136171</v>
      </c>
    </row>
    <row r="1041" spans="1:18" x14ac:dyDescent="0.25">
      <c r="A1041" s="170">
        <v>44540</v>
      </c>
      <c r="B1041" s="116">
        <v>1177.6500000000001</v>
      </c>
      <c r="C1041" s="116">
        <v>1176.05</v>
      </c>
      <c r="D1041" s="116">
        <v>1156.0999999999999</v>
      </c>
      <c r="E1041" s="116">
        <v>1164</v>
      </c>
      <c r="F1041" s="116">
        <v>1176.05</v>
      </c>
      <c r="G1041">
        <v>16531</v>
      </c>
      <c r="H1041" s="116"/>
      <c r="I1041" s="116"/>
      <c r="L1041" s="170">
        <v>44540</v>
      </c>
      <c r="M1041" s="116">
        <v>1175.5999999999999</v>
      </c>
      <c r="N1041" s="116">
        <v>1177.8</v>
      </c>
      <c r="O1041" s="116">
        <v>1156.8</v>
      </c>
      <c r="P1041" s="116">
        <v>1161</v>
      </c>
      <c r="Q1041" s="116">
        <v>1175.5999999999999</v>
      </c>
      <c r="R1041">
        <v>949040</v>
      </c>
    </row>
    <row r="1042" spans="1:18" x14ac:dyDescent="0.25">
      <c r="A1042" s="170">
        <v>44543</v>
      </c>
      <c r="B1042" s="116">
        <v>1204.4000000000001</v>
      </c>
      <c r="C1042" s="116">
        <v>1190.25</v>
      </c>
      <c r="D1042" s="116">
        <v>1180.5</v>
      </c>
      <c r="E1042" s="116">
        <v>1183</v>
      </c>
      <c r="F1042" s="116">
        <v>1190.25</v>
      </c>
      <c r="G1042">
        <v>90606</v>
      </c>
      <c r="H1042" s="116"/>
      <c r="I1042" s="116"/>
      <c r="L1042" s="170">
        <v>44543</v>
      </c>
      <c r="M1042" s="116">
        <v>1186.6500000000001</v>
      </c>
      <c r="N1042" s="116">
        <v>1204.6500000000001</v>
      </c>
      <c r="O1042" s="116">
        <v>1178</v>
      </c>
      <c r="P1042" s="116">
        <v>1182</v>
      </c>
      <c r="Q1042" s="116">
        <v>1186.6500000000001</v>
      </c>
      <c r="R1042">
        <v>2187282</v>
      </c>
    </row>
    <row r="1043" spans="1:18" x14ac:dyDescent="0.25">
      <c r="A1043" s="170">
        <v>44544</v>
      </c>
      <c r="B1043" s="116">
        <v>1192.4000000000001</v>
      </c>
      <c r="C1043" s="116">
        <v>1188.45</v>
      </c>
      <c r="D1043" s="116">
        <v>1179.1500000000001</v>
      </c>
      <c r="E1043" s="116">
        <v>1182</v>
      </c>
      <c r="F1043" s="116">
        <v>1188.45</v>
      </c>
      <c r="G1043">
        <v>37264</v>
      </c>
      <c r="H1043" s="116"/>
      <c r="I1043" s="116"/>
      <c r="L1043" s="170">
        <v>44544</v>
      </c>
      <c r="M1043" s="116">
        <v>1188.55</v>
      </c>
      <c r="N1043" s="116">
        <v>1192.9000000000001</v>
      </c>
      <c r="O1043" s="116">
        <v>1178.1500000000001</v>
      </c>
      <c r="P1043" s="116">
        <v>1179</v>
      </c>
      <c r="Q1043" s="116">
        <v>1188.55</v>
      </c>
      <c r="R1043">
        <v>1171502</v>
      </c>
    </row>
    <row r="1044" spans="1:18" x14ac:dyDescent="0.25">
      <c r="A1044" s="170">
        <v>44545</v>
      </c>
      <c r="B1044" s="116">
        <v>1190.25</v>
      </c>
      <c r="C1044" s="116">
        <v>1175.8</v>
      </c>
      <c r="D1044" s="116">
        <v>1162.7</v>
      </c>
      <c r="E1044" s="116">
        <v>1181.9000000000001</v>
      </c>
      <c r="F1044" s="116">
        <v>1175.8</v>
      </c>
      <c r="G1044">
        <v>91952</v>
      </c>
      <c r="H1044" s="116"/>
      <c r="I1044" s="116"/>
      <c r="L1044" s="170">
        <v>44545</v>
      </c>
      <c r="M1044" s="116">
        <v>1174.6500000000001</v>
      </c>
      <c r="N1044" s="116">
        <v>1190.6500000000001</v>
      </c>
      <c r="O1044" s="116">
        <v>1162.3</v>
      </c>
      <c r="P1044" s="116">
        <v>1188.55</v>
      </c>
      <c r="Q1044" s="116">
        <v>1174.6500000000001</v>
      </c>
      <c r="R1044">
        <v>857540</v>
      </c>
    </row>
    <row r="1045" spans="1:18" x14ac:dyDescent="0.25">
      <c r="A1045" s="170">
        <v>44546</v>
      </c>
      <c r="B1045" s="116">
        <v>1186.45</v>
      </c>
      <c r="C1045" s="116">
        <v>1164.45</v>
      </c>
      <c r="D1045" s="116">
        <v>1160.3</v>
      </c>
      <c r="E1045" s="116">
        <v>1179</v>
      </c>
      <c r="F1045" s="116">
        <v>1164.45</v>
      </c>
      <c r="G1045">
        <v>15477</v>
      </c>
      <c r="H1045" s="116"/>
      <c r="I1045" s="116"/>
      <c r="L1045" s="170">
        <v>44546</v>
      </c>
      <c r="M1045" s="116">
        <v>1163.8</v>
      </c>
      <c r="N1045" s="116">
        <v>1186.95</v>
      </c>
      <c r="O1045" s="116">
        <v>1160.1500000000001</v>
      </c>
      <c r="P1045" s="116">
        <v>1178.5</v>
      </c>
      <c r="Q1045" s="116">
        <v>1163.8</v>
      </c>
      <c r="R1045">
        <v>993629</v>
      </c>
    </row>
    <row r="1046" spans="1:18" x14ac:dyDescent="0.25">
      <c r="A1046" s="170">
        <v>44547</v>
      </c>
      <c r="B1046" s="116">
        <v>1163</v>
      </c>
      <c r="C1046" s="116">
        <v>1142.4000000000001</v>
      </c>
      <c r="D1046" s="116">
        <v>1137.5</v>
      </c>
      <c r="E1046" s="116">
        <v>1163</v>
      </c>
      <c r="F1046" s="116">
        <v>1142.4000000000001</v>
      </c>
      <c r="G1046">
        <v>22691</v>
      </c>
      <c r="H1046" s="116"/>
      <c r="I1046" s="116"/>
      <c r="L1046" s="170">
        <v>44547</v>
      </c>
      <c r="M1046" s="116">
        <v>1142.55</v>
      </c>
      <c r="N1046" s="116">
        <v>1161.95</v>
      </c>
      <c r="O1046" s="116">
        <v>1137</v>
      </c>
      <c r="P1046" s="116">
        <v>1156</v>
      </c>
      <c r="Q1046" s="116">
        <v>1142.55</v>
      </c>
      <c r="R1046">
        <v>982598</v>
      </c>
    </row>
    <row r="1047" spans="1:18" x14ac:dyDescent="0.25">
      <c r="A1047" s="170">
        <v>44550</v>
      </c>
      <c r="B1047" s="116">
        <v>1148</v>
      </c>
      <c r="C1047" s="116">
        <v>1123.9000000000001</v>
      </c>
      <c r="D1047" s="116">
        <v>1100.1500000000001</v>
      </c>
      <c r="E1047" s="116">
        <v>1148</v>
      </c>
      <c r="F1047" s="116">
        <v>1123.9000000000001</v>
      </c>
      <c r="G1047">
        <v>18851</v>
      </c>
      <c r="H1047" s="116"/>
      <c r="I1047" s="116"/>
      <c r="L1047" s="170">
        <v>44550</v>
      </c>
      <c r="M1047" s="116">
        <v>1125.7</v>
      </c>
      <c r="N1047" s="116">
        <v>1142.55</v>
      </c>
      <c r="O1047" s="116">
        <v>1100.5999999999999</v>
      </c>
      <c r="P1047" s="116">
        <v>1139.5</v>
      </c>
      <c r="Q1047" s="116">
        <v>1125.7</v>
      </c>
      <c r="R1047">
        <v>1341693</v>
      </c>
    </row>
    <row r="1048" spans="1:18" x14ac:dyDescent="0.25">
      <c r="A1048" s="170">
        <v>44551</v>
      </c>
      <c r="B1048" s="116">
        <v>1140.7</v>
      </c>
      <c r="C1048" s="116">
        <v>1134.95</v>
      </c>
      <c r="D1048" s="116">
        <v>1118.3</v>
      </c>
      <c r="E1048" s="116">
        <v>1134.7</v>
      </c>
      <c r="F1048" s="116">
        <v>1134.95</v>
      </c>
      <c r="G1048">
        <v>15193</v>
      </c>
      <c r="H1048" s="116"/>
      <c r="I1048" s="116"/>
      <c r="L1048" s="170">
        <v>44551</v>
      </c>
      <c r="M1048" s="116">
        <v>1135.25</v>
      </c>
      <c r="N1048" s="116">
        <v>1141.45</v>
      </c>
      <c r="O1048" s="116">
        <v>1117.7</v>
      </c>
      <c r="P1048" s="116">
        <v>1135.5999999999999</v>
      </c>
      <c r="Q1048" s="116">
        <v>1135.25</v>
      </c>
      <c r="R1048">
        <v>878721</v>
      </c>
    </row>
    <row r="1049" spans="1:18" x14ac:dyDescent="0.25">
      <c r="A1049" s="170">
        <v>44552</v>
      </c>
      <c r="B1049" s="116">
        <v>1139.9000000000001</v>
      </c>
      <c r="C1049" s="116">
        <v>1124.05</v>
      </c>
      <c r="D1049" s="116">
        <v>1119.45</v>
      </c>
      <c r="E1049" s="116">
        <v>1139.8</v>
      </c>
      <c r="F1049" s="116">
        <v>1124.05</v>
      </c>
      <c r="G1049">
        <v>14174</v>
      </c>
      <c r="H1049" s="116"/>
      <c r="I1049" s="116"/>
      <c r="L1049" s="170">
        <v>44552</v>
      </c>
      <c r="M1049" s="116">
        <v>1124.3</v>
      </c>
      <c r="N1049" s="116">
        <v>1139.9000000000001</v>
      </c>
      <c r="O1049" s="116">
        <v>1118.95</v>
      </c>
      <c r="P1049" s="116">
        <v>1139.3499999999999</v>
      </c>
      <c r="Q1049" s="116">
        <v>1124.3</v>
      </c>
      <c r="R1049">
        <v>846447</v>
      </c>
    </row>
    <row r="1050" spans="1:18" x14ac:dyDescent="0.25">
      <c r="A1050" s="170">
        <v>44553</v>
      </c>
      <c r="B1050" s="116">
        <v>1134.8499999999999</v>
      </c>
      <c r="C1050" s="116">
        <v>1126.05</v>
      </c>
      <c r="D1050" s="116">
        <v>1116.3</v>
      </c>
      <c r="E1050" s="116">
        <v>1128.8499999999999</v>
      </c>
      <c r="F1050" s="116">
        <v>1126.05</v>
      </c>
      <c r="G1050">
        <v>12152</v>
      </c>
      <c r="H1050" s="116"/>
      <c r="I1050" s="116"/>
      <c r="L1050" s="170">
        <v>44553</v>
      </c>
      <c r="M1050" s="116">
        <v>1125.45</v>
      </c>
      <c r="N1050" s="116">
        <v>1134</v>
      </c>
      <c r="O1050" s="116">
        <v>1116.1500000000001</v>
      </c>
      <c r="P1050" s="116">
        <v>1134</v>
      </c>
      <c r="Q1050" s="116">
        <v>1125.45</v>
      </c>
      <c r="R1050">
        <v>1026376</v>
      </c>
    </row>
    <row r="1051" spans="1:18" x14ac:dyDescent="0.25">
      <c r="A1051" s="170">
        <v>44554</v>
      </c>
      <c r="B1051" s="116">
        <v>1153.8</v>
      </c>
      <c r="C1051" s="116">
        <v>1148.2</v>
      </c>
      <c r="D1051" s="116">
        <v>1129.4000000000001</v>
      </c>
      <c r="E1051" s="116">
        <v>1130</v>
      </c>
      <c r="F1051" s="116">
        <v>1148.2</v>
      </c>
      <c r="G1051">
        <v>58567</v>
      </c>
      <c r="H1051" s="116"/>
      <c r="I1051" s="116"/>
      <c r="L1051" s="170">
        <v>44554</v>
      </c>
      <c r="M1051" s="116">
        <v>1148.2</v>
      </c>
      <c r="N1051" s="116">
        <v>1153.6500000000001</v>
      </c>
      <c r="O1051" s="116">
        <v>1126</v>
      </c>
      <c r="P1051" s="116">
        <v>1130.8</v>
      </c>
      <c r="Q1051" s="116">
        <v>1148.2</v>
      </c>
      <c r="R1051">
        <v>1930715</v>
      </c>
    </row>
    <row r="1052" spans="1:18" x14ac:dyDescent="0.25">
      <c r="A1052" s="170">
        <v>44557</v>
      </c>
      <c r="B1052" s="116">
        <v>1165</v>
      </c>
      <c r="C1052" s="116">
        <v>1162.1500000000001</v>
      </c>
      <c r="D1052" s="116">
        <v>1135.3</v>
      </c>
      <c r="E1052" s="116">
        <v>1153</v>
      </c>
      <c r="F1052" s="116">
        <v>1162.1500000000001</v>
      </c>
      <c r="G1052">
        <v>24862</v>
      </c>
      <c r="H1052" s="116"/>
      <c r="I1052" s="116"/>
      <c r="L1052" s="170">
        <v>44557</v>
      </c>
      <c r="M1052" s="116">
        <v>1161.95</v>
      </c>
      <c r="N1052" s="116">
        <v>1165.05</v>
      </c>
      <c r="O1052" s="116">
        <v>1135.3499999999999</v>
      </c>
      <c r="P1052" s="116">
        <v>1148</v>
      </c>
      <c r="Q1052" s="116">
        <v>1161.95</v>
      </c>
      <c r="R1052">
        <v>798129</v>
      </c>
    </row>
    <row r="1053" spans="1:18" x14ac:dyDescent="0.25">
      <c r="A1053" s="170">
        <v>44558</v>
      </c>
      <c r="B1053" s="116">
        <v>1182.3499999999999</v>
      </c>
      <c r="C1053" s="116">
        <v>1178.5</v>
      </c>
      <c r="D1053" s="116">
        <v>1161.7</v>
      </c>
      <c r="E1053" s="116">
        <v>1165</v>
      </c>
      <c r="F1053" s="116">
        <v>1178.5</v>
      </c>
      <c r="G1053">
        <v>32537</v>
      </c>
      <c r="H1053" s="116"/>
      <c r="I1053" s="116"/>
      <c r="L1053" s="170">
        <v>44558</v>
      </c>
      <c r="M1053" s="116">
        <v>1177.5999999999999</v>
      </c>
      <c r="N1053" s="116">
        <v>1182.5</v>
      </c>
      <c r="O1053" s="116">
        <v>1161.5999999999999</v>
      </c>
      <c r="P1053" s="116">
        <v>1165.3</v>
      </c>
      <c r="Q1053" s="116">
        <v>1177.5999999999999</v>
      </c>
      <c r="R1053">
        <v>776910</v>
      </c>
    </row>
    <row r="1054" spans="1:18" x14ac:dyDescent="0.25">
      <c r="A1054" s="170">
        <v>44559</v>
      </c>
      <c r="B1054" s="116">
        <v>1192</v>
      </c>
      <c r="C1054" s="116">
        <v>1181.05</v>
      </c>
      <c r="D1054" s="116">
        <v>1167.2</v>
      </c>
      <c r="E1054" s="116">
        <v>1178</v>
      </c>
      <c r="F1054" s="116">
        <v>1181.05</v>
      </c>
      <c r="G1054">
        <v>26930</v>
      </c>
      <c r="H1054" s="116"/>
      <c r="I1054" s="116"/>
      <c r="L1054" s="170">
        <v>44559</v>
      </c>
      <c r="M1054" s="116">
        <v>1185.6500000000001</v>
      </c>
      <c r="N1054" s="116">
        <v>1192.2</v>
      </c>
      <c r="O1054" s="116">
        <v>1167</v>
      </c>
      <c r="P1054" s="116">
        <v>1177.5999999999999</v>
      </c>
      <c r="Q1054" s="116">
        <v>1185.6500000000001</v>
      </c>
      <c r="R1054">
        <v>1400668</v>
      </c>
    </row>
    <row r="1055" spans="1:18" x14ac:dyDescent="0.25">
      <c r="A1055" s="170">
        <v>44560</v>
      </c>
      <c r="B1055" s="116">
        <v>1202.25</v>
      </c>
      <c r="C1055" s="116">
        <v>1194.95</v>
      </c>
      <c r="D1055" s="116">
        <v>1180.25</v>
      </c>
      <c r="E1055" s="116">
        <v>1180.25</v>
      </c>
      <c r="F1055" s="116">
        <v>1194.95</v>
      </c>
      <c r="G1055">
        <v>36889</v>
      </c>
      <c r="H1055" s="116"/>
      <c r="I1055" s="116"/>
      <c r="L1055" s="170">
        <v>44560</v>
      </c>
      <c r="M1055" s="116">
        <v>1195.2</v>
      </c>
      <c r="N1055" s="116">
        <v>1202.7</v>
      </c>
      <c r="O1055" s="116">
        <v>1180.9000000000001</v>
      </c>
      <c r="P1055" s="116">
        <v>1183.9000000000001</v>
      </c>
      <c r="Q1055" s="116">
        <v>1195.2</v>
      </c>
      <c r="R1055">
        <v>1335116</v>
      </c>
    </row>
    <row r="1056" spans="1:18" x14ac:dyDescent="0.25">
      <c r="A1056" s="170">
        <v>44561</v>
      </c>
      <c r="B1056" s="116">
        <v>1204.45</v>
      </c>
      <c r="C1056" s="116">
        <v>1196.25</v>
      </c>
      <c r="D1056" s="116">
        <v>1186.8499999999999</v>
      </c>
      <c r="E1056" s="116">
        <v>1192.05</v>
      </c>
      <c r="F1056" s="116">
        <v>1196.25</v>
      </c>
      <c r="G1056">
        <v>22628</v>
      </c>
      <c r="H1056" s="116"/>
      <c r="I1056" s="116"/>
      <c r="L1056" s="170">
        <v>44561</v>
      </c>
      <c r="M1056" s="116">
        <v>1196</v>
      </c>
      <c r="N1056" s="116">
        <v>1204.95</v>
      </c>
      <c r="O1056" s="116">
        <v>1187.0999999999999</v>
      </c>
      <c r="P1056" s="116">
        <v>1199</v>
      </c>
      <c r="Q1056" s="116">
        <v>1196</v>
      </c>
      <c r="R1056">
        <v>843128</v>
      </c>
    </row>
    <row r="1057" spans="1:18" x14ac:dyDescent="0.25">
      <c r="A1057" s="170">
        <v>44564</v>
      </c>
      <c r="B1057" s="116">
        <v>1214</v>
      </c>
      <c r="C1057" s="116">
        <v>1209.1500000000001</v>
      </c>
      <c r="D1057" s="116">
        <v>1195.95</v>
      </c>
      <c r="E1057" s="116">
        <v>1196</v>
      </c>
      <c r="F1057" s="116">
        <v>1209.1500000000001</v>
      </c>
      <c r="G1057">
        <v>46546</v>
      </c>
      <c r="H1057" s="116"/>
      <c r="I1057" s="116"/>
      <c r="L1057" s="170">
        <v>44564</v>
      </c>
      <c r="M1057" s="116">
        <v>1209.4000000000001</v>
      </c>
      <c r="N1057" s="116">
        <v>1214.45</v>
      </c>
      <c r="O1057" s="116">
        <v>1196</v>
      </c>
      <c r="P1057" s="116">
        <v>1196</v>
      </c>
      <c r="Q1057" s="116">
        <v>1209.4000000000001</v>
      </c>
      <c r="R1057">
        <v>925281</v>
      </c>
    </row>
    <row r="1058" spans="1:18" x14ac:dyDescent="0.25">
      <c r="A1058" s="170">
        <v>44565</v>
      </c>
      <c r="B1058" s="116">
        <v>1227.25</v>
      </c>
      <c r="C1058" s="116">
        <v>1219.75</v>
      </c>
      <c r="D1058" s="116">
        <v>1209</v>
      </c>
      <c r="E1058" s="116">
        <v>1214.8</v>
      </c>
      <c r="F1058" s="116">
        <v>1219.75</v>
      </c>
      <c r="G1058">
        <v>31994</v>
      </c>
      <c r="H1058" s="116"/>
      <c r="I1058" s="116"/>
      <c r="L1058" s="170">
        <v>44565</v>
      </c>
      <c r="M1058" s="116">
        <v>1220.5999999999999</v>
      </c>
      <c r="N1058" s="116">
        <v>1227</v>
      </c>
      <c r="O1058" s="116">
        <v>1205.5</v>
      </c>
      <c r="P1058" s="116">
        <v>1206.3</v>
      </c>
      <c r="Q1058" s="116">
        <v>1220.5999999999999</v>
      </c>
      <c r="R1058">
        <v>1409464</v>
      </c>
    </row>
    <row r="1059" spans="1:18" x14ac:dyDescent="0.25">
      <c r="A1059" s="170">
        <v>44566</v>
      </c>
      <c r="B1059" s="116">
        <v>1224.95</v>
      </c>
      <c r="C1059" s="116">
        <v>1219.8</v>
      </c>
      <c r="D1059" s="116">
        <v>1213.25</v>
      </c>
      <c r="E1059" s="116">
        <v>1224.45</v>
      </c>
      <c r="F1059" s="116">
        <v>1219.8</v>
      </c>
      <c r="G1059">
        <v>66704</v>
      </c>
      <c r="H1059" s="116"/>
      <c r="I1059" s="116"/>
      <c r="L1059" s="170">
        <v>44566</v>
      </c>
      <c r="M1059" s="116">
        <v>1219.8499999999999</v>
      </c>
      <c r="N1059" s="116">
        <v>1225</v>
      </c>
      <c r="O1059" s="116">
        <v>1213.75</v>
      </c>
      <c r="P1059" s="116">
        <v>1215</v>
      </c>
      <c r="Q1059" s="116">
        <v>1219.8499999999999</v>
      </c>
      <c r="R1059">
        <v>378090</v>
      </c>
    </row>
    <row r="1060" spans="1:18" x14ac:dyDescent="0.25">
      <c r="A1060" s="170">
        <v>44567</v>
      </c>
      <c r="B1060" s="116">
        <v>1227.7</v>
      </c>
      <c r="C1060" s="116">
        <v>1205.3</v>
      </c>
      <c r="D1060" s="116">
        <v>1201.7</v>
      </c>
      <c r="E1060" s="116">
        <v>1209.4000000000001</v>
      </c>
      <c r="F1060" s="116">
        <v>1205.3</v>
      </c>
      <c r="G1060">
        <v>36473</v>
      </c>
      <c r="H1060" s="116"/>
      <c r="I1060" s="116"/>
      <c r="L1060" s="170">
        <v>44567</v>
      </c>
      <c r="M1060" s="116">
        <v>1205.5999999999999</v>
      </c>
      <c r="N1060" s="116">
        <v>1228.45</v>
      </c>
      <c r="O1060" s="116">
        <v>1202.1500000000001</v>
      </c>
      <c r="P1060" s="116">
        <v>1208.8</v>
      </c>
      <c r="Q1060" s="116">
        <v>1205.5999999999999</v>
      </c>
      <c r="R1060">
        <v>1387627</v>
      </c>
    </row>
    <row r="1061" spans="1:18" x14ac:dyDescent="0.25">
      <c r="A1061" s="170">
        <v>44568</v>
      </c>
      <c r="B1061" s="116">
        <v>1219.45</v>
      </c>
      <c r="C1061" s="116">
        <v>1216.7</v>
      </c>
      <c r="D1061" s="116">
        <v>1207.5</v>
      </c>
      <c r="E1061" s="116">
        <v>1214.95</v>
      </c>
      <c r="F1061" s="116">
        <v>1216.7</v>
      </c>
      <c r="G1061">
        <v>17898</v>
      </c>
      <c r="H1061" s="116"/>
      <c r="I1061" s="116"/>
      <c r="L1061" s="170">
        <v>44568</v>
      </c>
      <c r="M1061" s="116">
        <v>1217.4000000000001</v>
      </c>
      <c r="N1061" s="116">
        <v>1219.25</v>
      </c>
      <c r="O1061" s="116">
        <v>1206</v>
      </c>
      <c r="P1061" s="116">
        <v>1208</v>
      </c>
      <c r="Q1061" s="116">
        <v>1217.4000000000001</v>
      </c>
      <c r="R1061">
        <v>1050768</v>
      </c>
    </row>
    <row r="1062" spans="1:18" x14ac:dyDescent="0.25">
      <c r="A1062" s="170">
        <v>44571</v>
      </c>
      <c r="B1062" s="116">
        <v>1240.5</v>
      </c>
      <c r="C1062" s="116">
        <v>1228.6500000000001</v>
      </c>
      <c r="D1062" s="116">
        <v>1213.9000000000001</v>
      </c>
      <c r="E1062" s="116">
        <v>1225</v>
      </c>
      <c r="F1062" s="116">
        <v>1228.6500000000001</v>
      </c>
      <c r="G1062">
        <v>29502</v>
      </c>
      <c r="H1062" s="116"/>
      <c r="I1062" s="116"/>
      <c r="L1062" s="170">
        <v>44571</v>
      </c>
      <c r="M1062" s="116">
        <v>1229.0999999999999</v>
      </c>
      <c r="N1062" s="116">
        <v>1240.7</v>
      </c>
      <c r="O1062" s="116">
        <v>1213.3</v>
      </c>
      <c r="P1062" s="116">
        <v>1219</v>
      </c>
      <c r="Q1062" s="116">
        <v>1229.0999999999999</v>
      </c>
      <c r="R1062">
        <v>1379165</v>
      </c>
    </row>
    <row r="1063" spans="1:18" x14ac:dyDescent="0.25">
      <c r="A1063" s="170">
        <v>44572</v>
      </c>
      <c r="B1063" s="116">
        <v>1239.4000000000001</v>
      </c>
      <c r="C1063" s="116">
        <v>1232.9000000000001</v>
      </c>
      <c r="D1063" s="116">
        <v>1224.9000000000001</v>
      </c>
      <c r="E1063" s="116">
        <v>1231</v>
      </c>
      <c r="F1063" s="116">
        <v>1232.9000000000001</v>
      </c>
      <c r="G1063">
        <v>16294</v>
      </c>
      <c r="H1063" s="116"/>
      <c r="I1063" s="116"/>
      <c r="L1063" s="170">
        <v>44572</v>
      </c>
      <c r="M1063" s="116">
        <v>1233.4000000000001</v>
      </c>
      <c r="N1063" s="116">
        <v>1239.95</v>
      </c>
      <c r="O1063" s="116">
        <v>1224.0999999999999</v>
      </c>
      <c r="P1063" s="116">
        <v>1230.8</v>
      </c>
      <c r="Q1063" s="116">
        <v>1233.4000000000001</v>
      </c>
      <c r="R1063">
        <v>985871</v>
      </c>
    </row>
    <row r="1064" spans="1:18" x14ac:dyDescent="0.25">
      <c r="A1064" s="170">
        <v>44573</v>
      </c>
      <c r="B1064" s="116">
        <v>1255</v>
      </c>
      <c r="C1064" s="116">
        <v>1247.95</v>
      </c>
      <c r="D1064" s="116">
        <v>1231.8</v>
      </c>
      <c r="E1064" s="116">
        <v>1240</v>
      </c>
      <c r="F1064" s="116">
        <v>1247.95</v>
      </c>
      <c r="G1064">
        <v>26045</v>
      </c>
      <c r="H1064" s="116"/>
      <c r="I1064" s="116"/>
      <c r="L1064" s="170">
        <v>44573</v>
      </c>
      <c r="M1064" s="116">
        <v>1249.4000000000001</v>
      </c>
      <c r="N1064" s="116">
        <v>1255.4000000000001</v>
      </c>
      <c r="O1064" s="116">
        <v>1231.1500000000001</v>
      </c>
      <c r="P1064" s="116">
        <v>1240</v>
      </c>
      <c r="Q1064" s="116">
        <v>1249.4000000000001</v>
      </c>
      <c r="R1064">
        <v>1371034</v>
      </c>
    </row>
    <row r="1065" spans="1:18" x14ac:dyDescent="0.25">
      <c r="A1065" s="170">
        <v>44574</v>
      </c>
      <c r="B1065" s="116">
        <v>1260.9000000000001</v>
      </c>
      <c r="C1065" s="116">
        <v>1258.3499999999999</v>
      </c>
      <c r="D1065" s="116">
        <v>1248.75</v>
      </c>
      <c r="E1065" s="116">
        <v>1255.55</v>
      </c>
      <c r="F1065" s="116">
        <v>1258.3499999999999</v>
      </c>
      <c r="G1065">
        <v>41222</v>
      </c>
      <c r="H1065" s="116"/>
      <c r="I1065" s="116"/>
      <c r="L1065" s="170">
        <v>44574</v>
      </c>
      <c r="M1065" s="116">
        <v>1258.7</v>
      </c>
      <c r="N1065" s="116">
        <v>1261</v>
      </c>
      <c r="O1065" s="116">
        <v>1246</v>
      </c>
      <c r="P1065" s="116">
        <v>1255</v>
      </c>
      <c r="Q1065" s="116">
        <v>1258.7</v>
      </c>
      <c r="R1065">
        <v>933511</v>
      </c>
    </row>
    <row r="1066" spans="1:18" x14ac:dyDescent="0.25">
      <c r="A1066" s="170">
        <v>44575</v>
      </c>
      <c r="B1066" s="116">
        <v>1272.45</v>
      </c>
      <c r="C1066" s="116">
        <v>1263.4000000000001</v>
      </c>
      <c r="D1066" s="116">
        <v>1254.7</v>
      </c>
      <c r="E1066" s="116">
        <v>1259.25</v>
      </c>
      <c r="F1066" s="116">
        <v>1263.4000000000001</v>
      </c>
      <c r="G1066">
        <v>25858</v>
      </c>
      <c r="H1066" s="116"/>
      <c r="I1066" s="116"/>
      <c r="L1066" s="170">
        <v>44575</v>
      </c>
      <c r="M1066" s="116">
        <v>1263.5999999999999</v>
      </c>
      <c r="N1066" s="116">
        <v>1272.25</v>
      </c>
      <c r="O1066" s="116">
        <v>1254.5</v>
      </c>
      <c r="P1066" s="116">
        <v>1259</v>
      </c>
      <c r="Q1066" s="116">
        <v>1263.5999999999999</v>
      </c>
      <c r="R1066">
        <v>895522</v>
      </c>
    </row>
    <row r="1067" spans="1:18" x14ac:dyDescent="0.25">
      <c r="A1067" s="170">
        <v>44578</v>
      </c>
      <c r="B1067" s="116">
        <v>1293</v>
      </c>
      <c r="C1067" s="116">
        <v>1287.5999999999999</v>
      </c>
      <c r="D1067" s="116">
        <v>1256.8</v>
      </c>
      <c r="E1067" s="116">
        <v>1264.5</v>
      </c>
      <c r="F1067" s="116">
        <v>1287.5999999999999</v>
      </c>
      <c r="G1067">
        <v>40425</v>
      </c>
      <c r="H1067" s="116"/>
      <c r="I1067" s="116"/>
      <c r="L1067" s="170">
        <v>44578</v>
      </c>
      <c r="M1067" s="116">
        <v>1287.95</v>
      </c>
      <c r="N1067" s="116">
        <v>1293.25</v>
      </c>
      <c r="O1067" s="116">
        <v>1256.3</v>
      </c>
      <c r="P1067" s="116">
        <v>1256.3</v>
      </c>
      <c r="Q1067" s="116">
        <v>1287.95</v>
      </c>
      <c r="R1067">
        <v>1427239</v>
      </c>
    </row>
    <row r="1068" spans="1:18" x14ac:dyDescent="0.25">
      <c r="A1068" s="170">
        <v>44579</v>
      </c>
      <c r="B1068" s="116">
        <v>1292.7</v>
      </c>
      <c r="C1068" s="116">
        <v>1266.0999999999999</v>
      </c>
      <c r="D1068" s="116">
        <v>1263.45</v>
      </c>
      <c r="E1068" s="116">
        <v>1292.7</v>
      </c>
      <c r="F1068" s="116">
        <v>1266.0999999999999</v>
      </c>
      <c r="G1068">
        <v>37189</v>
      </c>
      <c r="H1068" s="116"/>
      <c r="I1068" s="116"/>
      <c r="L1068" s="170">
        <v>44579</v>
      </c>
      <c r="M1068" s="116">
        <v>1265.9000000000001</v>
      </c>
      <c r="N1068" s="116">
        <v>1293</v>
      </c>
      <c r="O1068" s="116">
        <v>1263.0999999999999</v>
      </c>
      <c r="P1068" s="116">
        <v>1287.95</v>
      </c>
      <c r="Q1068" s="116">
        <v>1265.9000000000001</v>
      </c>
      <c r="R1068">
        <v>869578</v>
      </c>
    </row>
    <row r="1069" spans="1:18" x14ac:dyDescent="0.25">
      <c r="A1069" s="170">
        <v>44580</v>
      </c>
      <c r="B1069" s="116">
        <v>1270.2</v>
      </c>
      <c r="C1069" s="116">
        <v>1247.95</v>
      </c>
      <c r="D1069" s="116">
        <v>1242.5</v>
      </c>
      <c r="E1069" s="116">
        <v>1269.7</v>
      </c>
      <c r="F1069" s="116">
        <v>1247.95</v>
      </c>
      <c r="G1069">
        <v>29067</v>
      </c>
      <c r="H1069" s="116"/>
      <c r="I1069" s="116"/>
      <c r="L1069" s="170">
        <v>44580</v>
      </c>
      <c r="M1069" s="116">
        <v>1248.0999999999999</v>
      </c>
      <c r="N1069" s="116">
        <v>1272.0999999999999</v>
      </c>
      <c r="O1069" s="116">
        <v>1240.5999999999999</v>
      </c>
      <c r="P1069" s="116">
        <v>1263</v>
      </c>
      <c r="Q1069" s="116">
        <v>1248.0999999999999</v>
      </c>
      <c r="R1069">
        <v>625670</v>
      </c>
    </row>
    <row r="1070" spans="1:18" x14ac:dyDescent="0.25">
      <c r="A1070" s="170">
        <v>44581</v>
      </c>
      <c r="B1070" s="116">
        <v>1255.2</v>
      </c>
      <c r="C1070" s="116">
        <v>1238.9000000000001</v>
      </c>
      <c r="D1070" s="116">
        <v>1231.55</v>
      </c>
      <c r="E1070" s="116">
        <v>1240.1500000000001</v>
      </c>
      <c r="F1070" s="116">
        <v>1238.9000000000001</v>
      </c>
      <c r="G1070">
        <v>110564</v>
      </c>
      <c r="H1070" s="116"/>
      <c r="I1070" s="116"/>
      <c r="L1070" s="170">
        <v>44581</v>
      </c>
      <c r="M1070" s="116">
        <v>1238.7</v>
      </c>
      <c r="N1070" s="116">
        <v>1255.6500000000001</v>
      </c>
      <c r="O1070" s="116">
        <v>1230.95</v>
      </c>
      <c r="P1070" s="116">
        <v>1248</v>
      </c>
      <c r="Q1070" s="116">
        <v>1238.7</v>
      </c>
      <c r="R1070">
        <v>716954</v>
      </c>
    </row>
    <row r="1071" spans="1:18" x14ac:dyDescent="0.25">
      <c r="A1071" s="170">
        <v>44582</v>
      </c>
      <c r="B1071" s="116">
        <v>1262.75</v>
      </c>
      <c r="C1071" s="116">
        <v>1237.75</v>
      </c>
      <c r="D1071" s="116">
        <v>1201</v>
      </c>
      <c r="E1071" s="116">
        <v>1232</v>
      </c>
      <c r="F1071" s="116">
        <v>1237.75</v>
      </c>
      <c r="G1071">
        <v>68991</v>
      </c>
      <c r="H1071" s="116"/>
      <c r="I1071" s="116"/>
      <c r="L1071" s="170">
        <v>44582</v>
      </c>
      <c r="M1071" s="116">
        <v>1240.6500000000001</v>
      </c>
      <c r="N1071" s="116">
        <v>1263.2</v>
      </c>
      <c r="O1071" s="116">
        <v>1201</v>
      </c>
      <c r="P1071" s="116">
        <v>1225</v>
      </c>
      <c r="Q1071" s="116">
        <v>1240.6500000000001</v>
      </c>
      <c r="R1071">
        <v>2421446</v>
      </c>
    </row>
    <row r="1072" spans="1:18" x14ac:dyDescent="0.25">
      <c r="A1072" s="170">
        <v>44585</v>
      </c>
      <c r="B1072" s="116">
        <v>1244.6500000000001</v>
      </c>
      <c r="C1072" s="116">
        <v>1224.8</v>
      </c>
      <c r="D1072" s="116">
        <v>1204.75</v>
      </c>
      <c r="E1072" s="116">
        <v>1244.6500000000001</v>
      </c>
      <c r="F1072" s="116">
        <v>1224.8</v>
      </c>
      <c r="G1072">
        <v>29588</v>
      </c>
      <c r="H1072" s="116"/>
      <c r="I1072" s="116"/>
      <c r="L1072" s="170">
        <v>44585</v>
      </c>
      <c r="M1072" s="116">
        <v>1225</v>
      </c>
      <c r="N1072" s="116">
        <v>1240</v>
      </c>
      <c r="O1072" s="116">
        <v>1205.1500000000001</v>
      </c>
      <c r="P1072" s="116">
        <v>1240</v>
      </c>
      <c r="Q1072" s="116">
        <v>1225</v>
      </c>
      <c r="R1072">
        <v>1073781</v>
      </c>
    </row>
    <row r="1073" spans="1:18" x14ac:dyDescent="0.25">
      <c r="A1073" s="170">
        <v>44586</v>
      </c>
      <c r="B1073" s="116">
        <v>1232</v>
      </c>
      <c r="C1073" s="116">
        <v>1226.45</v>
      </c>
      <c r="D1073" s="116">
        <v>1210</v>
      </c>
      <c r="E1073" s="116">
        <v>1222</v>
      </c>
      <c r="F1073" s="116">
        <v>1226.45</v>
      </c>
      <c r="G1073">
        <v>30797</v>
      </c>
      <c r="H1073" s="116"/>
      <c r="I1073" s="116"/>
      <c r="L1073" s="170">
        <v>44586</v>
      </c>
      <c r="M1073" s="116">
        <v>1228</v>
      </c>
      <c r="N1073" s="116">
        <v>1232.9000000000001</v>
      </c>
      <c r="O1073" s="116">
        <v>1210.25</v>
      </c>
      <c r="P1073" s="116">
        <v>1212.0999999999999</v>
      </c>
      <c r="Q1073" s="116">
        <v>1228</v>
      </c>
      <c r="R1073">
        <v>1083251</v>
      </c>
    </row>
    <row r="1074" spans="1:18" x14ac:dyDescent="0.25">
      <c r="A1074" s="170">
        <v>44588</v>
      </c>
      <c r="B1074" s="116">
        <v>1223</v>
      </c>
      <c r="C1074" s="116">
        <v>1210.75</v>
      </c>
      <c r="D1074" s="116">
        <v>1202.4000000000001</v>
      </c>
      <c r="E1074" s="116">
        <v>1223</v>
      </c>
      <c r="F1074" s="116">
        <v>1210.75</v>
      </c>
      <c r="G1074">
        <v>47996</v>
      </c>
      <c r="H1074" s="116"/>
      <c r="I1074" s="116"/>
      <c r="L1074" s="170">
        <v>44588</v>
      </c>
      <c r="M1074" s="116">
        <v>1211.6500000000001</v>
      </c>
      <c r="N1074" s="116">
        <v>1221.9000000000001</v>
      </c>
      <c r="O1074" s="116">
        <v>1201.8499999999999</v>
      </c>
      <c r="P1074" s="116">
        <v>1219</v>
      </c>
      <c r="Q1074" s="116">
        <v>1211.6500000000001</v>
      </c>
      <c r="R1074">
        <v>1793456</v>
      </c>
    </row>
    <row r="1075" spans="1:18" x14ac:dyDescent="0.25">
      <c r="A1075" s="170">
        <v>44589</v>
      </c>
      <c r="B1075" s="116">
        <v>1237.5</v>
      </c>
      <c r="C1075" s="116">
        <v>1206.2</v>
      </c>
      <c r="D1075" s="116">
        <v>1200</v>
      </c>
      <c r="E1075" s="116">
        <v>1218.45</v>
      </c>
      <c r="F1075" s="116">
        <v>1206.2</v>
      </c>
      <c r="G1075">
        <v>25660</v>
      </c>
      <c r="H1075" s="116"/>
      <c r="I1075" s="116"/>
      <c r="L1075" s="170">
        <v>44589</v>
      </c>
      <c r="M1075" s="116">
        <v>1205.55</v>
      </c>
      <c r="N1075" s="116">
        <v>1237.75</v>
      </c>
      <c r="O1075" s="116">
        <v>1201</v>
      </c>
      <c r="P1075" s="116">
        <v>1210</v>
      </c>
      <c r="Q1075" s="116">
        <v>1205.55</v>
      </c>
      <c r="R1075">
        <v>635096</v>
      </c>
    </row>
    <row r="1076" spans="1:18" x14ac:dyDescent="0.25">
      <c r="A1076" s="170">
        <v>44592</v>
      </c>
      <c r="B1076" s="116">
        <v>1238</v>
      </c>
      <c r="C1076" s="116">
        <v>1233.4000000000001</v>
      </c>
      <c r="D1076" s="116">
        <v>1205</v>
      </c>
      <c r="E1076" s="116">
        <v>1205</v>
      </c>
      <c r="F1076" s="116">
        <v>1233.4000000000001</v>
      </c>
      <c r="G1076">
        <v>39694</v>
      </c>
      <c r="H1076" s="116"/>
      <c r="I1076" s="116"/>
      <c r="L1076" s="170">
        <v>44592</v>
      </c>
      <c r="M1076" s="116">
        <v>1233.25</v>
      </c>
      <c r="N1076" s="116">
        <v>1238.4000000000001</v>
      </c>
      <c r="O1076" s="116">
        <v>1206.05</v>
      </c>
      <c r="P1076" s="116">
        <v>1210</v>
      </c>
      <c r="Q1076" s="116">
        <v>1233.25</v>
      </c>
      <c r="R1076">
        <v>1771932</v>
      </c>
    </row>
    <row r="1077" spans="1:18" x14ac:dyDescent="0.25">
      <c r="A1077" s="170">
        <v>44593</v>
      </c>
      <c r="B1077" s="116">
        <v>1250</v>
      </c>
      <c r="C1077" s="116">
        <v>1214</v>
      </c>
      <c r="D1077" s="116">
        <v>1202.3</v>
      </c>
      <c r="E1077" s="116">
        <v>1249.7</v>
      </c>
      <c r="F1077" s="116">
        <v>1214</v>
      </c>
      <c r="G1077">
        <v>62470</v>
      </c>
      <c r="H1077" s="116"/>
      <c r="I1077" s="116"/>
      <c r="L1077" s="170">
        <v>44593</v>
      </c>
      <c r="M1077" s="116">
        <v>1214.95</v>
      </c>
      <c r="N1077" s="116">
        <v>1250</v>
      </c>
      <c r="O1077" s="116">
        <v>1202.5999999999999</v>
      </c>
      <c r="P1077" s="116">
        <v>1250</v>
      </c>
      <c r="Q1077" s="116">
        <v>1214.95</v>
      </c>
      <c r="R1077">
        <v>1593083</v>
      </c>
    </row>
    <row r="1078" spans="1:18" x14ac:dyDescent="0.25">
      <c r="A1078" s="170">
        <v>44594</v>
      </c>
      <c r="B1078" s="116">
        <v>1226.9000000000001</v>
      </c>
      <c r="C1078" s="116">
        <v>1220.1500000000001</v>
      </c>
      <c r="D1078" s="116">
        <v>1212.05</v>
      </c>
      <c r="E1078" s="116">
        <v>1222.5</v>
      </c>
      <c r="F1078" s="116">
        <v>1220.1500000000001</v>
      </c>
      <c r="G1078">
        <v>22039</v>
      </c>
      <c r="H1078" s="116"/>
      <c r="I1078" s="116"/>
      <c r="L1078" s="170">
        <v>44594</v>
      </c>
      <c r="M1078" s="116">
        <v>1220.0999999999999</v>
      </c>
      <c r="N1078" s="116">
        <v>1227.55</v>
      </c>
      <c r="O1078" s="116">
        <v>1211.05</v>
      </c>
      <c r="P1078" s="116">
        <v>1216.7</v>
      </c>
      <c r="Q1078" s="116">
        <v>1220.0999999999999</v>
      </c>
      <c r="R1078">
        <v>937000</v>
      </c>
    </row>
    <row r="1079" spans="1:18" x14ac:dyDescent="0.25">
      <c r="A1079" s="170">
        <v>44595</v>
      </c>
      <c r="B1079" s="116">
        <v>1231</v>
      </c>
      <c r="C1079" s="116">
        <v>1184.6500000000001</v>
      </c>
      <c r="D1079" s="116">
        <v>1177</v>
      </c>
      <c r="E1079" s="116">
        <v>1231</v>
      </c>
      <c r="F1079" s="116">
        <v>1184.6500000000001</v>
      </c>
      <c r="G1079">
        <v>53948</v>
      </c>
      <c r="H1079" s="116"/>
      <c r="I1079" s="116"/>
      <c r="L1079" s="170">
        <v>44595</v>
      </c>
      <c r="M1079" s="116">
        <v>1185.2</v>
      </c>
      <c r="N1079" s="116">
        <v>1220</v>
      </c>
      <c r="O1079" s="116">
        <v>1175.5999999999999</v>
      </c>
      <c r="P1079" s="116">
        <v>1218.05</v>
      </c>
      <c r="Q1079" s="116">
        <v>1185.2</v>
      </c>
      <c r="R1079">
        <v>1236574</v>
      </c>
    </row>
    <row r="1080" spans="1:18" x14ac:dyDescent="0.25">
      <c r="A1080" s="170">
        <v>44596</v>
      </c>
      <c r="B1080" s="116">
        <v>1199</v>
      </c>
      <c r="C1080" s="116">
        <v>1171.45</v>
      </c>
      <c r="D1080" s="116">
        <v>1165.45</v>
      </c>
      <c r="E1080" s="116">
        <v>1199</v>
      </c>
      <c r="F1080" s="116">
        <v>1171.45</v>
      </c>
      <c r="G1080">
        <v>25834</v>
      </c>
      <c r="H1080" s="116"/>
      <c r="I1080" s="116"/>
      <c r="L1080" s="170">
        <v>44596</v>
      </c>
      <c r="M1080" s="116">
        <v>1172.0999999999999</v>
      </c>
      <c r="N1080" s="116">
        <v>1194</v>
      </c>
      <c r="O1080" s="116">
        <v>1165.1500000000001</v>
      </c>
      <c r="P1080" s="116">
        <v>1194</v>
      </c>
      <c r="Q1080" s="116">
        <v>1172.0999999999999</v>
      </c>
      <c r="R1080">
        <v>856452</v>
      </c>
    </row>
    <row r="1081" spans="1:18" x14ac:dyDescent="0.25">
      <c r="A1081" s="170">
        <v>44599</v>
      </c>
      <c r="B1081" s="116">
        <v>1171.25</v>
      </c>
      <c r="C1081" s="116">
        <v>1143.8</v>
      </c>
      <c r="D1081" s="116">
        <v>1131.95</v>
      </c>
      <c r="E1081" s="116">
        <v>1156.5</v>
      </c>
      <c r="F1081" s="116">
        <v>1143.8</v>
      </c>
      <c r="G1081">
        <v>35656</v>
      </c>
      <c r="H1081" s="116"/>
      <c r="I1081" s="116"/>
      <c r="L1081" s="170">
        <v>44599</v>
      </c>
      <c r="M1081" s="116">
        <v>1144</v>
      </c>
      <c r="N1081" s="116">
        <v>1171.7</v>
      </c>
      <c r="O1081" s="116">
        <v>1131.9000000000001</v>
      </c>
      <c r="P1081" s="116">
        <v>1161.8</v>
      </c>
      <c r="Q1081" s="116">
        <v>1144</v>
      </c>
      <c r="R1081">
        <v>1519928</v>
      </c>
    </row>
    <row r="1082" spans="1:18" x14ac:dyDescent="0.25">
      <c r="A1082" s="170">
        <v>44600</v>
      </c>
      <c r="B1082" s="116">
        <v>1149</v>
      </c>
      <c r="C1082" s="116">
        <v>1131.0999999999999</v>
      </c>
      <c r="D1082" s="116">
        <v>1117.05</v>
      </c>
      <c r="E1082" s="116">
        <v>1149</v>
      </c>
      <c r="F1082" s="116">
        <v>1131.0999999999999</v>
      </c>
      <c r="G1082">
        <v>28738</v>
      </c>
      <c r="H1082" s="116"/>
      <c r="I1082" s="116"/>
      <c r="L1082" s="170">
        <v>44600</v>
      </c>
      <c r="M1082" s="116">
        <v>1131.1500000000001</v>
      </c>
      <c r="N1082" s="116">
        <v>1149</v>
      </c>
      <c r="O1082" s="116">
        <v>1117.3499999999999</v>
      </c>
      <c r="P1082" s="116">
        <v>1145</v>
      </c>
      <c r="Q1082" s="116">
        <v>1131.1500000000001</v>
      </c>
      <c r="R1082">
        <v>1511667</v>
      </c>
    </row>
    <row r="1083" spans="1:18" x14ac:dyDescent="0.25">
      <c r="A1083" s="170">
        <v>44601</v>
      </c>
      <c r="B1083" s="116">
        <v>1140.7</v>
      </c>
      <c r="C1083" s="116">
        <v>1126.2</v>
      </c>
      <c r="D1083" s="116">
        <v>1118.4000000000001</v>
      </c>
      <c r="E1083" s="116">
        <v>1133.9000000000001</v>
      </c>
      <c r="F1083" s="116">
        <v>1126.2</v>
      </c>
      <c r="G1083">
        <v>26636</v>
      </c>
      <c r="H1083" s="116"/>
      <c r="I1083" s="116"/>
      <c r="L1083" s="170">
        <v>44601</v>
      </c>
      <c r="M1083" s="116">
        <v>1125.7</v>
      </c>
      <c r="N1083" s="116">
        <v>1140.8</v>
      </c>
      <c r="O1083" s="116">
        <v>1118</v>
      </c>
      <c r="P1083" s="116">
        <v>1132</v>
      </c>
      <c r="Q1083" s="116">
        <v>1125.7</v>
      </c>
      <c r="R1083">
        <v>1741687</v>
      </c>
    </row>
    <row r="1084" spans="1:18" x14ac:dyDescent="0.25">
      <c r="A1084" s="170">
        <v>44602</v>
      </c>
      <c r="B1084" s="116">
        <v>1149.8499999999999</v>
      </c>
      <c r="C1084" s="116">
        <v>1146.55</v>
      </c>
      <c r="D1084" s="116">
        <v>1108.05</v>
      </c>
      <c r="E1084" s="116">
        <v>1128.9000000000001</v>
      </c>
      <c r="F1084" s="116">
        <v>1146.55</v>
      </c>
      <c r="G1084">
        <v>57746</v>
      </c>
      <c r="H1084" s="116"/>
      <c r="I1084" s="116"/>
      <c r="L1084" s="170">
        <v>44602</v>
      </c>
      <c r="M1084" s="116">
        <v>1146.25</v>
      </c>
      <c r="N1084" s="116">
        <v>1150</v>
      </c>
      <c r="O1084" s="116">
        <v>1108</v>
      </c>
      <c r="P1084" s="116">
        <v>1125</v>
      </c>
      <c r="Q1084" s="116">
        <v>1146.25</v>
      </c>
      <c r="R1084">
        <v>2030639</v>
      </c>
    </row>
    <row r="1085" spans="1:18" x14ac:dyDescent="0.25">
      <c r="A1085" s="170">
        <v>44603</v>
      </c>
      <c r="B1085" s="116">
        <v>1149</v>
      </c>
      <c r="C1085" s="116">
        <v>1132.95</v>
      </c>
      <c r="D1085" s="116">
        <v>1124.05</v>
      </c>
      <c r="E1085" s="116">
        <v>1149</v>
      </c>
      <c r="F1085" s="116">
        <v>1132.95</v>
      </c>
      <c r="G1085">
        <v>51029</v>
      </c>
      <c r="H1085" s="116"/>
      <c r="I1085" s="116"/>
      <c r="L1085" s="170">
        <v>44603</v>
      </c>
      <c r="M1085" s="116">
        <v>1133.3</v>
      </c>
      <c r="N1085" s="116">
        <v>1144.8499999999999</v>
      </c>
      <c r="O1085" s="116">
        <v>1124</v>
      </c>
      <c r="P1085" s="116">
        <v>1144.8499999999999</v>
      </c>
      <c r="Q1085" s="116">
        <v>1133.3</v>
      </c>
      <c r="R1085">
        <v>1942394</v>
      </c>
    </row>
    <row r="1086" spans="1:18" x14ac:dyDescent="0.25">
      <c r="A1086" s="170">
        <v>44606</v>
      </c>
      <c r="B1086" s="116">
        <v>1122</v>
      </c>
      <c r="C1086" s="116">
        <v>1094</v>
      </c>
      <c r="D1086" s="116">
        <v>1090.05</v>
      </c>
      <c r="E1086" s="116">
        <v>1116</v>
      </c>
      <c r="F1086" s="116">
        <v>1094</v>
      </c>
      <c r="G1086">
        <v>54814</v>
      </c>
      <c r="H1086" s="116"/>
      <c r="I1086" s="116"/>
      <c r="L1086" s="170">
        <v>44606</v>
      </c>
      <c r="M1086" s="116">
        <v>1096.3</v>
      </c>
      <c r="N1086" s="116">
        <v>1127</v>
      </c>
      <c r="O1086" s="116">
        <v>1090</v>
      </c>
      <c r="P1086" s="116">
        <v>1125</v>
      </c>
      <c r="Q1086" s="116">
        <v>1096.3</v>
      </c>
      <c r="R1086">
        <v>2448602</v>
      </c>
    </row>
    <row r="1087" spans="1:18" x14ac:dyDescent="0.25">
      <c r="A1087" s="170">
        <v>44607</v>
      </c>
      <c r="B1087" s="116">
        <v>1123.1500000000001</v>
      </c>
      <c r="C1087" s="116">
        <v>1120.3</v>
      </c>
      <c r="D1087" s="116">
        <v>1086.3</v>
      </c>
      <c r="E1087" s="116">
        <v>1094</v>
      </c>
      <c r="F1087" s="116">
        <v>1120.3</v>
      </c>
      <c r="G1087">
        <v>24551</v>
      </c>
      <c r="H1087" s="116"/>
      <c r="I1087" s="116"/>
      <c r="L1087" s="170">
        <v>44607</v>
      </c>
      <c r="M1087" s="116">
        <v>1119.95</v>
      </c>
      <c r="N1087" s="116">
        <v>1123.6500000000001</v>
      </c>
      <c r="O1087" s="116">
        <v>1086.2</v>
      </c>
      <c r="P1087" s="116">
        <v>1096</v>
      </c>
      <c r="Q1087" s="116">
        <v>1119.95</v>
      </c>
      <c r="R1087">
        <v>1245681</v>
      </c>
    </row>
    <row r="1088" spans="1:18" x14ac:dyDescent="0.25">
      <c r="A1088" s="170">
        <v>44608</v>
      </c>
      <c r="B1088" s="116">
        <v>1131.5</v>
      </c>
      <c r="C1088" s="116">
        <v>1121.9000000000001</v>
      </c>
      <c r="D1088" s="116">
        <v>1102.5</v>
      </c>
      <c r="E1088" s="116">
        <v>1125.95</v>
      </c>
      <c r="F1088" s="116">
        <v>1121.9000000000001</v>
      </c>
      <c r="G1088">
        <v>59606</v>
      </c>
      <c r="H1088" s="116"/>
      <c r="I1088" s="116"/>
      <c r="L1088" s="170">
        <v>44608</v>
      </c>
      <c r="M1088" s="116">
        <v>1122.1500000000001</v>
      </c>
      <c r="N1088" s="116">
        <v>1131.5</v>
      </c>
      <c r="O1088" s="116">
        <v>1102</v>
      </c>
      <c r="P1088" s="116">
        <v>1128</v>
      </c>
      <c r="Q1088" s="116">
        <v>1122.1500000000001</v>
      </c>
      <c r="R1088">
        <v>1294606</v>
      </c>
    </row>
    <row r="1089" spans="1:18" x14ac:dyDescent="0.25">
      <c r="A1089" s="170">
        <v>44609</v>
      </c>
      <c r="B1089" s="116">
        <v>1132</v>
      </c>
      <c r="C1089" s="116">
        <v>1125.8</v>
      </c>
      <c r="D1089" s="116">
        <v>1112</v>
      </c>
      <c r="E1089" s="116">
        <v>1121.9000000000001</v>
      </c>
      <c r="F1089" s="116">
        <v>1125.8</v>
      </c>
      <c r="G1089">
        <v>24072</v>
      </c>
      <c r="H1089" s="116"/>
      <c r="I1089" s="116"/>
      <c r="L1089" s="170">
        <v>44609</v>
      </c>
      <c r="M1089" s="116">
        <v>1126.3499999999999</v>
      </c>
      <c r="N1089" s="116">
        <v>1132.8499999999999</v>
      </c>
      <c r="O1089" s="116">
        <v>1111.9000000000001</v>
      </c>
      <c r="P1089" s="116">
        <v>1128</v>
      </c>
      <c r="Q1089" s="116">
        <v>1126.3499999999999</v>
      </c>
      <c r="R1089">
        <v>1182862</v>
      </c>
    </row>
    <row r="1090" spans="1:18" x14ac:dyDescent="0.25">
      <c r="A1090" s="170">
        <v>44610</v>
      </c>
      <c r="B1090" s="116">
        <v>1160.8</v>
      </c>
      <c r="C1090" s="116">
        <v>1150.5999999999999</v>
      </c>
      <c r="D1090" s="116">
        <v>1112.5</v>
      </c>
      <c r="E1090" s="116">
        <v>1120</v>
      </c>
      <c r="F1090" s="116">
        <v>1150.5999999999999</v>
      </c>
      <c r="G1090">
        <v>60344</v>
      </c>
      <c r="H1090" s="116"/>
      <c r="I1090" s="116"/>
      <c r="L1090" s="170">
        <v>44610</v>
      </c>
      <c r="M1090" s="116">
        <v>1150.5</v>
      </c>
      <c r="N1090" s="116">
        <v>1160.9000000000001</v>
      </c>
      <c r="O1090" s="116">
        <v>1111.3499999999999</v>
      </c>
      <c r="P1090" s="116">
        <v>1124.8</v>
      </c>
      <c r="Q1090" s="116">
        <v>1150.5</v>
      </c>
      <c r="R1090">
        <v>1734791</v>
      </c>
    </row>
    <row r="1091" spans="1:18" x14ac:dyDescent="0.25">
      <c r="A1091" s="170">
        <v>44613</v>
      </c>
      <c r="B1091" s="116">
        <v>1150.7</v>
      </c>
      <c r="C1091" s="116">
        <v>1129.1500000000001</v>
      </c>
      <c r="D1091" s="116">
        <v>1122.6500000000001</v>
      </c>
      <c r="E1091" s="116">
        <v>1150.7</v>
      </c>
      <c r="F1091" s="116">
        <v>1129.1500000000001</v>
      </c>
      <c r="G1091">
        <v>27877</v>
      </c>
      <c r="H1091" s="116"/>
      <c r="I1091" s="116"/>
      <c r="L1091" s="170">
        <v>44613</v>
      </c>
      <c r="M1091" s="116">
        <v>1134.75</v>
      </c>
      <c r="N1091" s="116">
        <v>1150.5</v>
      </c>
      <c r="O1091" s="116">
        <v>1123</v>
      </c>
      <c r="P1091" s="116">
        <v>1145</v>
      </c>
      <c r="Q1091" s="116">
        <v>1134.75</v>
      </c>
      <c r="R1091">
        <v>1020384</v>
      </c>
    </row>
    <row r="1092" spans="1:18" x14ac:dyDescent="0.25">
      <c r="A1092" s="170">
        <v>44614</v>
      </c>
      <c r="B1092" s="116">
        <v>1126.45</v>
      </c>
      <c r="C1092" s="116">
        <v>1103.3499999999999</v>
      </c>
      <c r="D1092" s="116">
        <v>1095.1500000000001</v>
      </c>
      <c r="E1092" s="116">
        <v>1100</v>
      </c>
      <c r="F1092" s="116">
        <v>1103.3499999999999</v>
      </c>
      <c r="G1092">
        <v>34460</v>
      </c>
      <c r="H1092" s="116"/>
      <c r="I1092" s="116"/>
      <c r="L1092" s="170">
        <v>44614</v>
      </c>
      <c r="M1092" s="116">
        <v>1100.95</v>
      </c>
      <c r="N1092" s="116">
        <v>1126.5</v>
      </c>
      <c r="O1092" s="116">
        <v>1096.0999999999999</v>
      </c>
      <c r="P1092" s="116">
        <v>1106</v>
      </c>
      <c r="Q1092" s="116">
        <v>1100.95</v>
      </c>
      <c r="R1092">
        <v>2115917</v>
      </c>
    </row>
    <row r="1093" spans="1:18" x14ac:dyDescent="0.25">
      <c r="A1093" s="170">
        <v>44615</v>
      </c>
      <c r="B1093" s="116">
        <v>1113.95</v>
      </c>
      <c r="C1093" s="116">
        <v>1101.8499999999999</v>
      </c>
      <c r="D1093" s="116">
        <v>1099.6500000000001</v>
      </c>
      <c r="E1093" s="116">
        <v>1109</v>
      </c>
      <c r="F1093" s="116">
        <v>1101.8499999999999</v>
      </c>
      <c r="G1093">
        <v>89776</v>
      </c>
      <c r="H1093" s="116"/>
      <c r="I1093" s="116"/>
      <c r="L1093" s="170">
        <v>44615</v>
      </c>
      <c r="M1093" s="116">
        <v>1101.75</v>
      </c>
      <c r="N1093" s="116">
        <v>1114.95</v>
      </c>
      <c r="O1093" s="116">
        <v>1098.7</v>
      </c>
      <c r="P1093" s="116">
        <v>1108</v>
      </c>
      <c r="Q1093" s="116">
        <v>1101.75</v>
      </c>
      <c r="R1093">
        <v>1743770</v>
      </c>
    </row>
    <row r="1094" spans="1:18" x14ac:dyDescent="0.25">
      <c r="A1094" s="170">
        <v>44616</v>
      </c>
      <c r="B1094" s="116">
        <v>1091</v>
      </c>
      <c r="C1094" s="116">
        <v>1053.6500000000001</v>
      </c>
      <c r="D1094" s="116">
        <v>1045.8499999999999</v>
      </c>
      <c r="E1094" s="116">
        <v>1065.5</v>
      </c>
      <c r="F1094" s="116">
        <v>1053.6500000000001</v>
      </c>
      <c r="G1094">
        <v>79896</v>
      </c>
      <c r="H1094" s="116"/>
      <c r="I1094" s="116"/>
      <c r="L1094" s="170">
        <v>44616</v>
      </c>
      <c r="M1094" s="116">
        <v>1054.2</v>
      </c>
      <c r="N1094" s="116">
        <v>1091.5</v>
      </c>
      <c r="O1094" s="116">
        <v>1040.7</v>
      </c>
      <c r="P1094" s="116">
        <v>1078</v>
      </c>
      <c r="Q1094" s="116">
        <v>1054.2</v>
      </c>
      <c r="R1094">
        <v>2088599</v>
      </c>
    </row>
    <row r="1095" spans="1:18" x14ac:dyDescent="0.25">
      <c r="A1095" s="170">
        <v>44617</v>
      </c>
      <c r="B1095" s="116">
        <v>1076.3499999999999</v>
      </c>
      <c r="C1095" s="116">
        <v>1054.25</v>
      </c>
      <c r="D1095" s="116">
        <v>1045</v>
      </c>
      <c r="E1095" s="116">
        <v>1045</v>
      </c>
      <c r="F1095" s="116">
        <v>1054.25</v>
      </c>
      <c r="G1095">
        <v>50434</v>
      </c>
      <c r="H1095" s="116"/>
      <c r="I1095" s="116"/>
      <c r="L1095" s="170">
        <v>44617</v>
      </c>
      <c r="M1095" s="116">
        <v>1055.5999999999999</v>
      </c>
      <c r="N1095" s="116">
        <v>1077.7</v>
      </c>
      <c r="O1095" s="116">
        <v>1049</v>
      </c>
      <c r="P1095" s="116">
        <v>1060</v>
      </c>
      <c r="Q1095" s="116">
        <v>1055.5999999999999</v>
      </c>
      <c r="R1095">
        <v>1415912</v>
      </c>
    </row>
    <row r="1096" spans="1:18" x14ac:dyDescent="0.25">
      <c r="A1096" s="170">
        <v>44620</v>
      </c>
      <c r="B1096" s="116">
        <v>1062.8499999999999</v>
      </c>
      <c r="C1096" s="116">
        <v>1061.3</v>
      </c>
      <c r="D1096" s="116">
        <v>1017.3</v>
      </c>
      <c r="E1096" s="116">
        <v>1054</v>
      </c>
      <c r="F1096" s="116">
        <v>1061.3</v>
      </c>
      <c r="G1096">
        <v>78429</v>
      </c>
      <c r="H1096" s="116"/>
      <c r="I1096" s="116"/>
      <c r="L1096" s="170">
        <v>44620</v>
      </c>
      <c r="M1096" s="116">
        <v>1060.1500000000001</v>
      </c>
      <c r="N1096" s="116">
        <v>1062.8</v>
      </c>
      <c r="O1096" s="116">
        <v>1016.85</v>
      </c>
      <c r="P1096" s="116">
        <v>1049</v>
      </c>
      <c r="Q1096" s="116">
        <v>1060.1500000000001</v>
      </c>
      <c r="R1096">
        <v>1566146</v>
      </c>
    </row>
    <row r="1097" spans="1:18" x14ac:dyDescent="0.25">
      <c r="A1097" s="170">
        <v>44622</v>
      </c>
      <c r="B1097" s="116">
        <v>1124.0999999999999</v>
      </c>
      <c r="C1097" s="116">
        <v>1121.95</v>
      </c>
      <c r="D1097" s="116">
        <v>1050</v>
      </c>
      <c r="E1097" s="116">
        <v>1050</v>
      </c>
      <c r="F1097" s="116">
        <v>1121.95</v>
      </c>
      <c r="G1097">
        <v>110249</v>
      </c>
      <c r="H1097" s="116"/>
      <c r="I1097" s="116"/>
      <c r="L1097" s="170">
        <v>44622</v>
      </c>
      <c r="M1097" s="116">
        <v>1121.1500000000001</v>
      </c>
      <c r="N1097" s="116">
        <v>1125</v>
      </c>
      <c r="O1097" s="116">
        <v>1056.05</v>
      </c>
      <c r="P1097" s="116">
        <v>1060</v>
      </c>
      <c r="Q1097" s="116">
        <v>1121.1500000000001</v>
      </c>
      <c r="R1097">
        <v>3762611</v>
      </c>
    </row>
    <row r="1098" spans="1:18" x14ac:dyDescent="0.25">
      <c r="A1098" s="170">
        <v>44623</v>
      </c>
      <c r="B1098" s="116">
        <v>1127</v>
      </c>
      <c r="C1098" s="116">
        <v>1081</v>
      </c>
      <c r="D1098" s="116">
        <v>1075.1500000000001</v>
      </c>
      <c r="E1098" s="116">
        <v>1127</v>
      </c>
      <c r="F1098" s="116">
        <v>1081</v>
      </c>
      <c r="G1098">
        <v>36219</v>
      </c>
      <c r="H1098" s="116"/>
      <c r="I1098" s="116"/>
      <c r="L1098" s="170">
        <v>44623</v>
      </c>
      <c r="M1098" s="116">
        <v>1081.3</v>
      </c>
      <c r="N1098" s="116">
        <v>1126.75</v>
      </c>
      <c r="O1098" s="116">
        <v>1075.1500000000001</v>
      </c>
      <c r="P1098" s="116">
        <v>1120.0999999999999</v>
      </c>
      <c r="Q1098" s="116">
        <v>1081.3</v>
      </c>
      <c r="R1098">
        <v>1105747</v>
      </c>
    </row>
    <row r="1099" spans="1:18" x14ac:dyDescent="0.25">
      <c r="A1099" s="170">
        <v>44624</v>
      </c>
      <c r="B1099" s="116">
        <v>1076.7</v>
      </c>
      <c r="C1099" s="116">
        <v>1056.3499999999999</v>
      </c>
      <c r="D1099" s="116">
        <v>1050</v>
      </c>
      <c r="E1099" s="116">
        <v>1076.7</v>
      </c>
      <c r="F1099" s="116">
        <v>1056.3499999999999</v>
      </c>
      <c r="G1099">
        <v>29544</v>
      </c>
      <c r="H1099" s="116"/>
      <c r="I1099" s="116"/>
      <c r="L1099" s="170">
        <v>44624</v>
      </c>
      <c r="M1099" s="116">
        <v>1057.3499999999999</v>
      </c>
      <c r="N1099" s="116">
        <v>1077.4000000000001</v>
      </c>
      <c r="O1099" s="116">
        <v>1049.75</v>
      </c>
      <c r="P1099" s="116">
        <v>1071.5</v>
      </c>
      <c r="Q1099" s="116">
        <v>1057.3499999999999</v>
      </c>
      <c r="R1099">
        <v>1586668</v>
      </c>
    </row>
    <row r="1100" spans="1:18" x14ac:dyDescent="0.25">
      <c r="A1100" s="170">
        <v>44627</v>
      </c>
      <c r="B1100" s="116">
        <v>1047.6500000000001</v>
      </c>
      <c r="C1100" s="116">
        <v>1028.3499999999999</v>
      </c>
      <c r="D1100" s="116">
        <v>1023.85</v>
      </c>
      <c r="E1100" s="116">
        <v>1040</v>
      </c>
      <c r="F1100" s="116">
        <v>1028.3499999999999</v>
      </c>
      <c r="G1100">
        <v>39842</v>
      </c>
      <c r="H1100" s="116"/>
      <c r="I1100" s="116"/>
      <c r="L1100" s="170">
        <v>44627</v>
      </c>
      <c r="M1100" s="116">
        <v>1028.9000000000001</v>
      </c>
      <c r="N1100" s="116">
        <v>1048.8</v>
      </c>
      <c r="O1100" s="116">
        <v>1023</v>
      </c>
      <c r="P1100" s="116">
        <v>1026.5999999999999</v>
      </c>
      <c r="Q1100" s="116">
        <v>1028.9000000000001</v>
      </c>
      <c r="R1100">
        <v>852067</v>
      </c>
    </row>
    <row r="1101" spans="1:18" x14ac:dyDescent="0.25">
      <c r="A1101" s="170">
        <v>44628</v>
      </c>
      <c r="B1101" s="116">
        <v>1035.95</v>
      </c>
      <c r="C1101" s="116">
        <v>1031.7</v>
      </c>
      <c r="D1101" s="116">
        <v>1003.6</v>
      </c>
      <c r="E1101" s="116">
        <v>1020.1</v>
      </c>
      <c r="F1101" s="116">
        <v>1031.7</v>
      </c>
      <c r="G1101">
        <v>39994</v>
      </c>
      <c r="H1101" s="116"/>
      <c r="I1101" s="116"/>
      <c r="L1101" s="170">
        <v>44628</v>
      </c>
      <c r="M1101" s="116">
        <v>1031.95</v>
      </c>
      <c r="N1101" s="116">
        <v>1039.75</v>
      </c>
      <c r="O1101" s="116">
        <v>1003.5</v>
      </c>
      <c r="P1101" s="116">
        <v>1009</v>
      </c>
      <c r="Q1101" s="116">
        <v>1031.95</v>
      </c>
      <c r="R1101">
        <v>1580056</v>
      </c>
    </row>
    <row r="1102" spans="1:18" x14ac:dyDescent="0.25">
      <c r="A1102" s="170">
        <v>44629</v>
      </c>
      <c r="B1102" s="116">
        <v>1042</v>
      </c>
      <c r="C1102" s="116">
        <v>1025.25</v>
      </c>
      <c r="D1102" s="116">
        <v>1020.95</v>
      </c>
      <c r="E1102" s="116">
        <v>1037</v>
      </c>
      <c r="F1102" s="116">
        <v>1025.25</v>
      </c>
      <c r="G1102">
        <v>37727</v>
      </c>
      <c r="H1102" s="116"/>
      <c r="I1102" s="116"/>
      <c r="L1102" s="170">
        <v>44629</v>
      </c>
      <c r="M1102" s="116">
        <v>1025.2</v>
      </c>
      <c r="N1102" s="116">
        <v>1041.95</v>
      </c>
      <c r="O1102" s="116">
        <v>1020.8</v>
      </c>
      <c r="P1102" s="116">
        <v>1035.8</v>
      </c>
      <c r="Q1102" s="116">
        <v>1025.2</v>
      </c>
      <c r="R1102">
        <v>1409037</v>
      </c>
    </row>
    <row r="1103" spans="1:18" x14ac:dyDescent="0.25">
      <c r="A1103" s="170">
        <v>44630</v>
      </c>
      <c r="B1103" s="116">
        <v>1057</v>
      </c>
      <c r="C1103" s="116">
        <v>1048.4000000000001</v>
      </c>
      <c r="D1103" s="116">
        <v>1037.55</v>
      </c>
      <c r="E1103" s="116">
        <v>1042</v>
      </c>
      <c r="F1103" s="116">
        <v>1048.4000000000001</v>
      </c>
      <c r="G1103">
        <v>141268</v>
      </c>
      <c r="H1103" s="116"/>
      <c r="I1103" s="116"/>
      <c r="L1103" s="170">
        <v>44630</v>
      </c>
      <c r="M1103" s="116">
        <v>1050.05</v>
      </c>
      <c r="N1103" s="116">
        <v>1057.0999999999999</v>
      </c>
      <c r="O1103" s="116">
        <v>1036.05</v>
      </c>
      <c r="P1103" s="116">
        <v>1039</v>
      </c>
      <c r="Q1103" s="116">
        <v>1050.05</v>
      </c>
      <c r="R1103">
        <v>1580932</v>
      </c>
    </row>
    <row r="1104" spans="1:18" x14ac:dyDescent="0.25">
      <c r="A1104" s="170">
        <v>44631</v>
      </c>
      <c r="B1104" s="116">
        <v>1066</v>
      </c>
      <c r="C1104" s="116">
        <v>1057.95</v>
      </c>
      <c r="D1104" s="116">
        <v>1043.8499999999999</v>
      </c>
      <c r="E1104" s="116">
        <v>1053.6500000000001</v>
      </c>
      <c r="F1104" s="116">
        <v>1057.95</v>
      </c>
      <c r="G1104">
        <v>19872</v>
      </c>
      <c r="H1104" s="116"/>
      <c r="I1104" s="116"/>
      <c r="L1104" s="170">
        <v>44631</v>
      </c>
      <c r="M1104" s="116">
        <v>1058.5</v>
      </c>
      <c r="N1104" s="116">
        <v>1066.0999999999999</v>
      </c>
      <c r="O1104" s="116">
        <v>1041.6500000000001</v>
      </c>
      <c r="P1104" s="116">
        <v>1050</v>
      </c>
      <c r="Q1104" s="116">
        <v>1058.5</v>
      </c>
      <c r="R1104">
        <v>698477</v>
      </c>
    </row>
    <row r="1105" spans="1:18" x14ac:dyDescent="0.25">
      <c r="A1105" s="170">
        <v>44634</v>
      </c>
      <c r="B1105" s="116">
        <v>1072.75</v>
      </c>
      <c r="C1105" s="116">
        <v>1069.3</v>
      </c>
      <c r="D1105" s="116">
        <v>1041.0999999999999</v>
      </c>
      <c r="E1105" s="116">
        <v>1053.5</v>
      </c>
      <c r="F1105" s="116">
        <v>1069.3</v>
      </c>
      <c r="G1105">
        <v>24951</v>
      </c>
      <c r="H1105" s="116"/>
      <c r="I1105" s="116"/>
      <c r="L1105" s="170">
        <v>44634</v>
      </c>
      <c r="M1105" s="116">
        <v>1069.7</v>
      </c>
      <c r="N1105" s="116">
        <v>1072.5999999999999</v>
      </c>
      <c r="O1105" s="116">
        <v>1040.1500000000001</v>
      </c>
      <c r="P1105" s="116">
        <v>1047</v>
      </c>
      <c r="Q1105" s="116">
        <v>1069.7</v>
      </c>
      <c r="R1105">
        <v>1278905</v>
      </c>
    </row>
    <row r="1106" spans="1:18" x14ac:dyDescent="0.25">
      <c r="A1106" s="170">
        <v>44635</v>
      </c>
      <c r="B1106" s="116">
        <v>1079.5</v>
      </c>
      <c r="C1106" s="116">
        <v>1068.4000000000001</v>
      </c>
      <c r="D1106" s="116">
        <v>1061.55</v>
      </c>
      <c r="E1106" s="116">
        <v>1061.55</v>
      </c>
      <c r="F1106" s="116">
        <v>1068.4000000000001</v>
      </c>
      <c r="G1106">
        <v>17830</v>
      </c>
      <c r="H1106" s="116"/>
      <c r="I1106" s="116"/>
      <c r="L1106" s="170">
        <v>44635</v>
      </c>
      <c r="M1106" s="116">
        <v>1070.55</v>
      </c>
      <c r="N1106" s="116">
        <v>1079.3499999999999</v>
      </c>
      <c r="O1106" s="116">
        <v>1060</v>
      </c>
      <c r="P1106" s="116">
        <v>1069.05</v>
      </c>
      <c r="Q1106" s="116">
        <v>1070.55</v>
      </c>
      <c r="R1106">
        <v>1068905</v>
      </c>
    </row>
    <row r="1107" spans="1:18" x14ac:dyDescent="0.25">
      <c r="A1107" s="170">
        <v>44636</v>
      </c>
      <c r="B1107" s="116">
        <v>1097.75</v>
      </c>
      <c r="C1107" s="116">
        <v>1084.75</v>
      </c>
      <c r="D1107" s="116">
        <v>1075.3</v>
      </c>
      <c r="E1107" s="116">
        <v>1079.05</v>
      </c>
      <c r="F1107" s="116">
        <v>1084.75</v>
      </c>
      <c r="G1107">
        <v>21717</v>
      </c>
      <c r="H1107" s="116"/>
      <c r="I1107" s="116"/>
      <c r="L1107" s="170">
        <v>44636</v>
      </c>
      <c r="M1107" s="116">
        <v>1085.75</v>
      </c>
      <c r="N1107" s="116">
        <v>1097.8</v>
      </c>
      <c r="O1107" s="116">
        <v>1075</v>
      </c>
      <c r="P1107" s="116">
        <v>1075.9000000000001</v>
      </c>
      <c r="Q1107" s="116">
        <v>1085.75</v>
      </c>
      <c r="R1107">
        <v>1616431</v>
      </c>
    </row>
    <row r="1108" spans="1:18" x14ac:dyDescent="0.25">
      <c r="A1108" s="170">
        <v>44637</v>
      </c>
      <c r="B1108" s="116">
        <v>1139.8</v>
      </c>
      <c r="C1108" s="116">
        <v>1130.9000000000001</v>
      </c>
      <c r="D1108" s="116">
        <v>1090.1500000000001</v>
      </c>
      <c r="E1108" s="116">
        <v>1095</v>
      </c>
      <c r="F1108" s="116">
        <v>1130.9000000000001</v>
      </c>
      <c r="G1108">
        <v>42064</v>
      </c>
      <c r="H1108" s="116"/>
      <c r="I1108" s="116"/>
      <c r="L1108" s="170">
        <v>44637</v>
      </c>
      <c r="M1108" s="116">
        <v>1128.55</v>
      </c>
      <c r="N1108" s="116">
        <v>1140</v>
      </c>
      <c r="O1108" s="116">
        <v>1088.0999999999999</v>
      </c>
      <c r="P1108" s="116">
        <v>1096</v>
      </c>
      <c r="Q1108" s="116">
        <v>1128.55</v>
      </c>
      <c r="R1108">
        <v>1867149</v>
      </c>
    </row>
    <row r="1109" spans="1:18" x14ac:dyDescent="0.25">
      <c r="A1109" s="170">
        <v>44641</v>
      </c>
      <c r="B1109" s="116">
        <v>1137.6500000000001</v>
      </c>
      <c r="C1109" s="116">
        <v>1095.05</v>
      </c>
      <c r="D1109" s="116">
        <v>1093.8499999999999</v>
      </c>
      <c r="E1109" s="116">
        <v>1131</v>
      </c>
      <c r="F1109" s="116">
        <v>1095.05</v>
      </c>
      <c r="G1109">
        <v>39272</v>
      </c>
      <c r="H1109" s="116"/>
      <c r="I1109" s="116"/>
      <c r="L1109" s="170">
        <v>44641</v>
      </c>
      <c r="M1109" s="116">
        <v>1095.8</v>
      </c>
      <c r="N1109" s="116">
        <v>1139</v>
      </c>
      <c r="O1109" s="116">
        <v>1094</v>
      </c>
      <c r="P1109" s="116">
        <v>1139</v>
      </c>
      <c r="Q1109" s="116">
        <v>1095.8</v>
      </c>
      <c r="R1109">
        <v>849763</v>
      </c>
    </row>
    <row r="1110" spans="1:18" x14ac:dyDescent="0.25">
      <c r="A1110" s="170">
        <v>44642</v>
      </c>
      <c r="B1110" s="116">
        <v>1101.25</v>
      </c>
      <c r="C1110" s="116">
        <v>1097.9000000000001</v>
      </c>
      <c r="D1110" s="116">
        <v>1070.5999999999999</v>
      </c>
      <c r="E1110" s="116">
        <v>1090</v>
      </c>
      <c r="F1110" s="116">
        <v>1097.9000000000001</v>
      </c>
      <c r="G1110">
        <v>19328</v>
      </c>
      <c r="H1110" s="116"/>
      <c r="I1110" s="116"/>
      <c r="L1110" s="170">
        <v>44642</v>
      </c>
      <c r="M1110" s="116">
        <v>1097.6500000000001</v>
      </c>
      <c r="N1110" s="116">
        <v>1101.8499999999999</v>
      </c>
      <c r="O1110" s="116">
        <v>1070</v>
      </c>
      <c r="P1110" s="116">
        <v>1092.5</v>
      </c>
      <c r="Q1110" s="116">
        <v>1097.6500000000001</v>
      </c>
      <c r="R1110">
        <v>998586</v>
      </c>
    </row>
    <row r="1111" spans="1:18" x14ac:dyDescent="0.25">
      <c r="A1111" s="170">
        <v>44643</v>
      </c>
      <c r="B1111" s="116">
        <v>1117.6500000000001</v>
      </c>
      <c r="C1111" s="116">
        <v>1091.05</v>
      </c>
      <c r="D1111" s="116">
        <v>1078.7</v>
      </c>
      <c r="E1111" s="116">
        <v>1110</v>
      </c>
      <c r="F1111" s="116">
        <v>1091.05</v>
      </c>
      <c r="G1111">
        <v>89757</v>
      </c>
      <c r="H1111" s="116"/>
      <c r="I1111" s="116"/>
      <c r="L1111" s="170">
        <v>44643</v>
      </c>
      <c r="M1111" s="116">
        <v>1092.25</v>
      </c>
      <c r="N1111" s="116">
        <v>1117.7</v>
      </c>
      <c r="O1111" s="116">
        <v>1079.0999999999999</v>
      </c>
      <c r="P1111" s="116">
        <v>1110.45</v>
      </c>
      <c r="Q1111" s="116">
        <v>1092.25</v>
      </c>
      <c r="R1111">
        <v>1054362</v>
      </c>
    </row>
    <row r="1112" spans="1:18" x14ac:dyDescent="0.25">
      <c r="A1112" s="170">
        <v>44644</v>
      </c>
      <c r="B1112" s="116">
        <v>1098.4000000000001</v>
      </c>
      <c r="C1112" s="116">
        <v>1090.8499999999999</v>
      </c>
      <c r="D1112" s="116">
        <v>1084.4000000000001</v>
      </c>
      <c r="E1112" s="116">
        <v>1098</v>
      </c>
      <c r="F1112" s="116">
        <v>1090.8499999999999</v>
      </c>
      <c r="G1112">
        <v>17181</v>
      </c>
      <c r="H1112" s="116"/>
      <c r="I1112" s="116"/>
      <c r="L1112" s="170">
        <v>44644</v>
      </c>
      <c r="M1112" s="116">
        <v>1088.95</v>
      </c>
      <c r="N1112" s="116">
        <v>1097.5</v>
      </c>
      <c r="O1112" s="116">
        <v>1084.3</v>
      </c>
      <c r="P1112" s="116">
        <v>1088</v>
      </c>
      <c r="Q1112" s="116">
        <v>1088.95</v>
      </c>
      <c r="R1112">
        <v>526345</v>
      </c>
    </row>
    <row r="1113" spans="1:18" x14ac:dyDescent="0.25">
      <c r="A1113" s="170">
        <v>44645</v>
      </c>
      <c r="B1113" s="116">
        <v>1101.1500000000001</v>
      </c>
      <c r="C1113" s="116">
        <v>1094.7</v>
      </c>
      <c r="D1113" s="116">
        <v>1085.5999999999999</v>
      </c>
      <c r="E1113" s="116">
        <v>1089.95</v>
      </c>
      <c r="F1113" s="116">
        <v>1094.7</v>
      </c>
      <c r="G1113">
        <v>17454</v>
      </c>
      <c r="H1113" s="116"/>
      <c r="I1113" s="116"/>
      <c r="L1113" s="170">
        <v>44645</v>
      </c>
      <c r="M1113" s="116">
        <v>1092.5999999999999</v>
      </c>
      <c r="N1113" s="116">
        <v>1101.3</v>
      </c>
      <c r="O1113" s="116">
        <v>1085.5999999999999</v>
      </c>
      <c r="P1113" s="116">
        <v>1094</v>
      </c>
      <c r="Q1113" s="116">
        <v>1092.5999999999999</v>
      </c>
      <c r="R1113">
        <v>598919</v>
      </c>
    </row>
    <row r="1114" spans="1:18" x14ac:dyDescent="0.25">
      <c r="A1114" s="170">
        <v>44648</v>
      </c>
      <c r="B1114" s="116">
        <v>1103</v>
      </c>
      <c r="C1114" s="116">
        <v>1077.5999999999999</v>
      </c>
      <c r="D1114" s="116">
        <v>1055.7</v>
      </c>
      <c r="E1114" s="116">
        <v>1084.9000000000001</v>
      </c>
      <c r="F1114" s="116">
        <v>1077.5999999999999</v>
      </c>
      <c r="G1114">
        <v>36900</v>
      </c>
      <c r="H1114" s="116"/>
      <c r="I1114" s="116"/>
      <c r="L1114" s="170">
        <v>44648</v>
      </c>
      <c r="M1114" s="116">
        <v>1077</v>
      </c>
      <c r="N1114" s="116">
        <v>1103.8</v>
      </c>
      <c r="O1114" s="116">
        <v>1056</v>
      </c>
      <c r="P1114" s="116">
        <v>1092.9000000000001</v>
      </c>
      <c r="Q1114" s="116">
        <v>1077</v>
      </c>
      <c r="R1114">
        <v>926829</v>
      </c>
    </row>
    <row r="1115" spans="1:18" x14ac:dyDescent="0.25">
      <c r="A1115" s="170">
        <v>44649</v>
      </c>
      <c r="B1115" s="116">
        <v>1116.7</v>
      </c>
      <c r="C1115" s="116">
        <v>1101</v>
      </c>
      <c r="D1115" s="116">
        <v>1086.8499999999999</v>
      </c>
      <c r="E1115" s="116">
        <v>1107</v>
      </c>
      <c r="F1115" s="116">
        <v>1101</v>
      </c>
      <c r="G1115">
        <v>129709</v>
      </c>
      <c r="H1115" s="116"/>
      <c r="I1115" s="116"/>
      <c r="L1115" s="170">
        <v>44649</v>
      </c>
      <c r="M1115" s="116">
        <v>1101.25</v>
      </c>
      <c r="N1115" s="116">
        <v>1114.95</v>
      </c>
      <c r="O1115" s="116">
        <v>1086.4000000000001</v>
      </c>
      <c r="P1115" s="116">
        <v>1111</v>
      </c>
      <c r="Q1115" s="116">
        <v>1101.25</v>
      </c>
      <c r="R1115">
        <v>2864668</v>
      </c>
    </row>
    <row r="1116" spans="1:18" x14ac:dyDescent="0.25">
      <c r="A1116" s="170">
        <v>44650</v>
      </c>
      <c r="B1116" s="116">
        <v>1127</v>
      </c>
      <c r="C1116" s="116">
        <v>1120.7</v>
      </c>
      <c r="D1116" s="116">
        <v>1104.0999999999999</v>
      </c>
      <c r="E1116" s="116">
        <v>1117.9000000000001</v>
      </c>
      <c r="F1116" s="116">
        <v>1120.7</v>
      </c>
      <c r="G1116">
        <v>23926</v>
      </c>
      <c r="H1116" s="116"/>
      <c r="I1116" s="116"/>
      <c r="L1116" s="170">
        <v>44650</v>
      </c>
      <c r="M1116" s="116">
        <v>1121.8</v>
      </c>
      <c r="N1116" s="116">
        <v>1127.6500000000001</v>
      </c>
      <c r="O1116" s="116">
        <v>1103.5</v>
      </c>
      <c r="P1116" s="116">
        <v>1110</v>
      </c>
      <c r="Q1116" s="116">
        <v>1121.8</v>
      </c>
      <c r="R1116">
        <v>1287813</v>
      </c>
    </row>
    <row r="1117" spans="1:18" x14ac:dyDescent="0.25">
      <c r="A1117" s="170">
        <v>44651</v>
      </c>
      <c r="B1117" s="116">
        <v>1127</v>
      </c>
      <c r="C1117" s="116">
        <v>1120.2</v>
      </c>
      <c r="D1117" s="116">
        <v>1115</v>
      </c>
      <c r="E1117" s="116">
        <v>1121.6500000000001</v>
      </c>
      <c r="F1117" s="116">
        <v>1120.2</v>
      </c>
      <c r="G1117">
        <v>22787</v>
      </c>
      <c r="H1117" s="116"/>
      <c r="I1117" s="116"/>
      <c r="L1117" s="170">
        <v>44651</v>
      </c>
      <c r="M1117" s="116">
        <v>1121.45</v>
      </c>
      <c r="N1117" s="116">
        <v>1128</v>
      </c>
      <c r="O1117" s="116">
        <v>1114.45</v>
      </c>
      <c r="P1117" s="116">
        <v>1128</v>
      </c>
      <c r="Q1117" s="116">
        <v>1121.45</v>
      </c>
      <c r="R1117">
        <v>749342</v>
      </c>
    </row>
    <row r="1118" spans="1:18" x14ac:dyDescent="0.25">
      <c r="A1118" s="170">
        <v>44652</v>
      </c>
      <c r="B1118" s="116">
        <v>1121.45</v>
      </c>
      <c r="C1118" s="116">
        <v>1112.8</v>
      </c>
      <c r="D1118" s="116">
        <v>1089.9000000000001</v>
      </c>
      <c r="E1118" s="116">
        <v>1121.45</v>
      </c>
      <c r="F1118" s="116">
        <v>1112.8</v>
      </c>
      <c r="G1118">
        <v>54823</v>
      </c>
      <c r="H1118" s="116"/>
      <c r="I1118" s="116"/>
      <c r="L1118" s="170">
        <v>44652</v>
      </c>
      <c r="M1118" s="116">
        <v>1113.3499999999999</v>
      </c>
      <c r="N1118" s="116">
        <v>1120.8</v>
      </c>
      <c r="O1118" s="116">
        <v>1089</v>
      </c>
      <c r="P1118" s="116">
        <v>1119</v>
      </c>
      <c r="Q1118" s="116">
        <v>1113.3499999999999</v>
      </c>
      <c r="R1118">
        <v>1519104</v>
      </c>
    </row>
    <row r="1119" spans="1:18" x14ac:dyDescent="0.25">
      <c r="A1119" s="170">
        <v>44655</v>
      </c>
      <c r="B1119" s="116">
        <v>1129.1500000000001</v>
      </c>
      <c r="C1119" s="116">
        <v>1125.8499999999999</v>
      </c>
      <c r="D1119" s="116">
        <v>1103.5</v>
      </c>
      <c r="E1119" s="116">
        <v>1120</v>
      </c>
      <c r="F1119" s="116">
        <v>1125.8499999999999</v>
      </c>
      <c r="G1119">
        <v>49128</v>
      </c>
      <c r="H1119" s="116"/>
      <c r="I1119" s="116"/>
      <c r="L1119" s="170">
        <v>44655</v>
      </c>
      <c r="M1119" s="116">
        <v>1126.3</v>
      </c>
      <c r="N1119" s="116">
        <v>1129.9000000000001</v>
      </c>
      <c r="O1119" s="116">
        <v>1104</v>
      </c>
      <c r="P1119" s="116">
        <v>1113.3499999999999</v>
      </c>
      <c r="Q1119" s="116">
        <v>1126.3</v>
      </c>
      <c r="R1119">
        <v>1802143</v>
      </c>
    </row>
    <row r="1120" spans="1:18" x14ac:dyDescent="0.25">
      <c r="A1120" s="170">
        <v>44656</v>
      </c>
      <c r="B1120" s="116">
        <v>1128.25</v>
      </c>
      <c r="C1120" s="116">
        <v>1117.8499999999999</v>
      </c>
      <c r="D1120" s="116">
        <v>1111</v>
      </c>
      <c r="E1120" s="116">
        <v>1128.25</v>
      </c>
      <c r="F1120" s="116">
        <v>1117.8499999999999</v>
      </c>
      <c r="G1120">
        <v>23936</v>
      </c>
      <c r="H1120" s="116"/>
      <c r="I1120" s="116"/>
      <c r="L1120" s="170">
        <v>44656</v>
      </c>
      <c r="M1120" s="116">
        <v>1118.3499999999999</v>
      </c>
      <c r="N1120" s="116">
        <v>1130.2</v>
      </c>
      <c r="O1120" s="116">
        <v>1111</v>
      </c>
      <c r="P1120" s="116">
        <v>1123.05</v>
      </c>
      <c r="Q1120" s="116">
        <v>1118.3499999999999</v>
      </c>
      <c r="R1120">
        <v>773451</v>
      </c>
    </row>
    <row r="1121" spans="1:18" x14ac:dyDescent="0.25">
      <c r="A1121" s="170">
        <v>44657</v>
      </c>
      <c r="B1121" s="116">
        <v>1121.55</v>
      </c>
      <c r="C1121" s="116">
        <v>1107.25</v>
      </c>
      <c r="D1121" s="116">
        <v>1102</v>
      </c>
      <c r="E1121" s="116">
        <v>1119.6500000000001</v>
      </c>
      <c r="F1121" s="116">
        <v>1107.25</v>
      </c>
      <c r="G1121">
        <v>27089</v>
      </c>
      <c r="H1121" s="116"/>
      <c r="I1121" s="116"/>
      <c r="L1121" s="170">
        <v>44657</v>
      </c>
      <c r="M1121" s="116">
        <v>1107.0999999999999</v>
      </c>
      <c r="N1121" s="116">
        <v>1122.45</v>
      </c>
      <c r="O1121" s="116">
        <v>1101.5</v>
      </c>
      <c r="P1121" s="116">
        <v>1111</v>
      </c>
      <c r="Q1121" s="116">
        <v>1107.0999999999999</v>
      </c>
      <c r="R1121">
        <v>1354847</v>
      </c>
    </row>
    <row r="1122" spans="1:18" x14ac:dyDescent="0.25">
      <c r="A1122" s="170">
        <v>44658</v>
      </c>
      <c r="B1122" s="116">
        <v>1115</v>
      </c>
      <c r="C1122" s="116">
        <v>1109.05</v>
      </c>
      <c r="D1122" s="116">
        <v>1100</v>
      </c>
      <c r="E1122" s="116">
        <v>1107.8499999999999</v>
      </c>
      <c r="F1122" s="116">
        <v>1109.05</v>
      </c>
      <c r="G1122">
        <v>49042</v>
      </c>
      <c r="H1122" s="116"/>
      <c r="I1122" s="116"/>
      <c r="L1122" s="170">
        <v>44658</v>
      </c>
      <c r="M1122" s="116">
        <v>1108.8499999999999</v>
      </c>
      <c r="N1122" s="116">
        <v>1115.75</v>
      </c>
      <c r="O1122" s="116">
        <v>1100</v>
      </c>
      <c r="P1122" s="116">
        <v>1103.5</v>
      </c>
      <c r="Q1122" s="116">
        <v>1108.8499999999999</v>
      </c>
      <c r="R1122">
        <v>966698</v>
      </c>
    </row>
    <row r="1123" spans="1:18" x14ac:dyDescent="0.25">
      <c r="A1123" s="170">
        <v>44659</v>
      </c>
      <c r="B1123" s="116">
        <v>1164</v>
      </c>
      <c r="C1123" s="116">
        <v>1159.9000000000001</v>
      </c>
      <c r="D1123" s="116">
        <v>1112.95</v>
      </c>
      <c r="E1123" s="116">
        <v>1113</v>
      </c>
      <c r="F1123" s="116">
        <v>1159.9000000000001</v>
      </c>
      <c r="G1123">
        <v>150555</v>
      </c>
      <c r="H1123" s="116"/>
      <c r="I1123" s="116"/>
      <c r="L1123" s="170">
        <v>44659</v>
      </c>
      <c r="M1123" s="116">
        <v>1160.45</v>
      </c>
      <c r="N1123" s="116">
        <v>1165</v>
      </c>
      <c r="O1123" s="116">
        <v>1109</v>
      </c>
      <c r="P1123" s="116">
        <v>1109</v>
      </c>
      <c r="Q1123" s="116">
        <v>1160.45</v>
      </c>
      <c r="R1123">
        <v>2390240</v>
      </c>
    </row>
    <row r="1124" spans="1:18" x14ac:dyDescent="0.25">
      <c r="A1124" s="170">
        <v>44662</v>
      </c>
      <c r="B1124" s="116">
        <v>1165.3</v>
      </c>
      <c r="C1124" s="116">
        <v>1142.2</v>
      </c>
      <c r="D1124" s="116">
        <v>1133.9000000000001</v>
      </c>
      <c r="E1124" s="116">
        <v>1165.3</v>
      </c>
      <c r="F1124" s="116">
        <v>1142.2</v>
      </c>
      <c r="G1124">
        <v>35780</v>
      </c>
      <c r="H1124" s="116"/>
      <c r="I1124" s="116"/>
      <c r="L1124" s="170">
        <v>44662</v>
      </c>
      <c r="M1124" s="116">
        <v>1142.5</v>
      </c>
      <c r="N1124" s="116">
        <v>1160</v>
      </c>
      <c r="O1124" s="116">
        <v>1133.05</v>
      </c>
      <c r="P1124" s="116">
        <v>1160</v>
      </c>
      <c r="Q1124" s="116">
        <v>1142.5</v>
      </c>
      <c r="R1124">
        <v>1318874</v>
      </c>
    </row>
    <row r="1125" spans="1:18" x14ac:dyDescent="0.25">
      <c r="A1125" s="170">
        <v>44663</v>
      </c>
      <c r="B1125" s="116">
        <v>1152.4000000000001</v>
      </c>
      <c r="C1125" s="116">
        <v>1148.0999999999999</v>
      </c>
      <c r="D1125" s="116">
        <v>1118.8</v>
      </c>
      <c r="E1125" s="116">
        <v>1142.2</v>
      </c>
      <c r="F1125" s="116">
        <v>1148.0999999999999</v>
      </c>
      <c r="G1125">
        <v>24947</v>
      </c>
      <c r="H1125" s="116"/>
      <c r="I1125" s="116"/>
      <c r="L1125" s="170">
        <v>44663</v>
      </c>
      <c r="M1125" s="116">
        <v>1149.0999999999999</v>
      </c>
      <c r="N1125" s="116">
        <v>1153</v>
      </c>
      <c r="O1125" s="116">
        <v>1119.05</v>
      </c>
      <c r="P1125" s="116">
        <v>1141</v>
      </c>
      <c r="Q1125" s="116">
        <v>1149.0999999999999</v>
      </c>
      <c r="R1125">
        <v>1506254</v>
      </c>
    </row>
    <row r="1126" spans="1:18" x14ac:dyDescent="0.25">
      <c r="A1126" s="170">
        <v>44664</v>
      </c>
      <c r="B1126" s="116">
        <v>1157.8</v>
      </c>
      <c r="C1126" s="116">
        <v>1147.5999999999999</v>
      </c>
      <c r="D1126" s="116">
        <v>1140.9000000000001</v>
      </c>
      <c r="E1126" s="116">
        <v>1148.0999999999999</v>
      </c>
      <c r="F1126" s="116">
        <v>1147.5999999999999</v>
      </c>
      <c r="G1126">
        <v>17860</v>
      </c>
      <c r="H1126" s="116"/>
      <c r="I1126" s="116"/>
      <c r="L1126" s="170">
        <v>44664</v>
      </c>
      <c r="M1126" s="116">
        <v>1146.9000000000001</v>
      </c>
      <c r="N1126" s="116">
        <v>1157.9000000000001</v>
      </c>
      <c r="O1126" s="116">
        <v>1140</v>
      </c>
      <c r="P1126" s="116">
        <v>1150</v>
      </c>
      <c r="Q1126" s="116">
        <v>1146.9000000000001</v>
      </c>
      <c r="R1126">
        <v>509293</v>
      </c>
    </row>
    <row r="1127" spans="1:18" x14ac:dyDescent="0.25">
      <c r="A1127" s="170">
        <v>44669</v>
      </c>
      <c r="B1127" s="116">
        <v>1181.5</v>
      </c>
      <c r="C1127" s="116">
        <v>1172.2</v>
      </c>
      <c r="D1127" s="116">
        <v>1132.8</v>
      </c>
      <c r="E1127" s="116">
        <v>1141</v>
      </c>
      <c r="F1127" s="116">
        <v>1172.2</v>
      </c>
      <c r="G1127">
        <v>115242</v>
      </c>
      <c r="H1127" s="116"/>
      <c r="I1127" s="116"/>
      <c r="L1127" s="170">
        <v>44669</v>
      </c>
      <c r="M1127" s="116">
        <v>1173.4000000000001</v>
      </c>
      <c r="N1127" s="116">
        <v>1181.95</v>
      </c>
      <c r="O1127" s="116">
        <v>1133.5999999999999</v>
      </c>
      <c r="P1127" s="116">
        <v>1145</v>
      </c>
      <c r="Q1127" s="116">
        <v>1173.4000000000001</v>
      </c>
      <c r="R1127">
        <v>2382085</v>
      </c>
    </row>
    <row r="1128" spans="1:18" x14ac:dyDescent="0.25">
      <c r="A1128" s="170">
        <v>44670</v>
      </c>
      <c r="B1128" s="116">
        <v>1184.3</v>
      </c>
      <c r="C1128" s="116">
        <v>1124.4000000000001</v>
      </c>
      <c r="D1128" s="116">
        <v>1115</v>
      </c>
      <c r="E1128" s="116">
        <v>1180</v>
      </c>
      <c r="F1128" s="116">
        <v>1124.4000000000001</v>
      </c>
      <c r="G1128">
        <v>35643</v>
      </c>
      <c r="H1128" s="116"/>
      <c r="I1128" s="116"/>
      <c r="L1128" s="170">
        <v>44670</v>
      </c>
      <c r="M1128" s="116">
        <v>1124.7</v>
      </c>
      <c r="N1128" s="116">
        <v>1184.95</v>
      </c>
      <c r="O1128" s="116">
        <v>1112</v>
      </c>
      <c r="P1128" s="116">
        <v>1184.95</v>
      </c>
      <c r="Q1128" s="116">
        <v>1124.7</v>
      </c>
      <c r="R1128">
        <v>971382</v>
      </c>
    </row>
    <row r="1129" spans="1:18" x14ac:dyDescent="0.25">
      <c r="A1129" s="170">
        <v>44671</v>
      </c>
      <c r="B1129" s="116">
        <v>1135.5999999999999</v>
      </c>
      <c r="C1129" s="116">
        <v>1127.05</v>
      </c>
      <c r="D1129" s="116">
        <v>1117.55</v>
      </c>
      <c r="E1129" s="116">
        <v>1135.5999999999999</v>
      </c>
      <c r="F1129" s="116">
        <v>1127.05</v>
      </c>
      <c r="G1129">
        <v>21783</v>
      </c>
      <c r="H1129" s="116"/>
      <c r="I1129" s="116"/>
      <c r="L1129" s="170">
        <v>44671</v>
      </c>
      <c r="M1129" s="116">
        <v>1128.3499999999999</v>
      </c>
      <c r="N1129" s="116">
        <v>1135.7</v>
      </c>
      <c r="O1129" s="116">
        <v>1117.7</v>
      </c>
      <c r="P1129" s="116">
        <v>1127.5</v>
      </c>
      <c r="Q1129" s="116">
        <v>1128.3499999999999</v>
      </c>
      <c r="R1129">
        <v>645638</v>
      </c>
    </row>
    <row r="1130" spans="1:18" x14ac:dyDescent="0.25">
      <c r="A1130" s="170">
        <v>44672</v>
      </c>
      <c r="B1130" s="116">
        <v>1148</v>
      </c>
      <c r="C1130" s="116">
        <v>1144.9000000000001</v>
      </c>
      <c r="D1130" s="116">
        <v>1126.2</v>
      </c>
      <c r="E1130" s="116">
        <v>1145.7</v>
      </c>
      <c r="F1130" s="116">
        <v>1144.9000000000001</v>
      </c>
      <c r="G1130">
        <v>16614</v>
      </c>
      <c r="H1130" s="116"/>
      <c r="I1130" s="116"/>
      <c r="L1130" s="170">
        <v>44672</v>
      </c>
      <c r="M1130" s="116">
        <v>1144.55</v>
      </c>
      <c r="N1130" s="116">
        <v>1148.5999999999999</v>
      </c>
      <c r="O1130" s="116">
        <v>1125.2</v>
      </c>
      <c r="P1130" s="116">
        <v>1125.2</v>
      </c>
      <c r="Q1130" s="116">
        <v>1144.55</v>
      </c>
      <c r="R1130">
        <v>731288</v>
      </c>
    </row>
    <row r="1131" spans="1:18" x14ac:dyDescent="0.25">
      <c r="A1131" s="170">
        <v>44673</v>
      </c>
      <c r="B1131" s="116">
        <v>1139.8499999999999</v>
      </c>
      <c r="C1131" s="116">
        <v>1137.45</v>
      </c>
      <c r="D1131" s="116">
        <v>1121.75</v>
      </c>
      <c r="E1131" s="116">
        <v>1125</v>
      </c>
      <c r="F1131" s="116">
        <v>1137.45</v>
      </c>
      <c r="G1131">
        <v>20524</v>
      </c>
      <c r="H1131" s="116"/>
      <c r="I1131" s="116"/>
      <c r="L1131" s="170">
        <v>44673</v>
      </c>
      <c r="M1131" s="116">
        <v>1137.25</v>
      </c>
      <c r="N1131" s="116">
        <v>1140</v>
      </c>
      <c r="O1131" s="116">
        <v>1122</v>
      </c>
      <c r="P1131" s="116">
        <v>1133.5</v>
      </c>
      <c r="Q1131" s="116">
        <v>1137.25</v>
      </c>
      <c r="R1131">
        <v>824665</v>
      </c>
    </row>
    <row r="1132" spans="1:18" x14ac:dyDescent="0.25">
      <c r="A1132" s="170">
        <v>44676</v>
      </c>
      <c r="B1132" s="116">
        <v>1128</v>
      </c>
      <c r="C1132" s="116">
        <v>1091.55</v>
      </c>
      <c r="D1132" s="116">
        <v>1088</v>
      </c>
      <c r="E1132" s="116">
        <v>1123.95</v>
      </c>
      <c r="F1132" s="116">
        <v>1091.55</v>
      </c>
      <c r="G1132">
        <v>36265</v>
      </c>
      <c r="H1132" s="116"/>
      <c r="I1132" s="116"/>
      <c r="L1132" s="170">
        <v>44676</v>
      </c>
      <c r="M1132" s="116">
        <v>1091.25</v>
      </c>
      <c r="N1132" s="116">
        <v>1129.2</v>
      </c>
      <c r="O1132" s="116">
        <v>1087.45</v>
      </c>
      <c r="P1132" s="116">
        <v>1120</v>
      </c>
      <c r="Q1132" s="116">
        <v>1091.25</v>
      </c>
      <c r="R1132">
        <v>1073577</v>
      </c>
    </row>
    <row r="1133" spans="1:18" x14ac:dyDescent="0.25">
      <c r="A1133" s="170">
        <v>44677</v>
      </c>
      <c r="B1133" s="116">
        <v>1102.7</v>
      </c>
      <c r="C1133" s="116">
        <v>1093.75</v>
      </c>
      <c r="D1133" s="116">
        <v>1083.3499999999999</v>
      </c>
      <c r="E1133" s="116">
        <v>1102.4000000000001</v>
      </c>
      <c r="F1133" s="116">
        <v>1093.75</v>
      </c>
      <c r="G1133">
        <v>22445</v>
      </c>
      <c r="H1133" s="116"/>
      <c r="I1133" s="116"/>
      <c r="L1133" s="170">
        <v>44677</v>
      </c>
      <c r="M1133" s="116">
        <v>1094.8499999999999</v>
      </c>
      <c r="N1133" s="116">
        <v>1106</v>
      </c>
      <c r="O1133" s="116">
        <v>1083.5999999999999</v>
      </c>
      <c r="P1133" s="116">
        <v>1106</v>
      </c>
      <c r="Q1133" s="116">
        <v>1094.8499999999999</v>
      </c>
      <c r="R1133">
        <v>922785</v>
      </c>
    </row>
    <row r="1134" spans="1:18" x14ac:dyDescent="0.25">
      <c r="A1134" s="170">
        <v>44678</v>
      </c>
      <c r="B1134" s="116">
        <v>1097.95</v>
      </c>
      <c r="C1134" s="116">
        <v>1073.75</v>
      </c>
      <c r="D1134" s="116">
        <v>1061.95</v>
      </c>
      <c r="E1134" s="116">
        <v>1081</v>
      </c>
      <c r="F1134" s="116">
        <v>1073.75</v>
      </c>
      <c r="G1134">
        <v>18591</v>
      </c>
      <c r="H1134" s="116"/>
      <c r="I1134" s="116"/>
      <c r="L1134" s="170">
        <v>44678</v>
      </c>
      <c r="M1134" s="116">
        <v>1074.2</v>
      </c>
      <c r="N1134" s="116">
        <v>1098.9000000000001</v>
      </c>
      <c r="O1134" s="116">
        <v>1061.2</v>
      </c>
      <c r="P1134" s="116">
        <v>1093</v>
      </c>
      <c r="Q1134" s="116">
        <v>1074.2</v>
      </c>
      <c r="R1134">
        <v>1202603</v>
      </c>
    </row>
    <row r="1135" spans="1:18" x14ac:dyDescent="0.25">
      <c r="A1135" s="170">
        <v>44679</v>
      </c>
      <c r="B1135" s="116">
        <v>1125.5999999999999</v>
      </c>
      <c r="C1135" s="116">
        <v>1116.55</v>
      </c>
      <c r="D1135" s="116">
        <v>1066.7</v>
      </c>
      <c r="E1135" s="116">
        <v>1076.45</v>
      </c>
      <c r="F1135" s="116">
        <v>1116.55</v>
      </c>
      <c r="G1135">
        <v>43954</v>
      </c>
      <c r="H1135" s="116"/>
      <c r="I1135" s="116"/>
      <c r="L1135" s="170">
        <v>44679</v>
      </c>
      <c r="M1135" s="116">
        <v>1116.8499999999999</v>
      </c>
      <c r="N1135" s="116">
        <v>1125</v>
      </c>
      <c r="O1135" s="116">
        <v>1066.4000000000001</v>
      </c>
      <c r="P1135" s="116">
        <v>1068.5</v>
      </c>
      <c r="Q1135" s="116">
        <v>1116.8499999999999</v>
      </c>
      <c r="R1135">
        <v>1643102</v>
      </c>
    </row>
    <row r="1136" spans="1:18" x14ac:dyDescent="0.25">
      <c r="A1136" s="170">
        <v>44680</v>
      </c>
      <c r="B1136" s="116">
        <v>1132.0999999999999</v>
      </c>
      <c r="C1136" s="116">
        <v>1107.9000000000001</v>
      </c>
      <c r="D1136" s="116">
        <v>1066.5999999999999</v>
      </c>
      <c r="E1136" s="116">
        <v>1116.55</v>
      </c>
      <c r="F1136" s="116">
        <v>1107.9000000000001</v>
      </c>
      <c r="G1136">
        <v>87665</v>
      </c>
      <c r="H1136" s="116"/>
      <c r="I1136" s="116"/>
      <c r="L1136" s="170">
        <v>44680</v>
      </c>
      <c r="M1136" s="116">
        <v>1105.5</v>
      </c>
      <c r="N1136" s="116">
        <v>1132.5999999999999</v>
      </c>
      <c r="O1136" s="116">
        <v>1066.25</v>
      </c>
      <c r="P1136" s="116">
        <v>1114.5</v>
      </c>
      <c r="Q1136" s="116">
        <v>1105.5</v>
      </c>
      <c r="R1136">
        <v>3259418</v>
      </c>
    </row>
    <row r="1137" spans="1:18" x14ac:dyDescent="0.25">
      <c r="A1137" s="170">
        <v>44683</v>
      </c>
      <c r="B1137" s="116">
        <v>1097</v>
      </c>
      <c r="C1137" s="116">
        <v>1080.75</v>
      </c>
      <c r="D1137" s="116">
        <v>1064.75</v>
      </c>
      <c r="E1137" s="116">
        <v>1097</v>
      </c>
      <c r="F1137" s="116">
        <v>1080.75</v>
      </c>
      <c r="G1137">
        <v>51680</v>
      </c>
      <c r="H1137" s="116"/>
      <c r="I1137" s="116"/>
      <c r="L1137" s="170">
        <v>44683</v>
      </c>
      <c r="M1137" s="116">
        <v>1081.05</v>
      </c>
      <c r="N1137" s="116">
        <v>1093.4000000000001</v>
      </c>
      <c r="O1137" s="116">
        <v>1064.2</v>
      </c>
      <c r="P1137" s="116">
        <v>1088.95</v>
      </c>
      <c r="Q1137" s="116">
        <v>1081.05</v>
      </c>
      <c r="R1137">
        <v>1925857</v>
      </c>
    </row>
    <row r="1138" spans="1:18" x14ac:dyDescent="0.25">
      <c r="A1138" s="170">
        <v>44685</v>
      </c>
      <c r="B1138" s="116">
        <v>1094.8</v>
      </c>
      <c r="C1138" s="116">
        <v>1079</v>
      </c>
      <c r="D1138" s="116">
        <v>1065</v>
      </c>
      <c r="E1138" s="116">
        <v>1089.95</v>
      </c>
      <c r="F1138" s="116">
        <v>1079</v>
      </c>
      <c r="G1138">
        <v>497075</v>
      </c>
      <c r="H1138" s="116"/>
      <c r="I1138" s="116"/>
      <c r="L1138" s="170">
        <v>44685</v>
      </c>
      <c r="M1138" s="116">
        <v>1077.8499999999999</v>
      </c>
      <c r="N1138" s="116">
        <v>1096.95</v>
      </c>
      <c r="O1138" s="116">
        <v>1065</v>
      </c>
      <c r="P1138" s="116">
        <v>1081.05</v>
      </c>
      <c r="Q1138" s="116">
        <v>1077.8499999999999</v>
      </c>
      <c r="R1138">
        <v>1169983</v>
      </c>
    </row>
    <row r="1139" spans="1:18" x14ac:dyDescent="0.25">
      <c r="A1139" s="170">
        <v>44686</v>
      </c>
      <c r="B1139" s="116">
        <v>1115.1500000000001</v>
      </c>
      <c r="C1139" s="116">
        <v>1084.2</v>
      </c>
      <c r="D1139" s="116">
        <v>1079.05</v>
      </c>
      <c r="E1139" s="116">
        <v>1088.25</v>
      </c>
      <c r="F1139" s="116">
        <v>1084.2</v>
      </c>
      <c r="G1139">
        <v>37748</v>
      </c>
      <c r="H1139" s="116"/>
      <c r="I1139" s="116"/>
      <c r="L1139" s="170">
        <v>44686</v>
      </c>
      <c r="M1139" s="116">
        <v>1083.6500000000001</v>
      </c>
      <c r="N1139" s="116">
        <v>1115</v>
      </c>
      <c r="O1139" s="116">
        <v>1080</v>
      </c>
      <c r="P1139" s="116">
        <v>1082</v>
      </c>
      <c r="Q1139" s="116">
        <v>1083.6500000000001</v>
      </c>
      <c r="R1139">
        <v>814132</v>
      </c>
    </row>
    <row r="1140" spans="1:18" x14ac:dyDescent="0.25">
      <c r="A1140" s="170">
        <v>44687</v>
      </c>
      <c r="B1140" s="116">
        <v>1079.4000000000001</v>
      </c>
      <c r="C1140" s="116">
        <v>1058.5999999999999</v>
      </c>
      <c r="D1140" s="116">
        <v>1052.5</v>
      </c>
      <c r="E1140" s="116">
        <v>1078</v>
      </c>
      <c r="F1140" s="116">
        <v>1058.5999999999999</v>
      </c>
      <c r="G1140">
        <v>33637</v>
      </c>
      <c r="H1140" s="116"/>
      <c r="I1140" s="116"/>
      <c r="L1140" s="170">
        <v>44687</v>
      </c>
      <c r="M1140" s="116">
        <v>1059.1500000000001</v>
      </c>
      <c r="N1140" s="116">
        <v>1081</v>
      </c>
      <c r="O1140" s="116">
        <v>1052.2</v>
      </c>
      <c r="P1140" s="116">
        <v>1073</v>
      </c>
      <c r="Q1140" s="116">
        <v>1059.1500000000001</v>
      </c>
      <c r="R1140">
        <v>1350057</v>
      </c>
    </row>
    <row r="1141" spans="1:18" x14ac:dyDescent="0.25">
      <c r="A1141" s="170">
        <v>44690</v>
      </c>
      <c r="B1141" s="116">
        <v>1074.5999999999999</v>
      </c>
      <c r="C1141" s="116">
        <v>1064.3</v>
      </c>
      <c r="D1141" s="116">
        <v>1035.5</v>
      </c>
      <c r="E1141" s="116">
        <v>1050</v>
      </c>
      <c r="F1141" s="116">
        <v>1064.3</v>
      </c>
      <c r="G1141">
        <v>24612</v>
      </c>
      <c r="H1141" s="116"/>
      <c r="I1141" s="116"/>
      <c r="L1141" s="170">
        <v>44690</v>
      </c>
      <c r="M1141" s="116">
        <v>1064.45</v>
      </c>
      <c r="N1141" s="116">
        <v>1074.9000000000001</v>
      </c>
      <c r="O1141" s="116">
        <v>1033.2</v>
      </c>
      <c r="P1141" s="116">
        <v>1034</v>
      </c>
      <c r="Q1141" s="116">
        <v>1064.45</v>
      </c>
      <c r="R1141">
        <v>1201027</v>
      </c>
    </row>
    <row r="1142" spans="1:18" x14ac:dyDescent="0.25">
      <c r="A1142" s="170">
        <v>44691</v>
      </c>
      <c r="B1142" s="116">
        <v>1096</v>
      </c>
      <c r="C1142" s="116">
        <v>1081.5999999999999</v>
      </c>
      <c r="D1142" s="116">
        <v>1062.6500000000001</v>
      </c>
      <c r="E1142" s="116">
        <v>1065.7</v>
      </c>
      <c r="F1142" s="116">
        <v>1081.5999999999999</v>
      </c>
      <c r="G1142">
        <v>29861</v>
      </c>
      <c r="H1142" s="116"/>
      <c r="I1142" s="116"/>
      <c r="L1142" s="170">
        <v>44691</v>
      </c>
      <c r="M1142" s="116">
        <v>1081.05</v>
      </c>
      <c r="N1142" s="116">
        <v>1096.8</v>
      </c>
      <c r="O1142" s="116">
        <v>1062</v>
      </c>
      <c r="P1142" s="116">
        <v>1070</v>
      </c>
      <c r="Q1142" s="116">
        <v>1081.05</v>
      </c>
      <c r="R1142">
        <v>1410429</v>
      </c>
    </row>
    <row r="1143" spans="1:18" x14ac:dyDescent="0.25">
      <c r="A1143" s="170">
        <v>44692</v>
      </c>
      <c r="B1143" s="116">
        <v>1103.8</v>
      </c>
      <c r="C1143" s="116">
        <v>1087.2</v>
      </c>
      <c r="D1143" s="116">
        <v>1080</v>
      </c>
      <c r="E1143" s="116">
        <v>1081.5999999999999</v>
      </c>
      <c r="F1143" s="116">
        <v>1087.2</v>
      </c>
      <c r="G1143">
        <v>67461</v>
      </c>
      <c r="H1143" s="116"/>
      <c r="I1143" s="116"/>
      <c r="L1143" s="170">
        <v>44692</v>
      </c>
      <c r="M1143" s="116">
        <v>1087.1500000000001</v>
      </c>
      <c r="N1143" s="116">
        <v>1104.45</v>
      </c>
      <c r="O1143" s="116">
        <v>1079</v>
      </c>
      <c r="P1143" s="116">
        <v>1079</v>
      </c>
      <c r="Q1143" s="116">
        <v>1087.1500000000001</v>
      </c>
      <c r="R1143">
        <v>1886732</v>
      </c>
    </row>
    <row r="1144" spans="1:18" x14ac:dyDescent="0.25">
      <c r="A1144" s="170">
        <v>44693</v>
      </c>
      <c r="B1144" s="116">
        <v>1081.95</v>
      </c>
      <c r="C1144" s="116">
        <v>1061.1500000000001</v>
      </c>
      <c r="D1144" s="116">
        <v>1048.05</v>
      </c>
      <c r="E1144" s="116">
        <v>1066.3</v>
      </c>
      <c r="F1144" s="116">
        <v>1061.1500000000001</v>
      </c>
      <c r="G1144">
        <v>26938</v>
      </c>
      <c r="H1144" s="116"/>
      <c r="I1144" s="116"/>
      <c r="L1144" s="170">
        <v>44693</v>
      </c>
      <c r="M1144" s="116">
        <v>1060.5999999999999</v>
      </c>
      <c r="N1144" s="116">
        <v>1081.95</v>
      </c>
      <c r="O1144" s="116">
        <v>1048</v>
      </c>
      <c r="P1144" s="116">
        <v>1075.5</v>
      </c>
      <c r="Q1144" s="116">
        <v>1060.5999999999999</v>
      </c>
      <c r="R1144">
        <v>1457225</v>
      </c>
    </row>
    <row r="1145" spans="1:18" x14ac:dyDescent="0.25">
      <c r="A1145" s="170">
        <v>44694</v>
      </c>
      <c r="B1145" s="116">
        <v>1072.95</v>
      </c>
      <c r="C1145" s="116">
        <v>1043.7</v>
      </c>
      <c r="D1145" s="116">
        <v>1038.9000000000001</v>
      </c>
      <c r="E1145" s="116">
        <v>1065</v>
      </c>
      <c r="F1145" s="116">
        <v>1043.7</v>
      </c>
      <c r="G1145">
        <v>31925</v>
      </c>
      <c r="H1145" s="116"/>
      <c r="I1145" s="116"/>
      <c r="L1145" s="170">
        <v>44694</v>
      </c>
      <c r="M1145" s="116">
        <v>1044.95</v>
      </c>
      <c r="N1145" s="116">
        <v>1079</v>
      </c>
      <c r="O1145" s="116">
        <v>1038.55</v>
      </c>
      <c r="P1145" s="116">
        <v>1075</v>
      </c>
      <c r="Q1145" s="116">
        <v>1044.95</v>
      </c>
      <c r="R1145">
        <v>1108831</v>
      </c>
    </row>
    <row r="1146" spans="1:18" x14ac:dyDescent="0.25">
      <c r="A1146" s="170">
        <v>44697</v>
      </c>
      <c r="B1146" s="116">
        <v>1054</v>
      </c>
      <c r="C1146" s="116">
        <v>1046.1500000000001</v>
      </c>
      <c r="D1146" s="116">
        <v>1034.95</v>
      </c>
      <c r="E1146" s="116">
        <v>1054</v>
      </c>
      <c r="F1146" s="116">
        <v>1046.1500000000001</v>
      </c>
      <c r="G1146">
        <v>15666</v>
      </c>
      <c r="H1146" s="116"/>
      <c r="I1146" s="116"/>
      <c r="L1146" s="170">
        <v>44697</v>
      </c>
      <c r="M1146" s="116">
        <v>1044.6500000000001</v>
      </c>
      <c r="N1146" s="116">
        <v>1054</v>
      </c>
      <c r="O1146" s="116">
        <v>1034.1500000000001</v>
      </c>
      <c r="P1146" s="116">
        <v>1045</v>
      </c>
      <c r="Q1146" s="116">
        <v>1044.6500000000001</v>
      </c>
      <c r="R1146">
        <v>590395</v>
      </c>
    </row>
    <row r="1147" spans="1:18" x14ac:dyDescent="0.25">
      <c r="A1147" s="170">
        <v>44698</v>
      </c>
      <c r="B1147" s="116">
        <v>1075</v>
      </c>
      <c r="C1147" s="116">
        <v>1070.75</v>
      </c>
      <c r="D1147" s="116">
        <v>1036.8499999999999</v>
      </c>
      <c r="E1147" s="116">
        <v>1045.5999999999999</v>
      </c>
      <c r="F1147" s="116">
        <v>1070.75</v>
      </c>
      <c r="G1147">
        <v>17208</v>
      </c>
      <c r="H1147" s="116"/>
      <c r="I1147" s="116"/>
      <c r="L1147" s="170">
        <v>44698</v>
      </c>
      <c r="M1147" s="116">
        <v>1070.4000000000001</v>
      </c>
      <c r="N1147" s="116">
        <v>1075.3499999999999</v>
      </c>
      <c r="O1147" s="116">
        <v>1036.3</v>
      </c>
      <c r="P1147" s="116">
        <v>1042</v>
      </c>
      <c r="Q1147" s="116">
        <v>1070.4000000000001</v>
      </c>
      <c r="R1147">
        <v>545334</v>
      </c>
    </row>
    <row r="1148" spans="1:18" x14ac:dyDescent="0.25">
      <c r="A1148" s="170">
        <v>44699</v>
      </c>
      <c r="B1148" s="116">
        <v>1084.25</v>
      </c>
      <c r="C1148" s="116">
        <v>1074.4000000000001</v>
      </c>
      <c r="D1148" s="116">
        <v>1055</v>
      </c>
      <c r="E1148" s="116">
        <v>1055</v>
      </c>
      <c r="F1148" s="116">
        <v>1074.4000000000001</v>
      </c>
      <c r="G1148">
        <v>34367</v>
      </c>
      <c r="H1148" s="116"/>
      <c r="I1148" s="116"/>
      <c r="L1148" s="170">
        <v>44699</v>
      </c>
      <c r="M1148" s="116">
        <v>1073.9000000000001</v>
      </c>
      <c r="N1148" s="116">
        <v>1085</v>
      </c>
      <c r="O1148" s="116">
        <v>1061</v>
      </c>
      <c r="P1148" s="116">
        <v>1063.5</v>
      </c>
      <c r="Q1148" s="116">
        <v>1073.9000000000001</v>
      </c>
      <c r="R1148">
        <v>775879</v>
      </c>
    </row>
    <row r="1149" spans="1:18" x14ac:dyDescent="0.25">
      <c r="A1149" s="170">
        <v>44700</v>
      </c>
      <c r="B1149" s="116">
        <v>1072.2</v>
      </c>
      <c r="C1149" s="116">
        <v>1056.4000000000001</v>
      </c>
      <c r="D1149" s="116">
        <v>1047.25</v>
      </c>
      <c r="E1149" s="116">
        <v>1054.5</v>
      </c>
      <c r="F1149" s="116">
        <v>1056.4000000000001</v>
      </c>
      <c r="G1149">
        <v>23358</v>
      </c>
      <c r="H1149" s="116"/>
      <c r="I1149" s="116"/>
      <c r="L1149" s="170">
        <v>44700</v>
      </c>
      <c r="M1149" s="116">
        <v>1056.6500000000001</v>
      </c>
      <c r="N1149" s="116">
        <v>1073.9000000000001</v>
      </c>
      <c r="O1149" s="116">
        <v>1047</v>
      </c>
      <c r="P1149" s="116">
        <v>1073.9000000000001</v>
      </c>
      <c r="Q1149" s="116">
        <v>1056.6500000000001</v>
      </c>
      <c r="R1149">
        <v>1069562</v>
      </c>
    </row>
    <row r="1150" spans="1:18" x14ac:dyDescent="0.25">
      <c r="A1150" s="170">
        <v>44701</v>
      </c>
      <c r="B1150" s="116">
        <v>1083.05</v>
      </c>
      <c r="C1150" s="116">
        <v>1071.5999999999999</v>
      </c>
      <c r="D1150" s="116">
        <v>1060.8499999999999</v>
      </c>
      <c r="E1150" s="116">
        <v>1065.8</v>
      </c>
      <c r="F1150" s="116">
        <v>1071.5999999999999</v>
      </c>
      <c r="G1150">
        <v>18213</v>
      </c>
      <c r="H1150" s="116"/>
      <c r="I1150" s="116"/>
      <c r="L1150" s="170">
        <v>44701</v>
      </c>
      <c r="M1150" s="116">
        <v>1071.3499999999999</v>
      </c>
      <c r="N1150" s="116">
        <v>1083.5</v>
      </c>
      <c r="O1150" s="116">
        <v>1061.3499999999999</v>
      </c>
      <c r="P1150" s="116">
        <v>1081</v>
      </c>
      <c r="Q1150" s="116">
        <v>1071.3499999999999</v>
      </c>
      <c r="R1150">
        <v>941175</v>
      </c>
    </row>
    <row r="1151" spans="1:18" x14ac:dyDescent="0.25">
      <c r="A1151" s="170">
        <v>44704</v>
      </c>
      <c r="B1151" s="116">
        <v>1091.7</v>
      </c>
      <c r="C1151" s="116">
        <v>1076.55</v>
      </c>
      <c r="D1151" s="116">
        <v>1051.0999999999999</v>
      </c>
      <c r="E1151" s="116">
        <v>1051.0999999999999</v>
      </c>
      <c r="F1151" s="116">
        <v>1076.55</v>
      </c>
      <c r="G1151">
        <v>20182</v>
      </c>
      <c r="H1151" s="116"/>
      <c r="I1151" s="116"/>
      <c r="L1151" s="170">
        <v>44704</v>
      </c>
      <c r="M1151" s="116">
        <v>1076.5</v>
      </c>
      <c r="N1151" s="116">
        <v>1091.9000000000001</v>
      </c>
      <c r="O1151" s="116">
        <v>1062</v>
      </c>
      <c r="P1151" s="116">
        <v>1062</v>
      </c>
      <c r="Q1151" s="116">
        <v>1076.5</v>
      </c>
      <c r="R1151">
        <v>620152</v>
      </c>
    </row>
    <row r="1152" spans="1:18" x14ac:dyDescent="0.25">
      <c r="A1152" s="170">
        <v>44705</v>
      </c>
      <c r="B1152" s="116">
        <v>1083.5</v>
      </c>
      <c r="C1152" s="116">
        <v>1073.6500000000001</v>
      </c>
      <c r="D1152" s="116">
        <v>1058.25</v>
      </c>
      <c r="E1152" s="116">
        <v>1066</v>
      </c>
      <c r="F1152" s="116">
        <v>1073.6500000000001</v>
      </c>
      <c r="G1152">
        <v>19279</v>
      </c>
      <c r="H1152" s="116"/>
      <c r="I1152" s="116"/>
      <c r="L1152" s="170">
        <v>44705</v>
      </c>
      <c r="M1152" s="116">
        <v>1073.4000000000001</v>
      </c>
      <c r="N1152" s="116">
        <v>1083.5999999999999</v>
      </c>
      <c r="O1152" s="116">
        <v>1057.25</v>
      </c>
      <c r="P1152" s="116">
        <v>1072.75</v>
      </c>
      <c r="Q1152" s="116">
        <v>1073.4000000000001</v>
      </c>
      <c r="R1152">
        <v>847697</v>
      </c>
    </row>
    <row r="1153" spans="1:18" x14ac:dyDescent="0.25">
      <c r="A1153" s="170">
        <v>44706</v>
      </c>
      <c r="B1153" s="116">
        <v>1116</v>
      </c>
      <c r="C1153" s="116">
        <v>1095.55</v>
      </c>
      <c r="D1153" s="116">
        <v>1077.6500000000001</v>
      </c>
      <c r="E1153" s="116">
        <v>1077.6500000000001</v>
      </c>
      <c r="F1153" s="116">
        <v>1095.55</v>
      </c>
      <c r="G1153">
        <v>146366</v>
      </c>
      <c r="H1153" s="116"/>
      <c r="I1153" s="116"/>
      <c r="L1153" s="170">
        <v>44706</v>
      </c>
      <c r="M1153" s="116">
        <v>1096</v>
      </c>
      <c r="N1153" s="116">
        <v>1116</v>
      </c>
      <c r="O1153" s="116">
        <v>1078</v>
      </c>
      <c r="P1153" s="116">
        <v>1078</v>
      </c>
      <c r="Q1153" s="116">
        <v>1096</v>
      </c>
      <c r="R1153">
        <v>3185769</v>
      </c>
    </row>
    <row r="1154" spans="1:18" x14ac:dyDescent="0.25">
      <c r="A1154" s="170">
        <v>44707</v>
      </c>
      <c r="B1154" s="116">
        <v>1110</v>
      </c>
      <c r="C1154" s="116">
        <v>1105.5</v>
      </c>
      <c r="D1154" s="116">
        <v>1073.9000000000001</v>
      </c>
      <c r="E1154" s="116">
        <v>1095.55</v>
      </c>
      <c r="F1154" s="116">
        <v>1105.5</v>
      </c>
      <c r="G1154">
        <v>78589</v>
      </c>
      <c r="H1154" s="116"/>
      <c r="I1154" s="116"/>
      <c r="L1154" s="170">
        <v>44707</v>
      </c>
      <c r="M1154" s="116">
        <v>1105.3499999999999</v>
      </c>
      <c r="N1154" s="116">
        <v>1109.8</v>
      </c>
      <c r="O1154" s="116">
        <v>1073.4000000000001</v>
      </c>
      <c r="P1154" s="116">
        <v>1097</v>
      </c>
      <c r="Q1154" s="116">
        <v>1105.3499999999999</v>
      </c>
      <c r="R1154">
        <v>1177148</v>
      </c>
    </row>
    <row r="1155" spans="1:18" x14ac:dyDescent="0.25">
      <c r="A1155" s="170">
        <v>44708</v>
      </c>
      <c r="B1155" s="116">
        <v>1128.9000000000001</v>
      </c>
      <c r="C1155" s="116">
        <v>1121.25</v>
      </c>
      <c r="D1155" s="116">
        <v>1105.3499999999999</v>
      </c>
      <c r="E1155" s="116">
        <v>1106.45</v>
      </c>
      <c r="F1155" s="116">
        <v>1121.25</v>
      </c>
      <c r="G1155">
        <v>30629</v>
      </c>
      <c r="H1155" s="116"/>
      <c r="I1155" s="116"/>
      <c r="L1155" s="170">
        <v>44708</v>
      </c>
      <c r="M1155" s="116">
        <v>1121.0999999999999</v>
      </c>
      <c r="N1155" s="116">
        <v>1129.4000000000001</v>
      </c>
      <c r="O1155" s="116">
        <v>1102.8499999999999</v>
      </c>
      <c r="P1155" s="116">
        <v>1115</v>
      </c>
      <c r="Q1155" s="116">
        <v>1121.0999999999999</v>
      </c>
      <c r="R1155">
        <v>687512</v>
      </c>
    </row>
    <row r="1156" spans="1:18" x14ac:dyDescent="0.25">
      <c r="A1156" s="170">
        <v>44711</v>
      </c>
      <c r="B1156" s="116">
        <v>1150</v>
      </c>
      <c r="C1156" s="116">
        <v>1148.5999999999999</v>
      </c>
      <c r="D1156" s="116">
        <v>1112</v>
      </c>
      <c r="E1156" s="116">
        <v>1112</v>
      </c>
      <c r="F1156" s="116">
        <v>1148.5999999999999</v>
      </c>
      <c r="G1156">
        <v>33909</v>
      </c>
      <c r="H1156" s="116"/>
      <c r="I1156" s="116"/>
      <c r="L1156" s="170">
        <v>44711</v>
      </c>
      <c r="M1156" s="116">
        <v>1148.4000000000001</v>
      </c>
      <c r="N1156" s="116">
        <v>1150</v>
      </c>
      <c r="O1156" s="116">
        <v>1118.8499999999999</v>
      </c>
      <c r="P1156" s="116">
        <v>1125.4000000000001</v>
      </c>
      <c r="Q1156" s="116">
        <v>1148.4000000000001</v>
      </c>
      <c r="R1156">
        <v>580398</v>
      </c>
    </row>
    <row r="1157" spans="1:18" x14ac:dyDescent="0.25">
      <c r="A1157" s="170">
        <v>44712</v>
      </c>
      <c r="B1157" s="116">
        <v>1180.5</v>
      </c>
      <c r="C1157" s="116">
        <v>1173.8499999999999</v>
      </c>
      <c r="D1157" s="116">
        <v>1140</v>
      </c>
      <c r="E1157" s="116">
        <v>1160</v>
      </c>
      <c r="F1157" s="116">
        <v>1173.8499999999999</v>
      </c>
      <c r="G1157">
        <v>59463</v>
      </c>
      <c r="H1157" s="116"/>
      <c r="I1157" s="116"/>
      <c r="L1157" s="170">
        <v>44712</v>
      </c>
      <c r="M1157" s="116">
        <v>1174.1500000000001</v>
      </c>
      <c r="N1157" s="116">
        <v>1180.9000000000001</v>
      </c>
      <c r="O1157" s="116">
        <v>1139.5999999999999</v>
      </c>
      <c r="P1157" s="116">
        <v>1154</v>
      </c>
      <c r="Q1157" s="116">
        <v>1174.1500000000001</v>
      </c>
      <c r="R1157">
        <v>2649820</v>
      </c>
    </row>
    <row r="1158" spans="1:18" x14ac:dyDescent="0.25">
      <c r="A1158" s="170">
        <v>44713</v>
      </c>
      <c r="B1158" s="116">
        <v>1175</v>
      </c>
      <c r="C1158" s="116">
        <v>1151.6500000000001</v>
      </c>
      <c r="D1158" s="116">
        <v>1144.3</v>
      </c>
      <c r="E1158" s="116">
        <v>1152.0999999999999</v>
      </c>
      <c r="F1158" s="116">
        <v>1151.6500000000001</v>
      </c>
      <c r="G1158">
        <v>23106</v>
      </c>
      <c r="H1158" s="116"/>
      <c r="I1158" s="116"/>
      <c r="L1158" s="170">
        <v>44713</v>
      </c>
      <c r="M1158" s="116">
        <v>1152.75</v>
      </c>
      <c r="N1158" s="116">
        <v>1176</v>
      </c>
      <c r="O1158" s="116">
        <v>1144.05</v>
      </c>
      <c r="P1158" s="116">
        <v>1162</v>
      </c>
      <c r="Q1158" s="116">
        <v>1152.75</v>
      </c>
      <c r="R1158">
        <v>683413</v>
      </c>
    </row>
    <row r="1159" spans="1:18" x14ac:dyDescent="0.25">
      <c r="A1159" s="170">
        <v>44714</v>
      </c>
      <c r="B1159" s="116">
        <v>1155.1500000000001</v>
      </c>
      <c r="C1159" s="116">
        <v>1143.95</v>
      </c>
      <c r="D1159" s="116">
        <v>1121.5999999999999</v>
      </c>
      <c r="E1159" s="116">
        <v>1155.1500000000001</v>
      </c>
      <c r="F1159" s="116">
        <v>1143.95</v>
      </c>
      <c r="G1159">
        <v>25370</v>
      </c>
      <c r="H1159" s="116"/>
      <c r="I1159" s="116"/>
      <c r="L1159" s="170">
        <v>44714</v>
      </c>
      <c r="M1159" s="116">
        <v>1143.75</v>
      </c>
      <c r="N1159" s="116">
        <v>1148</v>
      </c>
      <c r="O1159" s="116">
        <v>1121.3</v>
      </c>
      <c r="P1159" s="116">
        <v>1140.2</v>
      </c>
      <c r="Q1159" s="116">
        <v>1143.75</v>
      </c>
      <c r="R1159">
        <v>950691</v>
      </c>
    </row>
    <row r="1160" spans="1:18" x14ac:dyDescent="0.25">
      <c r="A1160" s="170">
        <v>44715</v>
      </c>
      <c r="B1160" s="116">
        <v>1161.5999999999999</v>
      </c>
      <c r="C1160" s="116">
        <v>1141.0999999999999</v>
      </c>
      <c r="D1160" s="116">
        <v>1139.2</v>
      </c>
      <c r="E1160" s="116">
        <v>1157</v>
      </c>
      <c r="F1160" s="116">
        <v>1141.0999999999999</v>
      </c>
      <c r="G1160">
        <v>28793</v>
      </c>
      <c r="H1160" s="116"/>
      <c r="I1160" s="116"/>
      <c r="L1160" s="170">
        <v>44715</v>
      </c>
      <c r="M1160" s="116">
        <v>1141.1500000000001</v>
      </c>
      <c r="N1160" s="116">
        <v>1161.8499999999999</v>
      </c>
      <c r="O1160" s="116">
        <v>1138.95</v>
      </c>
      <c r="P1160" s="116">
        <v>1154</v>
      </c>
      <c r="Q1160" s="116">
        <v>1141.1500000000001</v>
      </c>
      <c r="R1160">
        <v>917466</v>
      </c>
    </row>
    <row r="1161" spans="1:18" x14ac:dyDescent="0.25">
      <c r="A1161" s="170">
        <v>44718</v>
      </c>
      <c r="B1161" s="116">
        <v>1149.1500000000001</v>
      </c>
      <c r="C1161" s="116">
        <v>1140.8</v>
      </c>
      <c r="D1161" s="116">
        <v>1134.5999999999999</v>
      </c>
      <c r="E1161" s="116">
        <v>1145</v>
      </c>
      <c r="F1161" s="116">
        <v>1140.8</v>
      </c>
      <c r="G1161">
        <v>15086</v>
      </c>
      <c r="H1161" s="116"/>
      <c r="I1161" s="116"/>
      <c r="L1161" s="170">
        <v>44718</v>
      </c>
      <c r="M1161" s="116">
        <v>1142</v>
      </c>
      <c r="N1161" s="116">
        <v>1149.5999999999999</v>
      </c>
      <c r="O1161" s="116">
        <v>1134.0999999999999</v>
      </c>
      <c r="P1161" s="116">
        <v>1135.5999999999999</v>
      </c>
      <c r="Q1161" s="116">
        <v>1142</v>
      </c>
      <c r="R1161">
        <v>1199089</v>
      </c>
    </row>
    <row r="1162" spans="1:18" x14ac:dyDescent="0.25">
      <c r="A1162" s="170">
        <v>44719</v>
      </c>
      <c r="B1162" s="116">
        <v>1144</v>
      </c>
      <c r="C1162" s="116">
        <v>1134.8499999999999</v>
      </c>
      <c r="D1162" s="116">
        <v>1114.4000000000001</v>
      </c>
      <c r="E1162" s="116">
        <v>1144</v>
      </c>
      <c r="F1162" s="116">
        <v>1134.8499999999999</v>
      </c>
      <c r="G1162">
        <v>12581</v>
      </c>
      <c r="H1162" s="116"/>
      <c r="I1162" s="116"/>
      <c r="L1162" s="170">
        <v>44719</v>
      </c>
      <c r="M1162" s="116">
        <v>1134.3</v>
      </c>
      <c r="N1162" s="116">
        <v>1138</v>
      </c>
      <c r="O1162" s="116">
        <v>1113.5</v>
      </c>
      <c r="P1162" s="116">
        <v>1135.05</v>
      </c>
      <c r="Q1162" s="116">
        <v>1134.3</v>
      </c>
      <c r="R1162">
        <v>848821</v>
      </c>
    </row>
    <row r="1163" spans="1:18" x14ac:dyDescent="0.25">
      <c r="A1163" s="170">
        <v>44720</v>
      </c>
      <c r="B1163" s="116">
        <v>1157.5</v>
      </c>
      <c r="C1163" s="116">
        <v>1135.0999999999999</v>
      </c>
      <c r="D1163" s="116">
        <v>1129.3</v>
      </c>
      <c r="E1163" s="116">
        <v>1140</v>
      </c>
      <c r="F1163" s="116">
        <v>1135.0999999999999</v>
      </c>
      <c r="G1163">
        <v>39938</v>
      </c>
      <c r="H1163" s="116"/>
      <c r="I1163" s="116"/>
      <c r="L1163" s="170">
        <v>44720</v>
      </c>
      <c r="M1163" s="116">
        <v>1136.05</v>
      </c>
      <c r="N1163" s="116">
        <v>1159.2</v>
      </c>
      <c r="O1163" s="116">
        <v>1129.2</v>
      </c>
      <c r="P1163" s="116">
        <v>1144.25</v>
      </c>
      <c r="Q1163" s="116">
        <v>1136.05</v>
      </c>
      <c r="R1163">
        <v>1387431</v>
      </c>
    </row>
    <row r="1164" spans="1:18" x14ac:dyDescent="0.25">
      <c r="A1164" s="170">
        <v>44721</v>
      </c>
      <c r="B1164" s="116">
        <v>1167.4000000000001</v>
      </c>
      <c r="C1164" s="116">
        <v>1162.75</v>
      </c>
      <c r="D1164" s="116">
        <v>1131.3499999999999</v>
      </c>
      <c r="E1164" s="116">
        <v>1137</v>
      </c>
      <c r="F1164" s="116">
        <v>1162.75</v>
      </c>
      <c r="G1164">
        <v>20477</v>
      </c>
      <c r="H1164" s="116"/>
      <c r="I1164" s="116"/>
      <c r="L1164" s="170">
        <v>44721</v>
      </c>
      <c r="M1164" s="116">
        <v>1163.7</v>
      </c>
      <c r="N1164" s="116">
        <v>1167.25</v>
      </c>
      <c r="O1164" s="116">
        <v>1130.55</v>
      </c>
      <c r="P1164" s="116">
        <v>1136.95</v>
      </c>
      <c r="Q1164" s="116">
        <v>1163.7</v>
      </c>
      <c r="R1164">
        <v>1142045</v>
      </c>
    </row>
    <row r="1165" spans="1:18" x14ac:dyDescent="0.25">
      <c r="A1165" s="170">
        <v>44722</v>
      </c>
      <c r="B1165" s="116">
        <v>1165</v>
      </c>
      <c r="C1165" s="116">
        <v>1155.45</v>
      </c>
      <c r="D1165" s="116">
        <v>1152.05</v>
      </c>
      <c r="E1165" s="116">
        <v>1165</v>
      </c>
      <c r="F1165" s="116">
        <v>1155.45</v>
      </c>
      <c r="G1165">
        <v>8102</v>
      </c>
      <c r="H1165" s="116"/>
      <c r="I1165" s="116"/>
      <c r="L1165" s="170">
        <v>44722</v>
      </c>
      <c r="M1165" s="116">
        <v>1154.9000000000001</v>
      </c>
      <c r="N1165" s="116">
        <v>1163.7</v>
      </c>
      <c r="O1165" s="116">
        <v>1152.25</v>
      </c>
      <c r="P1165" s="116">
        <v>1154.75</v>
      </c>
      <c r="Q1165" s="116">
        <v>1154.9000000000001</v>
      </c>
      <c r="R1165">
        <v>611509</v>
      </c>
    </row>
    <row r="1166" spans="1:18" x14ac:dyDescent="0.25">
      <c r="A1166" s="170">
        <v>44725</v>
      </c>
      <c r="B1166" s="116">
        <v>1161.25</v>
      </c>
      <c r="C1166" s="116">
        <v>1133.4000000000001</v>
      </c>
      <c r="D1166" s="116">
        <v>1125.55</v>
      </c>
      <c r="E1166" s="116">
        <v>1125.55</v>
      </c>
      <c r="F1166" s="116">
        <v>1133.4000000000001</v>
      </c>
      <c r="G1166">
        <v>24117</v>
      </c>
      <c r="H1166" s="116"/>
      <c r="I1166" s="116"/>
      <c r="L1166" s="170">
        <v>44725</v>
      </c>
      <c r="M1166" s="116">
        <v>1133.7</v>
      </c>
      <c r="N1166" s="116">
        <v>1161.8</v>
      </c>
      <c r="O1166" s="116">
        <v>1130.3499999999999</v>
      </c>
      <c r="P1166" s="116">
        <v>1137.05</v>
      </c>
      <c r="Q1166" s="116">
        <v>1133.7</v>
      </c>
      <c r="R1166">
        <v>1014220</v>
      </c>
    </row>
    <row r="1167" spans="1:18" x14ac:dyDescent="0.25">
      <c r="A1167" s="170">
        <v>44726</v>
      </c>
      <c r="B1167" s="116">
        <v>1140.2</v>
      </c>
      <c r="C1167" s="116">
        <v>1132.25</v>
      </c>
      <c r="D1167" s="116">
        <v>1127.95</v>
      </c>
      <c r="E1167" s="116">
        <v>1130</v>
      </c>
      <c r="F1167" s="116">
        <v>1132.25</v>
      </c>
      <c r="G1167">
        <v>11070</v>
      </c>
      <c r="H1167" s="116"/>
      <c r="I1167" s="116"/>
      <c r="L1167" s="170">
        <v>44726</v>
      </c>
      <c r="M1167" s="116">
        <v>1132.0999999999999</v>
      </c>
      <c r="N1167" s="116">
        <v>1145</v>
      </c>
      <c r="O1167" s="116">
        <v>1124.1500000000001</v>
      </c>
      <c r="P1167" s="116">
        <v>1125</v>
      </c>
      <c r="Q1167" s="116">
        <v>1132.0999999999999</v>
      </c>
      <c r="R1167">
        <v>768306</v>
      </c>
    </row>
    <row r="1168" spans="1:18" x14ac:dyDescent="0.25">
      <c r="A1168" s="170">
        <v>44727</v>
      </c>
      <c r="B1168" s="116">
        <v>1143.95</v>
      </c>
      <c r="C1168" s="116">
        <v>1125.05</v>
      </c>
      <c r="D1168" s="116">
        <v>1122.4000000000001</v>
      </c>
      <c r="E1168" s="116">
        <v>1139.7</v>
      </c>
      <c r="F1168" s="116">
        <v>1125.05</v>
      </c>
      <c r="G1168">
        <v>11611</v>
      </c>
      <c r="H1168" s="116"/>
      <c r="I1168" s="116"/>
      <c r="L1168" s="170">
        <v>44727</v>
      </c>
      <c r="M1168" s="116">
        <v>1125.75</v>
      </c>
      <c r="N1168" s="116">
        <v>1144.7</v>
      </c>
      <c r="O1168" s="116">
        <v>1122.8</v>
      </c>
      <c r="P1168" s="116">
        <v>1140</v>
      </c>
      <c r="Q1168" s="116">
        <v>1125.75</v>
      </c>
      <c r="R1168">
        <v>947417</v>
      </c>
    </row>
    <row r="1169" spans="1:18" x14ac:dyDescent="0.25">
      <c r="A1169" s="170">
        <v>44728</v>
      </c>
      <c r="B1169" s="116">
        <v>1137.3</v>
      </c>
      <c r="C1169" s="116">
        <v>1105.9000000000001</v>
      </c>
      <c r="D1169" s="116">
        <v>1099.5999999999999</v>
      </c>
      <c r="E1169" s="116">
        <v>1128.0999999999999</v>
      </c>
      <c r="F1169" s="116">
        <v>1105.9000000000001</v>
      </c>
      <c r="G1169">
        <v>40531</v>
      </c>
      <c r="H1169" s="116"/>
      <c r="I1169" s="116"/>
      <c r="L1169" s="170">
        <v>44728</v>
      </c>
      <c r="M1169" s="116">
        <v>1105.1500000000001</v>
      </c>
      <c r="N1169" s="116">
        <v>1137.6500000000001</v>
      </c>
      <c r="O1169" s="116">
        <v>1099.9000000000001</v>
      </c>
      <c r="P1169" s="116">
        <v>1131.3499999999999</v>
      </c>
      <c r="Q1169" s="116">
        <v>1105.1500000000001</v>
      </c>
      <c r="R1169">
        <v>1385141</v>
      </c>
    </row>
    <row r="1170" spans="1:18" x14ac:dyDescent="0.25">
      <c r="A1170" s="170">
        <v>44729</v>
      </c>
      <c r="B1170" s="116">
        <v>1111.6500000000001</v>
      </c>
      <c r="C1170" s="116">
        <v>1080.3499999999999</v>
      </c>
      <c r="D1170" s="116">
        <v>1075.8</v>
      </c>
      <c r="E1170" s="116">
        <v>1091</v>
      </c>
      <c r="F1170" s="116">
        <v>1080.3499999999999</v>
      </c>
      <c r="G1170">
        <v>25154</v>
      </c>
      <c r="H1170" s="116"/>
      <c r="I1170" s="116"/>
      <c r="L1170" s="170">
        <v>44729</v>
      </c>
      <c r="M1170" s="116">
        <v>1082.0999999999999</v>
      </c>
      <c r="N1170" s="116">
        <v>1114.3499999999999</v>
      </c>
      <c r="O1170" s="116">
        <v>1075.9000000000001</v>
      </c>
      <c r="P1170" s="116">
        <v>1105.1500000000001</v>
      </c>
      <c r="Q1170" s="116">
        <v>1082.0999999999999</v>
      </c>
      <c r="R1170">
        <v>1535565</v>
      </c>
    </row>
    <row r="1171" spans="1:18" x14ac:dyDescent="0.25">
      <c r="A1171" s="170">
        <v>44732</v>
      </c>
      <c r="B1171" s="116">
        <v>1092</v>
      </c>
      <c r="C1171" s="116">
        <v>1075.95</v>
      </c>
      <c r="D1171" s="116">
        <v>1069.75</v>
      </c>
      <c r="E1171" s="116">
        <v>1070</v>
      </c>
      <c r="F1171" s="116">
        <v>1075.95</v>
      </c>
      <c r="G1171">
        <v>51942</v>
      </c>
      <c r="H1171" s="116"/>
      <c r="I1171" s="116"/>
      <c r="L1171" s="170">
        <v>44732</v>
      </c>
      <c r="M1171" s="116">
        <v>1075.95</v>
      </c>
      <c r="N1171" s="116">
        <v>1092.8</v>
      </c>
      <c r="O1171" s="116">
        <v>1069.1500000000001</v>
      </c>
      <c r="P1171" s="116">
        <v>1078.1500000000001</v>
      </c>
      <c r="Q1171" s="116">
        <v>1075.95</v>
      </c>
      <c r="R1171">
        <v>532685</v>
      </c>
    </row>
    <row r="1172" spans="1:18" x14ac:dyDescent="0.25">
      <c r="A1172" s="170">
        <v>44733</v>
      </c>
      <c r="B1172" s="116">
        <v>1098.3499999999999</v>
      </c>
      <c r="C1172" s="116">
        <v>1096.0999999999999</v>
      </c>
      <c r="D1172" s="116">
        <v>1078.45</v>
      </c>
      <c r="E1172" s="116">
        <v>1087</v>
      </c>
      <c r="F1172" s="116">
        <v>1096.0999999999999</v>
      </c>
      <c r="G1172">
        <v>13290</v>
      </c>
      <c r="H1172" s="116"/>
      <c r="I1172" s="116"/>
      <c r="L1172" s="170">
        <v>44733</v>
      </c>
      <c r="M1172" s="116">
        <v>1096.3499999999999</v>
      </c>
      <c r="N1172" s="116">
        <v>1098.5</v>
      </c>
      <c r="O1172" s="116">
        <v>1077.3499999999999</v>
      </c>
      <c r="P1172" s="116">
        <v>1080.0999999999999</v>
      </c>
      <c r="Q1172" s="116">
        <v>1096.3499999999999</v>
      </c>
      <c r="R1172">
        <v>659138</v>
      </c>
    </row>
    <row r="1173" spans="1:18" x14ac:dyDescent="0.25">
      <c r="A1173" s="170">
        <v>44734</v>
      </c>
      <c r="B1173" s="116">
        <v>1096.7</v>
      </c>
      <c r="C1173" s="116">
        <v>1069.6500000000001</v>
      </c>
      <c r="D1173" s="116">
        <v>1062.8</v>
      </c>
      <c r="E1173" s="116">
        <v>1096.7</v>
      </c>
      <c r="F1173" s="116">
        <v>1069.6500000000001</v>
      </c>
      <c r="G1173">
        <v>19139</v>
      </c>
      <c r="H1173" s="116"/>
      <c r="I1173" s="116"/>
      <c r="L1173" s="170">
        <v>44734</v>
      </c>
      <c r="M1173" s="116">
        <v>1070.45</v>
      </c>
      <c r="N1173" s="116">
        <v>1096</v>
      </c>
      <c r="O1173" s="116">
        <v>1062.5999999999999</v>
      </c>
      <c r="P1173" s="116">
        <v>1095.5</v>
      </c>
      <c r="Q1173" s="116">
        <v>1070.45</v>
      </c>
      <c r="R1173">
        <v>560136</v>
      </c>
    </row>
    <row r="1174" spans="1:18" x14ac:dyDescent="0.25">
      <c r="A1174" s="170">
        <v>44735</v>
      </c>
      <c r="B1174" s="116">
        <v>1082.3499999999999</v>
      </c>
      <c r="C1174" s="116">
        <v>1074.95</v>
      </c>
      <c r="D1174" s="116">
        <v>1060.25</v>
      </c>
      <c r="E1174" s="116">
        <v>1079.75</v>
      </c>
      <c r="F1174" s="116">
        <v>1074.95</v>
      </c>
      <c r="G1174">
        <v>8144</v>
      </c>
      <c r="H1174" s="116"/>
      <c r="I1174" s="116"/>
      <c r="L1174" s="170">
        <v>44735</v>
      </c>
      <c r="M1174" s="116">
        <v>1073.8499999999999</v>
      </c>
      <c r="N1174" s="116">
        <v>1083</v>
      </c>
      <c r="O1174" s="116">
        <v>1061.45</v>
      </c>
      <c r="P1174" s="116">
        <v>1077</v>
      </c>
      <c r="Q1174" s="116">
        <v>1073.8499999999999</v>
      </c>
      <c r="R1174">
        <v>895014</v>
      </c>
    </row>
    <row r="1175" spans="1:18" x14ac:dyDescent="0.25">
      <c r="A1175" s="170">
        <v>44736</v>
      </c>
      <c r="B1175" s="116">
        <v>1092.3499999999999</v>
      </c>
      <c r="C1175" s="116">
        <v>1078.3</v>
      </c>
      <c r="D1175" s="116">
        <v>1074.8499999999999</v>
      </c>
      <c r="E1175" s="116">
        <v>1075.6500000000001</v>
      </c>
      <c r="F1175" s="116">
        <v>1078.3</v>
      </c>
      <c r="G1175">
        <v>8518</v>
      </c>
      <c r="H1175" s="116"/>
      <c r="I1175" s="116"/>
      <c r="L1175" s="170">
        <v>44736</v>
      </c>
      <c r="M1175" s="116">
        <v>1078.55</v>
      </c>
      <c r="N1175" s="116">
        <v>1092.9000000000001</v>
      </c>
      <c r="O1175" s="116">
        <v>1072.0999999999999</v>
      </c>
      <c r="P1175" s="116">
        <v>1072.0999999999999</v>
      </c>
      <c r="Q1175" s="116">
        <v>1078.55</v>
      </c>
      <c r="R1175">
        <v>492066</v>
      </c>
    </row>
    <row r="1176" spans="1:18" x14ac:dyDescent="0.25">
      <c r="A1176" s="170">
        <v>44739</v>
      </c>
      <c r="B1176" s="116">
        <v>1096.75</v>
      </c>
      <c r="C1176" s="116">
        <v>1083.5999999999999</v>
      </c>
      <c r="D1176" s="116">
        <v>1075</v>
      </c>
      <c r="E1176" s="116">
        <v>1075</v>
      </c>
      <c r="F1176" s="116">
        <v>1083.5999999999999</v>
      </c>
      <c r="G1176">
        <v>14588</v>
      </c>
      <c r="H1176" s="116"/>
      <c r="I1176" s="116"/>
      <c r="L1176" s="170">
        <v>44739</v>
      </c>
      <c r="M1176" s="116">
        <v>1084.55</v>
      </c>
      <c r="N1176" s="116">
        <v>1096.5999999999999</v>
      </c>
      <c r="O1176" s="116">
        <v>1077.05</v>
      </c>
      <c r="P1176" s="116">
        <v>1083.9000000000001</v>
      </c>
      <c r="Q1176" s="116">
        <v>1084.55</v>
      </c>
      <c r="R1176">
        <v>793805</v>
      </c>
    </row>
    <row r="1177" spans="1:18" x14ac:dyDescent="0.25">
      <c r="A1177" s="170">
        <v>44740</v>
      </c>
      <c r="B1177" s="116">
        <v>1086</v>
      </c>
      <c r="C1177" s="116">
        <v>1078.8499999999999</v>
      </c>
      <c r="D1177" s="116">
        <v>1068.0999999999999</v>
      </c>
      <c r="E1177" s="116">
        <v>1076.8</v>
      </c>
      <c r="F1177" s="116">
        <v>1078.8499999999999</v>
      </c>
      <c r="G1177">
        <v>9936</v>
      </c>
      <c r="H1177" s="116"/>
      <c r="I1177" s="116"/>
      <c r="L1177" s="170">
        <v>44740</v>
      </c>
      <c r="M1177" s="116">
        <v>1078.05</v>
      </c>
      <c r="N1177" s="116">
        <v>1090</v>
      </c>
      <c r="O1177" s="116">
        <v>1068</v>
      </c>
      <c r="P1177" s="116">
        <v>1085</v>
      </c>
      <c r="Q1177" s="116">
        <v>1078.05</v>
      </c>
      <c r="R1177">
        <v>572706</v>
      </c>
    </row>
    <row r="1178" spans="1:18" x14ac:dyDescent="0.25">
      <c r="A1178" s="170">
        <v>44741</v>
      </c>
      <c r="B1178" s="116">
        <v>1087</v>
      </c>
      <c r="C1178" s="116">
        <v>1068.3</v>
      </c>
      <c r="D1178" s="116">
        <v>1052.5</v>
      </c>
      <c r="E1178" s="116">
        <v>1076.2</v>
      </c>
      <c r="F1178" s="116">
        <v>1068.3</v>
      </c>
      <c r="G1178">
        <v>19004</v>
      </c>
      <c r="H1178" s="116"/>
      <c r="I1178" s="116"/>
      <c r="L1178" s="170">
        <v>44741</v>
      </c>
      <c r="M1178" s="116">
        <v>1067.6500000000001</v>
      </c>
      <c r="N1178" s="116">
        <v>1088</v>
      </c>
      <c r="O1178" s="116">
        <v>1051.55</v>
      </c>
      <c r="P1178" s="116">
        <v>1070.05</v>
      </c>
      <c r="Q1178" s="116">
        <v>1067.6500000000001</v>
      </c>
      <c r="R1178">
        <v>1224658</v>
      </c>
    </row>
    <row r="1179" spans="1:18" x14ac:dyDescent="0.25">
      <c r="A1179" s="170">
        <v>44742</v>
      </c>
      <c r="B1179" s="116">
        <v>1092.4000000000001</v>
      </c>
      <c r="C1179" s="116">
        <v>1082.9000000000001</v>
      </c>
      <c r="D1179" s="116">
        <v>1060</v>
      </c>
      <c r="E1179" s="116">
        <v>1062</v>
      </c>
      <c r="F1179" s="116">
        <v>1082.9000000000001</v>
      </c>
      <c r="G1179">
        <v>31003</v>
      </c>
      <c r="H1179" s="116"/>
      <c r="I1179" s="116"/>
      <c r="L1179" s="170">
        <v>44742</v>
      </c>
      <c r="M1179" s="116">
        <v>1081.5999999999999</v>
      </c>
      <c r="N1179" s="116">
        <v>1092.6500000000001</v>
      </c>
      <c r="O1179" s="116">
        <v>1057.55</v>
      </c>
      <c r="P1179" s="116">
        <v>1073.5</v>
      </c>
      <c r="Q1179" s="116">
        <v>1081.5999999999999</v>
      </c>
      <c r="R1179">
        <v>1569542</v>
      </c>
    </row>
    <row r="1180" spans="1:18" x14ac:dyDescent="0.25">
      <c r="A1180" s="170">
        <v>44743</v>
      </c>
      <c r="B1180" s="116">
        <v>1105.0999999999999</v>
      </c>
      <c r="C1180" s="116">
        <v>1099.7</v>
      </c>
      <c r="D1180" s="116">
        <v>1078</v>
      </c>
      <c r="E1180" s="116">
        <v>1080.4000000000001</v>
      </c>
      <c r="F1180" s="116">
        <v>1099.7</v>
      </c>
      <c r="G1180">
        <v>16978</v>
      </c>
      <c r="H1180" s="116"/>
      <c r="I1180" s="116"/>
      <c r="L1180" s="170">
        <v>44743</v>
      </c>
      <c r="M1180" s="116">
        <v>1099.8499999999999</v>
      </c>
      <c r="N1180" s="116">
        <v>1105.3499999999999</v>
      </c>
      <c r="O1180" s="116">
        <v>1075</v>
      </c>
      <c r="P1180" s="116">
        <v>1085.45</v>
      </c>
      <c r="Q1180" s="116">
        <v>1099.8499999999999</v>
      </c>
      <c r="R1180">
        <v>696341</v>
      </c>
    </row>
    <row r="1181" spans="1:18" x14ac:dyDescent="0.25">
      <c r="A1181" s="170">
        <v>44746</v>
      </c>
      <c r="B1181" s="116">
        <v>1122</v>
      </c>
      <c r="C1181" s="116">
        <v>1115</v>
      </c>
      <c r="D1181" s="116">
        <v>1096.1500000000001</v>
      </c>
      <c r="E1181" s="116">
        <v>1115</v>
      </c>
      <c r="F1181" s="116">
        <v>1115</v>
      </c>
      <c r="G1181">
        <v>14517</v>
      </c>
      <c r="H1181" s="116"/>
      <c r="I1181" s="116"/>
      <c r="L1181" s="170">
        <v>44746</v>
      </c>
      <c r="M1181" s="116">
        <v>1117.6500000000001</v>
      </c>
      <c r="N1181" s="116">
        <v>1122</v>
      </c>
      <c r="O1181" s="116">
        <v>1095.0999999999999</v>
      </c>
      <c r="P1181" s="116">
        <v>1105</v>
      </c>
      <c r="Q1181" s="116">
        <v>1117.6500000000001</v>
      </c>
      <c r="R1181">
        <v>1436248</v>
      </c>
    </row>
    <row r="1182" spans="1:18" x14ac:dyDescent="0.25">
      <c r="A1182" s="170">
        <v>44747</v>
      </c>
      <c r="B1182" s="116">
        <v>1130</v>
      </c>
      <c r="C1182" s="116">
        <v>1110.6500000000001</v>
      </c>
      <c r="D1182" s="116">
        <v>1107.95</v>
      </c>
      <c r="E1182" s="116">
        <v>1125</v>
      </c>
      <c r="F1182" s="116">
        <v>1110.6500000000001</v>
      </c>
      <c r="G1182">
        <v>7663</v>
      </c>
      <c r="H1182" s="116"/>
      <c r="I1182" s="116"/>
      <c r="L1182" s="170">
        <v>44747</v>
      </c>
      <c r="M1182" s="116">
        <v>1111</v>
      </c>
      <c r="N1182" s="116">
        <v>1131.3499999999999</v>
      </c>
      <c r="O1182" s="116">
        <v>1106.95</v>
      </c>
      <c r="P1182" s="116">
        <v>1118</v>
      </c>
      <c r="Q1182" s="116">
        <v>1111</v>
      </c>
      <c r="R1182">
        <v>1020111</v>
      </c>
    </row>
    <row r="1183" spans="1:18" x14ac:dyDescent="0.25">
      <c r="A1183" s="170">
        <v>44748</v>
      </c>
      <c r="B1183" s="116">
        <v>1124.95</v>
      </c>
      <c r="C1183" s="116">
        <v>1116.3</v>
      </c>
      <c r="D1183" s="116">
        <v>1111</v>
      </c>
      <c r="E1183" s="116">
        <v>1118.5999999999999</v>
      </c>
      <c r="F1183" s="116">
        <v>1116.3</v>
      </c>
      <c r="G1183">
        <v>12791</v>
      </c>
      <c r="H1183" s="116"/>
      <c r="I1183" s="116"/>
      <c r="L1183" s="170">
        <v>44748</v>
      </c>
      <c r="M1183" s="116">
        <v>1116.0999999999999</v>
      </c>
      <c r="N1183" s="116">
        <v>1125</v>
      </c>
      <c r="O1183" s="116">
        <v>1111</v>
      </c>
      <c r="P1183" s="116">
        <v>1114.2</v>
      </c>
      <c r="Q1183" s="116">
        <v>1116.0999999999999</v>
      </c>
      <c r="R1183">
        <v>602752</v>
      </c>
    </row>
    <row r="1184" spans="1:18" x14ac:dyDescent="0.25">
      <c r="A1184" s="170">
        <v>44749</v>
      </c>
      <c r="B1184" s="116">
        <v>1129.7</v>
      </c>
      <c r="C1184" s="116">
        <v>1125.05</v>
      </c>
      <c r="D1184" s="116">
        <v>1110.9000000000001</v>
      </c>
      <c r="E1184" s="116">
        <v>1128.3499999999999</v>
      </c>
      <c r="F1184" s="116">
        <v>1125.05</v>
      </c>
      <c r="G1184">
        <v>14282</v>
      </c>
      <c r="H1184" s="116"/>
      <c r="I1184" s="116"/>
      <c r="L1184" s="170">
        <v>44749</v>
      </c>
      <c r="M1184" s="116">
        <v>1124.5999999999999</v>
      </c>
      <c r="N1184" s="116">
        <v>1130</v>
      </c>
      <c r="O1184" s="116">
        <v>1111.1500000000001</v>
      </c>
      <c r="P1184" s="116">
        <v>1121.7</v>
      </c>
      <c r="Q1184" s="116">
        <v>1124.5999999999999</v>
      </c>
      <c r="R1184">
        <v>792663</v>
      </c>
    </row>
    <row r="1185" spans="1:18" x14ac:dyDescent="0.25">
      <c r="A1185" s="170">
        <v>44750</v>
      </c>
      <c r="B1185" s="116">
        <v>1149.1500000000001</v>
      </c>
      <c r="C1185" s="116">
        <v>1146.8</v>
      </c>
      <c r="D1185" s="116">
        <v>1127.5</v>
      </c>
      <c r="E1185" s="116">
        <v>1139</v>
      </c>
      <c r="F1185" s="116">
        <v>1146.8</v>
      </c>
      <c r="G1185">
        <v>21126</v>
      </c>
      <c r="H1185" s="116"/>
      <c r="I1185" s="116"/>
      <c r="L1185" s="170">
        <v>44750</v>
      </c>
      <c r="M1185" s="116">
        <v>1146.9000000000001</v>
      </c>
      <c r="N1185" s="116">
        <v>1149.4000000000001</v>
      </c>
      <c r="O1185" s="116">
        <v>1127.55</v>
      </c>
      <c r="P1185" s="116">
        <v>1135.8</v>
      </c>
      <c r="Q1185" s="116">
        <v>1146.9000000000001</v>
      </c>
      <c r="R1185">
        <v>1135110</v>
      </c>
    </row>
    <row r="1186" spans="1:18" x14ac:dyDescent="0.25">
      <c r="A1186" s="170">
        <v>44753</v>
      </c>
      <c r="B1186" s="116">
        <v>1161</v>
      </c>
      <c r="C1186" s="116">
        <v>1148.4000000000001</v>
      </c>
      <c r="D1186" s="116">
        <v>1141.8499999999999</v>
      </c>
      <c r="E1186" s="116">
        <v>1161</v>
      </c>
      <c r="F1186" s="116">
        <v>1148.4000000000001</v>
      </c>
      <c r="G1186">
        <v>13322</v>
      </c>
      <c r="H1186" s="116"/>
      <c r="I1186" s="116"/>
      <c r="L1186" s="170">
        <v>44753</v>
      </c>
      <c r="M1186" s="116">
        <v>1147.4000000000001</v>
      </c>
      <c r="N1186" s="116">
        <v>1155.0999999999999</v>
      </c>
      <c r="O1186" s="116">
        <v>1141.05</v>
      </c>
      <c r="P1186" s="116">
        <v>1145.95</v>
      </c>
      <c r="Q1186" s="116">
        <v>1147.4000000000001</v>
      </c>
      <c r="R1186">
        <v>543156</v>
      </c>
    </row>
    <row r="1187" spans="1:18" x14ac:dyDescent="0.25">
      <c r="A1187" s="170">
        <v>44754</v>
      </c>
      <c r="B1187" s="116">
        <v>1146.25</v>
      </c>
      <c r="C1187" s="116">
        <v>1139.95</v>
      </c>
      <c r="D1187" s="116">
        <v>1135</v>
      </c>
      <c r="E1187" s="116">
        <v>1142</v>
      </c>
      <c r="F1187" s="116">
        <v>1139.95</v>
      </c>
      <c r="G1187">
        <v>9154</v>
      </c>
      <c r="H1187" s="116"/>
      <c r="I1187" s="116"/>
      <c r="L1187" s="170">
        <v>44754</v>
      </c>
      <c r="M1187" s="116">
        <v>1139.75</v>
      </c>
      <c r="N1187" s="116">
        <v>1147</v>
      </c>
      <c r="O1187" s="116">
        <v>1134.0999999999999</v>
      </c>
      <c r="P1187" s="116">
        <v>1143</v>
      </c>
      <c r="Q1187" s="116">
        <v>1139.75</v>
      </c>
      <c r="R1187">
        <v>331672</v>
      </c>
    </row>
    <row r="1188" spans="1:18" x14ac:dyDescent="0.25">
      <c r="A1188" s="170">
        <v>44755</v>
      </c>
      <c r="B1188" s="116">
        <v>1157.8</v>
      </c>
      <c r="C1188" s="116">
        <v>1139.8499999999999</v>
      </c>
      <c r="D1188" s="116">
        <v>1137.1500000000001</v>
      </c>
      <c r="E1188" s="116">
        <v>1157.8</v>
      </c>
      <c r="F1188" s="116">
        <v>1139.8499999999999</v>
      </c>
      <c r="G1188">
        <v>12592</v>
      </c>
      <c r="H1188" s="116"/>
      <c r="I1188" s="116"/>
      <c r="L1188" s="170">
        <v>44755</v>
      </c>
      <c r="M1188" s="116">
        <v>1139.8499999999999</v>
      </c>
      <c r="N1188" s="116">
        <v>1150.8</v>
      </c>
      <c r="O1188" s="116">
        <v>1137.5999999999999</v>
      </c>
      <c r="P1188" s="116">
        <v>1145.45</v>
      </c>
      <c r="Q1188" s="116">
        <v>1139.8499999999999</v>
      </c>
      <c r="R1188">
        <v>368619</v>
      </c>
    </row>
    <row r="1189" spans="1:18" x14ac:dyDescent="0.25">
      <c r="A1189" s="170">
        <v>44756</v>
      </c>
      <c r="B1189" s="116">
        <v>1146.4000000000001</v>
      </c>
      <c r="C1189" s="116">
        <v>1139.25</v>
      </c>
      <c r="D1189" s="116">
        <v>1131</v>
      </c>
      <c r="E1189" s="116">
        <v>1145.05</v>
      </c>
      <c r="F1189" s="116">
        <v>1139.25</v>
      </c>
      <c r="G1189">
        <v>13049</v>
      </c>
      <c r="H1189" s="116"/>
      <c r="I1189" s="116"/>
      <c r="L1189" s="170">
        <v>44756</v>
      </c>
      <c r="M1189" s="116">
        <v>1138.95</v>
      </c>
      <c r="N1189" s="116">
        <v>1146.9000000000001</v>
      </c>
      <c r="O1189" s="116">
        <v>1130.05</v>
      </c>
      <c r="P1189" s="116">
        <v>1143.0999999999999</v>
      </c>
      <c r="Q1189" s="116">
        <v>1138.95</v>
      </c>
      <c r="R1189">
        <v>728701</v>
      </c>
    </row>
    <row r="1190" spans="1:18" x14ac:dyDescent="0.25">
      <c r="A1190" s="170">
        <v>44757</v>
      </c>
      <c r="B1190" s="116">
        <v>1157.8</v>
      </c>
      <c r="C1190" s="116">
        <v>1153.2</v>
      </c>
      <c r="D1190" s="116">
        <v>1137.6500000000001</v>
      </c>
      <c r="E1190" s="116">
        <v>1138</v>
      </c>
      <c r="F1190" s="116">
        <v>1153.2</v>
      </c>
      <c r="G1190">
        <v>22555</v>
      </c>
      <c r="H1190" s="116"/>
      <c r="I1190" s="116"/>
      <c r="L1190" s="170">
        <v>44757</v>
      </c>
      <c r="M1190" s="116">
        <v>1155.45</v>
      </c>
      <c r="N1190" s="116">
        <v>1158.0999999999999</v>
      </c>
      <c r="O1190" s="116">
        <v>1136.8499999999999</v>
      </c>
      <c r="P1190" s="116">
        <v>1144.6500000000001</v>
      </c>
      <c r="Q1190" s="116">
        <v>1155.45</v>
      </c>
      <c r="R1190">
        <v>591171</v>
      </c>
    </row>
    <row r="1191" spans="1:18" x14ac:dyDescent="0.25">
      <c r="A1191" s="170">
        <v>44760</v>
      </c>
      <c r="B1191" s="116">
        <v>1187</v>
      </c>
      <c r="C1191" s="116">
        <v>1177.95</v>
      </c>
      <c r="D1191" s="116">
        <v>1154</v>
      </c>
      <c r="E1191" s="116">
        <v>1154</v>
      </c>
      <c r="F1191" s="116">
        <v>1177.95</v>
      </c>
      <c r="G1191">
        <v>629723</v>
      </c>
      <c r="H1191" s="116"/>
      <c r="I1191" s="116"/>
      <c r="L1191" s="170">
        <v>44760</v>
      </c>
      <c r="M1191" s="116">
        <v>1177.1500000000001</v>
      </c>
      <c r="N1191" s="116">
        <v>1186.8499999999999</v>
      </c>
      <c r="O1191" s="116">
        <v>1157.3</v>
      </c>
      <c r="P1191" s="116">
        <v>1165.45</v>
      </c>
      <c r="Q1191" s="116">
        <v>1177.1500000000001</v>
      </c>
      <c r="R1191">
        <v>1044459</v>
      </c>
    </row>
    <row r="1192" spans="1:18" x14ac:dyDescent="0.25">
      <c r="A1192" s="170">
        <v>44761</v>
      </c>
      <c r="B1192" s="116">
        <v>1185.3499999999999</v>
      </c>
      <c r="C1192" s="116">
        <v>1169.95</v>
      </c>
      <c r="D1192" s="116">
        <v>1156.5</v>
      </c>
      <c r="E1192" s="116">
        <v>1177.95</v>
      </c>
      <c r="F1192" s="116">
        <v>1169.95</v>
      </c>
      <c r="G1192">
        <v>30386</v>
      </c>
      <c r="H1192" s="116"/>
      <c r="I1192" s="116"/>
      <c r="L1192" s="170">
        <v>44761</v>
      </c>
      <c r="M1192" s="116">
        <v>1169.95</v>
      </c>
      <c r="N1192" s="116">
        <v>1185.95</v>
      </c>
      <c r="O1192" s="116">
        <v>1155.5</v>
      </c>
      <c r="P1192" s="116">
        <v>1176.4000000000001</v>
      </c>
      <c r="Q1192" s="116">
        <v>1169.95</v>
      </c>
      <c r="R1192">
        <v>1099874</v>
      </c>
    </row>
    <row r="1193" spans="1:18" x14ac:dyDescent="0.25">
      <c r="A1193" s="170">
        <v>44762</v>
      </c>
      <c r="B1193" s="116">
        <v>1198.4000000000001</v>
      </c>
      <c r="C1193" s="116">
        <v>1183.8499999999999</v>
      </c>
      <c r="D1193" s="116">
        <v>1163.25</v>
      </c>
      <c r="E1193" s="116">
        <v>1172.55</v>
      </c>
      <c r="F1193" s="116">
        <v>1183.8499999999999</v>
      </c>
      <c r="G1193">
        <v>30996</v>
      </c>
      <c r="H1193" s="116"/>
      <c r="I1193" s="116"/>
      <c r="L1193" s="170">
        <v>44762</v>
      </c>
      <c r="M1193" s="116">
        <v>1186.05</v>
      </c>
      <c r="N1193" s="116">
        <v>1199</v>
      </c>
      <c r="O1193" s="116">
        <v>1163.5</v>
      </c>
      <c r="P1193" s="116">
        <v>1175</v>
      </c>
      <c r="Q1193" s="116">
        <v>1186.05</v>
      </c>
      <c r="R1193">
        <v>1608377</v>
      </c>
    </row>
    <row r="1194" spans="1:18" x14ac:dyDescent="0.25">
      <c r="A1194" s="170">
        <v>44763</v>
      </c>
      <c r="B1194" s="116">
        <v>1186.3499999999999</v>
      </c>
      <c r="C1194" s="116">
        <v>1168.6500000000001</v>
      </c>
      <c r="D1194" s="116">
        <v>1163.6500000000001</v>
      </c>
      <c r="E1194" s="116">
        <v>1175.5</v>
      </c>
      <c r="F1194" s="116">
        <v>1168.6500000000001</v>
      </c>
      <c r="G1194">
        <v>19178</v>
      </c>
      <c r="H1194" s="116"/>
      <c r="I1194" s="116"/>
      <c r="L1194" s="170">
        <v>44763</v>
      </c>
      <c r="M1194" s="116">
        <v>1168.55</v>
      </c>
      <c r="N1194" s="116">
        <v>1187</v>
      </c>
      <c r="O1194" s="116">
        <v>1163</v>
      </c>
      <c r="P1194" s="116">
        <v>1187</v>
      </c>
      <c r="Q1194" s="116">
        <v>1168.55</v>
      </c>
      <c r="R1194">
        <v>1048591</v>
      </c>
    </row>
    <row r="1195" spans="1:18" x14ac:dyDescent="0.25">
      <c r="A1195" s="170">
        <v>44764</v>
      </c>
      <c r="B1195" s="116">
        <v>1181.3</v>
      </c>
      <c r="C1195" s="116">
        <v>1164.5999999999999</v>
      </c>
      <c r="D1195" s="116">
        <v>1158.1500000000001</v>
      </c>
      <c r="E1195" s="116">
        <v>1181.3</v>
      </c>
      <c r="F1195" s="116">
        <v>1164.5999999999999</v>
      </c>
      <c r="G1195">
        <v>20314</v>
      </c>
      <c r="H1195" s="116"/>
      <c r="I1195" s="116"/>
      <c r="L1195" s="170">
        <v>44764</v>
      </c>
      <c r="M1195" s="116">
        <v>1164.95</v>
      </c>
      <c r="N1195" s="116">
        <v>1176.2</v>
      </c>
      <c r="O1195" s="116">
        <v>1158.4000000000001</v>
      </c>
      <c r="P1195" s="116">
        <v>1169.55</v>
      </c>
      <c r="Q1195" s="116">
        <v>1164.95</v>
      </c>
      <c r="R1195">
        <v>753148</v>
      </c>
    </row>
    <row r="1196" spans="1:18" x14ac:dyDescent="0.25">
      <c r="A1196" s="170">
        <v>44767</v>
      </c>
      <c r="B1196" s="116">
        <v>1176.2</v>
      </c>
      <c r="C1196" s="116">
        <v>1144.7</v>
      </c>
      <c r="D1196" s="116">
        <v>1139.3</v>
      </c>
      <c r="E1196" s="116">
        <v>1176.2</v>
      </c>
      <c r="F1196" s="116">
        <v>1144.7</v>
      </c>
      <c r="G1196">
        <v>9769</v>
      </c>
      <c r="H1196" s="116"/>
      <c r="I1196" s="116"/>
      <c r="L1196" s="170">
        <v>44767</v>
      </c>
      <c r="M1196" s="116">
        <v>1144.95</v>
      </c>
      <c r="N1196" s="116">
        <v>1172</v>
      </c>
      <c r="O1196" s="116">
        <v>1139.2</v>
      </c>
      <c r="P1196" s="116">
        <v>1172</v>
      </c>
      <c r="Q1196" s="116">
        <v>1144.95</v>
      </c>
      <c r="R1196">
        <v>934158</v>
      </c>
    </row>
    <row r="1197" spans="1:18" x14ac:dyDescent="0.25">
      <c r="A1197" s="170">
        <v>44768</v>
      </c>
      <c r="B1197" s="116">
        <v>1149.9000000000001</v>
      </c>
      <c r="C1197" s="116">
        <v>1138.5</v>
      </c>
      <c r="D1197" s="116">
        <v>1136.3</v>
      </c>
      <c r="E1197" s="116">
        <v>1147.5</v>
      </c>
      <c r="F1197" s="116">
        <v>1138.5</v>
      </c>
      <c r="G1197">
        <v>8396</v>
      </c>
      <c r="H1197" s="116"/>
      <c r="I1197" s="116"/>
      <c r="L1197" s="170">
        <v>44768</v>
      </c>
      <c r="M1197" s="116">
        <v>1138.2</v>
      </c>
      <c r="N1197" s="116">
        <v>1150.0999999999999</v>
      </c>
      <c r="O1197" s="116">
        <v>1135</v>
      </c>
      <c r="P1197" s="116">
        <v>1142</v>
      </c>
      <c r="Q1197" s="116">
        <v>1138.2</v>
      </c>
      <c r="R1197">
        <v>687125</v>
      </c>
    </row>
    <row r="1198" spans="1:18" x14ac:dyDescent="0.25">
      <c r="A1198" s="170">
        <v>44769</v>
      </c>
      <c r="B1198" s="116">
        <v>1175</v>
      </c>
      <c r="C1198" s="116">
        <v>1156.0999999999999</v>
      </c>
      <c r="D1198" s="116">
        <v>1132.3499999999999</v>
      </c>
      <c r="E1198" s="116">
        <v>1142.7</v>
      </c>
      <c r="F1198" s="116">
        <v>1156.0999999999999</v>
      </c>
      <c r="G1198">
        <v>21569</v>
      </c>
      <c r="H1198" s="116"/>
      <c r="I1198" s="116"/>
      <c r="L1198" s="170">
        <v>44769</v>
      </c>
      <c r="M1198" s="116">
        <v>1149.3499999999999</v>
      </c>
      <c r="N1198" s="116">
        <v>1177.5</v>
      </c>
      <c r="O1198" s="116">
        <v>1132.2</v>
      </c>
      <c r="P1198" s="116">
        <v>1140</v>
      </c>
      <c r="Q1198" s="116">
        <v>1149.3499999999999</v>
      </c>
      <c r="R1198">
        <v>1554002</v>
      </c>
    </row>
    <row r="1199" spans="1:18" x14ac:dyDescent="0.25">
      <c r="A1199" s="170">
        <v>44770</v>
      </c>
      <c r="B1199" s="116">
        <v>1194.75</v>
      </c>
      <c r="C1199" s="116">
        <v>1190.7</v>
      </c>
      <c r="D1199" s="116">
        <v>1148.55</v>
      </c>
      <c r="E1199" s="116">
        <v>1156.0999999999999</v>
      </c>
      <c r="F1199" s="116">
        <v>1190.7</v>
      </c>
      <c r="G1199">
        <v>38413</v>
      </c>
      <c r="H1199" s="116"/>
      <c r="I1199" s="116"/>
      <c r="L1199" s="170">
        <v>44770</v>
      </c>
      <c r="M1199" s="116">
        <v>1191.45</v>
      </c>
      <c r="N1199" s="116">
        <v>1195</v>
      </c>
      <c r="O1199" s="116">
        <v>1147.5</v>
      </c>
      <c r="P1199" s="116">
        <v>1155</v>
      </c>
      <c r="Q1199" s="116">
        <v>1191.45</v>
      </c>
      <c r="R1199">
        <v>1043318</v>
      </c>
    </row>
    <row r="1200" spans="1:18" x14ac:dyDescent="0.25">
      <c r="A1200" s="170">
        <v>44771</v>
      </c>
      <c r="B1200" s="116">
        <v>1305</v>
      </c>
      <c r="C1200" s="116">
        <v>1295.4000000000001</v>
      </c>
      <c r="D1200" s="116">
        <v>1246.4000000000001</v>
      </c>
      <c r="E1200" s="116">
        <v>1256</v>
      </c>
      <c r="F1200" s="116">
        <v>1295.4000000000001</v>
      </c>
      <c r="G1200">
        <v>315188</v>
      </c>
      <c r="H1200" s="116"/>
      <c r="I1200" s="116"/>
      <c r="L1200" s="170">
        <v>44771</v>
      </c>
      <c r="M1200" s="116">
        <v>1294.4000000000001</v>
      </c>
      <c r="N1200" s="116">
        <v>1304.7</v>
      </c>
      <c r="O1200" s="116">
        <v>1241</v>
      </c>
      <c r="P1200" s="116">
        <v>1262.7</v>
      </c>
      <c r="Q1200" s="116">
        <v>1294.4000000000001</v>
      </c>
      <c r="R1200">
        <v>7628351</v>
      </c>
    </row>
    <row r="1201" spans="1:18" x14ac:dyDescent="0.25">
      <c r="A1201" s="170">
        <v>44774</v>
      </c>
      <c r="B1201" s="116">
        <v>1317</v>
      </c>
      <c r="C1201" s="116">
        <v>1313.75</v>
      </c>
      <c r="D1201" s="116">
        <v>1288.3</v>
      </c>
      <c r="E1201" s="116">
        <v>1295</v>
      </c>
      <c r="F1201" s="116">
        <v>1313.75</v>
      </c>
      <c r="G1201">
        <v>711347</v>
      </c>
      <c r="H1201" s="116"/>
      <c r="I1201" s="116"/>
      <c r="L1201" s="170">
        <v>44774</v>
      </c>
      <c r="M1201" s="116">
        <v>1313.3</v>
      </c>
      <c r="N1201" s="116">
        <v>1317.25</v>
      </c>
      <c r="O1201" s="116">
        <v>1287.4000000000001</v>
      </c>
      <c r="P1201" s="116">
        <v>1300</v>
      </c>
      <c r="Q1201" s="116">
        <v>1313.3</v>
      </c>
      <c r="R1201">
        <v>2973441</v>
      </c>
    </row>
    <row r="1202" spans="1:18" x14ac:dyDescent="0.25">
      <c r="A1202" s="170">
        <v>44775</v>
      </c>
      <c r="B1202" s="116">
        <v>1316.9</v>
      </c>
      <c r="C1202" s="116">
        <v>1283.7</v>
      </c>
      <c r="D1202" s="116">
        <v>1280</v>
      </c>
      <c r="E1202" s="116">
        <v>1316.9</v>
      </c>
      <c r="F1202" s="116">
        <v>1283.7</v>
      </c>
      <c r="G1202">
        <v>35259</v>
      </c>
      <c r="H1202" s="116"/>
      <c r="I1202" s="116"/>
      <c r="L1202" s="170">
        <v>44775</v>
      </c>
      <c r="M1202" s="116">
        <v>1285.2</v>
      </c>
      <c r="N1202" s="116">
        <v>1312.8</v>
      </c>
      <c r="O1202" s="116">
        <v>1280.45</v>
      </c>
      <c r="P1202" s="116">
        <v>1310</v>
      </c>
      <c r="Q1202" s="116">
        <v>1285.2</v>
      </c>
      <c r="R1202">
        <v>1673860</v>
      </c>
    </row>
    <row r="1203" spans="1:18" x14ac:dyDescent="0.25">
      <c r="A1203" s="170">
        <v>44776</v>
      </c>
      <c r="B1203" s="116">
        <v>1294</v>
      </c>
      <c r="C1203" s="116">
        <v>1282.7</v>
      </c>
      <c r="D1203" s="116">
        <v>1259.55</v>
      </c>
      <c r="E1203" s="116">
        <v>1294</v>
      </c>
      <c r="F1203" s="116">
        <v>1282.7</v>
      </c>
      <c r="G1203">
        <v>31463</v>
      </c>
      <c r="H1203" s="116"/>
      <c r="I1203" s="116"/>
      <c r="L1203" s="170">
        <v>44776</v>
      </c>
      <c r="M1203" s="116">
        <v>1283.55</v>
      </c>
      <c r="N1203" s="116">
        <v>1287.55</v>
      </c>
      <c r="O1203" s="116">
        <v>1258.5999999999999</v>
      </c>
      <c r="P1203" s="116">
        <v>1283</v>
      </c>
      <c r="Q1203" s="116">
        <v>1283.55</v>
      </c>
      <c r="R1203">
        <v>1409000</v>
      </c>
    </row>
    <row r="1204" spans="1:18" x14ac:dyDescent="0.25">
      <c r="A1204" s="170">
        <v>44777</v>
      </c>
      <c r="B1204" s="116">
        <v>1291.5</v>
      </c>
      <c r="C1204" s="116">
        <v>1278.7</v>
      </c>
      <c r="D1204" s="116">
        <v>1270.95</v>
      </c>
      <c r="E1204" s="116">
        <v>1291.5</v>
      </c>
      <c r="F1204" s="116">
        <v>1278.7</v>
      </c>
      <c r="G1204">
        <v>14534</v>
      </c>
      <c r="H1204" s="116"/>
      <c r="I1204" s="116"/>
      <c r="L1204" s="170">
        <v>44777</v>
      </c>
      <c r="M1204" s="116">
        <v>1278.8</v>
      </c>
      <c r="N1204" s="116">
        <v>1286.95</v>
      </c>
      <c r="O1204" s="116">
        <v>1270.25</v>
      </c>
      <c r="P1204" s="116">
        <v>1284.0999999999999</v>
      </c>
      <c r="Q1204" s="116">
        <v>1278.8</v>
      </c>
      <c r="R1204">
        <v>1015838</v>
      </c>
    </row>
    <row r="1205" spans="1:18" x14ac:dyDescent="0.25">
      <c r="A1205" s="170">
        <v>44778</v>
      </c>
      <c r="B1205" s="116">
        <v>1286.9000000000001</v>
      </c>
      <c r="C1205" s="116">
        <v>1266.3</v>
      </c>
      <c r="D1205" s="116">
        <v>1261.4000000000001</v>
      </c>
      <c r="E1205" s="116">
        <v>1283.3</v>
      </c>
      <c r="F1205" s="116">
        <v>1266.3</v>
      </c>
      <c r="G1205">
        <v>13671</v>
      </c>
      <c r="H1205" s="116"/>
      <c r="I1205" s="116"/>
      <c r="L1205" s="170">
        <v>44778</v>
      </c>
      <c r="M1205" s="116">
        <v>1266.6500000000001</v>
      </c>
      <c r="N1205" s="116">
        <v>1287.8499999999999</v>
      </c>
      <c r="O1205" s="116">
        <v>1260.95</v>
      </c>
      <c r="P1205" s="116">
        <v>1285.2</v>
      </c>
      <c r="Q1205" s="116">
        <v>1266.6500000000001</v>
      </c>
      <c r="R1205">
        <v>922856</v>
      </c>
    </row>
    <row r="1206" spans="1:18" x14ac:dyDescent="0.25">
      <c r="A1206" s="170">
        <v>44781</v>
      </c>
      <c r="B1206" s="116">
        <v>1272.25</v>
      </c>
      <c r="C1206" s="116">
        <v>1270.1500000000001</v>
      </c>
      <c r="D1206" s="116">
        <v>1251</v>
      </c>
      <c r="E1206" s="116">
        <v>1260</v>
      </c>
      <c r="F1206" s="116">
        <v>1270.1500000000001</v>
      </c>
      <c r="G1206">
        <v>10972</v>
      </c>
      <c r="H1206" s="116"/>
      <c r="I1206" s="116"/>
      <c r="L1206" s="170">
        <v>44781</v>
      </c>
      <c r="M1206" s="116">
        <v>1269.9000000000001</v>
      </c>
      <c r="N1206" s="116">
        <v>1272.3499999999999</v>
      </c>
      <c r="O1206" s="116">
        <v>1251.25</v>
      </c>
      <c r="P1206" s="116">
        <v>1261.2</v>
      </c>
      <c r="Q1206" s="116">
        <v>1269.9000000000001</v>
      </c>
      <c r="R1206">
        <v>1002771</v>
      </c>
    </row>
    <row r="1207" spans="1:18" x14ac:dyDescent="0.25">
      <c r="A1207" s="170">
        <v>44783</v>
      </c>
      <c r="B1207" s="116">
        <v>1294.75</v>
      </c>
      <c r="C1207" s="116">
        <v>1272.5999999999999</v>
      </c>
      <c r="D1207" s="116">
        <v>1269</v>
      </c>
      <c r="E1207" s="116">
        <v>1270</v>
      </c>
      <c r="F1207" s="116">
        <v>1272.5999999999999</v>
      </c>
      <c r="G1207">
        <v>35168</v>
      </c>
      <c r="H1207" s="116"/>
      <c r="I1207" s="116"/>
      <c r="L1207" s="170">
        <v>44783</v>
      </c>
      <c r="M1207" s="116">
        <v>1273.2</v>
      </c>
      <c r="N1207" s="116">
        <v>1294.3</v>
      </c>
      <c r="O1207" s="116">
        <v>1269.05</v>
      </c>
      <c r="P1207" s="116">
        <v>1270</v>
      </c>
      <c r="Q1207" s="116">
        <v>1273.2</v>
      </c>
      <c r="R1207">
        <v>1187710</v>
      </c>
    </row>
    <row r="1208" spans="1:18" x14ac:dyDescent="0.25">
      <c r="A1208" s="170">
        <v>44784</v>
      </c>
      <c r="B1208" s="116">
        <v>1279.5</v>
      </c>
      <c r="C1208" s="116">
        <v>1260.45</v>
      </c>
      <c r="D1208" s="116">
        <v>1259.2</v>
      </c>
      <c r="E1208" s="116">
        <v>1270</v>
      </c>
      <c r="F1208" s="116">
        <v>1260.45</v>
      </c>
      <c r="G1208">
        <v>9476</v>
      </c>
      <c r="H1208" s="116"/>
      <c r="I1208" s="116"/>
      <c r="L1208" s="170">
        <v>44784</v>
      </c>
      <c r="M1208" s="116">
        <v>1261.5</v>
      </c>
      <c r="N1208" s="116">
        <v>1283.95</v>
      </c>
      <c r="O1208" s="116">
        <v>1259.05</v>
      </c>
      <c r="P1208" s="116">
        <v>1279.5999999999999</v>
      </c>
      <c r="Q1208" s="116">
        <v>1261.5</v>
      </c>
      <c r="R1208">
        <v>943196</v>
      </c>
    </row>
    <row r="1209" spans="1:18" x14ac:dyDescent="0.25">
      <c r="A1209" s="170">
        <v>44785</v>
      </c>
      <c r="B1209" s="116">
        <v>1289.05</v>
      </c>
      <c r="C1209" s="116">
        <v>1286.3499999999999</v>
      </c>
      <c r="D1209" s="116">
        <v>1249.75</v>
      </c>
      <c r="E1209" s="116">
        <v>1250</v>
      </c>
      <c r="F1209" s="116">
        <v>1286.3499999999999</v>
      </c>
      <c r="G1209">
        <v>25690</v>
      </c>
      <c r="H1209" s="116"/>
      <c r="I1209" s="116"/>
      <c r="L1209" s="170">
        <v>44785</v>
      </c>
      <c r="M1209" s="116">
        <v>1286.55</v>
      </c>
      <c r="N1209" s="116">
        <v>1289.8499999999999</v>
      </c>
      <c r="O1209" s="116">
        <v>1252.5</v>
      </c>
      <c r="P1209" s="116">
        <v>1255.5</v>
      </c>
      <c r="Q1209" s="116">
        <v>1286.55</v>
      </c>
      <c r="R1209">
        <v>1572048</v>
      </c>
    </row>
    <row r="1210" spans="1:18" x14ac:dyDescent="0.25">
      <c r="A1210" s="170">
        <v>44789</v>
      </c>
      <c r="B1210" s="116">
        <v>1321</v>
      </c>
      <c r="C1210" s="116">
        <v>1310.1500000000001</v>
      </c>
      <c r="D1210" s="116">
        <v>1286.3499999999999</v>
      </c>
      <c r="E1210" s="116">
        <v>1286.3499999999999</v>
      </c>
      <c r="F1210" s="116">
        <v>1310.1500000000001</v>
      </c>
      <c r="G1210">
        <v>24067</v>
      </c>
      <c r="H1210" s="116"/>
      <c r="I1210" s="116"/>
      <c r="L1210" s="170">
        <v>44789</v>
      </c>
      <c r="M1210" s="116">
        <v>1309.5999999999999</v>
      </c>
      <c r="N1210" s="116">
        <v>1321</v>
      </c>
      <c r="O1210" s="116">
        <v>1287.05</v>
      </c>
      <c r="P1210" s="116">
        <v>1289</v>
      </c>
      <c r="Q1210" s="116">
        <v>1309.5999999999999</v>
      </c>
      <c r="R1210">
        <v>1710276</v>
      </c>
    </row>
    <row r="1211" spans="1:18" x14ac:dyDescent="0.25">
      <c r="A1211" s="170">
        <v>44790</v>
      </c>
      <c r="B1211" s="116">
        <v>1320.95</v>
      </c>
      <c r="C1211" s="116">
        <v>1304.8</v>
      </c>
      <c r="D1211" s="116">
        <v>1292.75</v>
      </c>
      <c r="E1211" s="116">
        <v>1305.8</v>
      </c>
      <c r="F1211" s="116">
        <v>1304.8</v>
      </c>
      <c r="G1211">
        <v>43855</v>
      </c>
      <c r="H1211" s="116"/>
      <c r="I1211" s="116"/>
      <c r="L1211" s="170">
        <v>44790</v>
      </c>
      <c r="M1211" s="116">
        <v>1305.3499999999999</v>
      </c>
      <c r="N1211" s="116">
        <v>1321</v>
      </c>
      <c r="O1211" s="116">
        <v>1292.45</v>
      </c>
      <c r="P1211" s="116">
        <v>1305</v>
      </c>
      <c r="Q1211" s="116">
        <v>1305.3499999999999</v>
      </c>
      <c r="R1211">
        <v>1209377</v>
      </c>
    </row>
    <row r="1212" spans="1:18" x14ac:dyDescent="0.25">
      <c r="A1212" s="170">
        <v>44791</v>
      </c>
      <c r="B1212" s="116">
        <v>1332.3</v>
      </c>
      <c r="C1212" s="116">
        <v>1323.95</v>
      </c>
      <c r="D1212" s="116">
        <v>1299.4000000000001</v>
      </c>
      <c r="E1212" s="116">
        <v>1299.4000000000001</v>
      </c>
      <c r="F1212" s="116">
        <v>1323.95</v>
      </c>
      <c r="G1212">
        <v>84998</v>
      </c>
      <c r="H1212" s="116"/>
      <c r="I1212" s="116"/>
      <c r="L1212" s="170">
        <v>44791</v>
      </c>
      <c r="M1212" s="116">
        <v>1324.2</v>
      </c>
      <c r="N1212" s="116">
        <v>1333</v>
      </c>
      <c r="O1212" s="116">
        <v>1303.3499999999999</v>
      </c>
      <c r="P1212" s="116">
        <v>1306</v>
      </c>
      <c r="Q1212" s="116">
        <v>1324.2</v>
      </c>
      <c r="R1212">
        <v>1498235</v>
      </c>
    </row>
    <row r="1213" spans="1:18" x14ac:dyDescent="0.25">
      <c r="A1213" s="170">
        <v>44792</v>
      </c>
      <c r="B1213" s="116">
        <v>1334</v>
      </c>
      <c r="C1213" s="116">
        <v>1296.8</v>
      </c>
      <c r="D1213" s="116">
        <v>1293.55</v>
      </c>
      <c r="E1213" s="116">
        <v>1310.0999999999999</v>
      </c>
      <c r="F1213" s="116">
        <v>1296.8</v>
      </c>
      <c r="G1213">
        <v>12971</v>
      </c>
      <c r="H1213" s="116"/>
      <c r="I1213" s="116"/>
      <c r="L1213" s="170">
        <v>44792</v>
      </c>
      <c r="M1213" s="116">
        <v>1296.95</v>
      </c>
      <c r="N1213" s="116">
        <v>1334.7</v>
      </c>
      <c r="O1213" s="116">
        <v>1293.3499999999999</v>
      </c>
      <c r="P1213" s="116">
        <v>1320</v>
      </c>
      <c r="Q1213" s="116">
        <v>1296.95</v>
      </c>
      <c r="R1213">
        <v>961803</v>
      </c>
    </row>
    <row r="1214" spans="1:18" x14ac:dyDescent="0.25">
      <c r="A1214" s="170">
        <v>44795</v>
      </c>
      <c r="B1214" s="116">
        <v>1310</v>
      </c>
      <c r="C1214" s="116">
        <v>1276.3499999999999</v>
      </c>
      <c r="D1214" s="116">
        <v>1272</v>
      </c>
      <c r="E1214" s="116">
        <v>1286.55</v>
      </c>
      <c r="F1214" s="116">
        <v>1276.3499999999999</v>
      </c>
      <c r="G1214">
        <v>15930</v>
      </c>
      <c r="H1214" s="116"/>
      <c r="I1214" s="116"/>
      <c r="L1214" s="170">
        <v>44795</v>
      </c>
      <c r="M1214" s="116">
        <v>1276</v>
      </c>
      <c r="N1214" s="116">
        <v>1311.4</v>
      </c>
      <c r="O1214" s="116">
        <v>1271.1500000000001</v>
      </c>
      <c r="P1214" s="116">
        <v>1292.05</v>
      </c>
      <c r="Q1214" s="116">
        <v>1276</v>
      </c>
      <c r="R1214">
        <v>966451</v>
      </c>
    </row>
    <row r="1215" spans="1:18" x14ac:dyDescent="0.25">
      <c r="A1215" s="170">
        <v>44796</v>
      </c>
      <c r="B1215" s="116">
        <v>1291.9000000000001</v>
      </c>
      <c r="C1215" s="116">
        <v>1278.75</v>
      </c>
      <c r="D1215" s="116">
        <v>1267.0999999999999</v>
      </c>
      <c r="E1215" s="116">
        <v>1267.0999999999999</v>
      </c>
      <c r="F1215" s="116">
        <v>1278.75</v>
      </c>
      <c r="G1215">
        <v>15230</v>
      </c>
      <c r="H1215" s="116"/>
      <c r="I1215" s="116"/>
      <c r="L1215" s="170">
        <v>44796</v>
      </c>
      <c r="M1215" s="116">
        <v>1279.25</v>
      </c>
      <c r="N1215" s="116">
        <v>1292.6500000000001</v>
      </c>
      <c r="O1215" s="116">
        <v>1270</v>
      </c>
      <c r="P1215" s="116">
        <v>1276</v>
      </c>
      <c r="Q1215" s="116">
        <v>1279.25</v>
      </c>
      <c r="R1215">
        <v>803737</v>
      </c>
    </row>
    <row r="1216" spans="1:18" x14ac:dyDescent="0.25">
      <c r="A1216" s="170">
        <v>44797</v>
      </c>
      <c r="B1216" s="116">
        <v>1290</v>
      </c>
      <c r="C1216" s="116">
        <v>1287.8</v>
      </c>
      <c r="D1216" s="116">
        <v>1273.9000000000001</v>
      </c>
      <c r="E1216" s="116">
        <v>1280.0999999999999</v>
      </c>
      <c r="F1216" s="116">
        <v>1287.8</v>
      </c>
      <c r="G1216">
        <v>11642</v>
      </c>
      <c r="H1216" s="116"/>
      <c r="I1216" s="116"/>
      <c r="L1216" s="170">
        <v>44797</v>
      </c>
      <c r="M1216" s="116">
        <v>1287.5</v>
      </c>
      <c r="N1216" s="116">
        <v>1289.95</v>
      </c>
      <c r="O1216" s="116">
        <v>1272.25</v>
      </c>
      <c r="P1216" s="116">
        <v>1284</v>
      </c>
      <c r="Q1216" s="116">
        <v>1287.5</v>
      </c>
      <c r="R1216">
        <v>684029</v>
      </c>
    </row>
    <row r="1217" spans="1:18" x14ac:dyDescent="0.25">
      <c r="A1217" s="170">
        <v>44798</v>
      </c>
      <c r="B1217" s="116">
        <v>1316</v>
      </c>
      <c r="C1217" s="116">
        <v>1297.3</v>
      </c>
      <c r="D1217" s="116">
        <v>1291.5</v>
      </c>
      <c r="E1217" s="116">
        <v>1298.95</v>
      </c>
      <c r="F1217" s="116">
        <v>1297.3</v>
      </c>
      <c r="G1217">
        <v>28811</v>
      </c>
      <c r="H1217" s="116"/>
      <c r="I1217" s="116"/>
      <c r="L1217" s="170">
        <v>44798</v>
      </c>
      <c r="M1217" s="116">
        <v>1297</v>
      </c>
      <c r="N1217" s="116">
        <v>1316</v>
      </c>
      <c r="O1217" s="116">
        <v>1288</v>
      </c>
      <c r="P1217" s="116">
        <v>1288</v>
      </c>
      <c r="Q1217" s="116">
        <v>1297</v>
      </c>
      <c r="R1217">
        <v>1286241</v>
      </c>
    </row>
    <row r="1218" spans="1:18" x14ac:dyDescent="0.25">
      <c r="A1218" s="170">
        <v>44799</v>
      </c>
      <c r="B1218" s="116">
        <v>1327.5</v>
      </c>
      <c r="C1218" s="116">
        <v>1313.2</v>
      </c>
      <c r="D1218" s="116">
        <v>1300</v>
      </c>
      <c r="E1218" s="116">
        <v>1300</v>
      </c>
      <c r="F1218" s="116">
        <v>1313.2</v>
      </c>
      <c r="G1218">
        <v>31240</v>
      </c>
      <c r="H1218" s="116"/>
      <c r="I1218" s="116"/>
      <c r="L1218" s="170">
        <v>44799</v>
      </c>
      <c r="M1218" s="116">
        <v>1313.7</v>
      </c>
      <c r="N1218" s="116">
        <v>1327.5</v>
      </c>
      <c r="O1218" s="116">
        <v>1306</v>
      </c>
      <c r="P1218" s="116">
        <v>1306</v>
      </c>
      <c r="Q1218" s="116">
        <v>1313.7</v>
      </c>
      <c r="R1218">
        <v>869870</v>
      </c>
    </row>
    <row r="1219" spans="1:18" x14ac:dyDescent="0.25">
      <c r="A1219" s="170">
        <v>44802</v>
      </c>
      <c r="B1219" s="116">
        <v>1309.25</v>
      </c>
      <c r="C1219" s="116">
        <v>1298.25</v>
      </c>
      <c r="D1219" s="116">
        <v>1268.25</v>
      </c>
      <c r="E1219" s="116">
        <v>1287.4000000000001</v>
      </c>
      <c r="F1219" s="116">
        <v>1298.25</v>
      </c>
      <c r="G1219">
        <v>15164</v>
      </c>
      <c r="H1219" s="116"/>
      <c r="I1219" s="116"/>
      <c r="L1219" s="170">
        <v>44802</v>
      </c>
      <c r="M1219" s="116">
        <v>1298.2</v>
      </c>
      <c r="N1219" s="116">
        <v>1310.9</v>
      </c>
      <c r="O1219" s="116">
        <v>1256</v>
      </c>
      <c r="P1219" s="116">
        <v>1256</v>
      </c>
      <c r="Q1219" s="116">
        <v>1298.2</v>
      </c>
      <c r="R1219">
        <v>737193</v>
      </c>
    </row>
    <row r="1220" spans="1:18" x14ac:dyDescent="0.25">
      <c r="A1220" s="170">
        <v>44803</v>
      </c>
      <c r="B1220" s="116">
        <v>1333</v>
      </c>
      <c r="C1220" s="116">
        <v>1329.65</v>
      </c>
      <c r="D1220" s="116">
        <v>1298</v>
      </c>
      <c r="E1220" s="116">
        <v>1298</v>
      </c>
      <c r="F1220" s="116">
        <v>1329.65</v>
      </c>
      <c r="G1220">
        <v>31218</v>
      </c>
      <c r="H1220" s="116"/>
      <c r="I1220" s="116"/>
      <c r="L1220" s="170">
        <v>44803</v>
      </c>
      <c r="M1220" s="116">
        <v>1329.1</v>
      </c>
      <c r="N1220" s="116">
        <v>1333.65</v>
      </c>
      <c r="O1220" s="116">
        <v>1300.0999999999999</v>
      </c>
      <c r="P1220" s="116">
        <v>1300.0999999999999</v>
      </c>
      <c r="Q1220" s="116">
        <v>1329.1</v>
      </c>
      <c r="R1220">
        <v>1086386</v>
      </c>
    </row>
    <row r="1221" spans="1:18" x14ac:dyDescent="0.25">
      <c r="A1221" s="170">
        <v>44805</v>
      </c>
      <c r="B1221" s="116">
        <v>1312.95</v>
      </c>
      <c r="C1221" s="116">
        <v>1296.7</v>
      </c>
      <c r="D1221" s="116">
        <v>1291</v>
      </c>
      <c r="E1221" s="116">
        <v>1297.8499999999999</v>
      </c>
      <c r="F1221" s="116">
        <v>1296.7</v>
      </c>
      <c r="G1221">
        <v>1593483</v>
      </c>
      <c r="H1221" s="116"/>
      <c r="I1221" s="116"/>
      <c r="L1221" s="170">
        <v>44805</v>
      </c>
      <c r="M1221" s="116">
        <v>1296.55</v>
      </c>
      <c r="N1221" s="116">
        <v>1313</v>
      </c>
      <c r="O1221" s="116">
        <v>1291</v>
      </c>
      <c r="P1221" s="116">
        <v>1291.0999999999999</v>
      </c>
      <c r="Q1221" s="116">
        <v>1296.55</v>
      </c>
      <c r="R1221">
        <v>2045072</v>
      </c>
    </row>
    <row r="1222" spans="1:18" x14ac:dyDescent="0.25">
      <c r="A1222" s="170">
        <v>44806</v>
      </c>
      <c r="B1222" s="116">
        <v>1310.75</v>
      </c>
      <c r="C1222" s="116">
        <v>1288.6500000000001</v>
      </c>
      <c r="D1222" s="116">
        <v>1284</v>
      </c>
      <c r="E1222" s="116">
        <v>1310</v>
      </c>
      <c r="F1222" s="116">
        <v>1288.6500000000001</v>
      </c>
      <c r="G1222">
        <v>39821</v>
      </c>
      <c r="H1222" s="116"/>
      <c r="I1222" s="116"/>
      <c r="L1222" s="170">
        <v>44806</v>
      </c>
      <c r="M1222" s="116">
        <v>1288.2</v>
      </c>
      <c r="N1222" s="116">
        <v>1311</v>
      </c>
      <c r="O1222" s="116">
        <v>1282.7</v>
      </c>
      <c r="P1222" s="116">
        <v>1303.05</v>
      </c>
      <c r="Q1222" s="116">
        <v>1288.2</v>
      </c>
      <c r="R1222">
        <v>1141002</v>
      </c>
    </row>
    <row r="1223" spans="1:18" x14ac:dyDescent="0.25">
      <c r="A1223" s="170">
        <v>44809</v>
      </c>
      <c r="B1223" s="116">
        <v>1295.5999999999999</v>
      </c>
      <c r="C1223" s="116">
        <v>1293.7</v>
      </c>
      <c r="D1223" s="116">
        <v>1281.3</v>
      </c>
      <c r="E1223" s="116">
        <v>1288.05</v>
      </c>
      <c r="F1223" s="116">
        <v>1293.7</v>
      </c>
      <c r="G1223">
        <v>18286</v>
      </c>
      <c r="H1223" s="116"/>
      <c r="I1223" s="116"/>
      <c r="L1223" s="170">
        <v>44809</v>
      </c>
      <c r="M1223" s="116">
        <v>1293.4000000000001</v>
      </c>
      <c r="N1223" s="116">
        <v>1296</v>
      </c>
      <c r="O1223" s="116">
        <v>1282</v>
      </c>
      <c r="P1223" s="116">
        <v>1294.6500000000001</v>
      </c>
      <c r="Q1223" s="116">
        <v>1293.4000000000001</v>
      </c>
      <c r="R1223">
        <v>440939</v>
      </c>
    </row>
    <row r="1224" spans="1:18" x14ac:dyDescent="0.25">
      <c r="A1224" s="170">
        <v>44810</v>
      </c>
      <c r="B1224" s="116">
        <v>1314</v>
      </c>
      <c r="C1224" s="116">
        <v>1311.55</v>
      </c>
      <c r="D1224" s="116">
        <v>1287.25</v>
      </c>
      <c r="E1224" s="116">
        <v>1290.0999999999999</v>
      </c>
      <c r="F1224" s="116">
        <v>1311.55</v>
      </c>
      <c r="G1224">
        <v>308323</v>
      </c>
      <c r="H1224" s="116"/>
      <c r="I1224" s="116"/>
      <c r="L1224" s="170">
        <v>44810</v>
      </c>
      <c r="M1224" s="116">
        <v>1311.35</v>
      </c>
      <c r="N1224" s="116">
        <v>1317</v>
      </c>
      <c r="O1224" s="116">
        <v>1285.05</v>
      </c>
      <c r="P1224" s="116">
        <v>1293</v>
      </c>
      <c r="Q1224" s="116">
        <v>1311.35</v>
      </c>
      <c r="R1224">
        <v>1792194</v>
      </c>
    </row>
    <row r="1225" spans="1:18" x14ac:dyDescent="0.25">
      <c r="A1225" s="170">
        <v>44811</v>
      </c>
      <c r="B1225" s="116">
        <v>1337.15</v>
      </c>
      <c r="C1225" s="116">
        <v>1331.4</v>
      </c>
      <c r="D1225" s="116">
        <v>1301.75</v>
      </c>
      <c r="E1225" s="116">
        <v>1308.5999999999999</v>
      </c>
      <c r="F1225" s="116">
        <v>1331.4</v>
      </c>
      <c r="G1225">
        <v>426921</v>
      </c>
      <c r="H1225" s="116"/>
      <c r="I1225" s="116"/>
      <c r="L1225" s="170">
        <v>44811</v>
      </c>
      <c r="M1225" s="116">
        <v>1331.55</v>
      </c>
      <c r="N1225" s="116">
        <v>1337.4</v>
      </c>
      <c r="O1225" s="116">
        <v>1301.2</v>
      </c>
      <c r="P1225" s="116">
        <v>1304</v>
      </c>
      <c r="Q1225" s="116">
        <v>1331.55</v>
      </c>
      <c r="R1225">
        <v>839563</v>
      </c>
    </row>
    <row r="1226" spans="1:18" x14ac:dyDescent="0.25">
      <c r="A1226" s="170">
        <v>44812</v>
      </c>
      <c r="B1226" s="116">
        <v>1339.55</v>
      </c>
      <c r="C1226" s="116">
        <v>1317.25</v>
      </c>
      <c r="D1226" s="116">
        <v>1305.95</v>
      </c>
      <c r="E1226" s="116">
        <v>1330</v>
      </c>
      <c r="F1226" s="116">
        <v>1317.25</v>
      </c>
      <c r="G1226">
        <v>22021</v>
      </c>
      <c r="H1226" s="116"/>
      <c r="I1226" s="116"/>
      <c r="L1226" s="170">
        <v>44812</v>
      </c>
      <c r="M1226" s="116">
        <v>1317.7</v>
      </c>
      <c r="N1226" s="116">
        <v>1340.35</v>
      </c>
      <c r="O1226" s="116">
        <v>1304.75</v>
      </c>
      <c r="P1226" s="116">
        <v>1338</v>
      </c>
      <c r="Q1226" s="116">
        <v>1317.7</v>
      </c>
      <c r="R1226">
        <v>1205449</v>
      </c>
    </row>
    <row r="1227" spans="1:18" x14ac:dyDescent="0.25">
      <c r="A1227" s="170">
        <v>44813</v>
      </c>
      <c r="B1227" s="116">
        <v>1326.85</v>
      </c>
      <c r="C1227" s="116">
        <v>1297.3</v>
      </c>
      <c r="D1227" s="116">
        <v>1291.3499999999999</v>
      </c>
      <c r="E1227" s="116">
        <v>1324</v>
      </c>
      <c r="F1227" s="116">
        <v>1297.3</v>
      </c>
      <c r="G1227">
        <v>19233</v>
      </c>
      <c r="H1227" s="116"/>
      <c r="I1227" s="116"/>
      <c r="L1227" s="170">
        <v>44813</v>
      </c>
      <c r="M1227" s="116">
        <v>1297.45</v>
      </c>
      <c r="N1227" s="116">
        <v>1326.95</v>
      </c>
      <c r="O1227" s="116">
        <v>1291.3</v>
      </c>
      <c r="P1227" s="116">
        <v>1322.05</v>
      </c>
      <c r="Q1227" s="116">
        <v>1297.45</v>
      </c>
      <c r="R1227">
        <v>548609</v>
      </c>
    </row>
    <row r="1228" spans="1:18" x14ac:dyDescent="0.25">
      <c r="A1228" s="170">
        <v>44816</v>
      </c>
      <c r="B1228" s="116">
        <v>1311.2</v>
      </c>
      <c r="C1228" s="116">
        <v>1306.5999999999999</v>
      </c>
      <c r="D1228" s="116">
        <v>1295.2</v>
      </c>
      <c r="E1228" s="116">
        <v>1297.5</v>
      </c>
      <c r="F1228" s="116">
        <v>1306.5999999999999</v>
      </c>
      <c r="G1228">
        <v>15504</v>
      </c>
      <c r="H1228" s="116"/>
      <c r="I1228" s="116"/>
      <c r="L1228" s="170">
        <v>44816</v>
      </c>
      <c r="M1228" s="116">
        <v>1306</v>
      </c>
      <c r="N1228" s="116">
        <v>1311</v>
      </c>
      <c r="O1228" s="116">
        <v>1295.05</v>
      </c>
      <c r="P1228" s="116">
        <v>1297.8</v>
      </c>
      <c r="Q1228" s="116">
        <v>1306</v>
      </c>
      <c r="R1228">
        <v>1002755</v>
      </c>
    </row>
    <row r="1229" spans="1:18" x14ac:dyDescent="0.25">
      <c r="A1229" s="170">
        <v>44817</v>
      </c>
      <c r="B1229" s="116">
        <v>1335</v>
      </c>
      <c r="C1229" s="116">
        <v>1323.75</v>
      </c>
      <c r="D1229" s="116">
        <v>1312.9</v>
      </c>
      <c r="E1229" s="116">
        <v>1314</v>
      </c>
      <c r="F1229" s="116">
        <v>1323.75</v>
      </c>
      <c r="G1229">
        <v>39103</v>
      </c>
      <c r="H1229" s="116"/>
      <c r="I1229" s="116"/>
      <c r="L1229" s="170">
        <v>44817</v>
      </c>
      <c r="M1229" s="116">
        <v>1324.4</v>
      </c>
      <c r="N1229" s="116">
        <v>1335</v>
      </c>
      <c r="O1229" s="116">
        <v>1311</v>
      </c>
      <c r="P1229" s="116">
        <v>1312.55</v>
      </c>
      <c r="Q1229" s="116">
        <v>1324.4</v>
      </c>
      <c r="R1229">
        <v>1160040</v>
      </c>
    </row>
    <row r="1230" spans="1:18" x14ac:dyDescent="0.25">
      <c r="A1230" s="170">
        <v>44818</v>
      </c>
      <c r="B1230" s="116">
        <v>1319.45</v>
      </c>
      <c r="C1230" s="116">
        <v>1303.1500000000001</v>
      </c>
      <c r="D1230" s="116">
        <v>1297.95</v>
      </c>
      <c r="E1230" s="116">
        <v>1300</v>
      </c>
      <c r="F1230" s="116">
        <v>1303.1500000000001</v>
      </c>
      <c r="G1230">
        <v>12862</v>
      </c>
      <c r="H1230" s="116"/>
      <c r="I1230" s="116"/>
      <c r="L1230" s="170">
        <v>44818</v>
      </c>
      <c r="M1230" s="116">
        <v>1303.3</v>
      </c>
      <c r="N1230" s="116">
        <v>1320</v>
      </c>
      <c r="O1230" s="116">
        <v>1300</v>
      </c>
      <c r="P1230" s="116">
        <v>1304.95</v>
      </c>
      <c r="Q1230" s="116">
        <v>1303.3</v>
      </c>
      <c r="R1230">
        <v>800852</v>
      </c>
    </row>
    <row r="1231" spans="1:18" x14ac:dyDescent="0.25">
      <c r="A1231" s="170">
        <v>44819</v>
      </c>
      <c r="B1231" s="116">
        <v>1317.2</v>
      </c>
      <c r="C1231" s="116">
        <v>1292.95</v>
      </c>
      <c r="D1231" s="116">
        <v>1276.55</v>
      </c>
      <c r="E1231" s="116">
        <v>1310</v>
      </c>
      <c r="F1231" s="116">
        <v>1292.95</v>
      </c>
      <c r="G1231">
        <v>19656</v>
      </c>
      <c r="H1231" s="116"/>
      <c r="I1231" s="116"/>
      <c r="L1231" s="170">
        <v>44819</v>
      </c>
      <c r="M1231" s="116">
        <v>1295</v>
      </c>
      <c r="N1231" s="116">
        <v>1317</v>
      </c>
      <c r="O1231" s="116">
        <v>1276.5999999999999</v>
      </c>
      <c r="P1231" s="116">
        <v>1309.8499999999999</v>
      </c>
      <c r="Q1231" s="116">
        <v>1295</v>
      </c>
      <c r="R1231">
        <v>1441219</v>
      </c>
    </row>
    <row r="1232" spans="1:18" x14ac:dyDescent="0.25">
      <c r="A1232" s="170">
        <v>44820</v>
      </c>
      <c r="B1232" s="116">
        <v>1301.9000000000001</v>
      </c>
      <c r="C1232" s="116">
        <v>1272.4000000000001</v>
      </c>
      <c r="D1232" s="116">
        <v>1266.8</v>
      </c>
      <c r="E1232" s="116">
        <v>1297.95</v>
      </c>
      <c r="F1232" s="116">
        <v>1272.4000000000001</v>
      </c>
      <c r="G1232">
        <v>20769</v>
      </c>
      <c r="H1232" s="116"/>
      <c r="I1232" s="116"/>
      <c r="L1232" s="170">
        <v>44820</v>
      </c>
      <c r="M1232" s="116">
        <v>1272.25</v>
      </c>
      <c r="N1232" s="116">
        <v>1302.95</v>
      </c>
      <c r="O1232" s="116">
        <v>1266</v>
      </c>
      <c r="P1232" s="116">
        <v>1289</v>
      </c>
      <c r="Q1232" s="116">
        <v>1272.25</v>
      </c>
      <c r="R1232">
        <v>1717631</v>
      </c>
    </row>
    <row r="1233" spans="1:18" x14ac:dyDescent="0.25">
      <c r="A1233" s="170">
        <v>44823</v>
      </c>
      <c r="B1233" s="116">
        <v>1307.95</v>
      </c>
      <c r="C1233" s="116">
        <v>1303.05</v>
      </c>
      <c r="D1233" s="116">
        <v>1271.75</v>
      </c>
      <c r="E1233" s="116">
        <v>1271.75</v>
      </c>
      <c r="F1233" s="116">
        <v>1303.05</v>
      </c>
      <c r="G1233">
        <v>433394</v>
      </c>
      <c r="H1233" s="116"/>
      <c r="I1233" s="116"/>
      <c r="L1233" s="170">
        <v>44823</v>
      </c>
      <c r="M1233" s="116">
        <v>1303.3</v>
      </c>
      <c r="N1233" s="116">
        <v>1308</v>
      </c>
      <c r="O1233" s="116">
        <v>1272.45</v>
      </c>
      <c r="P1233" s="116">
        <v>1278.5</v>
      </c>
      <c r="Q1233" s="116">
        <v>1303.3</v>
      </c>
      <c r="R1233">
        <v>859607</v>
      </c>
    </row>
    <row r="1234" spans="1:18" x14ac:dyDescent="0.25">
      <c r="A1234" s="170">
        <v>44824</v>
      </c>
      <c r="B1234" s="116">
        <v>1323.45</v>
      </c>
      <c r="C1234" s="116">
        <v>1308.2</v>
      </c>
      <c r="D1234" s="116">
        <v>1304</v>
      </c>
      <c r="E1234" s="116">
        <v>1304</v>
      </c>
      <c r="F1234" s="116">
        <v>1308.2</v>
      </c>
      <c r="G1234">
        <v>13323</v>
      </c>
      <c r="H1234" s="116"/>
      <c r="I1234" s="116"/>
      <c r="L1234" s="170">
        <v>44824</v>
      </c>
      <c r="M1234" s="116">
        <v>1309.3</v>
      </c>
      <c r="N1234" s="116">
        <v>1322.5</v>
      </c>
      <c r="O1234" s="116">
        <v>1306.6500000000001</v>
      </c>
      <c r="P1234" s="116">
        <v>1309.8499999999999</v>
      </c>
      <c r="Q1234" s="116">
        <v>1309.3</v>
      </c>
      <c r="R1234">
        <v>671787</v>
      </c>
    </row>
    <row r="1235" spans="1:18" x14ac:dyDescent="0.25">
      <c r="A1235" s="170">
        <v>44825</v>
      </c>
      <c r="B1235" s="116">
        <v>1317.9</v>
      </c>
      <c r="C1235" s="116">
        <v>1306.05</v>
      </c>
      <c r="D1235" s="116">
        <v>1297.9000000000001</v>
      </c>
      <c r="E1235" s="116">
        <v>1306.0999999999999</v>
      </c>
      <c r="F1235" s="116">
        <v>1306.05</v>
      </c>
      <c r="G1235">
        <v>11335</v>
      </c>
      <c r="H1235" s="116"/>
      <c r="I1235" s="116"/>
      <c r="L1235" s="170">
        <v>44825</v>
      </c>
      <c r="M1235" s="116">
        <v>1306.3</v>
      </c>
      <c r="N1235" s="116">
        <v>1318.75</v>
      </c>
      <c r="O1235" s="116">
        <v>1298</v>
      </c>
      <c r="P1235" s="116">
        <v>1309.3</v>
      </c>
      <c r="Q1235" s="116">
        <v>1306.3</v>
      </c>
      <c r="R1235">
        <v>453755</v>
      </c>
    </row>
    <row r="1236" spans="1:18" x14ac:dyDescent="0.25">
      <c r="A1236" s="170">
        <v>44826</v>
      </c>
      <c r="B1236" s="116">
        <v>1301</v>
      </c>
      <c r="C1236" s="116">
        <v>1285.3</v>
      </c>
      <c r="D1236" s="116">
        <v>1269.3499999999999</v>
      </c>
      <c r="E1236" s="116">
        <v>1301</v>
      </c>
      <c r="F1236" s="116">
        <v>1285.3</v>
      </c>
      <c r="G1236">
        <v>28830</v>
      </c>
      <c r="H1236" s="116"/>
      <c r="I1236" s="116"/>
      <c r="L1236" s="170">
        <v>44826</v>
      </c>
      <c r="M1236" s="116">
        <v>1285.5</v>
      </c>
      <c r="N1236" s="116">
        <v>1299.95</v>
      </c>
      <c r="O1236" s="116">
        <v>1269</v>
      </c>
      <c r="P1236" s="116">
        <v>1297</v>
      </c>
      <c r="Q1236" s="116">
        <v>1285.5</v>
      </c>
      <c r="R1236">
        <v>932867</v>
      </c>
    </row>
    <row r="1237" spans="1:18" x14ac:dyDescent="0.25">
      <c r="A1237" s="170">
        <v>44827</v>
      </c>
      <c r="B1237" s="116">
        <v>1289.25</v>
      </c>
      <c r="C1237" s="116">
        <v>1272.8499999999999</v>
      </c>
      <c r="D1237" s="116">
        <v>1266.25</v>
      </c>
      <c r="E1237" s="116">
        <v>1283.95</v>
      </c>
      <c r="F1237" s="116">
        <v>1272.8499999999999</v>
      </c>
      <c r="G1237">
        <v>7876</v>
      </c>
      <c r="H1237" s="116"/>
      <c r="I1237" s="116"/>
      <c r="L1237" s="170">
        <v>44827</v>
      </c>
      <c r="M1237" s="116">
        <v>1273</v>
      </c>
      <c r="N1237" s="116">
        <v>1289.95</v>
      </c>
      <c r="O1237" s="116">
        <v>1265.55</v>
      </c>
      <c r="P1237" s="116">
        <v>1274</v>
      </c>
      <c r="Q1237" s="116">
        <v>1273</v>
      </c>
      <c r="R1237">
        <v>415333</v>
      </c>
    </row>
    <row r="1238" spans="1:18" x14ac:dyDescent="0.25">
      <c r="A1238" s="170">
        <v>44830</v>
      </c>
      <c r="B1238" s="116">
        <v>1270.25</v>
      </c>
      <c r="C1238" s="116">
        <v>1259.25</v>
      </c>
      <c r="D1238" s="116">
        <v>1252.25</v>
      </c>
      <c r="E1238" s="116">
        <v>1267.1500000000001</v>
      </c>
      <c r="F1238" s="116">
        <v>1259.25</v>
      </c>
      <c r="G1238">
        <v>15942</v>
      </c>
      <c r="H1238" s="116"/>
      <c r="I1238" s="116"/>
      <c r="L1238" s="170">
        <v>44830</v>
      </c>
      <c r="M1238" s="116">
        <v>1259.8</v>
      </c>
      <c r="N1238" s="116">
        <v>1271.8</v>
      </c>
      <c r="O1238" s="116">
        <v>1251.8499999999999</v>
      </c>
      <c r="P1238" s="116">
        <v>1271.8</v>
      </c>
      <c r="Q1238" s="116">
        <v>1259.8</v>
      </c>
      <c r="R1238">
        <v>1271968</v>
      </c>
    </row>
    <row r="1239" spans="1:18" x14ac:dyDescent="0.25">
      <c r="A1239" s="170">
        <v>44831</v>
      </c>
      <c r="B1239" s="116">
        <v>1269.8499999999999</v>
      </c>
      <c r="C1239" s="116">
        <v>1243.4000000000001</v>
      </c>
      <c r="D1239" s="116">
        <v>1238</v>
      </c>
      <c r="E1239" s="116">
        <v>1253.05</v>
      </c>
      <c r="F1239" s="116">
        <v>1243.4000000000001</v>
      </c>
      <c r="G1239">
        <v>13133</v>
      </c>
      <c r="H1239" s="116"/>
      <c r="I1239" s="116"/>
      <c r="L1239" s="170">
        <v>44831</v>
      </c>
      <c r="M1239" s="116">
        <v>1242.3</v>
      </c>
      <c r="N1239" s="116">
        <v>1270.6500000000001</v>
      </c>
      <c r="O1239" s="116">
        <v>1237.3</v>
      </c>
      <c r="P1239" s="116">
        <v>1266</v>
      </c>
      <c r="Q1239" s="116">
        <v>1242.3</v>
      </c>
      <c r="R1239">
        <v>821405</v>
      </c>
    </row>
    <row r="1240" spans="1:18" x14ac:dyDescent="0.25">
      <c r="A1240" s="170">
        <v>44832</v>
      </c>
      <c r="B1240" s="116">
        <v>1250.95</v>
      </c>
      <c r="C1240" s="116">
        <v>1238.3</v>
      </c>
      <c r="D1240" s="116">
        <v>1215</v>
      </c>
      <c r="E1240" s="116">
        <v>1233</v>
      </c>
      <c r="F1240" s="116">
        <v>1238.3</v>
      </c>
      <c r="G1240">
        <v>29823</v>
      </c>
      <c r="H1240" s="116"/>
      <c r="I1240" s="116"/>
      <c r="L1240" s="170">
        <v>44832</v>
      </c>
      <c r="M1240" s="116">
        <v>1238.8</v>
      </c>
      <c r="N1240" s="116">
        <v>1250.8499999999999</v>
      </c>
      <c r="O1240" s="116">
        <v>1215</v>
      </c>
      <c r="P1240" s="116">
        <v>1227.5</v>
      </c>
      <c r="Q1240" s="116">
        <v>1238.8</v>
      </c>
      <c r="R1240">
        <v>1102669</v>
      </c>
    </row>
    <row r="1241" spans="1:18" x14ac:dyDescent="0.25">
      <c r="A1241" s="170">
        <v>44833</v>
      </c>
      <c r="B1241" s="116">
        <v>1250.75</v>
      </c>
      <c r="C1241" s="116">
        <v>1240.05</v>
      </c>
      <c r="D1241" s="116">
        <v>1236</v>
      </c>
      <c r="E1241" s="116">
        <v>1247</v>
      </c>
      <c r="F1241" s="116">
        <v>1240.05</v>
      </c>
      <c r="G1241">
        <v>10034</v>
      </c>
      <c r="H1241" s="116"/>
      <c r="I1241" s="116"/>
      <c r="L1241" s="170">
        <v>44833</v>
      </c>
      <c r="M1241" s="116">
        <v>1239.8</v>
      </c>
      <c r="N1241" s="116">
        <v>1251</v>
      </c>
      <c r="O1241" s="116">
        <v>1236</v>
      </c>
      <c r="P1241" s="116">
        <v>1245</v>
      </c>
      <c r="Q1241" s="116">
        <v>1239.8</v>
      </c>
      <c r="R1241">
        <v>1382993</v>
      </c>
    </row>
    <row r="1242" spans="1:18" x14ac:dyDescent="0.25">
      <c r="A1242" s="170">
        <v>44834</v>
      </c>
      <c r="B1242" s="116">
        <v>1257</v>
      </c>
      <c r="C1242" s="116">
        <v>1250.5</v>
      </c>
      <c r="D1242" s="116">
        <v>1234.8499999999999</v>
      </c>
      <c r="E1242" s="116">
        <v>1241</v>
      </c>
      <c r="F1242" s="116">
        <v>1250.5</v>
      </c>
      <c r="G1242">
        <v>9783</v>
      </c>
      <c r="H1242" s="116"/>
      <c r="I1242" s="116"/>
      <c r="L1242" s="170">
        <v>44834</v>
      </c>
      <c r="M1242" s="116">
        <v>1250.45</v>
      </c>
      <c r="N1242" s="116">
        <v>1258</v>
      </c>
      <c r="O1242" s="116">
        <v>1234.55</v>
      </c>
      <c r="P1242" s="116">
        <v>1243</v>
      </c>
      <c r="Q1242" s="116">
        <v>1250.45</v>
      </c>
      <c r="R1242">
        <v>1344894</v>
      </c>
    </row>
    <row r="1243" spans="1:18" x14ac:dyDescent="0.25">
      <c r="A1243" s="170">
        <v>44837</v>
      </c>
      <c r="B1243" s="116">
        <v>1257.5</v>
      </c>
      <c r="C1243" s="116">
        <v>1238.25</v>
      </c>
      <c r="D1243" s="116">
        <v>1230.7</v>
      </c>
      <c r="E1243" s="116">
        <v>1240.05</v>
      </c>
      <c r="F1243" s="116">
        <v>1238.25</v>
      </c>
      <c r="G1243">
        <v>14287</v>
      </c>
      <c r="H1243" s="116"/>
      <c r="I1243" s="116"/>
      <c r="L1243" s="170">
        <v>44837</v>
      </c>
      <c r="M1243" s="116">
        <v>1237.25</v>
      </c>
      <c r="N1243" s="116">
        <v>1256.6500000000001</v>
      </c>
      <c r="O1243" s="116">
        <v>1227.8499999999999</v>
      </c>
      <c r="P1243" s="116">
        <v>1255.5999999999999</v>
      </c>
      <c r="Q1243" s="116">
        <v>1237.25</v>
      </c>
      <c r="R1243">
        <v>981699</v>
      </c>
    </row>
    <row r="1244" spans="1:18" x14ac:dyDescent="0.25">
      <c r="A1244" s="170">
        <v>44838</v>
      </c>
      <c r="B1244" s="116">
        <v>1264.6500000000001</v>
      </c>
      <c r="C1244" s="116">
        <v>1260.45</v>
      </c>
      <c r="D1244" s="116">
        <v>1240.4000000000001</v>
      </c>
      <c r="E1244" s="116">
        <v>1240.4000000000001</v>
      </c>
      <c r="F1244" s="116">
        <v>1260.45</v>
      </c>
      <c r="G1244">
        <v>6727</v>
      </c>
      <c r="H1244" s="116"/>
      <c r="I1244" s="116"/>
      <c r="L1244" s="170">
        <v>44838</v>
      </c>
      <c r="M1244" s="116">
        <v>1260.6500000000001</v>
      </c>
      <c r="N1244" s="116">
        <v>1265</v>
      </c>
      <c r="O1244" s="116">
        <v>1250.05</v>
      </c>
      <c r="P1244" s="116">
        <v>1252.25</v>
      </c>
      <c r="Q1244" s="116">
        <v>1260.6500000000001</v>
      </c>
      <c r="R1244">
        <v>420656</v>
      </c>
    </row>
    <row r="1245" spans="1:18" x14ac:dyDescent="0.25">
      <c r="A1245" s="170">
        <v>44840</v>
      </c>
      <c r="B1245" s="116">
        <v>1279.45</v>
      </c>
      <c r="C1245" s="116">
        <v>1244.95</v>
      </c>
      <c r="D1245" s="116">
        <v>1242.45</v>
      </c>
      <c r="E1245" s="116">
        <v>1260.5</v>
      </c>
      <c r="F1245" s="116">
        <v>1244.95</v>
      </c>
      <c r="G1245">
        <v>7581</v>
      </c>
      <c r="H1245" s="116"/>
      <c r="I1245" s="116"/>
      <c r="L1245" s="170">
        <v>44840</v>
      </c>
      <c r="M1245" s="116">
        <v>1245.1500000000001</v>
      </c>
      <c r="N1245" s="116">
        <v>1279.95</v>
      </c>
      <c r="O1245" s="116">
        <v>1242.45</v>
      </c>
      <c r="P1245" s="116">
        <v>1267</v>
      </c>
      <c r="Q1245" s="116">
        <v>1245.1500000000001</v>
      </c>
      <c r="R1245">
        <v>900769</v>
      </c>
    </row>
    <row r="1246" spans="1:18" x14ac:dyDescent="0.25">
      <c r="A1246" s="170">
        <v>44841</v>
      </c>
      <c r="B1246" s="116">
        <v>1256.8</v>
      </c>
      <c r="C1246" s="116">
        <v>1243</v>
      </c>
      <c r="D1246" s="116">
        <v>1226.5</v>
      </c>
      <c r="E1246" s="116">
        <v>1243</v>
      </c>
      <c r="F1246" s="116">
        <v>1243</v>
      </c>
      <c r="G1246">
        <v>17940</v>
      </c>
      <c r="H1246" s="116"/>
      <c r="I1246" s="116"/>
      <c r="L1246" s="170">
        <v>44841</v>
      </c>
      <c r="M1246" s="116">
        <v>1243.2</v>
      </c>
      <c r="N1246" s="116">
        <v>1256.9000000000001</v>
      </c>
      <c r="O1246" s="116">
        <v>1238.3499999999999</v>
      </c>
      <c r="P1246" s="116">
        <v>1239.0999999999999</v>
      </c>
      <c r="Q1246" s="116">
        <v>1243.2</v>
      </c>
      <c r="R1246">
        <v>570691</v>
      </c>
    </row>
    <row r="1247" spans="1:18" x14ac:dyDescent="0.25">
      <c r="A1247" s="170">
        <v>44844</v>
      </c>
      <c r="B1247" s="116">
        <v>1243</v>
      </c>
      <c r="C1247" s="116">
        <v>1239.05</v>
      </c>
      <c r="D1247" s="116">
        <v>1218.5999999999999</v>
      </c>
      <c r="E1247" s="116">
        <v>1234.95</v>
      </c>
      <c r="F1247" s="116">
        <v>1239.05</v>
      </c>
      <c r="G1247">
        <v>14144</v>
      </c>
      <c r="H1247" s="116"/>
      <c r="I1247" s="116"/>
      <c r="L1247" s="170">
        <v>44844</v>
      </c>
      <c r="M1247" s="116">
        <v>1239.3</v>
      </c>
      <c r="N1247" s="116">
        <v>1243.95</v>
      </c>
      <c r="O1247" s="116">
        <v>1218.05</v>
      </c>
      <c r="P1247" s="116">
        <v>1230</v>
      </c>
      <c r="Q1247" s="116">
        <v>1239.3</v>
      </c>
      <c r="R1247">
        <v>539842</v>
      </c>
    </row>
    <row r="1248" spans="1:18" x14ac:dyDescent="0.25">
      <c r="A1248" s="170">
        <v>44845</v>
      </c>
      <c r="B1248" s="116">
        <v>1239.05</v>
      </c>
      <c r="C1248" s="116">
        <v>1205.5999999999999</v>
      </c>
      <c r="D1248" s="116">
        <v>1200.05</v>
      </c>
      <c r="E1248" s="116">
        <v>1239.05</v>
      </c>
      <c r="F1248" s="116">
        <v>1205.5999999999999</v>
      </c>
      <c r="G1248">
        <v>611205</v>
      </c>
      <c r="H1248" s="116"/>
      <c r="I1248" s="116"/>
      <c r="L1248" s="170">
        <v>44845</v>
      </c>
      <c r="M1248" s="116">
        <v>1206.3499999999999</v>
      </c>
      <c r="N1248" s="116">
        <v>1243</v>
      </c>
      <c r="O1248" s="116">
        <v>1200.1500000000001</v>
      </c>
      <c r="P1248" s="116">
        <v>1240.05</v>
      </c>
      <c r="Q1248" s="116">
        <v>1206.3499999999999</v>
      </c>
      <c r="R1248">
        <v>712461</v>
      </c>
    </row>
    <row r="1249" spans="1:18" x14ac:dyDescent="0.25">
      <c r="A1249" s="170">
        <v>44846</v>
      </c>
      <c r="B1249" s="116">
        <v>1220.2</v>
      </c>
      <c r="C1249" s="116">
        <v>1213.1500000000001</v>
      </c>
      <c r="D1249" s="116">
        <v>1200</v>
      </c>
      <c r="E1249" s="116">
        <v>1201.55</v>
      </c>
      <c r="F1249" s="116">
        <v>1213.1500000000001</v>
      </c>
      <c r="G1249">
        <v>10485</v>
      </c>
      <c r="H1249" s="116"/>
      <c r="I1249" s="116"/>
      <c r="L1249" s="170">
        <v>44846</v>
      </c>
      <c r="M1249" s="116">
        <v>1212.2</v>
      </c>
      <c r="N1249" s="116">
        <v>1220.45</v>
      </c>
      <c r="O1249" s="116">
        <v>1200.3</v>
      </c>
      <c r="P1249" s="116">
        <v>1206</v>
      </c>
      <c r="Q1249" s="116">
        <v>1212.2</v>
      </c>
      <c r="R1249">
        <v>721135</v>
      </c>
    </row>
    <row r="1250" spans="1:18" x14ac:dyDescent="0.25">
      <c r="A1250" s="170">
        <v>44847</v>
      </c>
      <c r="B1250" s="116">
        <v>1216</v>
      </c>
      <c r="C1250" s="116">
        <v>1187.8</v>
      </c>
      <c r="D1250" s="116">
        <v>1185</v>
      </c>
      <c r="E1250" s="116">
        <v>1201.1500000000001</v>
      </c>
      <c r="F1250" s="116">
        <v>1187.8</v>
      </c>
      <c r="G1250">
        <v>14322</v>
      </c>
      <c r="H1250" s="116"/>
      <c r="I1250" s="116"/>
      <c r="L1250" s="170">
        <v>44847</v>
      </c>
      <c r="M1250" s="116">
        <v>1187.9000000000001</v>
      </c>
      <c r="N1250" s="116">
        <v>1216.55</v>
      </c>
      <c r="O1250" s="116">
        <v>1185.05</v>
      </c>
      <c r="P1250" s="116">
        <v>1207</v>
      </c>
      <c r="Q1250" s="116">
        <v>1187.9000000000001</v>
      </c>
      <c r="R1250">
        <v>689562</v>
      </c>
    </row>
    <row r="1251" spans="1:18" x14ac:dyDescent="0.25">
      <c r="A1251" s="170">
        <v>44848</v>
      </c>
      <c r="B1251" s="116">
        <v>1216.5999999999999</v>
      </c>
      <c r="C1251" s="116">
        <v>1179.75</v>
      </c>
      <c r="D1251" s="116">
        <v>1178</v>
      </c>
      <c r="E1251" s="116">
        <v>1190.05</v>
      </c>
      <c r="F1251" s="116">
        <v>1179.75</v>
      </c>
      <c r="G1251">
        <v>12318</v>
      </c>
      <c r="H1251" s="116"/>
      <c r="I1251" s="116"/>
      <c r="L1251" s="170">
        <v>44848</v>
      </c>
      <c r="M1251" s="116">
        <v>1179.8</v>
      </c>
      <c r="N1251" s="116">
        <v>1217.05</v>
      </c>
      <c r="O1251" s="116">
        <v>1177.5999999999999</v>
      </c>
      <c r="P1251" s="116">
        <v>1201</v>
      </c>
      <c r="Q1251" s="116">
        <v>1179.8</v>
      </c>
      <c r="R1251">
        <v>717290</v>
      </c>
    </row>
    <row r="1252" spans="1:18" x14ac:dyDescent="0.25">
      <c r="A1252" s="170">
        <v>44851</v>
      </c>
      <c r="B1252" s="116">
        <v>1198.75</v>
      </c>
      <c r="C1252" s="116">
        <v>1191.4000000000001</v>
      </c>
      <c r="D1252" s="116">
        <v>1168.0999999999999</v>
      </c>
      <c r="E1252" s="116">
        <v>1177</v>
      </c>
      <c r="F1252" s="116">
        <v>1191.4000000000001</v>
      </c>
      <c r="G1252">
        <v>624883</v>
      </c>
      <c r="H1252" s="116"/>
      <c r="I1252" s="116"/>
      <c r="L1252" s="170">
        <v>44851</v>
      </c>
      <c r="M1252" s="116">
        <v>1189.8</v>
      </c>
      <c r="N1252" s="116">
        <v>1198.6500000000001</v>
      </c>
      <c r="O1252" s="116">
        <v>1167.5999999999999</v>
      </c>
      <c r="P1252" s="116">
        <v>1178</v>
      </c>
      <c r="Q1252" s="116">
        <v>1189.8</v>
      </c>
      <c r="R1252">
        <v>1615547</v>
      </c>
    </row>
    <row r="1253" spans="1:18" x14ac:dyDescent="0.25">
      <c r="A1253" s="170">
        <v>44852</v>
      </c>
      <c r="B1253" s="116">
        <v>1226</v>
      </c>
      <c r="C1253" s="116">
        <v>1219.1500000000001</v>
      </c>
      <c r="D1253" s="116">
        <v>1192.05</v>
      </c>
      <c r="E1253" s="116">
        <v>1192.05</v>
      </c>
      <c r="F1253" s="116">
        <v>1219.1500000000001</v>
      </c>
      <c r="G1253">
        <v>31765</v>
      </c>
      <c r="H1253" s="116"/>
      <c r="I1253" s="116"/>
      <c r="L1253" s="170">
        <v>44852</v>
      </c>
      <c r="M1253" s="116">
        <v>1219.05</v>
      </c>
      <c r="N1253" s="116">
        <v>1226</v>
      </c>
      <c r="O1253" s="116">
        <v>1193.1500000000001</v>
      </c>
      <c r="P1253" s="116">
        <v>1195.75</v>
      </c>
      <c r="Q1253" s="116">
        <v>1219.05</v>
      </c>
      <c r="R1253">
        <v>1367703</v>
      </c>
    </row>
    <row r="1254" spans="1:18" x14ac:dyDescent="0.25">
      <c r="A1254" s="170">
        <v>44853</v>
      </c>
      <c r="B1254" s="116">
        <v>1233.95</v>
      </c>
      <c r="C1254" s="116">
        <v>1225.95</v>
      </c>
      <c r="D1254" s="116">
        <v>1214.75</v>
      </c>
      <c r="E1254" s="116">
        <v>1229.95</v>
      </c>
      <c r="F1254" s="116">
        <v>1225.95</v>
      </c>
      <c r="G1254">
        <v>19873</v>
      </c>
      <c r="H1254" s="116"/>
      <c r="I1254" s="116"/>
      <c r="L1254" s="170">
        <v>44853</v>
      </c>
      <c r="M1254" s="116">
        <v>1227.0999999999999</v>
      </c>
      <c r="N1254" s="116">
        <v>1233.8</v>
      </c>
      <c r="O1254" s="116">
        <v>1213.3499999999999</v>
      </c>
      <c r="P1254" s="116">
        <v>1220</v>
      </c>
      <c r="Q1254" s="116">
        <v>1227.0999999999999</v>
      </c>
      <c r="R1254">
        <v>947326</v>
      </c>
    </row>
    <row r="1255" spans="1:18" x14ac:dyDescent="0.25">
      <c r="A1255" s="170">
        <v>44854</v>
      </c>
      <c r="B1255" s="116">
        <v>1228.5999999999999</v>
      </c>
      <c r="C1255" s="116">
        <v>1222.6500000000001</v>
      </c>
      <c r="D1255" s="116">
        <v>1214.5999999999999</v>
      </c>
      <c r="E1255" s="116">
        <v>1215.25</v>
      </c>
      <c r="F1255" s="116">
        <v>1222.6500000000001</v>
      </c>
      <c r="G1255">
        <v>9056</v>
      </c>
      <c r="H1255" s="116"/>
      <c r="I1255" s="116"/>
      <c r="L1255" s="170">
        <v>44854</v>
      </c>
      <c r="M1255" s="116">
        <v>1222.95</v>
      </c>
      <c r="N1255" s="116">
        <v>1230</v>
      </c>
      <c r="O1255" s="116">
        <v>1214</v>
      </c>
      <c r="P1255" s="116">
        <v>1220</v>
      </c>
      <c r="Q1255" s="116">
        <v>1222.95</v>
      </c>
      <c r="R1255">
        <v>878595</v>
      </c>
    </row>
    <row r="1256" spans="1:18" x14ac:dyDescent="0.25">
      <c r="A1256" s="170">
        <v>44855</v>
      </c>
      <c r="B1256" s="116">
        <v>1249.7</v>
      </c>
      <c r="C1256" s="116">
        <v>1245.8499999999999</v>
      </c>
      <c r="D1256" s="116">
        <v>1224.05</v>
      </c>
      <c r="E1256" s="116">
        <v>1224.05</v>
      </c>
      <c r="F1256" s="116">
        <v>1245.8499999999999</v>
      </c>
      <c r="G1256">
        <v>23709</v>
      </c>
      <c r="H1256" s="116"/>
      <c r="I1256" s="116"/>
      <c r="L1256" s="170">
        <v>44855</v>
      </c>
      <c r="M1256" s="116">
        <v>1246.3499999999999</v>
      </c>
      <c r="N1256" s="116">
        <v>1250.25</v>
      </c>
      <c r="O1256" s="116">
        <v>1227</v>
      </c>
      <c r="P1256" s="116">
        <v>1228.45</v>
      </c>
      <c r="Q1256" s="116">
        <v>1246.3499999999999</v>
      </c>
      <c r="R1256">
        <v>1020728</v>
      </c>
    </row>
    <row r="1257" spans="1:18" x14ac:dyDescent="0.25">
      <c r="A1257" s="170">
        <v>44858</v>
      </c>
      <c r="B1257" s="116">
        <v>1266.1500000000001</v>
      </c>
      <c r="C1257" s="116">
        <v>1257.6500000000001</v>
      </c>
      <c r="D1257" s="116">
        <v>1239.3</v>
      </c>
      <c r="E1257" s="116">
        <v>1260.2</v>
      </c>
      <c r="F1257" s="116">
        <v>1257.6500000000001</v>
      </c>
      <c r="G1257">
        <v>8629</v>
      </c>
      <c r="H1257" s="116"/>
      <c r="I1257" s="116"/>
      <c r="L1257" s="170">
        <v>44858</v>
      </c>
      <c r="M1257" s="116">
        <v>1257.5999999999999</v>
      </c>
      <c r="N1257" s="116">
        <v>1268.95</v>
      </c>
      <c r="O1257" s="116">
        <v>1238.8</v>
      </c>
      <c r="P1257" s="116">
        <v>1268.95</v>
      </c>
      <c r="Q1257" s="116">
        <v>1257.5999999999999</v>
      </c>
      <c r="R1257">
        <v>157253</v>
      </c>
    </row>
    <row r="1258" spans="1:18" x14ac:dyDescent="0.25">
      <c r="A1258" s="170">
        <v>44859</v>
      </c>
      <c r="B1258" s="116">
        <v>1278.3</v>
      </c>
      <c r="C1258" s="116">
        <v>1253.55</v>
      </c>
      <c r="D1258" s="116">
        <v>1243.0999999999999</v>
      </c>
      <c r="E1258" s="116">
        <v>1268.95</v>
      </c>
      <c r="F1258" s="116">
        <v>1253.55</v>
      </c>
      <c r="G1258">
        <v>25611</v>
      </c>
      <c r="H1258" s="116"/>
      <c r="I1258" s="116"/>
      <c r="L1258" s="170">
        <v>44859</v>
      </c>
      <c r="M1258" s="116">
        <v>1254.8499999999999</v>
      </c>
      <c r="N1258" s="116">
        <v>1278.5999999999999</v>
      </c>
      <c r="O1258" s="116">
        <v>1243.2</v>
      </c>
      <c r="P1258" s="116">
        <v>1261.5999999999999</v>
      </c>
      <c r="Q1258" s="116">
        <v>1254.8499999999999</v>
      </c>
      <c r="R1258">
        <v>1260061</v>
      </c>
    </row>
    <row r="1259" spans="1:18" x14ac:dyDescent="0.25">
      <c r="A1259" s="170">
        <v>44861</v>
      </c>
      <c r="B1259" s="116">
        <v>1269.5</v>
      </c>
      <c r="C1259" s="116">
        <v>1253.2</v>
      </c>
      <c r="D1259" s="116">
        <v>1244.55</v>
      </c>
      <c r="E1259" s="116">
        <v>1269.5</v>
      </c>
      <c r="F1259" s="116">
        <v>1253.2</v>
      </c>
      <c r="G1259">
        <v>11895</v>
      </c>
      <c r="H1259" s="116"/>
      <c r="I1259" s="116"/>
      <c r="L1259" s="170">
        <v>44861</v>
      </c>
      <c r="M1259" s="116">
        <v>1252.9000000000001</v>
      </c>
      <c r="N1259" s="116">
        <v>1264</v>
      </c>
      <c r="O1259" s="116">
        <v>1243.55</v>
      </c>
      <c r="P1259" s="116">
        <v>1255.5</v>
      </c>
      <c r="Q1259" s="116">
        <v>1252.9000000000001</v>
      </c>
      <c r="R1259">
        <v>1512949</v>
      </c>
    </row>
    <row r="1260" spans="1:18" x14ac:dyDescent="0.25">
      <c r="A1260" s="170">
        <v>44862</v>
      </c>
      <c r="B1260" s="116">
        <v>1265.0999999999999</v>
      </c>
      <c r="C1260" s="116">
        <v>1252.7</v>
      </c>
      <c r="D1260" s="116">
        <v>1245</v>
      </c>
      <c r="E1260" s="116">
        <v>1252.7</v>
      </c>
      <c r="F1260" s="116">
        <v>1252.7</v>
      </c>
      <c r="G1260">
        <v>17401</v>
      </c>
      <c r="H1260" s="116"/>
      <c r="I1260" s="116"/>
      <c r="L1260" s="170">
        <v>44862</v>
      </c>
      <c r="M1260" s="116">
        <v>1252.8</v>
      </c>
      <c r="N1260" s="116">
        <v>1265.3499999999999</v>
      </c>
      <c r="O1260" s="116">
        <v>1244.45</v>
      </c>
      <c r="P1260" s="116">
        <v>1259.2</v>
      </c>
      <c r="Q1260" s="116">
        <v>1252.8</v>
      </c>
      <c r="R1260">
        <v>528795</v>
      </c>
    </row>
    <row r="1261" spans="1:18" x14ac:dyDescent="0.25">
      <c r="A1261" s="170">
        <v>44865</v>
      </c>
      <c r="B1261" s="116">
        <v>1273.0999999999999</v>
      </c>
      <c r="C1261" s="116">
        <v>1265.95</v>
      </c>
      <c r="D1261" s="116">
        <v>1253.3499999999999</v>
      </c>
      <c r="E1261" s="116">
        <v>1253.3499999999999</v>
      </c>
      <c r="F1261" s="116">
        <v>1265.95</v>
      </c>
      <c r="G1261">
        <v>8982</v>
      </c>
      <c r="H1261" s="116"/>
      <c r="I1261" s="116"/>
      <c r="L1261" s="170">
        <v>44865</v>
      </c>
      <c r="M1261" s="116">
        <v>1265.95</v>
      </c>
      <c r="N1261" s="116">
        <v>1273.75</v>
      </c>
      <c r="O1261" s="116">
        <v>1255.3</v>
      </c>
      <c r="P1261" s="116">
        <v>1259.0999999999999</v>
      </c>
      <c r="Q1261" s="116">
        <v>1265.95</v>
      </c>
      <c r="R1261">
        <v>539055</v>
      </c>
    </row>
    <row r="1262" spans="1:18" x14ac:dyDescent="0.25">
      <c r="A1262" s="170">
        <v>44866</v>
      </c>
      <c r="B1262" s="116">
        <v>1285.6500000000001</v>
      </c>
      <c r="C1262" s="116">
        <v>1268.25</v>
      </c>
      <c r="D1262" s="116">
        <v>1255</v>
      </c>
      <c r="E1262" s="116">
        <v>1255</v>
      </c>
      <c r="F1262" s="116">
        <v>1268.25</v>
      </c>
      <c r="G1262">
        <v>22410</v>
      </c>
      <c r="H1262" s="116"/>
      <c r="I1262" s="116"/>
      <c r="L1262" s="170">
        <v>44866</v>
      </c>
      <c r="M1262" s="116">
        <v>1268.75</v>
      </c>
      <c r="N1262" s="116">
        <v>1286.4000000000001</v>
      </c>
      <c r="O1262" s="116">
        <v>1260.05</v>
      </c>
      <c r="P1262" s="116">
        <v>1265.95</v>
      </c>
      <c r="Q1262" s="116">
        <v>1268.75</v>
      </c>
      <c r="R1262">
        <v>1038607</v>
      </c>
    </row>
    <row r="1263" spans="1:18" x14ac:dyDescent="0.25">
      <c r="A1263" s="170">
        <v>44867</v>
      </c>
      <c r="B1263" s="116">
        <v>1278.5</v>
      </c>
      <c r="C1263" s="116">
        <v>1272</v>
      </c>
      <c r="D1263" s="116">
        <v>1263.2</v>
      </c>
      <c r="E1263" s="116">
        <v>1266</v>
      </c>
      <c r="F1263" s="116">
        <v>1272</v>
      </c>
      <c r="G1263">
        <v>5913</v>
      </c>
      <c r="H1263" s="116"/>
      <c r="I1263" s="116"/>
      <c r="L1263" s="170">
        <v>44867</v>
      </c>
      <c r="M1263" s="116">
        <v>1272.6500000000001</v>
      </c>
      <c r="N1263" s="116">
        <v>1279.4000000000001</v>
      </c>
      <c r="O1263" s="116">
        <v>1262.5</v>
      </c>
      <c r="P1263" s="116">
        <v>1275.0999999999999</v>
      </c>
      <c r="Q1263" s="116">
        <v>1272.6500000000001</v>
      </c>
      <c r="R1263">
        <v>369486</v>
      </c>
    </row>
    <row r="1264" spans="1:18" x14ac:dyDescent="0.25">
      <c r="A1264" s="170">
        <v>44868</v>
      </c>
      <c r="B1264" s="116">
        <v>1280.5</v>
      </c>
      <c r="C1264" s="116">
        <v>1276.2</v>
      </c>
      <c r="D1264" s="116">
        <v>1249.4000000000001</v>
      </c>
      <c r="E1264" s="116">
        <v>1249.4000000000001</v>
      </c>
      <c r="F1264" s="116">
        <v>1276.2</v>
      </c>
      <c r="G1264">
        <v>8927</v>
      </c>
      <c r="H1264" s="116"/>
      <c r="I1264" s="116"/>
      <c r="L1264" s="170">
        <v>44868</v>
      </c>
      <c r="M1264" s="116">
        <v>1276.05</v>
      </c>
      <c r="N1264" s="116">
        <v>1281</v>
      </c>
      <c r="O1264" s="116">
        <v>1263</v>
      </c>
      <c r="P1264" s="116">
        <v>1263</v>
      </c>
      <c r="Q1264" s="116">
        <v>1276.05</v>
      </c>
      <c r="R1264">
        <v>431610</v>
      </c>
    </row>
    <row r="1265" spans="1:18" x14ac:dyDescent="0.25">
      <c r="A1265" s="170">
        <v>44869</v>
      </c>
      <c r="B1265" s="116">
        <v>1281.8</v>
      </c>
      <c r="C1265" s="116">
        <v>1265.8499999999999</v>
      </c>
      <c r="D1265" s="116">
        <v>1259.3</v>
      </c>
      <c r="E1265" s="116">
        <v>1261.8</v>
      </c>
      <c r="F1265" s="116">
        <v>1265.8499999999999</v>
      </c>
      <c r="G1265">
        <v>9034</v>
      </c>
      <c r="H1265" s="116"/>
      <c r="I1265" s="116"/>
      <c r="L1265" s="170">
        <v>44869</v>
      </c>
      <c r="M1265" s="116">
        <v>1265.5999999999999</v>
      </c>
      <c r="N1265" s="116">
        <v>1281.8499999999999</v>
      </c>
      <c r="O1265" s="116">
        <v>1259.5</v>
      </c>
      <c r="P1265" s="116">
        <v>1280</v>
      </c>
      <c r="Q1265" s="116">
        <v>1265.5999999999999</v>
      </c>
      <c r="R1265">
        <v>336277</v>
      </c>
    </row>
    <row r="1266" spans="1:18" x14ac:dyDescent="0.25">
      <c r="A1266" s="170">
        <v>44872</v>
      </c>
      <c r="B1266" s="116">
        <v>1281.8499999999999</v>
      </c>
      <c r="C1266" s="116">
        <v>1278.45</v>
      </c>
      <c r="D1266" s="116">
        <v>1266</v>
      </c>
      <c r="E1266" s="116">
        <v>1275</v>
      </c>
      <c r="F1266" s="116">
        <v>1278.45</v>
      </c>
      <c r="G1266">
        <v>10822</v>
      </c>
      <c r="H1266" s="116"/>
      <c r="I1266" s="116"/>
      <c r="L1266" s="170">
        <v>44872</v>
      </c>
      <c r="M1266" s="116">
        <v>1278.6500000000001</v>
      </c>
      <c r="N1266" s="116">
        <v>1282</v>
      </c>
      <c r="O1266" s="116">
        <v>1265.4000000000001</v>
      </c>
      <c r="P1266" s="116">
        <v>1271.95</v>
      </c>
      <c r="Q1266" s="116">
        <v>1278.6500000000001</v>
      </c>
      <c r="R1266">
        <v>474230</v>
      </c>
    </row>
    <row r="1267" spans="1:18" x14ac:dyDescent="0.25">
      <c r="A1267" s="170">
        <v>44874</v>
      </c>
      <c r="B1267" s="116">
        <v>1290.0999999999999</v>
      </c>
      <c r="C1267" s="116">
        <v>1264.0999999999999</v>
      </c>
      <c r="D1267" s="116">
        <v>1256.3499999999999</v>
      </c>
      <c r="E1267" s="116">
        <v>1280</v>
      </c>
      <c r="F1267" s="116">
        <v>1264.0999999999999</v>
      </c>
      <c r="G1267">
        <v>12579</v>
      </c>
      <c r="H1267" s="116"/>
      <c r="I1267" s="116"/>
      <c r="L1267" s="170">
        <v>44874</v>
      </c>
      <c r="M1267" s="116">
        <v>1263.8</v>
      </c>
      <c r="N1267" s="116">
        <v>1290</v>
      </c>
      <c r="O1267" s="116">
        <v>1256.05</v>
      </c>
      <c r="P1267" s="116">
        <v>1290</v>
      </c>
      <c r="Q1267" s="116">
        <v>1263.8</v>
      </c>
      <c r="R1267">
        <v>992095</v>
      </c>
    </row>
    <row r="1268" spans="1:18" x14ac:dyDescent="0.25">
      <c r="A1268" s="170">
        <v>44875</v>
      </c>
      <c r="B1268" s="116">
        <v>1265.2</v>
      </c>
      <c r="C1268" s="116">
        <v>1237.75</v>
      </c>
      <c r="D1268" s="116">
        <v>1225.45</v>
      </c>
      <c r="E1268" s="116">
        <v>1265.0999999999999</v>
      </c>
      <c r="F1268" s="116">
        <v>1237.75</v>
      </c>
      <c r="G1268">
        <v>21522</v>
      </c>
      <c r="H1268" s="116"/>
      <c r="I1268" s="116"/>
      <c r="L1268" s="170">
        <v>44875</v>
      </c>
      <c r="M1268" s="116">
        <v>1238.3499999999999</v>
      </c>
      <c r="N1268" s="116">
        <v>1268.0999999999999</v>
      </c>
      <c r="O1268" s="116">
        <v>1225.95</v>
      </c>
      <c r="P1268" s="116">
        <v>1268.0999999999999</v>
      </c>
      <c r="Q1268" s="116">
        <v>1238.3499999999999</v>
      </c>
      <c r="R1268">
        <v>497796</v>
      </c>
    </row>
    <row r="1269" spans="1:18" x14ac:dyDescent="0.25">
      <c r="A1269" s="170">
        <v>44876</v>
      </c>
      <c r="B1269" s="116">
        <v>1273</v>
      </c>
      <c r="C1269" s="116">
        <v>1249.95</v>
      </c>
      <c r="D1269" s="116">
        <v>1238.8</v>
      </c>
      <c r="E1269" s="116">
        <v>1250.0999999999999</v>
      </c>
      <c r="F1269" s="116">
        <v>1249.95</v>
      </c>
      <c r="G1269">
        <v>16248</v>
      </c>
      <c r="H1269" s="116"/>
      <c r="I1269" s="116"/>
      <c r="L1269" s="170">
        <v>44876</v>
      </c>
      <c r="M1269" s="116">
        <v>1250.25</v>
      </c>
      <c r="N1269" s="116">
        <v>1273.2</v>
      </c>
      <c r="O1269" s="116">
        <v>1238.3499999999999</v>
      </c>
      <c r="P1269" s="116">
        <v>1251</v>
      </c>
      <c r="Q1269" s="116">
        <v>1250.25</v>
      </c>
      <c r="R1269">
        <v>1136441</v>
      </c>
    </row>
    <row r="1270" spans="1:18" x14ac:dyDescent="0.25">
      <c r="A1270" s="170">
        <v>44879</v>
      </c>
      <c r="B1270" s="116">
        <v>1259.2</v>
      </c>
      <c r="C1270" s="116">
        <v>1247.0999999999999</v>
      </c>
      <c r="D1270" s="116">
        <v>1240</v>
      </c>
      <c r="E1270" s="116">
        <v>1251.05</v>
      </c>
      <c r="F1270" s="116">
        <v>1247.0999999999999</v>
      </c>
      <c r="G1270">
        <v>32411</v>
      </c>
      <c r="H1270" s="116"/>
      <c r="I1270" s="116"/>
      <c r="L1270" s="170">
        <v>44879</v>
      </c>
      <c r="M1270" s="116">
        <v>1248.5999999999999</v>
      </c>
      <c r="N1270" s="116">
        <v>1259.9000000000001</v>
      </c>
      <c r="O1270" s="116">
        <v>1239.95</v>
      </c>
      <c r="P1270" s="116">
        <v>1251</v>
      </c>
      <c r="Q1270" s="116">
        <v>1248.5999999999999</v>
      </c>
      <c r="R1270">
        <v>772676</v>
      </c>
    </row>
    <row r="1271" spans="1:18" x14ac:dyDescent="0.25">
      <c r="A1271" s="170">
        <v>44880</v>
      </c>
      <c r="B1271" s="116">
        <v>1262.8</v>
      </c>
      <c r="C1271" s="116">
        <v>1259.5999999999999</v>
      </c>
      <c r="D1271" s="116">
        <v>1239.25</v>
      </c>
      <c r="E1271" s="116">
        <v>1259.5999999999999</v>
      </c>
      <c r="F1271" s="116">
        <v>1259.5999999999999</v>
      </c>
      <c r="G1271">
        <v>47491</v>
      </c>
      <c r="H1271" s="116"/>
      <c r="I1271" s="116"/>
      <c r="L1271" s="170">
        <v>44880</v>
      </c>
      <c r="M1271" s="116">
        <v>1259.3</v>
      </c>
      <c r="N1271" s="116">
        <v>1262</v>
      </c>
      <c r="O1271" s="116">
        <v>1238.5</v>
      </c>
      <c r="P1271" s="116">
        <v>1248.5999999999999</v>
      </c>
      <c r="Q1271" s="116">
        <v>1259.3</v>
      </c>
      <c r="R1271">
        <v>775345</v>
      </c>
    </row>
    <row r="1272" spans="1:18" x14ac:dyDescent="0.25">
      <c r="A1272" s="170">
        <v>44881</v>
      </c>
      <c r="B1272" s="116">
        <v>1265.2</v>
      </c>
      <c r="C1272" s="116">
        <v>1254.8</v>
      </c>
      <c r="D1272" s="116">
        <v>1246.75</v>
      </c>
      <c r="E1272" s="116">
        <v>1252.05</v>
      </c>
      <c r="F1272" s="116">
        <v>1254.8</v>
      </c>
      <c r="G1272">
        <v>9370</v>
      </c>
      <c r="H1272" s="116"/>
      <c r="I1272" s="116"/>
      <c r="L1272" s="170">
        <v>44881</v>
      </c>
      <c r="M1272" s="116">
        <v>1254.9000000000001</v>
      </c>
      <c r="N1272" s="116">
        <v>1265.55</v>
      </c>
      <c r="O1272" s="116">
        <v>1246.3</v>
      </c>
      <c r="P1272" s="116">
        <v>1260</v>
      </c>
      <c r="Q1272" s="116">
        <v>1254.9000000000001</v>
      </c>
      <c r="R1272">
        <v>1280120</v>
      </c>
    </row>
    <row r="1273" spans="1:18" x14ac:dyDescent="0.25">
      <c r="A1273" s="170">
        <v>44882</v>
      </c>
      <c r="B1273" s="116">
        <v>1260.25</v>
      </c>
      <c r="C1273" s="116">
        <v>1254.5999999999999</v>
      </c>
      <c r="D1273" s="116">
        <v>1246.3</v>
      </c>
      <c r="E1273" s="116">
        <v>1250</v>
      </c>
      <c r="F1273" s="116">
        <v>1254.5999999999999</v>
      </c>
      <c r="G1273">
        <v>9268</v>
      </c>
      <c r="H1273" s="116"/>
      <c r="I1273" s="116"/>
      <c r="L1273" s="170">
        <v>44882</v>
      </c>
      <c r="M1273" s="116">
        <v>1254.3499999999999</v>
      </c>
      <c r="N1273" s="116">
        <v>1261.1500000000001</v>
      </c>
      <c r="O1273" s="116">
        <v>1244</v>
      </c>
      <c r="P1273" s="116">
        <v>1255.5</v>
      </c>
      <c r="Q1273" s="116">
        <v>1254.3499999999999</v>
      </c>
      <c r="R1273">
        <v>796479</v>
      </c>
    </row>
    <row r="1274" spans="1:18" x14ac:dyDescent="0.25">
      <c r="A1274" s="170">
        <v>44883</v>
      </c>
      <c r="B1274" s="116">
        <v>1260.3</v>
      </c>
      <c r="C1274" s="116">
        <v>1243.4000000000001</v>
      </c>
      <c r="D1274" s="116">
        <v>1237.9000000000001</v>
      </c>
      <c r="E1274" s="116">
        <v>1254</v>
      </c>
      <c r="F1274" s="116">
        <v>1243.4000000000001</v>
      </c>
      <c r="G1274">
        <v>47570</v>
      </c>
      <c r="H1274" s="116"/>
      <c r="I1274" s="116"/>
      <c r="L1274" s="170">
        <v>44883</v>
      </c>
      <c r="M1274" s="116">
        <v>1242.75</v>
      </c>
      <c r="N1274" s="116">
        <v>1261</v>
      </c>
      <c r="O1274" s="116">
        <v>1237.6500000000001</v>
      </c>
      <c r="P1274" s="116">
        <v>1254.3499999999999</v>
      </c>
      <c r="Q1274" s="116">
        <v>1242.75</v>
      </c>
      <c r="R1274">
        <v>1253218</v>
      </c>
    </row>
    <row r="1275" spans="1:18" x14ac:dyDescent="0.25">
      <c r="A1275" s="170">
        <v>44886</v>
      </c>
      <c r="B1275" s="116">
        <v>1237</v>
      </c>
      <c r="C1275" s="116">
        <v>1226.95</v>
      </c>
      <c r="D1275" s="116">
        <v>1206.0999999999999</v>
      </c>
      <c r="E1275" s="116">
        <v>1234.4000000000001</v>
      </c>
      <c r="F1275" s="116">
        <v>1226.95</v>
      </c>
      <c r="G1275">
        <v>28961</v>
      </c>
      <c r="H1275" s="116"/>
      <c r="I1275" s="116"/>
      <c r="L1275" s="170">
        <v>44886</v>
      </c>
      <c r="M1275" s="116">
        <v>1226.5999999999999</v>
      </c>
      <c r="N1275" s="116">
        <v>1248.9000000000001</v>
      </c>
      <c r="O1275" s="116">
        <v>1205.5</v>
      </c>
      <c r="P1275" s="116">
        <v>1230.0999999999999</v>
      </c>
      <c r="Q1275" s="116">
        <v>1226.5999999999999</v>
      </c>
      <c r="R1275">
        <v>1040107</v>
      </c>
    </row>
    <row r="1276" spans="1:18" x14ac:dyDescent="0.25">
      <c r="A1276" s="170">
        <v>44887</v>
      </c>
      <c r="B1276" s="116">
        <v>1235.55</v>
      </c>
      <c r="C1276" s="116">
        <v>1227.55</v>
      </c>
      <c r="D1276" s="116">
        <v>1220</v>
      </c>
      <c r="E1276" s="116">
        <v>1228.4000000000001</v>
      </c>
      <c r="F1276" s="116">
        <v>1227.55</v>
      </c>
      <c r="G1276">
        <v>8313</v>
      </c>
      <c r="H1276" s="116"/>
      <c r="I1276" s="116"/>
      <c r="L1276" s="170">
        <v>44887</v>
      </c>
      <c r="M1276" s="116">
        <v>1229.05</v>
      </c>
      <c r="N1276" s="116">
        <v>1235.95</v>
      </c>
      <c r="O1276" s="116">
        <v>1219.6500000000001</v>
      </c>
      <c r="P1276" s="116">
        <v>1232.7</v>
      </c>
      <c r="Q1276" s="116">
        <v>1229.05</v>
      </c>
      <c r="R1276">
        <v>750489</v>
      </c>
    </row>
    <row r="1277" spans="1:18" x14ac:dyDescent="0.25">
      <c r="A1277" s="170">
        <v>44888</v>
      </c>
      <c r="B1277" s="116">
        <v>1235.1500000000001</v>
      </c>
      <c r="C1277" s="116">
        <v>1226.5999999999999</v>
      </c>
      <c r="D1277" s="116">
        <v>1217.5999999999999</v>
      </c>
      <c r="E1277" s="116">
        <v>1228.05</v>
      </c>
      <c r="F1277" s="116">
        <v>1226.5999999999999</v>
      </c>
      <c r="G1277">
        <v>10733</v>
      </c>
      <c r="H1277" s="116"/>
      <c r="I1277" s="116"/>
      <c r="L1277" s="170">
        <v>44888</v>
      </c>
      <c r="M1277" s="116">
        <v>1226.3</v>
      </c>
      <c r="N1277" s="116">
        <v>1235</v>
      </c>
      <c r="O1277" s="116">
        <v>1217.1500000000001</v>
      </c>
      <c r="P1277" s="116">
        <v>1234.95</v>
      </c>
      <c r="Q1277" s="116">
        <v>1226.3</v>
      </c>
      <c r="R1277">
        <v>880563</v>
      </c>
    </row>
    <row r="1278" spans="1:18" x14ac:dyDescent="0.25">
      <c r="A1278" s="170">
        <v>44889</v>
      </c>
      <c r="B1278" s="116">
        <v>1244.2</v>
      </c>
      <c r="C1278" s="116">
        <v>1240.75</v>
      </c>
      <c r="D1278" s="116">
        <v>1220.1500000000001</v>
      </c>
      <c r="E1278" s="116">
        <v>1220.1500000000001</v>
      </c>
      <c r="F1278" s="116">
        <v>1240.75</v>
      </c>
      <c r="G1278">
        <v>32529</v>
      </c>
      <c r="H1278" s="116"/>
      <c r="I1278" s="116"/>
      <c r="L1278" s="170">
        <v>44889</v>
      </c>
      <c r="M1278" s="116">
        <v>1240.6500000000001</v>
      </c>
      <c r="N1278" s="116">
        <v>1245.3499999999999</v>
      </c>
      <c r="O1278" s="116">
        <v>1220.25</v>
      </c>
      <c r="P1278" s="116">
        <v>1230</v>
      </c>
      <c r="Q1278" s="116">
        <v>1240.6500000000001</v>
      </c>
      <c r="R1278">
        <v>1717980</v>
      </c>
    </row>
    <row r="1279" spans="1:18" x14ac:dyDescent="0.25">
      <c r="A1279" s="170">
        <v>44890</v>
      </c>
      <c r="B1279" s="116">
        <v>1251</v>
      </c>
      <c r="C1279" s="116">
        <v>1234.95</v>
      </c>
      <c r="D1279" s="116">
        <v>1229.0999999999999</v>
      </c>
      <c r="E1279" s="116">
        <v>1250.95</v>
      </c>
      <c r="F1279" s="116">
        <v>1234.95</v>
      </c>
      <c r="G1279">
        <v>30358</v>
      </c>
      <c r="H1279" s="116"/>
      <c r="I1279" s="116"/>
      <c r="L1279" s="170">
        <v>44890</v>
      </c>
      <c r="M1279" s="116">
        <v>1235.25</v>
      </c>
      <c r="N1279" s="116">
        <v>1254.95</v>
      </c>
      <c r="O1279" s="116">
        <v>1229.0999999999999</v>
      </c>
      <c r="P1279" s="116">
        <v>1248.2</v>
      </c>
      <c r="Q1279" s="116">
        <v>1235.25</v>
      </c>
      <c r="R1279">
        <v>1429364</v>
      </c>
    </row>
    <row r="1280" spans="1:18" x14ac:dyDescent="0.25">
      <c r="A1280" s="170">
        <v>44893</v>
      </c>
      <c r="B1280" s="116">
        <v>1268.3</v>
      </c>
      <c r="C1280" s="116">
        <v>1254.25</v>
      </c>
      <c r="D1280" s="116">
        <v>1231.7</v>
      </c>
      <c r="E1280" s="116">
        <v>1234.95</v>
      </c>
      <c r="F1280" s="116">
        <v>1254.25</v>
      </c>
      <c r="G1280">
        <v>22080</v>
      </c>
      <c r="H1280" s="116"/>
      <c r="I1280" s="116"/>
      <c r="L1280" s="170">
        <v>44893</v>
      </c>
      <c r="M1280" s="116">
        <v>1253.5</v>
      </c>
      <c r="N1280" s="116">
        <v>1269.5</v>
      </c>
      <c r="O1280" s="116">
        <v>1227</v>
      </c>
      <c r="P1280" s="116">
        <v>1230</v>
      </c>
      <c r="Q1280" s="116">
        <v>1253.5</v>
      </c>
      <c r="R1280">
        <v>1073327</v>
      </c>
    </row>
    <row r="1281" spans="1:18" x14ac:dyDescent="0.25">
      <c r="A1281" s="170">
        <v>44894</v>
      </c>
      <c r="B1281" s="116">
        <v>1272.9000000000001</v>
      </c>
      <c r="C1281" s="116">
        <v>1258.25</v>
      </c>
      <c r="D1281" s="116">
        <v>1246.8499999999999</v>
      </c>
      <c r="E1281" s="116">
        <v>1246.8499999999999</v>
      </c>
      <c r="F1281" s="116">
        <v>1258.25</v>
      </c>
      <c r="G1281">
        <v>25592</v>
      </c>
      <c r="H1281" s="116"/>
      <c r="I1281" s="116"/>
      <c r="L1281" s="170">
        <v>44894</v>
      </c>
      <c r="M1281" s="116">
        <v>1258.4000000000001</v>
      </c>
      <c r="N1281" s="116">
        <v>1273.3</v>
      </c>
      <c r="O1281" s="116">
        <v>1247.95</v>
      </c>
      <c r="P1281" s="116">
        <v>1253.5</v>
      </c>
      <c r="Q1281" s="116">
        <v>1258.4000000000001</v>
      </c>
      <c r="R1281">
        <v>1070183</v>
      </c>
    </row>
    <row r="1282" spans="1:18" x14ac:dyDescent="0.25">
      <c r="A1282" s="170">
        <v>44895</v>
      </c>
      <c r="B1282" s="116">
        <v>1287</v>
      </c>
      <c r="C1282" s="116">
        <v>1283.8499999999999</v>
      </c>
      <c r="D1282" s="116">
        <v>1253</v>
      </c>
      <c r="E1282" s="116">
        <v>1253</v>
      </c>
      <c r="F1282" s="116">
        <v>1283.8499999999999</v>
      </c>
      <c r="G1282">
        <v>13433</v>
      </c>
      <c r="H1282" s="116"/>
      <c r="I1282" s="116"/>
      <c r="L1282" s="170">
        <v>44895</v>
      </c>
      <c r="M1282" s="116">
        <v>1282.9000000000001</v>
      </c>
      <c r="N1282" s="116">
        <v>1289.7</v>
      </c>
      <c r="O1282" s="116">
        <v>1252.75</v>
      </c>
      <c r="P1282" s="116">
        <v>1258.3499999999999</v>
      </c>
      <c r="Q1282" s="116">
        <v>1282.9000000000001</v>
      </c>
      <c r="R1282">
        <v>1401332</v>
      </c>
    </row>
    <row r="1283" spans="1:18" x14ac:dyDescent="0.25">
      <c r="A1283" s="170">
        <v>44896</v>
      </c>
      <c r="B1283" s="116">
        <v>1297</v>
      </c>
      <c r="C1283" s="116">
        <v>1290.5999999999999</v>
      </c>
      <c r="D1283" s="116">
        <v>1276.0999999999999</v>
      </c>
      <c r="E1283" s="116">
        <v>1288</v>
      </c>
      <c r="F1283" s="116">
        <v>1290.5999999999999</v>
      </c>
      <c r="G1283">
        <v>22589</v>
      </c>
      <c r="H1283" s="116"/>
      <c r="I1283" s="116"/>
      <c r="L1283" s="170">
        <v>44896</v>
      </c>
      <c r="M1283" s="116">
        <v>1290.75</v>
      </c>
      <c r="N1283" s="116">
        <v>1298.1500000000001</v>
      </c>
      <c r="O1283" s="116">
        <v>1276.2</v>
      </c>
      <c r="P1283" s="116">
        <v>1290</v>
      </c>
      <c r="Q1283" s="116">
        <v>1290.75</v>
      </c>
      <c r="R1283">
        <v>949604</v>
      </c>
    </row>
    <row r="1284" spans="1:18" x14ac:dyDescent="0.25">
      <c r="A1284" s="170">
        <v>44897</v>
      </c>
      <c r="B1284" s="116">
        <v>1300</v>
      </c>
      <c r="C1284" s="116">
        <v>1294.55</v>
      </c>
      <c r="D1284" s="116">
        <v>1265.3</v>
      </c>
      <c r="E1284" s="116">
        <v>1289.7</v>
      </c>
      <c r="F1284" s="116">
        <v>1294.55</v>
      </c>
      <c r="G1284">
        <v>17224</v>
      </c>
      <c r="H1284" s="116"/>
      <c r="I1284" s="116"/>
      <c r="L1284" s="170">
        <v>44897</v>
      </c>
      <c r="M1284" s="116">
        <v>1295.1500000000001</v>
      </c>
      <c r="N1284" s="116">
        <v>1299.95</v>
      </c>
      <c r="O1284" s="116">
        <v>1265</v>
      </c>
      <c r="P1284" s="116">
        <v>1292</v>
      </c>
      <c r="Q1284" s="116">
        <v>1295.1500000000001</v>
      </c>
      <c r="R1284">
        <v>1614314</v>
      </c>
    </row>
    <row r="1285" spans="1:18" x14ac:dyDescent="0.25">
      <c r="A1285" s="170">
        <v>44900</v>
      </c>
      <c r="B1285" s="116">
        <v>1300</v>
      </c>
      <c r="C1285" s="116">
        <v>1283.8499999999999</v>
      </c>
      <c r="D1285" s="116">
        <v>1274.4000000000001</v>
      </c>
      <c r="E1285" s="116">
        <v>1290</v>
      </c>
      <c r="F1285" s="116">
        <v>1283.8499999999999</v>
      </c>
      <c r="G1285">
        <v>9376</v>
      </c>
      <c r="H1285" s="116"/>
      <c r="I1285" s="116"/>
      <c r="L1285" s="170">
        <v>44900</v>
      </c>
      <c r="M1285" s="116">
        <v>1284.55</v>
      </c>
      <c r="N1285" s="116">
        <v>1298.0999999999999</v>
      </c>
      <c r="O1285" s="116">
        <v>1273.6500000000001</v>
      </c>
      <c r="P1285" s="116">
        <v>1298.0999999999999</v>
      </c>
      <c r="Q1285" s="116">
        <v>1284.55</v>
      </c>
      <c r="R1285">
        <v>684421</v>
      </c>
    </row>
    <row r="1286" spans="1:18" x14ac:dyDescent="0.25">
      <c r="A1286" s="170">
        <v>44901</v>
      </c>
      <c r="B1286" s="116">
        <v>1313.65</v>
      </c>
      <c r="C1286" s="116">
        <v>1284.2</v>
      </c>
      <c r="D1286" s="116">
        <v>1281.4000000000001</v>
      </c>
      <c r="E1286" s="116">
        <v>1283.9000000000001</v>
      </c>
      <c r="F1286" s="116">
        <v>1284.2</v>
      </c>
      <c r="G1286">
        <v>50204</v>
      </c>
      <c r="H1286" s="116"/>
      <c r="I1286" s="116"/>
      <c r="L1286" s="170">
        <v>44901</v>
      </c>
      <c r="M1286" s="116">
        <v>1285.0999999999999</v>
      </c>
      <c r="N1286" s="116">
        <v>1313.5</v>
      </c>
      <c r="O1286" s="116">
        <v>1281.55</v>
      </c>
      <c r="P1286" s="116">
        <v>1286</v>
      </c>
      <c r="Q1286" s="116">
        <v>1285.0999999999999</v>
      </c>
      <c r="R1286">
        <v>1991151</v>
      </c>
    </row>
    <row r="1287" spans="1:18" x14ac:dyDescent="0.25">
      <c r="A1287" s="170">
        <v>44902</v>
      </c>
      <c r="B1287" s="116">
        <v>1295</v>
      </c>
      <c r="C1287" s="116">
        <v>1264.45</v>
      </c>
      <c r="D1287" s="116">
        <v>1259.05</v>
      </c>
      <c r="E1287" s="116">
        <v>1284</v>
      </c>
      <c r="F1287" s="116">
        <v>1264.45</v>
      </c>
      <c r="G1287">
        <v>17317</v>
      </c>
      <c r="H1287" s="116"/>
      <c r="I1287" s="116"/>
      <c r="L1287" s="170">
        <v>44902</v>
      </c>
      <c r="M1287" s="116">
        <v>1262.05</v>
      </c>
      <c r="N1287" s="116">
        <v>1296.5999999999999</v>
      </c>
      <c r="O1287" s="116">
        <v>1259</v>
      </c>
      <c r="P1287" s="116">
        <v>1285.9000000000001</v>
      </c>
      <c r="Q1287" s="116">
        <v>1262.05</v>
      </c>
      <c r="R1287">
        <v>636553</v>
      </c>
    </row>
    <row r="1288" spans="1:18" x14ac:dyDescent="0.25">
      <c r="A1288" s="170">
        <v>44903</v>
      </c>
      <c r="B1288" s="116">
        <v>1268.7</v>
      </c>
      <c r="C1288" s="116">
        <v>1267.05</v>
      </c>
      <c r="D1288" s="116">
        <v>1242.6500000000001</v>
      </c>
      <c r="E1288" s="116">
        <v>1244</v>
      </c>
      <c r="F1288" s="116">
        <v>1267.05</v>
      </c>
      <c r="G1288">
        <v>19802</v>
      </c>
      <c r="H1288" s="116"/>
      <c r="I1288" s="116"/>
      <c r="L1288" s="170">
        <v>44903</v>
      </c>
      <c r="M1288" s="116">
        <v>1266.8499999999999</v>
      </c>
      <c r="N1288" s="116">
        <v>1268.75</v>
      </c>
      <c r="O1288" s="116">
        <v>1242</v>
      </c>
      <c r="P1288" s="116">
        <v>1242</v>
      </c>
      <c r="Q1288" s="116">
        <v>1266.8499999999999</v>
      </c>
      <c r="R1288">
        <v>608199</v>
      </c>
    </row>
    <row r="1289" spans="1:18" x14ac:dyDescent="0.25">
      <c r="A1289" s="170">
        <v>44904</v>
      </c>
      <c r="B1289" s="116">
        <v>1273.8</v>
      </c>
      <c r="C1289" s="116">
        <v>1269.3499999999999</v>
      </c>
      <c r="D1289" s="116">
        <v>1257.25</v>
      </c>
      <c r="E1289" s="116">
        <v>1271.05</v>
      </c>
      <c r="F1289" s="116">
        <v>1269.3499999999999</v>
      </c>
      <c r="G1289">
        <v>23753</v>
      </c>
      <c r="H1289" s="116"/>
      <c r="I1289" s="116"/>
      <c r="L1289" s="170">
        <v>44904</v>
      </c>
      <c r="M1289" s="116">
        <v>1269.6500000000001</v>
      </c>
      <c r="N1289" s="116">
        <v>1277</v>
      </c>
      <c r="O1289" s="116">
        <v>1257.05</v>
      </c>
      <c r="P1289" s="116">
        <v>1277</v>
      </c>
      <c r="Q1289" s="116">
        <v>1269.6500000000001</v>
      </c>
      <c r="R1289">
        <v>679420</v>
      </c>
    </row>
    <row r="1290" spans="1:18" x14ac:dyDescent="0.25">
      <c r="A1290" s="170">
        <v>44907</v>
      </c>
      <c r="B1290" s="116">
        <v>1271.5</v>
      </c>
      <c r="C1290" s="116">
        <v>1263.3499999999999</v>
      </c>
      <c r="D1290" s="116">
        <v>1254.4000000000001</v>
      </c>
      <c r="E1290" s="116">
        <v>1263.5999999999999</v>
      </c>
      <c r="F1290" s="116">
        <v>1263.3499999999999</v>
      </c>
      <c r="G1290">
        <v>6334</v>
      </c>
      <c r="H1290" s="116"/>
      <c r="I1290" s="116"/>
      <c r="L1290" s="170">
        <v>44907</v>
      </c>
      <c r="M1290" s="116">
        <v>1263.2</v>
      </c>
      <c r="N1290" s="116">
        <v>1273</v>
      </c>
      <c r="O1290" s="116">
        <v>1253.05</v>
      </c>
      <c r="P1290" s="116">
        <v>1268.95</v>
      </c>
      <c r="Q1290" s="116">
        <v>1263.2</v>
      </c>
      <c r="R1290">
        <v>498780</v>
      </c>
    </row>
    <row r="1291" spans="1:18" x14ac:dyDescent="0.25">
      <c r="A1291" s="170">
        <v>44908</v>
      </c>
      <c r="B1291" s="116">
        <v>1279.95</v>
      </c>
      <c r="C1291" s="116">
        <v>1276.55</v>
      </c>
      <c r="D1291" s="116">
        <v>1260</v>
      </c>
      <c r="E1291" s="116">
        <v>1263.25</v>
      </c>
      <c r="F1291" s="116">
        <v>1276.55</v>
      </c>
      <c r="G1291">
        <v>10909</v>
      </c>
      <c r="H1291" s="116"/>
      <c r="I1291" s="116"/>
      <c r="L1291" s="170">
        <v>44908</v>
      </c>
      <c r="M1291" s="116">
        <v>1277.8</v>
      </c>
      <c r="N1291" s="116">
        <v>1280.3499999999999</v>
      </c>
      <c r="O1291" s="116">
        <v>1259.25</v>
      </c>
      <c r="P1291" s="116">
        <v>1265.5</v>
      </c>
      <c r="Q1291" s="116">
        <v>1277.8</v>
      </c>
      <c r="R1291">
        <v>598044</v>
      </c>
    </row>
    <row r="1292" spans="1:18" x14ac:dyDescent="0.25">
      <c r="A1292" s="170">
        <v>44909</v>
      </c>
      <c r="B1292" s="116">
        <v>1288.95</v>
      </c>
      <c r="C1292" s="116">
        <v>1268.25</v>
      </c>
      <c r="D1292" s="116">
        <v>1266.25</v>
      </c>
      <c r="E1292" s="116">
        <v>1288.95</v>
      </c>
      <c r="F1292" s="116">
        <v>1268.25</v>
      </c>
      <c r="G1292">
        <v>7806</v>
      </c>
      <c r="H1292" s="116"/>
      <c r="I1292" s="116"/>
      <c r="L1292" s="170">
        <v>44909</v>
      </c>
      <c r="M1292" s="116">
        <v>1269.75</v>
      </c>
      <c r="N1292" s="116">
        <v>1286</v>
      </c>
      <c r="O1292" s="116">
        <v>1266.5999999999999</v>
      </c>
      <c r="P1292" s="116">
        <v>1285</v>
      </c>
      <c r="Q1292" s="116">
        <v>1269.75</v>
      </c>
      <c r="R1292">
        <v>609946</v>
      </c>
    </row>
    <row r="1293" spans="1:18" x14ac:dyDescent="0.25">
      <c r="A1293" s="170">
        <v>44910</v>
      </c>
      <c r="B1293" s="116">
        <v>1295.55</v>
      </c>
      <c r="C1293" s="116">
        <v>1271.3</v>
      </c>
      <c r="D1293" s="116">
        <v>1267.8</v>
      </c>
      <c r="E1293" s="116">
        <v>1284.95</v>
      </c>
      <c r="F1293" s="116">
        <v>1271.3</v>
      </c>
      <c r="G1293">
        <v>30514</v>
      </c>
      <c r="H1293" s="116"/>
      <c r="I1293" s="116"/>
      <c r="L1293" s="170">
        <v>44910</v>
      </c>
      <c r="M1293" s="116">
        <v>1273.5</v>
      </c>
      <c r="N1293" s="116">
        <v>1295</v>
      </c>
      <c r="O1293" s="116">
        <v>1268.6500000000001</v>
      </c>
      <c r="P1293" s="116">
        <v>1274.95</v>
      </c>
      <c r="Q1293" s="116">
        <v>1273.5</v>
      </c>
      <c r="R1293">
        <v>1303760</v>
      </c>
    </row>
    <row r="1294" spans="1:18" x14ac:dyDescent="0.25">
      <c r="A1294" s="170">
        <v>44911</v>
      </c>
      <c r="B1294" s="116">
        <v>1278.25</v>
      </c>
      <c r="C1294" s="116">
        <v>1254.6500000000001</v>
      </c>
      <c r="D1294" s="116">
        <v>1252.3499999999999</v>
      </c>
      <c r="E1294" s="116">
        <v>1266.6500000000001</v>
      </c>
      <c r="F1294" s="116">
        <v>1254.6500000000001</v>
      </c>
      <c r="G1294">
        <v>9434</v>
      </c>
      <c r="H1294" s="116"/>
      <c r="I1294" s="116"/>
      <c r="L1294" s="170">
        <v>44911</v>
      </c>
      <c r="M1294" s="116">
        <v>1254.1500000000001</v>
      </c>
      <c r="N1294" s="116">
        <v>1278.75</v>
      </c>
      <c r="O1294" s="116">
        <v>1250.5999999999999</v>
      </c>
      <c r="P1294" s="116">
        <v>1263</v>
      </c>
      <c r="Q1294" s="116">
        <v>1254.1500000000001</v>
      </c>
      <c r="R1294">
        <v>722024</v>
      </c>
    </row>
    <row r="1295" spans="1:18" x14ac:dyDescent="0.25">
      <c r="A1295" s="170">
        <v>44914</v>
      </c>
      <c r="B1295" s="116">
        <v>1270.3</v>
      </c>
      <c r="C1295" s="116">
        <v>1266.9000000000001</v>
      </c>
      <c r="D1295" s="116">
        <v>1250.2</v>
      </c>
      <c r="E1295" s="116">
        <v>1250.2</v>
      </c>
      <c r="F1295" s="116">
        <v>1266.9000000000001</v>
      </c>
      <c r="G1295">
        <v>9912</v>
      </c>
      <c r="H1295" s="116"/>
      <c r="I1295" s="116"/>
      <c r="L1295" s="170">
        <v>44914</v>
      </c>
      <c r="M1295" s="116">
        <v>1267.5</v>
      </c>
      <c r="N1295" s="116">
        <v>1270.9000000000001</v>
      </c>
      <c r="O1295" s="116">
        <v>1251.3499999999999</v>
      </c>
      <c r="P1295" s="116">
        <v>1254.2</v>
      </c>
      <c r="Q1295" s="116">
        <v>1267.5</v>
      </c>
      <c r="R1295">
        <v>378502</v>
      </c>
    </row>
    <row r="1296" spans="1:18" x14ac:dyDescent="0.25">
      <c r="A1296" s="170">
        <v>44915</v>
      </c>
      <c r="B1296" s="116">
        <v>1267.5</v>
      </c>
      <c r="C1296" s="116">
        <v>1230.8</v>
      </c>
      <c r="D1296" s="116">
        <v>1229.0999999999999</v>
      </c>
      <c r="E1296" s="116">
        <v>1267.5</v>
      </c>
      <c r="F1296" s="116">
        <v>1230.8</v>
      </c>
      <c r="G1296">
        <v>16370</v>
      </c>
      <c r="H1296" s="116"/>
      <c r="I1296" s="116"/>
      <c r="L1296" s="170">
        <v>44915</v>
      </c>
      <c r="M1296" s="116">
        <v>1231.25</v>
      </c>
      <c r="N1296" s="116">
        <v>1269</v>
      </c>
      <c r="O1296" s="116">
        <v>1229.05</v>
      </c>
      <c r="P1296" s="116">
        <v>1260</v>
      </c>
      <c r="Q1296" s="116">
        <v>1231.25</v>
      </c>
      <c r="R1296">
        <v>1478618</v>
      </c>
    </row>
    <row r="1297" spans="1:18" x14ac:dyDescent="0.25">
      <c r="A1297" s="170">
        <v>44916</v>
      </c>
      <c r="B1297" s="116">
        <v>1244.5999999999999</v>
      </c>
      <c r="C1297" s="116">
        <v>1235.0999999999999</v>
      </c>
      <c r="D1297" s="116">
        <v>1222</v>
      </c>
      <c r="E1297" s="116">
        <v>1235</v>
      </c>
      <c r="F1297" s="116">
        <v>1235.0999999999999</v>
      </c>
      <c r="G1297">
        <v>52618</v>
      </c>
      <c r="H1297" s="116"/>
      <c r="I1297" s="116"/>
      <c r="L1297" s="170">
        <v>44916</v>
      </c>
      <c r="M1297" s="116">
        <v>1234.3499999999999</v>
      </c>
      <c r="N1297" s="116">
        <v>1244.8</v>
      </c>
      <c r="O1297" s="116">
        <v>1221.5999999999999</v>
      </c>
      <c r="P1297" s="116">
        <v>1231.05</v>
      </c>
      <c r="Q1297" s="116">
        <v>1234.3499999999999</v>
      </c>
      <c r="R1297">
        <v>1281437</v>
      </c>
    </row>
    <row r="1298" spans="1:18" x14ac:dyDescent="0.25">
      <c r="A1298" s="170">
        <v>44917</v>
      </c>
      <c r="B1298" s="116">
        <v>1248.6500000000001</v>
      </c>
      <c r="C1298" s="116">
        <v>1244.0999999999999</v>
      </c>
      <c r="D1298" s="116">
        <v>1230</v>
      </c>
      <c r="E1298" s="116">
        <v>1231.05</v>
      </c>
      <c r="F1298" s="116">
        <v>1244.0999999999999</v>
      </c>
      <c r="G1298">
        <v>24700</v>
      </c>
      <c r="H1298" s="116"/>
      <c r="I1298" s="116"/>
      <c r="L1298" s="170">
        <v>44917</v>
      </c>
      <c r="M1298" s="116">
        <v>1244.75</v>
      </c>
      <c r="N1298" s="116">
        <v>1249</v>
      </c>
      <c r="O1298" s="116">
        <v>1229.1500000000001</v>
      </c>
      <c r="P1298" s="116">
        <v>1234.4000000000001</v>
      </c>
      <c r="Q1298" s="116">
        <v>1244.75</v>
      </c>
      <c r="R1298">
        <v>1176517</v>
      </c>
    </row>
    <row r="1299" spans="1:18" x14ac:dyDescent="0.25">
      <c r="A1299" s="170">
        <v>44918</v>
      </c>
      <c r="B1299" s="116">
        <v>1247.05</v>
      </c>
      <c r="C1299" s="116">
        <v>1224.5999999999999</v>
      </c>
      <c r="D1299" s="116">
        <v>1217</v>
      </c>
      <c r="E1299" s="116">
        <v>1223.0999999999999</v>
      </c>
      <c r="F1299" s="116">
        <v>1224.5999999999999</v>
      </c>
      <c r="G1299">
        <v>10155</v>
      </c>
      <c r="H1299" s="116"/>
      <c r="I1299" s="116"/>
      <c r="L1299" s="170">
        <v>44918</v>
      </c>
      <c r="M1299" s="116">
        <v>1224.5999999999999</v>
      </c>
      <c r="N1299" s="116">
        <v>1248</v>
      </c>
      <c r="O1299" s="116">
        <v>1216.75</v>
      </c>
      <c r="P1299" s="116">
        <v>1239.3</v>
      </c>
      <c r="Q1299" s="116">
        <v>1224.5999999999999</v>
      </c>
      <c r="R1299">
        <v>877135</v>
      </c>
    </row>
    <row r="1300" spans="1:18" x14ac:dyDescent="0.25">
      <c r="A1300" s="170">
        <v>44921</v>
      </c>
      <c r="B1300" s="116">
        <v>1248.6500000000001</v>
      </c>
      <c r="C1300" s="116">
        <v>1244.4000000000001</v>
      </c>
      <c r="D1300" s="116">
        <v>1190.05</v>
      </c>
      <c r="E1300" s="116">
        <v>1190.05</v>
      </c>
      <c r="F1300" s="116">
        <v>1244.4000000000001</v>
      </c>
      <c r="G1300">
        <v>12680</v>
      </c>
      <c r="H1300" s="116"/>
      <c r="I1300" s="116"/>
      <c r="L1300" s="170">
        <v>44921</v>
      </c>
      <c r="M1300" s="116">
        <v>1243.3</v>
      </c>
      <c r="N1300" s="116">
        <v>1249.3499999999999</v>
      </c>
      <c r="O1300" s="116">
        <v>1205</v>
      </c>
      <c r="P1300" s="116">
        <v>1222.95</v>
      </c>
      <c r="Q1300" s="116">
        <v>1243.3</v>
      </c>
      <c r="R1300">
        <v>567165</v>
      </c>
    </row>
    <row r="1301" spans="1:18" x14ac:dyDescent="0.25">
      <c r="A1301" s="170">
        <v>44922</v>
      </c>
      <c r="B1301" s="116">
        <v>1254.5</v>
      </c>
      <c r="C1301" s="116">
        <v>1239.95</v>
      </c>
      <c r="D1301" s="116">
        <v>1234.55</v>
      </c>
      <c r="E1301" s="116">
        <v>1238.05</v>
      </c>
      <c r="F1301" s="116">
        <v>1239.95</v>
      </c>
      <c r="G1301">
        <v>12089</v>
      </c>
      <c r="H1301" s="116"/>
      <c r="I1301" s="116"/>
      <c r="L1301" s="170">
        <v>44922</v>
      </c>
      <c r="M1301" s="116">
        <v>1241.05</v>
      </c>
      <c r="N1301" s="116">
        <v>1254.75</v>
      </c>
      <c r="O1301" s="116">
        <v>1235.0999999999999</v>
      </c>
      <c r="P1301" s="116">
        <v>1243.5</v>
      </c>
      <c r="Q1301" s="116">
        <v>1241.05</v>
      </c>
      <c r="R1301">
        <v>471890</v>
      </c>
    </row>
    <row r="1302" spans="1:18" x14ac:dyDescent="0.25">
      <c r="A1302" s="170">
        <v>44923</v>
      </c>
      <c r="B1302" s="116">
        <v>1249.45</v>
      </c>
      <c r="C1302" s="116">
        <v>1242.5</v>
      </c>
      <c r="D1302" s="116">
        <v>1223.05</v>
      </c>
      <c r="E1302" s="116">
        <v>1223.05</v>
      </c>
      <c r="F1302" s="116">
        <v>1242.5</v>
      </c>
      <c r="G1302">
        <v>7399</v>
      </c>
      <c r="H1302" s="116"/>
      <c r="I1302" s="116"/>
      <c r="L1302" s="170">
        <v>44923</v>
      </c>
      <c r="M1302" s="116">
        <v>1242.05</v>
      </c>
      <c r="N1302" s="116">
        <v>1249.9000000000001</v>
      </c>
      <c r="O1302" s="116">
        <v>1232.0999999999999</v>
      </c>
      <c r="P1302" s="116">
        <v>1241</v>
      </c>
      <c r="Q1302" s="116">
        <v>1242.05</v>
      </c>
      <c r="R1302">
        <v>376439</v>
      </c>
    </row>
    <row r="1303" spans="1:18" x14ac:dyDescent="0.25">
      <c r="A1303" s="170">
        <v>44924</v>
      </c>
      <c r="B1303" s="116">
        <v>1262</v>
      </c>
      <c r="C1303" s="116">
        <v>1257.7</v>
      </c>
      <c r="D1303" s="116">
        <v>1229.3499999999999</v>
      </c>
      <c r="E1303" s="116">
        <v>1245</v>
      </c>
      <c r="F1303" s="116">
        <v>1257.7</v>
      </c>
      <c r="G1303">
        <v>9887</v>
      </c>
      <c r="H1303" s="116"/>
      <c r="I1303" s="116"/>
      <c r="L1303" s="170">
        <v>44924</v>
      </c>
      <c r="M1303" s="116">
        <v>1258.5999999999999</v>
      </c>
      <c r="N1303" s="116">
        <v>1262.8</v>
      </c>
      <c r="O1303" s="116">
        <v>1229.05</v>
      </c>
      <c r="P1303" s="116">
        <v>1238</v>
      </c>
      <c r="Q1303" s="116">
        <v>1258.5999999999999</v>
      </c>
      <c r="R1303">
        <v>678487</v>
      </c>
    </row>
    <row r="1304" spans="1:18" x14ac:dyDescent="0.25">
      <c r="A1304" s="170">
        <v>44925</v>
      </c>
      <c r="B1304" s="116">
        <v>1263</v>
      </c>
      <c r="C1304" s="116">
        <v>1231.5999999999999</v>
      </c>
      <c r="D1304" s="116">
        <v>1229</v>
      </c>
      <c r="E1304" s="116">
        <v>1262.55</v>
      </c>
      <c r="F1304" s="116">
        <v>1231.5999999999999</v>
      </c>
      <c r="G1304">
        <v>13428</v>
      </c>
      <c r="H1304" s="116"/>
      <c r="I1304" s="116"/>
      <c r="L1304" s="170">
        <v>44925</v>
      </c>
      <c r="M1304" s="116">
        <v>1231.3</v>
      </c>
      <c r="N1304" s="116">
        <v>1263.8</v>
      </c>
      <c r="O1304" s="116">
        <v>1228.8</v>
      </c>
      <c r="P1304" s="116">
        <v>1262</v>
      </c>
      <c r="Q1304" s="116">
        <v>1231.3</v>
      </c>
      <c r="R1304">
        <v>1052741</v>
      </c>
    </row>
    <row r="1305" spans="1:18" x14ac:dyDescent="0.25">
      <c r="A1305" s="170">
        <v>44928</v>
      </c>
      <c r="B1305" s="116">
        <v>1243.5999999999999</v>
      </c>
      <c r="C1305" s="116">
        <v>1240.25</v>
      </c>
      <c r="D1305" s="116">
        <v>1222.1500000000001</v>
      </c>
      <c r="E1305" s="116">
        <v>1226</v>
      </c>
      <c r="F1305" s="116">
        <v>1240.25</v>
      </c>
      <c r="G1305">
        <v>18532</v>
      </c>
      <c r="H1305" s="116"/>
      <c r="I1305" s="116"/>
      <c r="L1305" s="170">
        <v>44928</v>
      </c>
      <c r="M1305" s="116">
        <v>1240.05</v>
      </c>
      <c r="N1305" s="116">
        <v>1247.6500000000001</v>
      </c>
      <c r="O1305" s="116">
        <v>1222</v>
      </c>
      <c r="P1305" s="116">
        <v>1230</v>
      </c>
      <c r="Q1305" s="116">
        <v>1240.05</v>
      </c>
      <c r="R1305">
        <v>703923</v>
      </c>
    </row>
    <row r="1306" spans="1:18" x14ac:dyDescent="0.25">
      <c r="A1306" s="170">
        <v>44929</v>
      </c>
      <c r="B1306" s="116">
        <v>1274.5</v>
      </c>
      <c r="C1306" s="116">
        <v>1268.55</v>
      </c>
      <c r="D1306" s="116">
        <v>1227.25</v>
      </c>
      <c r="E1306" s="116">
        <v>1231.3499999999999</v>
      </c>
      <c r="F1306" s="116">
        <v>1268.55</v>
      </c>
      <c r="G1306">
        <v>37917</v>
      </c>
      <c r="H1306" s="116"/>
      <c r="I1306" s="116"/>
      <c r="L1306" s="170">
        <v>44929</v>
      </c>
      <c r="M1306" s="116">
        <v>1268.4000000000001</v>
      </c>
      <c r="N1306" s="116">
        <v>1275</v>
      </c>
      <c r="O1306" s="116">
        <v>1226.4000000000001</v>
      </c>
      <c r="P1306" s="116">
        <v>1244.7</v>
      </c>
      <c r="Q1306" s="116">
        <v>1268.4000000000001</v>
      </c>
      <c r="R1306">
        <v>1871263</v>
      </c>
    </row>
    <row r="1307" spans="1:18" x14ac:dyDescent="0.25">
      <c r="A1307" s="170">
        <v>44930</v>
      </c>
      <c r="B1307" s="116">
        <v>1281.8</v>
      </c>
      <c r="C1307" s="116">
        <v>1258.3</v>
      </c>
      <c r="D1307" s="116">
        <v>1254</v>
      </c>
      <c r="E1307" s="116">
        <v>1268.55</v>
      </c>
      <c r="F1307" s="116">
        <v>1258.3</v>
      </c>
      <c r="G1307">
        <v>19905</v>
      </c>
      <c r="H1307" s="116"/>
      <c r="I1307" s="116"/>
      <c r="L1307" s="170">
        <v>44930</v>
      </c>
      <c r="M1307" s="116">
        <v>1259.05</v>
      </c>
      <c r="N1307" s="116">
        <v>1282.3</v>
      </c>
      <c r="O1307" s="116">
        <v>1253.05</v>
      </c>
      <c r="P1307" s="116">
        <v>1268.3499999999999</v>
      </c>
      <c r="Q1307" s="116">
        <v>1259.05</v>
      </c>
      <c r="R1307">
        <v>1073081</v>
      </c>
    </row>
    <row r="1308" spans="1:18" x14ac:dyDescent="0.25">
      <c r="A1308" s="170">
        <v>44931</v>
      </c>
      <c r="B1308" s="116">
        <v>1273.95</v>
      </c>
      <c r="C1308" s="116">
        <v>1267.2</v>
      </c>
      <c r="D1308" s="116">
        <v>1255.2</v>
      </c>
      <c r="E1308" s="116">
        <v>1255.2</v>
      </c>
      <c r="F1308" s="116">
        <v>1267.2</v>
      </c>
      <c r="G1308">
        <v>16978</v>
      </c>
      <c r="H1308" s="116"/>
      <c r="I1308" s="116"/>
      <c r="L1308" s="170">
        <v>44931</v>
      </c>
      <c r="M1308" s="116">
        <v>1267.6500000000001</v>
      </c>
      <c r="N1308" s="116">
        <v>1274.55</v>
      </c>
      <c r="O1308" s="116">
        <v>1255.05</v>
      </c>
      <c r="P1308" s="116">
        <v>1260.6500000000001</v>
      </c>
      <c r="Q1308" s="116">
        <v>1267.6500000000001</v>
      </c>
      <c r="R1308">
        <v>878852</v>
      </c>
    </row>
    <row r="1309" spans="1:18" x14ac:dyDescent="0.25">
      <c r="A1309" s="170">
        <v>44932</v>
      </c>
      <c r="B1309" s="116">
        <v>1286.0999999999999</v>
      </c>
      <c r="C1309" s="116">
        <v>1270.3</v>
      </c>
      <c r="D1309" s="116">
        <v>1266.8</v>
      </c>
      <c r="E1309" s="116">
        <v>1277.95</v>
      </c>
      <c r="F1309" s="116">
        <v>1270.3</v>
      </c>
      <c r="G1309">
        <v>11918</v>
      </c>
      <c r="H1309" s="116"/>
      <c r="I1309" s="116"/>
      <c r="L1309" s="170">
        <v>44932</v>
      </c>
      <c r="M1309" s="116">
        <v>1269.05</v>
      </c>
      <c r="N1309" s="116">
        <v>1287.3499999999999</v>
      </c>
      <c r="O1309" s="116">
        <v>1266.5</v>
      </c>
      <c r="P1309" s="116">
        <v>1270.95</v>
      </c>
      <c r="Q1309" s="116">
        <v>1269.05</v>
      </c>
      <c r="R1309">
        <v>1675874</v>
      </c>
    </row>
    <row r="1310" spans="1:18" x14ac:dyDescent="0.25">
      <c r="A1310" s="170">
        <v>44935</v>
      </c>
      <c r="B1310" s="116">
        <v>1313</v>
      </c>
      <c r="C1310" s="116">
        <v>1307.25</v>
      </c>
      <c r="D1310" s="116">
        <v>1271.75</v>
      </c>
      <c r="E1310" s="116">
        <v>1271.75</v>
      </c>
      <c r="F1310" s="116">
        <v>1307.25</v>
      </c>
      <c r="G1310">
        <v>34377</v>
      </c>
      <c r="H1310" s="116"/>
      <c r="I1310" s="116"/>
      <c r="L1310" s="170">
        <v>44935</v>
      </c>
      <c r="M1310" s="116">
        <v>1306.3499999999999</v>
      </c>
      <c r="N1310" s="116">
        <v>1313.9</v>
      </c>
      <c r="O1310" s="116">
        <v>1271.1500000000001</v>
      </c>
      <c r="P1310" s="116">
        <v>1275.4000000000001</v>
      </c>
      <c r="Q1310" s="116">
        <v>1306.3499999999999</v>
      </c>
      <c r="R1310">
        <v>1432882</v>
      </c>
    </row>
    <row r="1311" spans="1:18" x14ac:dyDescent="0.25">
      <c r="A1311" s="170">
        <v>44936</v>
      </c>
      <c r="B1311" s="116">
        <v>1313</v>
      </c>
      <c r="C1311" s="116">
        <v>1302.2</v>
      </c>
      <c r="D1311" s="116">
        <v>1297.5</v>
      </c>
      <c r="E1311" s="116">
        <v>1309</v>
      </c>
      <c r="F1311" s="116">
        <v>1302.2</v>
      </c>
      <c r="G1311">
        <v>18283</v>
      </c>
      <c r="H1311" s="116"/>
      <c r="I1311" s="116"/>
      <c r="L1311" s="170">
        <v>44936</v>
      </c>
      <c r="M1311" s="116">
        <v>1302.5999999999999</v>
      </c>
      <c r="N1311" s="116">
        <v>1313.65</v>
      </c>
      <c r="O1311" s="116">
        <v>1297.9000000000001</v>
      </c>
      <c r="P1311" s="116">
        <v>1306.3499999999999</v>
      </c>
      <c r="Q1311" s="116">
        <v>1302.5999999999999</v>
      </c>
      <c r="R1311">
        <v>1000059</v>
      </c>
    </row>
    <row r="1312" spans="1:18" x14ac:dyDescent="0.25">
      <c r="A1312" s="170">
        <v>44937</v>
      </c>
      <c r="B1312" s="116">
        <v>1306.8</v>
      </c>
      <c r="C1312" s="116">
        <v>1298.3</v>
      </c>
      <c r="D1312" s="116">
        <v>1287.95</v>
      </c>
      <c r="E1312" s="116">
        <v>1303.05</v>
      </c>
      <c r="F1312" s="116">
        <v>1298.3</v>
      </c>
      <c r="G1312">
        <v>23369</v>
      </c>
      <c r="H1312" s="116"/>
      <c r="I1312" s="116"/>
      <c r="L1312" s="170">
        <v>44937</v>
      </c>
      <c r="M1312" s="116">
        <v>1291.3</v>
      </c>
      <c r="N1312" s="116">
        <v>1309.1500000000001</v>
      </c>
      <c r="O1312" s="116">
        <v>1287.3499999999999</v>
      </c>
      <c r="P1312" s="116">
        <v>1309.1500000000001</v>
      </c>
      <c r="Q1312" s="116">
        <v>1291.3</v>
      </c>
      <c r="R1312">
        <v>652049</v>
      </c>
    </row>
    <row r="1313" spans="1:18" x14ac:dyDescent="0.25">
      <c r="A1313" s="170">
        <v>44938</v>
      </c>
      <c r="B1313" s="116">
        <v>1320</v>
      </c>
      <c r="C1313" s="116">
        <v>1316.35</v>
      </c>
      <c r="D1313" s="116">
        <v>1291.8499999999999</v>
      </c>
      <c r="E1313" s="116">
        <v>1299.95</v>
      </c>
      <c r="F1313" s="116">
        <v>1316.35</v>
      </c>
      <c r="G1313">
        <v>24872</v>
      </c>
      <c r="H1313" s="116"/>
      <c r="I1313" s="116"/>
      <c r="L1313" s="170">
        <v>44938</v>
      </c>
      <c r="M1313" s="116">
        <v>1315.7</v>
      </c>
      <c r="N1313" s="116">
        <v>1320</v>
      </c>
      <c r="O1313" s="116">
        <v>1291.3</v>
      </c>
      <c r="P1313" s="116">
        <v>1291.3</v>
      </c>
      <c r="Q1313" s="116">
        <v>1315.7</v>
      </c>
      <c r="R1313">
        <v>1377949</v>
      </c>
    </row>
    <row r="1314" spans="1:18" x14ac:dyDescent="0.25">
      <c r="A1314" s="170">
        <v>44939</v>
      </c>
      <c r="B1314" s="116">
        <v>1325.25</v>
      </c>
      <c r="C1314" s="116">
        <v>1312.4</v>
      </c>
      <c r="D1314" s="116">
        <v>1305.25</v>
      </c>
      <c r="E1314" s="116">
        <v>1323.95</v>
      </c>
      <c r="F1314" s="116">
        <v>1312.4</v>
      </c>
      <c r="G1314">
        <v>33300</v>
      </c>
      <c r="H1314" s="116"/>
      <c r="I1314" s="116"/>
      <c r="L1314" s="170">
        <v>44939</v>
      </c>
      <c r="M1314" s="116">
        <v>1312.95</v>
      </c>
      <c r="N1314" s="116">
        <v>1326</v>
      </c>
      <c r="O1314" s="116">
        <v>1306</v>
      </c>
      <c r="P1314" s="116">
        <v>1319</v>
      </c>
      <c r="Q1314" s="116">
        <v>1312.95</v>
      </c>
      <c r="R1314">
        <v>1214977</v>
      </c>
    </row>
    <row r="1315" spans="1:18" x14ac:dyDescent="0.25">
      <c r="A1315" s="170">
        <v>44942</v>
      </c>
      <c r="B1315" s="116">
        <v>1322.65</v>
      </c>
      <c r="C1315" s="116">
        <v>1300.6500000000001</v>
      </c>
      <c r="D1315" s="116">
        <v>1296.9000000000001</v>
      </c>
      <c r="E1315" s="116">
        <v>1322.65</v>
      </c>
      <c r="F1315" s="116">
        <v>1300.6500000000001</v>
      </c>
      <c r="G1315">
        <v>7109</v>
      </c>
      <c r="H1315" s="116"/>
      <c r="I1315" s="116"/>
      <c r="L1315" s="170">
        <v>44942</v>
      </c>
      <c r="M1315" s="116">
        <v>1300.9000000000001</v>
      </c>
      <c r="N1315" s="116">
        <v>1322.75</v>
      </c>
      <c r="O1315" s="116">
        <v>1295</v>
      </c>
      <c r="P1315" s="116">
        <v>1319.55</v>
      </c>
      <c r="Q1315" s="116">
        <v>1300.9000000000001</v>
      </c>
      <c r="R1315">
        <v>600742</v>
      </c>
    </row>
    <row r="1316" spans="1:18" x14ac:dyDescent="0.25">
      <c r="A1316" s="170">
        <v>44943</v>
      </c>
      <c r="B1316" s="116">
        <v>1310.3499999999999</v>
      </c>
      <c r="C1316" s="116">
        <v>1296.4000000000001</v>
      </c>
      <c r="D1316" s="116">
        <v>1294.5</v>
      </c>
      <c r="E1316" s="116">
        <v>1300.05</v>
      </c>
      <c r="F1316" s="116">
        <v>1296.4000000000001</v>
      </c>
      <c r="G1316">
        <v>16087</v>
      </c>
      <c r="H1316" s="116"/>
      <c r="I1316" s="116"/>
      <c r="L1316" s="170">
        <v>44943</v>
      </c>
      <c r="M1316" s="116">
        <v>1298.45</v>
      </c>
      <c r="N1316" s="116">
        <v>1310.4000000000001</v>
      </c>
      <c r="O1316" s="116">
        <v>1294.5</v>
      </c>
      <c r="P1316" s="116">
        <v>1304.7</v>
      </c>
      <c r="Q1316" s="116">
        <v>1298.45</v>
      </c>
      <c r="R1316">
        <v>895667</v>
      </c>
    </row>
    <row r="1317" spans="1:18" x14ac:dyDescent="0.25">
      <c r="A1317" s="170">
        <v>44944</v>
      </c>
      <c r="B1317" s="116">
        <v>1320.9</v>
      </c>
      <c r="C1317" s="116">
        <v>1310.85</v>
      </c>
      <c r="D1317" s="116">
        <v>1303.9000000000001</v>
      </c>
      <c r="E1317" s="116">
        <v>1308.05</v>
      </c>
      <c r="F1317" s="116">
        <v>1310.85</v>
      </c>
      <c r="G1317">
        <v>15151</v>
      </c>
      <c r="H1317" s="116"/>
      <c r="I1317" s="116"/>
      <c r="L1317" s="170">
        <v>44944</v>
      </c>
      <c r="M1317" s="116">
        <v>1310.6500000000001</v>
      </c>
      <c r="N1317" s="116">
        <v>1322</v>
      </c>
      <c r="O1317" s="116">
        <v>1302.1500000000001</v>
      </c>
      <c r="P1317" s="116">
        <v>1309</v>
      </c>
      <c r="Q1317" s="116">
        <v>1310.6500000000001</v>
      </c>
      <c r="R1317">
        <v>1078873</v>
      </c>
    </row>
    <row r="1318" spans="1:18" x14ac:dyDescent="0.25">
      <c r="A1318" s="170">
        <v>44945</v>
      </c>
      <c r="B1318" s="116">
        <v>1329.75</v>
      </c>
      <c r="C1318" s="116">
        <v>1322.85</v>
      </c>
      <c r="D1318" s="116">
        <v>1302.2</v>
      </c>
      <c r="E1318" s="116">
        <v>1302.2</v>
      </c>
      <c r="F1318" s="116">
        <v>1322.85</v>
      </c>
      <c r="G1318">
        <v>27219</v>
      </c>
      <c r="H1318" s="116"/>
      <c r="I1318" s="116"/>
      <c r="L1318" s="170">
        <v>44945</v>
      </c>
      <c r="M1318" s="116">
        <v>1323.1</v>
      </c>
      <c r="N1318" s="116">
        <v>1330</v>
      </c>
      <c r="O1318" s="116">
        <v>1303.5999999999999</v>
      </c>
      <c r="P1318" s="116">
        <v>1313</v>
      </c>
      <c r="Q1318" s="116">
        <v>1323.1</v>
      </c>
      <c r="R1318">
        <v>1189082</v>
      </c>
    </row>
    <row r="1319" spans="1:18" x14ac:dyDescent="0.25">
      <c r="A1319" s="170">
        <v>44946</v>
      </c>
      <c r="B1319" s="116">
        <v>1329</v>
      </c>
      <c r="C1319" s="116">
        <v>1295.45</v>
      </c>
      <c r="D1319" s="116">
        <v>1292.4000000000001</v>
      </c>
      <c r="E1319" s="116">
        <v>1329</v>
      </c>
      <c r="F1319" s="116">
        <v>1295.45</v>
      </c>
      <c r="G1319">
        <v>27220</v>
      </c>
      <c r="H1319" s="116"/>
      <c r="I1319" s="116"/>
      <c r="L1319" s="170">
        <v>44946</v>
      </c>
      <c r="M1319" s="116">
        <v>1296.0999999999999</v>
      </c>
      <c r="N1319" s="116">
        <v>1325.95</v>
      </c>
      <c r="O1319" s="116">
        <v>1292.3499999999999</v>
      </c>
      <c r="P1319" s="116">
        <v>1324.05</v>
      </c>
      <c r="Q1319" s="116">
        <v>1296.0999999999999</v>
      </c>
      <c r="R1319">
        <v>966855</v>
      </c>
    </row>
    <row r="1320" spans="1:18" x14ac:dyDescent="0.25">
      <c r="A1320" s="170">
        <v>44949</v>
      </c>
      <c r="B1320" s="116">
        <v>1319.45</v>
      </c>
      <c r="C1320" s="116">
        <v>1295.45</v>
      </c>
      <c r="D1320" s="116">
        <v>1280</v>
      </c>
      <c r="E1320" s="116">
        <v>1280</v>
      </c>
      <c r="F1320" s="116">
        <v>1295.45</v>
      </c>
      <c r="G1320">
        <v>22545</v>
      </c>
      <c r="H1320" s="116"/>
      <c r="I1320" s="116"/>
      <c r="L1320" s="170">
        <v>44949</v>
      </c>
      <c r="M1320" s="116">
        <v>1295.4000000000001</v>
      </c>
      <c r="N1320" s="116">
        <v>1318.15</v>
      </c>
      <c r="O1320" s="116">
        <v>1280</v>
      </c>
      <c r="P1320" s="116">
        <v>1285</v>
      </c>
      <c r="Q1320" s="116">
        <v>1295.4000000000001</v>
      </c>
      <c r="R1320">
        <v>1367408</v>
      </c>
    </row>
    <row r="1321" spans="1:18" x14ac:dyDescent="0.25">
      <c r="A1321" s="170">
        <v>44950</v>
      </c>
      <c r="B1321" s="116">
        <v>1300.05</v>
      </c>
      <c r="C1321" s="116">
        <v>1273.5</v>
      </c>
      <c r="D1321" s="116">
        <v>1270.8499999999999</v>
      </c>
      <c r="E1321" s="116">
        <v>1292.5999999999999</v>
      </c>
      <c r="F1321" s="116">
        <v>1273.5</v>
      </c>
      <c r="G1321">
        <v>12886</v>
      </c>
      <c r="H1321" s="116"/>
      <c r="I1321" s="116"/>
      <c r="L1321" s="170">
        <v>44950</v>
      </c>
      <c r="M1321" s="116">
        <v>1273.25</v>
      </c>
      <c r="N1321" s="116">
        <v>1301</v>
      </c>
      <c r="O1321" s="116">
        <v>1270.2</v>
      </c>
      <c r="P1321" s="116">
        <v>1296</v>
      </c>
      <c r="Q1321" s="116">
        <v>1273.25</v>
      </c>
      <c r="R1321">
        <v>657428</v>
      </c>
    </row>
    <row r="1322" spans="1:18" x14ac:dyDescent="0.25">
      <c r="A1322" s="170">
        <v>44951</v>
      </c>
      <c r="B1322" s="116">
        <v>1276.3</v>
      </c>
      <c r="C1322" s="116">
        <v>1257.7</v>
      </c>
      <c r="D1322" s="116">
        <v>1250.05</v>
      </c>
      <c r="E1322" s="116">
        <v>1270.05</v>
      </c>
      <c r="F1322" s="116">
        <v>1257.7</v>
      </c>
      <c r="G1322">
        <v>9791</v>
      </c>
      <c r="H1322" s="116"/>
      <c r="I1322" s="116"/>
      <c r="L1322" s="170">
        <v>44951</v>
      </c>
      <c r="M1322" s="116">
        <v>1257.45</v>
      </c>
      <c r="N1322" s="116">
        <v>1278.8</v>
      </c>
      <c r="O1322" s="116">
        <v>1250.05</v>
      </c>
      <c r="P1322" s="116">
        <v>1273.2</v>
      </c>
      <c r="Q1322" s="116">
        <v>1257.45</v>
      </c>
      <c r="R1322">
        <v>599832</v>
      </c>
    </row>
    <row r="1323" spans="1:18" x14ac:dyDescent="0.25">
      <c r="A1323" s="170">
        <v>44953</v>
      </c>
      <c r="B1323" s="116">
        <v>1291.0999999999999</v>
      </c>
      <c r="C1323" s="116">
        <v>1250.4000000000001</v>
      </c>
      <c r="D1323" s="116">
        <v>1230</v>
      </c>
      <c r="E1323" s="116">
        <v>1254.05</v>
      </c>
      <c r="F1323" s="116">
        <v>1250.4000000000001</v>
      </c>
      <c r="G1323">
        <v>21258</v>
      </c>
      <c r="H1323" s="116"/>
      <c r="I1323" s="116"/>
      <c r="L1323" s="170">
        <v>44953</v>
      </c>
      <c r="M1323" s="116">
        <v>1250.25</v>
      </c>
      <c r="N1323" s="116">
        <v>1291.5</v>
      </c>
      <c r="O1323" s="116">
        <v>1230</v>
      </c>
      <c r="P1323" s="116">
        <v>1263.7</v>
      </c>
      <c r="Q1323" s="116">
        <v>1250.25</v>
      </c>
      <c r="R1323">
        <v>1164597</v>
      </c>
    </row>
    <row r="1324" spans="1:18" x14ac:dyDescent="0.25">
      <c r="A1324" s="170">
        <v>44956</v>
      </c>
      <c r="B1324" s="116">
        <v>1244.45</v>
      </c>
      <c r="C1324" s="116">
        <v>1232.6500000000001</v>
      </c>
      <c r="D1324" s="116">
        <v>1216</v>
      </c>
      <c r="E1324" s="116">
        <v>1229.9000000000001</v>
      </c>
      <c r="F1324" s="116">
        <v>1232.6500000000001</v>
      </c>
      <c r="G1324">
        <v>21549</v>
      </c>
      <c r="H1324" s="116"/>
      <c r="I1324" s="116"/>
      <c r="L1324" s="170">
        <v>44956</v>
      </c>
      <c r="M1324" s="116">
        <v>1233.45</v>
      </c>
      <c r="N1324" s="116">
        <v>1244.45</v>
      </c>
      <c r="O1324" s="116">
        <v>1215.5999999999999</v>
      </c>
      <c r="P1324" s="116">
        <v>1222</v>
      </c>
      <c r="Q1324" s="116">
        <v>1233.45</v>
      </c>
      <c r="R1324">
        <v>1694822</v>
      </c>
    </row>
    <row r="1325" spans="1:18" x14ac:dyDescent="0.25">
      <c r="A1325" s="170">
        <v>44957</v>
      </c>
      <c r="B1325" s="116">
        <v>1246.8</v>
      </c>
      <c r="C1325" s="116">
        <v>1219.9000000000001</v>
      </c>
      <c r="D1325" s="116">
        <v>1212.8</v>
      </c>
      <c r="E1325" s="116">
        <v>1233.5</v>
      </c>
      <c r="F1325" s="116">
        <v>1219.9000000000001</v>
      </c>
      <c r="G1325">
        <v>13802</v>
      </c>
      <c r="H1325" s="116"/>
      <c r="I1325" s="116"/>
      <c r="L1325" s="170">
        <v>44957</v>
      </c>
      <c r="M1325" s="116">
        <v>1219.55</v>
      </c>
      <c r="N1325" s="116">
        <v>1243.7</v>
      </c>
      <c r="O1325" s="116">
        <v>1212.55</v>
      </c>
      <c r="P1325" s="116">
        <v>1243.7</v>
      </c>
      <c r="Q1325" s="116">
        <v>1219.55</v>
      </c>
      <c r="R1325">
        <v>1760628</v>
      </c>
    </row>
    <row r="1326" spans="1:18" x14ac:dyDescent="0.25">
      <c r="A1326" s="170">
        <v>44958</v>
      </c>
      <c r="B1326" s="116">
        <v>1228</v>
      </c>
      <c r="C1326" s="116">
        <v>1106.3499999999999</v>
      </c>
      <c r="D1326" s="116">
        <v>1069</v>
      </c>
      <c r="E1326" s="116">
        <v>1211.1500000000001</v>
      </c>
      <c r="F1326" s="116">
        <v>1106.3499999999999</v>
      </c>
      <c r="G1326">
        <v>174712</v>
      </c>
      <c r="H1326" s="116"/>
      <c r="I1326" s="116"/>
      <c r="L1326" s="170">
        <v>44958</v>
      </c>
      <c r="M1326" s="116">
        <v>1109.4000000000001</v>
      </c>
      <c r="N1326" s="116">
        <v>1228.75</v>
      </c>
      <c r="O1326" s="116">
        <v>1068.8499999999999</v>
      </c>
      <c r="P1326" s="116">
        <v>1219.55</v>
      </c>
      <c r="Q1326" s="116">
        <v>1109.4000000000001</v>
      </c>
      <c r="R1326">
        <v>8470232</v>
      </c>
    </row>
    <row r="1327" spans="1:18" x14ac:dyDescent="0.25">
      <c r="A1327" s="170">
        <v>44959</v>
      </c>
      <c r="B1327" s="116">
        <v>1154.9000000000001</v>
      </c>
      <c r="C1327" s="116">
        <v>1105.6500000000001</v>
      </c>
      <c r="D1327" s="116">
        <v>1089.25</v>
      </c>
      <c r="E1327" s="116">
        <v>1100</v>
      </c>
      <c r="F1327" s="116">
        <v>1105.6500000000001</v>
      </c>
      <c r="G1327">
        <v>196992</v>
      </c>
      <c r="H1327" s="116"/>
      <c r="I1327" s="116"/>
      <c r="L1327" s="170">
        <v>44959</v>
      </c>
      <c r="M1327" s="116">
        <v>1107.5</v>
      </c>
      <c r="N1327" s="116">
        <v>1155</v>
      </c>
      <c r="O1327" s="116">
        <v>1088.75</v>
      </c>
      <c r="P1327" s="116">
        <v>1090.2</v>
      </c>
      <c r="Q1327" s="116">
        <v>1107.5</v>
      </c>
      <c r="R1327">
        <v>8566734</v>
      </c>
    </row>
    <row r="1328" spans="1:18" x14ac:dyDescent="0.25">
      <c r="A1328" s="170">
        <v>44960</v>
      </c>
      <c r="B1328" s="116">
        <v>1145</v>
      </c>
      <c r="C1328" s="116">
        <v>1140.4000000000001</v>
      </c>
      <c r="D1328" s="116">
        <v>1115.5999999999999</v>
      </c>
      <c r="E1328" s="116">
        <v>1125</v>
      </c>
      <c r="F1328" s="116">
        <v>1140.4000000000001</v>
      </c>
      <c r="G1328">
        <v>45310</v>
      </c>
      <c r="H1328" s="116"/>
      <c r="I1328" s="116"/>
      <c r="L1328" s="170">
        <v>44960</v>
      </c>
      <c r="M1328" s="116">
        <v>1138.05</v>
      </c>
      <c r="N1328" s="116">
        <v>1145.6500000000001</v>
      </c>
      <c r="O1328" s="116">
        <v>1115</v>
      </c>
      <c r="P1328" s="116">
        <v>1115</v>
      </c>
      <c r="Q1328" s="116">
        <v>1138.05</v>
      </c>
      <c r="R1328">
        <v>4061171</v>
      </c>
    </row>
    <row r="1329" spans="1:18" x14ac:dyDescent="0.25">
      <c r="A1329" s="170">
        <v>44963</v>
      </c>
      <c r="B1329" s="116">
        <v>1145</v>
      </c>
      <c r="C1329" s="116">
        <v>1137.75</v>
      </c>
      <c r="D1329" s="116">
        <v>1115.3499999999999</v>
      </c>
      <c r="E1329" s="116">
        <v>1120.0999999999999</v>
      </c>
      <c r="F1329" s="116">
        <v>1137.75</v>
      </c>
      <c r="G1329">
        <v>24558</v>
      </c>
      <c r="H1329" s="116"/>
      <c r="I1329" s="116"/>
      <c r="L1329" s="170">
        <v>44963</v>
      </c>
      <c r="M1329" s="116">
        <v>1138.4000000000001</v>
      </c>
      <c r="N1329" s="116">
        <v>1146.8499999999999</v>
      </c>
      <c r="O1329" s="116">
        <v>1115</v>
      </c>
      <c r="P1329" s="116">
        <v>1127.2</v>
      </c>
      <c r="Q1329" s="116">
        <v>1138.4000000000001</v>
      </c>
      <c r="R1329">
        <v>2909587</v>
      </c>
    </row>
    <row r="1330" spans="1:18" x14ac:dyDescent="0.25">
      <c r="A1330" s="170">
        <v>44964</v>
      </c>
      <c r="B1330" s="116">
        <v>1147.4000000000001</v>
      </c>
      <c r="C1330" s="116">
        <v>1131.2</v>
      </c>
      <c r="D1330" s="116">
        <v>1124.25</v>
      </c>
      <c r="E1330" s="116">
        <v>1137.75</v>
      </c>
      <c r="F1330" s="116">
        <v>1131.2</v>
      </c>
      <c r="G1330">
        <v>21574</v>
      </c>
      <c r="H1330" s="116"/>
      <c r="I1330" s="116"/>
      <c r="L1330" s="170">
        <v>44964</v>
      </c>
      <c r="M1330" s="116">
        <v>1131.75</v>
      </c>
      <c r="N1330" s="116">
        <v>1147.8499999999999</v>
      </c>
      <c r="O1330" s="116">
        <v>1124.45</v>
      </c>
      <c r="P1330" s="116">
        <v>1143</v>
      </c>
      <c r="Q1330" s="116">
        <v>1131.75</v>
      </c>
      <c r="R1330">
        <v>1741642</v>
      </c>
    </row>
    <row r="1331" spans="1:18" x14ac:dyDescent="0.25">
      <c r="A1331" s="170">
        <v>44965</v>
      </c>
      <c r="B1331" s="116">
        <v>1171.95</v>
      </c>
      <c r="C1331" s="116">
        <v>1164.7</v>
      </c>
      <c r="D1331" s="116">
        <v>1131.1500000000001</v>
      </c>
      <c r="E1331" s="116">
        <v>1131.1500000000001</v>
      </c>
      <c r="F1331" s="116">
        <v>1164.7</v>
      </c>
      <c r="G1331">
        <v>18391</v>
      </c>
      <c r="H1331" s="116"/>
      <c r="I1331" s="116"/>
      <c r="L1331" s="170">
        <v>44965</v>
      </c>
      <c r="M1331" s="116">
        <v>1164.5</v>
      </c>
      <c r="N1331" s="116">
        <v>1172</v>
      </c>
      <c r="O1331" s="116">
        <v>1135.1500000000001</v>
      </c>
      <c r="P1331" s="116">
        <v>1140</v>
      </c>
      <c r="Q1331" s="116">
        <v>1164.5</v>
      </c>
      <c r="R1331">
        <v>3265863</v>
      </c>
    </row>
    <row r="1332" spans="1:18" x14ac:dyDescent="0.25">
      <c r="A1332" s="170">
        <v>44966</v>
      </c>
      <c r="B1332" s="116">
        <v>1184.5999999999999</v>
      </c>
      <c r="C1332" s="116">
        <v>1180.2</v>
      </c>
      <c r="D1332" s="116">
        <v>1165.25</v>
      </c>
      <c r="E1332" s="116">
        <v>1165.25</v>
      </c>
      <c r="F1332" s="116">
        <v>1180.2</v>
      </c>
      <c r="G1332">
        <v>44725</v>
      </c>
      <c r="H1332" s="116"/>
      <c r="I1332" s="116"/>
      <c r="L1332" s="170">
        <v>44966</v>
      </c>
      <c r="M1332" s="116">
        <v>1180.45</v>
      </c>
      <c r="N1332" s="116">
        <v>1185</v>
      </c>
      <c r="O1332" s="116">
        <v>1162.75</v>
      </c>
      <c r="P1332" s="116">
        <v>1170.5999999999999</v>
      </c>
      <c r="Q1332" s="116">
        <v>1180.45</v>
      </c>
      <c r="R1332">
        <v>2186484</v>
      </c>
    </row>
    <row r="1333" spans="1:18" x14ac:dyDescent="0.25">
      <c r="A1333" s="170">
        <v>44967</v>
      </c>
      <c r="B1333" s="116">
        <v>1187.7</v>
      </c>
      <c r="C1333" s="116">
        <v>1184.5999999999999</v>
      </c>
      <c r="D1333" s="116">
        <v>1167.5</v>
      </c>
      <c r="E1333" s="116">
        <v>1175</v>
      </c>
      <c r="F1333" s="116">
        <v>1184.5999999999999</v>
      </c>
      <c r="G1333">
        <v>215300</v>
      </c>
      <c r="H1333" s="116"/>
      <c r="I1333" s="116"/>
      <c r="L1333" s="170">
        <v>44967</v>
      </c>
      <c r="M1333" s="116">
        <v>1184.5</v>
      </c>
      <c r="N1333" s="116">
        <v>1187.5</v>
      </c>
      <c r="O1333" s="116">
        <v>1167.05</v>
      </c>
      <c r="P1333" s="116">
        <v>1179.8499999999999</v>
      </c>
      <c r="Q1333" s="116">
        <v>1184.5</v>
      </c>
      <c r="R1333">
        <v>1655228</v>
      </c>
    </row>
    <row r="1334" spans="1:18" x14ac:dyDescent="0.25">
      <c r="A1334" s="170">
        <v>44970</v>
      </c>
      <c r="B1334" s="116">
        <v>1187.5</v>
      </c>
      <c r="C1334" s="116">
        <v>1178.95</v>
      </c>
      <c r="D1334" s="116">
        <v>1173.3499999999999</v>
      </c>
      <c r="E1334" s="116">
        <v>1183.8</v>
      </c>
      <c r="F1334" s="116">
        <v>1178.95</v>
      </c>
      <c r="G1334">
        <v>15443</v>
      </c>
      <c r="H1334" s="116"/>
      <c r="I1334" s="116"/>
      <c r="L1334" s="170">
        <v>44970</v>
      </c>
      <c r="M1334" s="116">
        <v>1179.0999999999999</v>
      </c>
      <c r="N1334" s="116">
        <v>1187.95</v>
      </c>
      <c r="O1334" s="116">
        <v>1173.05</v>
      </c>
      <c r="P1334" s="116">
        <v>1180.2</v>
      </c>
      <c r="Q1334" s="116">
        <v>1179.0999999999999</v>
      </c>
      <c r="R1334">
        <v>812659</v>
      </c>
    </row>
    <row r="1335" spans="1:18" x14ac:dyDescent="0.25">
      <c r="A1335" s="170">
        <v>44971</v>
      </c>
      <c r="B1335" s="116">
        <v>1179.05</v>
      </c>
      <c r="C1335" s="116">
        <v>1162.8</v>
      </c>
      <c r="D1335" s="116">
        <v>1155.4000000000001</v>
      </c>
      <c r="E1335" s="116">
        <v>1178.95</v>
      </c>
      <c r="F1335" s="116">
        <v>1162.8</v>
      </c>
      <c r="G1335">
        <v>33550</v>
      </c>
      <c r="H1335" s="116"/>
      <c r="I1335" s="116"/>
      <c r="L1335" s="170">
        <v>44971</v>
      </c>
      <c r="M1335" s="116">
        <v>1161.7</v>
      </c>
      <c r="N1335" s="116">
        <v>1181.45</v>
      </c>
      <c r="O1335" s="116">
        <v>1155.0999999999999</v>
      </c>
      <c r="P1335" s="116">
        <v>1178</v>
      </c>
      <c r="Q1335" s="116">
        <v>1161.7</v>
      </c>
      <c r="R1335">
        <v>990530</v>
      </c>
    </row>
    <row r="1336" spans="1:18" x14ac:dyDescent="0.25">
      <c r="A1336" s="170">
        <v>44972</v>
      </c>
      <c r="B1336" s="116">
        <v>1182.0999999999999</v>
      </c>
      <c r="C1336" s="116">
        <v>1180.7</v>
      </c>
      <c r="D1336" s="116">
        <v>1150</v>
      </c>
      <c r="E1336" s="116">
        <v>1151.05</v>
      </c>
      <c r="F1336" s="116">
        <v>1180.7</v>
      </c>
      <c r="G1336">
        <v>28561</v>
      </c>
      <c r="H1336" s="116"/>
      <c r="I1336" s="116"/>
      <c r="L1336" s="170">
        <v>44972</v>
      </c>
      <c r="M1336" s="116">
        <v>1180.3499999999999</v>
      </c>
      <c r="N1336" s="116">
        <v>1183.8499999999999</v>
      </c>
      <c r="O1336" s="116">
        <v>1150</v>
      </c>
      <c r="P1336" s="116">
        <v>1160.9000000000001</v>
      </c>
      <c r="Q1336" s="116">
        <v>1180.3499999999999</v>
      </c>
      <c r="R1336">
        <v>1243115</v>
      </c>
    </row>
    <row r="1337" spans="1:18" x14ac:dyDescent="0.25">
      <c r="A1337" s="170">
        <v>44973</v>
      </c>
      <c r="B1337" s="116">
        <v>1189.05</v>
      </c>
      <c r="C1337" s="116">
        <v>1174.25</v>
      </c>
      <c r="D1337" s="116">
        <v>1170.75</v>
      </c>
      <c r="E1337" s="116">
        <v>1189.05</v>
      </c>
      <c r="F1337" s="116">
        <v>1174.25</v>
      </c>
      <c r="G1337">
        <v>27726</v>
      </c>
      <c r="H1337" s="116"/>
      <c r="I1337" s="116"/>
      <c r="L1337" s="170">
        <v>44973</v>
      </c>
      <c r="M1337" s="116">
        <v>1174.0999999999999</v>
      </c>
      <c r="N1337" s="116">
        <v>1186.3</v>
      </c>
      <c r="O1337" s="116">
        <v>1169.55</v>
      </c>
      <c r="P1337" s="116">
        <v>1186.3</v>
      </c>
      <c r="Q1337" s="116">
        <v>1174.0999999999999</v>
      </c>
      <c r="R1337">
        <v>356750</v>
      </c>
    </row>
    <row r="1338" spans="1:18" x14ac:dyDescent="0.25">
      <c r="A1338" s="170">
        <v>44974</v>
      </c>
      <c r="B1338" s="116">
        <v>1174.25</v>
      </c>
      <c r="C1338" s="116">
        <v>1148.8</v>
      </c>
      <c r="D1338" s="116">
        <v>1137.4000000000001</v>
      </c>
      <c r="E1338" s="116">
        <v>1174.25</v>
      </c>
      <c r="F1338" s="116">
        <v>1148.8</v>
      </c>
      <c r="G1338">
        <v>38279</v>
      </c>
      <c r="H1338" s="116"/>
      <c r="I1338" s="116"/>
      <c r="L1338" s="170">
        <v>44974</v>
      </c>
      <c r="M1338" s="116">
        <v>1149.7</v>
      </c>
      <c r="N1338" s="116">
        <v>1175.5999999999999</v>
      </c>
      <c r="O1338" s="116">
        <v>1137.25</v>
      </c>
      <c r="P1338" s="116">
        <v>1175.5999999999999</v>
      </c>
      <c r="Q1338" s="116">
        <v>1149.7</v>
      </c>
      <c r="R1338">
        <v>909951</v>
      </c>
    </row>
    <row r="1339" spans="1:18" x14ac:dyDescent="0.25">
      <c r="A1339" s="170">
        <v>44977</v>
      </c>
      <c r="B1339" s="116">
        <v>1170.05</v>
      </c>
      <c r="C1339" s="116">
        <v>1158.05</v>
      </c>
      <c r="D1339" s="116">
        <v>1140.75</v>
      </c>
      <c r="E1339" s="116">
        <v>1140.75</v>
      </c>
      <c r="F1339" s="116">
        <v>1158.05</v>
      </c>
      <c r="G1339">
        <v>9238</v>
      </c>
      <c r="H1339" s="116"/>
      <c r="I1339" s="116"/>
      <c r="L1339" s="170">
        <v>44977</v>
      </c>
      <c r="M1339" s="116">
        <v>1158.4000000000001</v>
      </c>
      <c r="N1339" s="116">
        <v>1170.6500000000001</v>
      </c>
      <c r="O1339" s="116">
        <v>1141.1500000000001</v>
      </c>
      <c r="P1339" s="116">
        <v>1144</v>
      </c>
      <c r="Q1339" s="116">
        <v>1158.4000000000001</v>
      </c>
      <c r="R1339">
        <v>488052</v>
      </c>
    </row>
    <row r="1340" spans="1:18" x14ac:dyDescent="0.25">
      <c r="A1340" s="170">
        <v>44978</v>
      </c>
      <c r="B1340" s="116">
        <v>1166.5999999999999</v>
      </c>
      <c r="C1340" s="116">
        <v>1149.25</v>
      </c>
      <c r="D1340" s="116">
        <v>1144.4000000000001</v>
      </c>
      <c r="E1340" s="116">
        <v>1155.1500000000001</v>
      </c>
      <c r="F1340" s="116">
        <v>1149.25</v>
      </c>
      <c r="G1340">
        <v>5329</v>
      </c>
      <c r="H1340" s="116"/>
      <c r="I1340" s="116"/>
      <c r="L1340" s="170">
        <v>44978</v>
      </c>
      <c r="M1340" s="116">
        <v>1150.3499999999999</v>
      </c>
      <c r="N1340" s="116">
        <v>1168</v>
      </c>
      <c r="O1340" s="116">
        <v>1144.2</v>
      </c>
      <c r="P1340" s="116">
        <v>1164.2</v>
      </c>
      <c r="Q1340" s="116">
        <v>1150.3499999999999</v>
      </c>
      <c r="R1340">
        <v>610755</v>
      </c>
    </row>
    <row r="1341" spans="1:18" x14ac:dyDescent="0.25">
      <c r="A1341" s="170">
        <v>44979</v>
      </c>
      <c r="B1341" s="116">
        <v>1149.25</v>
      </c>
      <c r="C1341" s="116">
        <v>1131.5</v>
      </c>
      <c r="D1341" s="116">
        <v>1125.0999999999999</v>
      </c>
      <c r="E1341" s="116">
        <v>1130.05</v>
      </c>
      <c r="F1341" s="116">
        <v>1131.5</v>
      </c>
      <c r="G1341">
        <v>11908</v>
      </c>
      <c r="H1341" s="116"/>
      <c r="I1341" s="116"/>
      <c r="L1341" s="170">
        <v>44979</v>
      </c>
      <c r="M1341" s="116">
        <v>1131.1500000000001</v>
      </c>
      <c r="N1341" s="116">
        <v>1148.95</v>
      </c>
      <c r="O1341" s="116">
        <v>1125.1500000000001</v>
      </c>
      <c r="P1341" s="116">
        <v>1148.9000000000001</v>
      </c>
      <c r="Q1341" s="116">
        <v>1131.1500000000001</v>
      </c>
      <c r="R1341">
        <v>944068</v>
      </c>
    </row>
    <row r="1342" spans="1:18" x14ac:dyDescent="0.25">
      <c r="A1342" s="170">
        <v>44980</v>
      </c>
      <c r="B1342" s="116">
        <v>1141.5</v>
      </c>
      <c r="C1342" s="116">
        <v>1134.6500000000001</v>
      </c>
      <c r="D1342" s="116">
        <v>1124.8</v>
      </c>
      <c r="E1342" s="116">
        <v>1128.05</v>
      </c>
      <c r="F1342" s="116">
        <v>1134.6500000000001</v>
      </c>
      <c r="G1342">
        <v>9902</v>
      </c>
      <c r="H1342" s="116"/>
      <c r="I1342" s="116"/>
      <c r="L1342" s="170">
        <v>44980</v>
      </c>
      <c r="M1342" s="116">
        <v>1135.4000000000001</v>
      </c>
      <c r="N1342" s="116">
        <v>1141.9000000000001</v>
      </c>
      <c r="O1342" s="116">
        <v>1123.8499999999999</v>
      </c>
      <c r="P1342" s="116">
        <v>1136.8499999999999</v>
      </c>
      <c r="Q1342" s="116">
        <v>1135.4000000000001</v>
      </c>
      <c r="R1342">
        <v>768179</v>
      </c>
    </row>
    <row r="1343" spans="1:18" x14ac:dyDescent="0.25">
      <c r="A1343" s="170">
        <v>44981</v>
      </c>
      <c r="B1343" s="116">
        <v>1142</v>
      </c>
      <c r="C1343" s="116">
        <v>1121.5999999999999</v>
      </c>
      <c r="D1343" s="116">
        <v>1119.45</v>
      </c>
      <c r="E1343" s="116">
        <v>1135</v>
      </c>
      <c r="F1343" s="116">
        <v>1121.5999999999999</v>
      </c>
      <c r="G1343">
        <v>10189</v>
      </c>
      <c r="H1343" s="116"/>
      <c r="I1343" s="116"/>
      <c r="L1343" s="170">
        <v>44981</v>
      </c>
      <c r="M1343" s="116">
        <v>1122.05</v>
      </c>
      <c r="N1343" s="116">
        <v>1142.3499999999999</v>
      </c>
      <c r="O1343" s="116">
        <v>1119.2</v>
      </c>
      <c r="P1343" s="116">
        <v>1136.0999999999999</v>
      </c>
      <c r="Q1343" s="116">
        <v>1122.05</v>
      </c>
      <c r="R1343">
        <v>973799</v>
      </c>
    </row>
    <row r="1344" spans="1:18" x14ac:dyDescent="0.25">
      <c r="A1344" s="170">
        <v>44984</v>
      </c>
      <c r="B1344" s="116">
        <v>1135.55</v>
      </c>
      <c r="C1344" s="116">
        <v>1129.9000000000001</v>
      </c>
      <c r="D1344" s="116">
        <v>1110.9000000000001</v>
      </c>
      <c r="E1344" s="116">
        <v>1121.5999999999999</v>
      </c>
      <c r="F1344" s="116">
        <v>1129.9000000000001</v>
      </c>
      <c r="G1344">
        <v>13962</v>
      </c>
      <c r="H1344" s="116"/>
      <c r="I1344" s="116"/>
      <c r="L1344" s="170">
        <v>44984</v>
      </c>
      <c r="M1344" s="116">
        <v>1129.1500000000001</v>
      </c>
      <c r="N1344" s="116">
        <v>1135</v>
      </c>
      <c r="O1344" s="116">
        <v>1110.45</v>
      </c>
      <c r="P1344" s="116">
        <v>1122.05</v>
      </c>
      <c r="Q1344" s="116">
        <v>1129.1500000000001</v>
      </c>
      <c r="R1344">
        <v>987563</v>
      </c>
    </row>
    <row r="1345" spans="1:18" x14ac:dyDescent="0.25">
      <c r="A1345" s="170">
        <v>44985</v>
      </c>
      <c r="B1345" s="116">
        <v>1134.95</v>
      </c>
      <c r="C1345" s="116">
        <v>1120.0999999999999</v>
      </c>
      <c r="D1345" s="116">
        <v>1109.3</v>
      </c>
      <c r="E1345" s="116">
        <v>1134.95</v>
      </c>
      <c r="F1345" s="116">
        <v>1120.0999999999999</v>
      </c>
      <c r="G1345">
        <v>64151</v>
      </c>
      <c r="H1345" s="116"/>
      <c r="I1345" s="116"/>
      <c r="L1345" s="170">
        <v>44985</v>
      </c>
      <c r="M1345" s="116">
        <v>1121</v>
      </c>
      <c r="N1345" s="116">
        <v>1134.9000000000001</v>
      </c>
      <c r="O1345" s="116">
        <v>1109.05</v>
      </c>
      <c r="P1345" s="116">
        <v>1131.4000000000001</v>
      </c>
      <c r="Q1345" s="116">
        <v>1121</v>
      </c>
      <c r="R1345">
        <v>1219508</v>
      </c>
    </row>
    <row r="1346" spans="1:18" x14ac:dyDescent="0.25">
      <c r="A1346" s="170">
        <v>44986</v>
      </c>
      <c r="B1346" s="116">
        <v>1122.7</v>
      </c>
      <c r="C1346" s="116">
        <v>1118.5</v>
      </c>
      <c r="D1346" s="116">
        <v>1109.1500000000001</v>
      </c>
      <c r="E1346" s="116">
        <v>1120.5999999999999</v>
      </c>
      <c r="F1346" s="116">
        <v>1118.5</v>
      </c>
      <c r="G1346">
        <v>12728</v>
      </c>
      <c r="H1346" s="116"/>
      <c r="I1346" s="116"/>
      <c r="L1346" s="170">
        <v>44986</v>
      </c>
      <c r="M1346" s="116">
        <v>1118.1500000000001</v>
      </c>
      <c r="N1346" s="116">
        <v>1126.6500000000001</v>
      </c>
      <c r="O1346" s="116">
        <v>1108.8</v>
      </c>
      <c r="P1346" s="116">
        <v>1126.6500000000001</v>
      </c>
      <c r="Q1346" s="116">
        <v>1118.1500000000001</v>
      </c>
      <c r="R1346">
        <v>675500</v>
      </c>
    </row>
    <row r="1347" spans="1:18" x14ac:dyDescent="0.25">
      <c r="A1347" s="170">
        <v>44987</v>
      </c>
      <c r="B1347" s="116">
        <v>1122.25</v>
      </c>
      <c r="C1347" s="116">
        <v>1100.0999999999999</v>
      </c>
      <c r="D1347" s="116">
        <v>1098.1500000000001</v>
      </c>
      <c r="E1347" s="116">
        <v>1110.0999999999999</v>
      </c>
      <c r="F1347" s="116">
        <v>1100.0999999999999</v>
      </c>
      <c r="G1347">
        <v>18242</v>
      </c>
      <c r="H1347" s="116"/>
      <c r="I1347" s="116"/>
      <c r="L1347" s="170">
        <v>44987</v>
      </c>
      <c r="M1347" s="116">
        <v>1100.1500000000001</v>
      </c>
      <c r="N1347" s="116">
        <v>1123</v>
      </c>
      <c r="O1347" s="116">
        <v>1098.0999999999999</v>
      </c>
      <c r="P1347" s="116">
        <v>1121.7</v>
      </c>
      <c r="Q1347" s="116">
        <v>1100.1500000000001</v>
      </c>
      <c r="R1347">
        <v>491880</v>
      </c>
    </row>
    <row r="1348" spans="1:18" x14ac:dyDescent="0.25">
      <c r="A1348" s="170">
        <v>44988</v>
      </c>
      <c r="B1348" s="116">
        <v>1132.3</v>
      </c>
      <c r="C1348" s="116">
        <v>1129.1500000000001</v>
      </c>
      <c r="D1348" s="116">
        <v>1102.45</v>
      </c>
      <c r="E1348" s="116">
        <v>1103.4000000000001</v>
      </c>
      <c r="F1348" s="116">
        <v>1129.1500000000001</v>
      </c>
      <c r="G1348">
        <v>13338</v>
      </c>
      <c r="H1348" s="116"/>
      <c r="I1348" s="116"/>
      <c r="L1348" s="170">
        <v>44988</v>
      </c>
      <c r="M1348" s="116">
        <v>1129.25</v>
      </c>
      <c r="N1348" s="116">
        <v>1132.7</v>
      </c>
      <c r="O1348" s="116">
        <v>1100.1500000000001</v>
      </c>
      <c r="P1348" s="116">
        <v>1100.1500000000001</v>
      </c>
      <c r="Q1348" s="116">
        <v>1129.25</v>
      </c>
      <c r="R1348">
        <v>922485</v>
      </c>
    </row>
    <row r="1349" spans="1:18" x14ac:dyDescent="0.25">
      <c r="A1349" s="170">
        <v>44991</v>
      </c>
      <c r="B1349" s="116">
        <v>1145.0999999999999</v>
      </c>
      <c r="C1349" s="116">
        <v>1129.5</v>
      </c>
      <c r="D1349" s="116">
        <v>1115.6500000000001</v>
      </c>
      <c r="E1349" s="116">
        <v>1115.6500000000001</v>
      </c>
      <c r="F1349" s="116">
        <v>1129.5</v>
      </c>
      <c r="G1349">
        <v>20260</v>
      </c>
      <c r="H1349" s="116"/>
      <c r="I1349" s="116"/>
      <c r="L1349" s="170">
        <v>44991</v>
      </c>
      <c r="M1349" s="116">
        <v>1128.7</v>
      </c>
      <c r="N1349" s="116">
        <v>1145.95</v>
      </c>
      <c r="O1349" s="116">
        <v>1125</v>
      </c>
      <c r="P1349" s="116">
        <v>1132</v>
      </c>
      <c r="Q1349" s="116">
        <v>1128.7</v>
      </c>
      <c r="R1349">
        <v>920574</v>
      </c>
    </row>
    <row r="1350" spans="1:18" x14ac:dyDescent="0.25">
      <c r="A1350" s="170">
        <v>44993</v>
      </c>
      <c r="B1350" s="116">
        <v>1140.9000000000001</v>
      </c>
      <c r="C1350" s="116">
        <v>1128.6500000000001</v>
      </c>
      <c r="D1350" s="116">
        <v>1111</v>
      </c>
      <c r="E1350" s="116">
        <v>1115.2</v>
      </c>
      <c r="F1350" s="116">
        <v>1128.6500000000001</v>
      </c>
      <c r="G1350">
        <v>16946</v>
      </c>
      <c r="H1350" s="116"/>
      <c r="I1350" s="116"/>
      <c r="L1350" s="170">
        <v>44993</v>
      </c>
      <c r="M1350" s="116">
        <v>1129.2</v>
      </c>
      <c r="N1350" s="116">
        <v>1141.3</v>
      </c>
      <c r="O1350" s="116">
        <v>1110.7</v>
      </c>
      <c r="P1350" s="116">
        <v>1130</v>
      </c>
      <c r="Q1350" s="116">
        <v>1129.2</v>
      </c>
      <c r="R1350">
        <v>959097</v>
      </c>
    </row>
    <row r="1351" spans="1:18" x14ac:dyDescent="0.25">
      <c r="A1351" s="170">
        <v>44994</v>
      </c>
      <c r="B1351" s="116">
        <v>1139.1500000000001</v>
      </c>
      <c r="C1351" s="116">
        <v>1097.55</v>
      </c>
      <c r="D1351" s="116">
        <v>1093</v>
      </c>
      <c r="E1351" s="116">
        <v>1139.1500000000001</v>
      </c>
      <c r="F1351" s="116">
        <v>1097.55</v>
      </c>
      <c r="G1351">
        <v>28419</v>
      </c>
      <c r="H1351" s="116"/>
      <c r="I1351" s="116"/>
      <c r="L1351" s="170">
        <v>44994</v>
      </c>
      <c r="M1351" s="116">
        <v>1096.7</v>
      </c>
      <c r="N1351" s="116">
        <v>1134.7</v>
      </c>
      <c r="O1351" s="116">
        <v>1092</v>
      </c>
      <c r="P1351" s="116">
        <v>1129.2</v>
      </c>
      <c r="Q1351" s="116">
        <v>1096.7</v>
      </c>
      <c r="R1351">
        <v>1239659</v>
      </c>
    </row>
    <row r="1352" spans="1:18" x14ac:dyDescent="0.25">
      <c r="A1352" s="170">
        <v>44995</v>
      </c>
      <c r="B1352" s="116">
        <v>1100</v>
      </c>
      <c r="C1352" s="116">
        <v>1095.7</v>
      </c>
      <c r="D1352" s="116">
        <v>1084.75</v>
      </c>
      <c r="E1352" s="116">
        <v>1095.95</v>
      </c>
      <c r="F1352" s="116">
        <v>1095.7</v>
      </c>
      <c r="G1352">
        <v>19963</v>
      </c>
      <c r="H1352" s="116"/>
      <c r="I1352" s="116"/>
      <c r="L1352" s="170">
        <v>44995</v>
      </c>
      <c r="M1352" s="116">
        <v>1095.9000000000001</v>
      </c>
      <c r="N1352" s="116">
        <v>1100.55</v>
      </c>
      <c r="O1352" s="116">
        <v>1083.95</v>
      </c>
      <c r="P1352" s="116">
        <v>1093</v>
      </c>
      <c r="Q1352" s="116">
        <v>1095.9000000000001</v>
      </c>
      <c r="R1352">
        <v>893708</v>
      </c>
    </row>
    <row r="1353" spans="1:18" x14ac:dyDescent="0.25">
      <c r="A1353" s="170">
        <v>44998</v>
      </c>
      <c r="B1353" s="116">
        <v>1101.55</v>
      </c>
      <c r="C1353" s="116">
        <v>1071.5</v>
      </c>
      <c r="D1353" s="116">
        <v>1066.2</v>
      </c>
      <c r="E1353" s="116">
        <v>1081.05</v>
      </c>
      <c r="F1353" s="116">
        <v>1071.5</v>
      </c>
      <c r="G1353">
        <v>17603</v>
      </c>
      <c r="H1353" s="116"/>
      <c r="I1353" s="116"/>
      <c r="L1353" s="170">
        <v>44998</v>
      </c>
      <c r="M1353" s="116">
        <v>1072.5</v>
      </c>
      <c r="N1353" s="116">
        <v>1101.4000000000001</v>
      </c>
      <c r="O1353" s="116">
        <v>1066.1500000000001</v>
      </c>
      <c r="P1353" s="116">
        <v>1092</v>
      </c>
      <c r="Q1353" s="116">
        <v>1072.5</v>
      </c>
      <c r="R1353">
        <v>875379</v>
      </c>
    </row>
    <row r="1354" spans="1:18" x14ac:dyDescent="0.25">
      <c r="A1354" s="170">
        <v>44999</v>
      </c>
      <c r="B1354" s="116">
        <v>1091.9000000000001</v>
      </c>
      <c r="C1354" s="116">
        <v>1076.95</v>
      </c>
      <c r="D1354" s="116">
        <v>1065.3</v>
      </c>
      <c r="E1354" s="116">
        <v>1065.3</v>
      </c>
      <c r="F1354" s="116">
        <v>1076.95</v>
      </c>
      <c r="G1354">
        <v>18953</v>
      </c>
      <c r="H1354" s="116"/>
      <c r="I1354" s="116"/>
      <c r="L1354" s="170">
        <v>44999</v>
      </c>
      <c r="M1354" s="116">
        <v>1077.0999999999999</v>
      </c>
      <c r="N1354" s="116">
        <v>1092.55</v>
      </c>
      <c r="O1354" s="116">
        <v>1071</v>
      </c>
      <c r="P1354" s="116">
        <v>1074.8</v>
      </c>
      <c r="Q1354" s="116">
        <v>1077.0999999999999</v>
      </c>
      <c r="R1354">
        <v>1089923</v>
      </c>
    </row>
    <row r="1355" spans="1:18" x14ac:dyDescent="0.25">
      <c r="A1355" s="170">
        <v>45000</v>
      </c>
      <c r="B1355" s="116">
        <v>1083</v>
      </c>
      <c r="C1355" s="116">
        <v>1066</v>
      </c>
      <c r="D1355" s="116">
        <v>1062.05</v>
      </c>
      <c r="E1355" s="116">
        <v>1080.9000000000001</v>
      </c>
      <c r="F1355" s="116">
        <v>1066</v>
      </c>
      <c r="G1355">
        <v>26815</v>
      </c>
      <c r="H1355" s="116"/>
      <c r="I1355" s="116"/>
      <c r="L1355" s="170">
        <v>45000</v>
      </c>
      <c r="M1355" s="116">
        <v>1067.05</v>
      </c>
      <c r="N1355" s="116">
        <v>1081.4000000000001</v>
      </c>
      <c r="O1355" s="116">
        <v>1062</v>
      </c>
      <c r="P1355" s="116">
        <v>1080</v>
      </c>
      <c r="Q1355" s="116">
        <v>1067.05</v>
      </c>
      <c r="R1355">
        <v>1566147</v>
      </c>
    </row>
    <row r="1356" spans="1:18" x14ac:dyDescent="0.25">
      <c r="A1356" s="170">
        <v>45001</v>
      </c>
      <c r="B1356" s="116">
        <v>1088.2</v>
      </c>
      <c r="C1356" s="116">
        <v>1063.0999999999999</v>
      </c>
      <c r="D1356" s="116">
        <v>1054.8</v>
      </c>
      <c r="E1356" s="116">
        <v>1075</v>
      </c>
      <c r="F1356" s="116">
        <v>1063.0999999999999</v>
      </c>
      <c r="G1356">
        <v>60210</v>
      </c>
      <c r="H1356" s="116"/>
      <c r="I1356" s="116"/>
      <c r="L1356" s="170">
        <v>45001</v>
      </c>
      <c r="M1356" s="116">
        <v>1062.6500000000001</v>
      </c>
      <c r="N1356" s="116">
        <v>1088.55</v>
      </c>
      <c r="O1356" s="116">
        <v>1054.5999999999999</v>
      </c>
      <c r="P1356" s="116">
        <v>1071.95</v>
      </c>
      <c r="Q1356" s="116">
        <v>1062.6500000000001</v>
      </c>
      <c r="R1356">
        <v>1023855</v>
      </c>
    </row>
    <row r="1357" spans="1:18" x14ac:dyDescent="0.25">
      <c r="A1357" s="170">
        <v>45002</v>
      </c>
      <c r="B1357" s="116">
        <v>1091</v>
      </c>
      <c r="C1357" s="116">
        <v>1070.95</v>
      </c>
      <c r="D1357" s="116">
        <v>1063.3499999999999</v>
      </c>
      <c r="E1357" s="116">
        <v>1063.3499999999999</v>
      </c>
      <c r="F1357" s="116">
        <v>1070.95</v>
      </c>
      <c r="G1357">
        <v>62248</v>
      </c>
      <c r="H1357" s="116"/>
      <c r="I1357" s="116"/>
      <c r="L1357" s="170">
        <v>45002</v>
      </c>
      <c r="M1357" s="116">
        <v>1071.5999999999999</v>
      </c>
      <c r="N1357" s="116">
        <v>1091.0999999999999</v>
      </c>
      <c r="O1357" s="116">
        <v>1066.1500000000001</v>
      </c>
      <c r="P1357" s="116">
        <v>1068</v>
      </c>
      <c r="Q1357" s="116">
        <v>1071.5999999999999</v>
      </c>
      <c r="R1357">
        <v>1569036</v>
      </c>
    </row>
    <row r="1358" spans="1:18" x14ac:dyDescent="0.25">
      <c r="A1358" s="170">
        <v>45005</v>
      </c>
      <c r="B1358" s="116">
        <v>1091.1500000000001</v>
      </c>
      <c r="C1358" s="116">
        <v>1073.7</v>
      </c>
      <c r="D1358" s="116">
        <v>1039.25</v>
      </c>
      <c r="E1358" s="116">
        <v>1039.25</v>
      </c>
      <c r="F1358" s="116">
        <v>1073.7</v>
      </c>
      <c r="G1358">
        <v>13666</v>
      </c>
      <c r="H1358" s="116"/>
      <c r="I1358" s="116"/>
      <c r="L1358" s="170">
        <v>45005</v>
      </c>
      <c r="M1358" s="116">
        <v>1074.0999999999999</v>
      </c>
      <c r="N1358" s="116">
        <v>1089.95</v>
      </c>
      <c r="O1358" s="116">
        <v>1054</v>
      </c>
      <c r="P1358" s="116">
        <v>1071.5999999999999</v>
      </c>
      <c r="Q1358" s="116">
        <v>1074.0999999999999</v>
      </c>
      <c r="R1358">
        <v>842875</v>
      </c>
    </row>
    <row r="1359" spans="1:18" x14ac:dyDescent="0.25">
      <c r="A1359" s="170">
        <v>45006</v>
      </c>
      <c r="B1359" s="116">
        <v>1100.3499999999999</v>
      </c>
      <c r="C1359" s="116">
        <v>1097.6500000000001</v>
      </c>
      <c r="D1359" s="116">
        <v>1075.25</v>
      </c>
      <c r="E1359" s="116">
        <v>1081.55</v>
      </c>
      <c r="F1359" s="116">
        <v>1097.6500000000001</v>
      </c>
      <c r="G1359">
        <v>25717</v>
      </c>
      <c r="H1359" s="116"/>
      <c r="I1359" s="116"/>
      <c r="L1359" s="170">
        <v>45006</v>
      </c>
      <c r="M1359" s="116">
        <v>1097.7</v>
      </c>
      <c r="N1359" s="116">
        <v>1099.7</v>
      </c>
      <c r="O1359" s="116">
        <v>1075.05</v>
      </c>
      <c r="P1359" s="116">
        <v>1075.05</v>
      </c>
      <c r="Q1359" s="116">
        <v>1097.7</v>
      </c>
      <c r="R1359">
        <v>842669</v>
      </c>
    </row>
    <row r="1360" spans="1:18" x14ac:dyDescent="0.25">
      <c r="A1360" s="170">
        <v>45007</v>
      </c>
      <c r="B1360" s="116">
        <v>1128.95</v>
      </c>
      <c r="C1360" s="116">
        <v>1113.05</v>
      </c>
      <c r="D1360" s="116">
        <v>1103.1500000000001</v>
      </c>
      <c r="E1360" s="116">
        <v>1128.95</v>
      </c>
      <c r="F1360" s="116">
        <v>1113.05</v>
      </c>
      <c r="G1360">
        <v>21205</v>
      </c>
      <c r="H1360" s="116"/>
      <c r="I1360" s="116"/>
      <c r="L1360" s="170">
        <v>45007</v>
      </c>
      <c r="M1360" s="116">
        <v>1113.0999999999999</v>
      </c>
      <c r="N1360" s="116">
        <v>1127.6500000000001</v>
      </c>
      <c r="O1360" s="116">
        <v>1103.05</v>
      </c>
      <c r="P1360" s="116">
        <v>1119.5</v>
      </c>
      <c r="Q1360" s="116">
        <v>1113.0999999999999</v>
      </c>
      <c r="R1360">
        <v>1399723</v>
      </c>
    </row>
    <row r="1361" spans="1:18" x14ac:dyDescent="0.25">
      <c r="A1361" s="170">
        <v>45008</v>
      </c>
      <c r="B1361" s="116">
        <v>1125.45</v>
      </c>
      <c r="C1361" s="116">
        <v>1118.7</v>
      </c>
      <c r="D1361" s="116">
        <v>1104.25</v>
      </c>
      <c r="E1361" s="116">
        <v>1104.25</v>
      </c>
      <c r="F1361" s="116">
        <v>1118.7</v>
      </c>
      <c r="G1361">
        <v>10002</v>
      </c>
      <c r="H1361" s="116"/>
      <c r="I1361" s="116"/>
      <c r="L1361" s="170">
        <v>45008</v>
      </c>
      <c r="M1361" s="116">
        <v>1118.6500000000001</v>
      </c>
      <c r="N1361" s="116">
        <v>1125.55</v>
      </c>
      <c r="O1361" s="116">
        <v>1105</v>
      </c>
      <c r="P1361" s="116">
        <v>1113.8</v>
      </c>
      <c r="Q1361" s="116">
        <v>1118.6500000000001</v>
      </c>
      <c r="R1361">
        <v>463672</v>
      </c>
    </row>
    <row r="1362" spans="1:18" x14ac:dyDescent="0.25">
      <c r="A1362" s="170">
        <v>45009</v>
      </c>
      <c r="B1362" s="116">
        <v>1121.3</v>
      </c>
      <c r="C1362" s="116">
        <v>1113</v>
      </c>
      <c r="D1362" s="116">
        <v>1088.7</v>
      </c>
      <c r="E1362" s="116">
        <v>1117.7</v>
      </c>
      <c r="F1362" s="116">
        <v>1113</v>
      </c>
      <c r="G1362">
        <v>28758</v>
      </c>
      <c r="H1362" s="116"/>
      <c r="I1362" s="116"/>
      <c r="L1362" s="170">
        <v>45009</v>
      </c>
      <c r="M1362" s="116">
        <v>1112.2</v>
      </c>
      <c r="N1362" s="116">
        <v>1121.8499999999999</v>
      </c>
      <c r="O1362" s="116">
        <v>1088.5</v>
      </c>
      <c r="P1362" s="116">
        <v>1110</v>
      </c>
      <c r="Q1362" s="116">
        <v>1112.2</v>
      </c>
      <c r="R1362">
        <v>1019781</v>
      </c>
    </row>
    <row r="1363" spans="1:18" x14ac:dyDescent="0.25">
      <c r="A1363" s="170">
        <v>45012</v>
      </c>
      <c r="B1363" s="116">
        <v>1116</v>
      </c>
      <c r="C1363" s="116">
        <v>1098.2</v>
      </c>
      <c r="D1363" s="116">
        <v>1095.1500000000001</v>
      </c>
      <c r="E1363" s="116">
        <v>1100.05</v>
      </c>
      <c r="F1363" s="116">
        <v>1098.2</v>
      </c>
      <c r="G1363">
        <v>15162</v>
      </c>
      <c r="H1363" s="116"/>
      <c r="I1363" s="116"/>
      <c r="L1363" s="170">
        <v>45012</v>
      </c>
      <c r="M1363" s="116">
        <v>1099.3</v>
      </c>
      <c r="N1363" s="116">
        <v>1116.5999999999999</v>
      </c>
      <c r="O1363" s="116">
        <v>1095.0999999999999</v>
      </c>
      <c r="P1363" s="116">
        <v>1109.7</v>
      </c>
      <c r="Q1363" s="116">
        <v>1099.3</v>
      </c>
      <c r="R1363">
        <v>1078978</v>
      </c>
    </row>
    <row r="1364" spans="1:18" x14ac:dyDescent="0.25">
      <c r="A1364" s="170">
        <v>45013</v>
      </c>
      <c r="B1364" s="116">
        <v>1105.6500000000001</v>
      </c>
      <c r="C1364" s="116">
        <v>1090.55</v>
      </c>
      <c r="D1364" s="116">
        <v>1088.55</v>
      </c>
      <c r="E1364" s="116">
        <v>1099.3</v>
      </c>
      <c r="F1364" s="116">
        <v>1090.55</v>
      </c>
      <c r="G1364">
        <v>8963</v>
      </c>
      <c r="H1364" s="116"/>
      <c r="I1364" s="116"/>
      <c r="L1364" s="170">
        <v>45013</v>
      </c>
      <c r="M1364" s="116">
        <v>1091.3</v>
      </c>
      <c r="N1364" s="116">
        <v>1106.5</v>
      </c>
      <c r="O1364" s="116">
        <v>1088.05</v>
      </c>
      <c r="P1364" s="116">
        <v>1104.8</v>
      </c>
      <c r="Q1364" s="116">
        <v>1091.3</v>
      </c>
      <c r="R1364">
        <v>609715</v>
      </c>
    </row>
    <row r="1365" spans="1:18" x14ac:dyDescent="0.25">
      <c r="A1365" s="170">
        <v>45014</v>
      </c>
      <c r="B1365" s="116">
        <v>1105.6500000000001</v>
      </c>
      <c r="C1365" s="116">
        <v>1098.55</v>
      </c>
      <c r="D1365" s="116">
        <v>1083.2</v>
      </c>
      <c r="E1365" s="116">
        <v>1094</v>
      </c>
      <c r="F1365" s="116">
        <v>1098.55</v>
      </c>
      <c r="G1365">
        <v>21213</v>
      </c>
      <c r="H1365" s="116"/>
      <c r="I1365" s="116"/>
      <c r="L1365" s="170">
        <v>45014</v>
      </c>
      <c r="M1365" s="116">
        <v>1098.7</v>
      </c>
      <c r="N1365" s="116">
        <v>1106</v>
      </c>
      <c r="O1365" s="116">
        <v>1083.25</v>
      </c>
      <c r="P1365" s="116">
        <v>1094</v>
      </c>
      <c r="Q1365" s="116">
        <v>1098.7</v>
      </c>
      <c r="R1365">
        <v>890212</v>
      </c>
    </row>
    <row r="1366" spans="1:18" x14ac:dyDescent="0.25">
      <c r="A1366" s="170">
        <v>45016</v>
      </c>
      <c r="B1366" s="116">
        <v>1112.0999999999999</v>
      </c>
      <c r="C1366" s="116">
        <v>1099.6500000000001</v>
      </c>
      <c r="D1366" s="116">
        <v>1097.1500000000001</v>
      </c>
      <c r="E1366" s="116">
        <v>1099</v>
      </c>
      <c r="F1366" s="116">
        <v>1099.6500000000001</v>
      </c>
      <c r="G1366">
        <v>10164</v>
      </c>
      <c r="H1366" s="116"/>
      <c r="I1366" s="116"/>
      <c r="L1366" s="170">
        <v>45016</v>
      </c>
      <c r="M1366" s="116">
        <v>1101.0999999999999</v>
      </c>
      <c r="N1366" s="116">
        <v>1112.95</v>
      </c>
      <c r="O1366" s="116">
        <v>1097.25</v>
      </c>
      <c r="P1366" s="116">
        <v>1100.2</v>
      </c>
      <c r="Q1366" s="116">
        <v>1101.0999999999999</v>
      </c>
      <c r="R1366">
        <v>959958</v>
      </c>
    </row>
    <row r="1367" spans="1:18" x14ac:dyDescent="0.25">
      <c r="A1367" s="170">
        <v>45019</v>
      </c>
      <c r="B1367" s="116">
        <v>1125.5999999999999</v>
      </c>
      <c r="C1367" s="116">
        <v>1103.8499999999999</v>
      </c>
      <c r="D1367" s="116">
        <v>1092.3</v>
      </c>
      <c r="E1367" s="116">
        <v>1092.3499999999999</v>
      </c>
      <c r="F1367" s="116">
        <v>1103.8499999999999</v>
      </c>
      <c r="G1367">
        <v>23543</v>
      </c>
      <c r="H1367" s="116"/>
      <c r="I1367" s="116"/>
      <c r="L1367" s="170">
        <v>45019</v>
      </c>
      <c r="M1367" s="116">
        <v>1103.8</v>
      </c>
      <c r="N1367" s="116">
        <v>1126.8</v>
      </c>
      <c r="O1367" s="116">
        <v>1091.8</v>
      </c>
      <c r="P1367" s="116">
        <v>1100</v>
      </c>
      <c r="Q1367" s="116">
        <v>1103.8</v>
      </c>
      <c r="R1367">
        <v>1689388</v>
      </c>
    </row>
    <row r="1368" spans="1:18" x14ac:dyDescent="0.25">
      <c r="A1368" s="170">
        <v>45021</v>
      </c>
      <c r="B1368" s="116">
        <v>1118.7</v>
      </c>
      <c r="C1368" s="116">
        <v>1105.05</v>
      </c>
      <c r="D1368" s="116">
        <v>1100.5</v>
      </c>
      <c r="E1368" s="116">
        <v>1105.05</v>
      </c>
      <c r="F1368" s="116">
        <v>1105.05</v>
      </c>
      <c r="G1368">
        <v>19390</v>
      </c>
      <c r="H1368" s="116"/>
      <c r="I1368" s="116"/>
      <c r="L1368" s="170">
        <v>45021</v>
      </c>
      <c r="M1368" s="116">
        <v>1105.55</v>
      </c>
      <c r="N1368" s="116">
        <v>1118.9000000000001</v>
      </c>
      <c r="O1368" s="116">
        <v>1100.45</v>
      </c>
      <c r="P1368" s="116">
        <v>1109.55</v>
      </c>
      <c r="Q1368" s="116">
        <v>1105.55</v>
      </c>
      <c r="R1368">
        <v>713828</v>
      </c>
    </row>
    <row r="1369" spans="1:18" x14ac:dyDescent="0.25">
      <c r="A1369" s="170">
        <v>45022</v>
      </c>
      <c r="B1369" s="116">
        <v>1120</v>
      </c>
      <c r="C1369" s="116">
        <v>1116.55</v>
      </c>
      <c r="D1369" s="116">
        <v>1105.05</v>
      </c>
      <c r="E1369" s="116">
        <v>1105.1500000000001</v>
      </c>
      <c r="F1369" s="116">
        <v>1116.55</v>
      </c>
      <c r="G1369">
        <v>11503</v>
      </c>
      <c r="H1369" s="116"/>
      <c r="I1369" s="116"/>
      <c r="L1369" s="170">
        <v>45022</v>
      </c>
      <c r="M1369" s="116">
        <v>1116.25</v>
      </c>
      <c r="N1369" s="116">
        <v>1120</v>
      </c>
      <c r="O1369" s="116">
        <v>1105</v>
      </c>
      <c r="P1369" s="116">
        <v>1108.9000000000001</v>
      </c>
      <c r="Q1369" s="116">
        <v>1116.25</v>
      </c>
      <c r="R1369">
        <v>959185</v>
      </c>
    </row>
    <row r="1370" spans="1:18" x14ac:dyDescent="0.25">
      <c r="A1370" s="170">
        <v>45026</v>
      </c>
      <c r="B1370" s="116">
        <v>1118.7</v>
      </c>
      <c r="C1370" s="116">
        <v>1105.25</v>
      </c>
      <c r="D1370" s="116">
        <v>1103.75</v>
      </c>
      <c r="E1370" s="116">
        <v>1116.5999999999999</v>
      </c>
      <c r="F1370" s="116">
        <v>1105.25</v>
      </c>
      <c r="G1370">
        <v>21206</v>
      </c>
      <c r="H1370" s="116"/>
      <c r="I1370" s="116"/>
      <c r="L1370" s="170">
        <v>45026</v>
      </c>
      <c r="M1370" s="116">
        <v>1106.25</v>
      </c>
      <c r="N1370" s="116">
        <v>1119.45</v>
      </c>
      <c r="O1370" s="116">
        <v>1104.05</v>
      </c>
      <c r="P1370" s="116">
        <v>1119.4000000000001</v>
      </c>
      <c r="Q1370" s="116">
        <v>1106.25</v>
      </c>
      <c r="R1370">
        <v>985731</v>
      </c>
    </row>
    <row r="1371" spans="1:18" x14ac:dyDescent="0.25">
      <c r="A1371" s="170">
        <v>45027</v>
      </c>
      <c r="B1371" s="116">
        <v>1130.3</v>
      </c>
      <c r="C1371" s="116">
        <v>1112.8499999999999</v>
      </c>
      <c r="D1371" s="116">
        <v>1109</v>
      </c>
      <c r="E1371" s="116">
        <v>1112</v>
      </c>
      <c r="F1371" s="116">
        <v>1112.8499999999999</v>
      </c>
      <c r="G1371">
        <v>42869</v>
      </c>
      <c r="H1371" s="116"/>
      <c r="I1371" s="116"/>
      <c r="L1371" s="170">
        <v>45027</v>
      </c>
      <c r="M1371" s="116">
        <v>1112.6500000000001</v>
      </c>
      <c r="N1371" s="116">
        <v>1131.8499999999999</v>
      </c>
      <c r="O1371" s="116">
        <v>1108.4000000000001</v>
      </c>
      <c r="P1371" s="116">
        <v>1110.9000000000001</v>
      </c>
      <c r="Q1371" s="116">
        <v>1112.6500000000001</v>
      </c>
      <c r="R1371">
        <v>913188</v>
      </c>
    </row>
    <row r="1372" spans="1:18" x14ac:dyDescent="0.25">
      <c r="A1372" s="170">
        <v>45028</v>
      </c>
      <c r="B1372" s="116">
        <v>1129.2</v>
      </c>
      <c r="C1372" s="116">
        <v>1127.6500000000001</v>
      </c>
      <c r="D1372" s="116">
        <v>1108.05</v>
      </c>
      <c r="E1372" s="116">
        <v>1108.05</v>
      </c>
      <c r="F1372" s="116">
        <v>1127.6500000000001</v>
      </c>
      <c r="G1372">
        <v>19568</v>
      </c>
      <c r="H1372" s="116"/>
      <c r="I1372" s="116"/>
      <c r="L1372" s="170">
        <v>45028</v>
      </c>
      <c r="M1372" s="116">
        <v>1126.8499999999999</v>
      </c>
      <c r="N1372" s="116">
        <v>1130</v>
      </c>
      <c r="O1372" s="116">
        <v>1112.0999999999999</v>
      </c>
      <c r="P1372" s="116">
        <v>1118.5</v>
      </c>
      <c r="Q1372" s="116">
        <v>1126.8499999999999</v>
      </c>
      <c r="R1372">
        <v>784276</v>
      </c>
    </row>
    <row r="1373" spans="1:18" x14ac:dyDescent="0.25">
      <c r="A1373" s="170">
        <v>45029</v>
      </c>
      <c r="B1373" s="116">
        <v>1138.5999999999999</v>
      </c>
      <c r="C1373" s="116">
        <v>1129.3499999999999</v>
      </c>
      <c r="D1373" s="116">
        <v>1123.05</v>
      </c>
      <c r="E1373" s="116">
        <v>1127.3499999999999</v>
      </c>
      <c r="F1373" s="116">
        <v>1129.3499999999999</v>
      </c>
      <c r="G1373">
        <v>18514</v>
      </c>
      <c r="H1373" s="116"/>
      <c r="I1373" s="116"/>
      <c r="L1373" s="170">
        <v>45029</v>
      </c>
      <c r="M1373" s="116">
        <v>1130.25</v>
      </c>
      <c r="N1373" s="116">
        <v>1139</v>
      </c>
      <c r="O1373" s="116">
        <v>1123.5</v>
      </c>
      <c r="P1373" s="116">
        <v>1126.8499999999999</v>
      </c>
      <c r="Q1373" s="116">
        <v>1130.25</v>
      </c>
      <c r="R1373">
        <v>1508398</v>
      </c>
    </row>
    <row r="1374" spans="1:18" x14ac:dyDescent="0.25">
      <c r="A1374" s="170">
        <v>45033</v>
      </c>
      <c r="B1374" s="116">
        <v>1150.75</v>
      </c>
      <c r="C1374" s="116">
        <v>1145.1500000000001</v>
      </c>
      <c r="D1374" s="116">
        <v>1122</v>
      </c>
      <c r="E1374" s="116">
        <v>1129.3499999999999</v>
      </c>
      <c r="F1374" s="116">
        <v>1145.1500000000001</v>
      </c>
      <c r="G1374">
        <v>8428</v>
      </c>
      <c r="H1374" s="116"/>
      <c r="I1374" s="116"/>
      <c r="L1374" s="170">
        <v>45033</v>
      </c>
      <c r="M1374" s="116">
        <v>1145.3499999999999</v>
      </c>
      <c r="N1374" s="116">
        <v>1150.75</v>
      </c>
      <c r="O1374" s="116">
        <v>1119</v>
      </c>
      <c r="P1374" s="116">
        <v>1120</v>
      </c>
      <c r="Q1374" s="116">
        <v>1145.3499999999999</v>
      </c>
      <c r="R1374">
        <v>1053536</v>
      </c>
    </row>
    <row r="1375" spans="1:18" x14ac:dyDescent="0.25">
      <c r="A1375" s="170">
        <v>45034</v>
      </c>
      <c r="B1375" s="116">
        <v>1152.6500000000001</v>
      </c>
      <c r="C1375" s="116">
        <v>1146.0999999999999</v>
      </c>
      <c r="D1375" s="116">
        <v>1137.05</v>
      </c>
      <c r="E1375" s="116">
        <v>1137.05</v>
      </c>
      <c r="F1375" s="116">
        <v>1146.0999999999999</v>
      </c>
      <c r="G1375">
        <v>12035</v>
      </c>
      <c r="H1375" s="116"/>
      <c r="I1375" s="116"/>
      <c r="L1375" s="170">
        <v>45034</v>
      </c>
      <c r="M1375" s="116">
        <v>1145.55</v>
      </c>
      <c r="N1375" s="116">
        <v>1153.3</v>
      </c>
      <c r="O1375" s="116">
        <v>1140.0999999999999</v>
      </c>
      <c r="P1375" s="116">
        <v>1145.3499999999999</v>
      </c>
      <c r="Q1375" s="116">
        <v>1145.55</v>
      </c>
      <c r="R1375">
        <v>521013</v>
      </c>
    </row>
    <row r="1376" spans="1:18" x14ac:dyDescent="0.25">
      <c r="A1376" s="170">
        <v>45035</v>
      </c>
      <c r="B1376" s="116">
        <v>1148.95</v>
      </c>
      <c r="C1376" s="116">
        <v>1122.25</v>
      </c>
      <c r="D1376" s="116">
        <v>1120.55</v>
      </c>
      <c r="E1376" s="116">
        <v>1148.95</v>
      </c>
      <c r="F1376" s="116">
        <v>1122.25</v>
      </c>
      <c r="G1376">
        <v>16620</v>
      </c>
      <c r="H1376" s="116"/>
      <c r="I1376" s="116"/>
      <c r="L1376" s="170">
        <v>45035</v>
      </c>
      <c r="M1376" s="116">
        <v>1123.4000000000001</v>
      </c>
      <c r="N1376" s="116">
        <v>1145.25</v>
      </c>
      <c r="O1376" s="116">
        <v>1120.5</v>
      </c>
      <c r="P1376" s="116">
        <v>1140</v>
      </c>
      <c r="Q1376" s="116">
        <v>1123.4000000000001</v>
      </c>
      <c r="R1376">
        <v>1033060</v>
      </c>
    </row>
    <row r="1377" spans="1:18" x14ac:dyDescent="0.25">
      <c r="A1377" s="170">
        <v>45036</v>
      </c>
      <c r="B1377" s="116">
        <v>1132</v>
      </c>
      <c r="C1377" s="116">
        <v>1128.2</v>
      </c>
      <c r="D1377" s="116">
        <v>1113</v>
      </c>
      <c r="E1377" s="116">
        <v>1123</v>
      </c>
      <c r="F1377" s="116">
        <v>1128.2</v>
      </c>
      <c r="G1377">
        <v>21376</v>
      </c>
      <c r="H1377" s="116"/>
      <c r="I1377" s="116"/>
      <c r="L1377" s="170">
        <v>45036</v>
      </c>
      <c r="M1377" s="116">
        <v>1128.8499999999999</v>
      </c>
      <c r="N1377" s="116">
        <v>1131.8</v>
      </c>
      <c r="O1377" s="116">
        <v>1112.5</v>
      </c>
      <c r="P1377" s="116">
        <v>1123.4000000000001</v>
      </c>
      <c r="Q1377" s="116">
        <v>1128.8499999999999</v>
      </c>
      <c r="R1377">
        <v>663526</v>
      </c>
    </row>
    <row r="1378" spans="1:18" x14ac:dyDescent="0.25">
      <c r="A1378" s="170">
        <v>45037</v>
      </c>
      <c r="B1378" s="116">
        <v>1139.8</v>
      </c>
      <c r="C1378" s="116">
        <v>1106.5</v>
      </c>
      <c r="D1378" s="116">
        <v>1104</v>
      </c>
      <c r="E1378" s="116">
        <v>1138</v>
      </c>
      <c r="F1378" s="116">
        <v>1106.5</v>
      </c>
      <c r="G1378">
        <v>21017</v>
      </c>
      <c r="H1378" s="116"/>
      <c r="I1378" s="116"/>
      <c r="L1378" s="170">
        <v>45037</v>
      </c>
      <c r="M1378" s="116">
        <v>1106.55</v>
      </c>
      <c r="N1378" s="116">
        <v>1136.5999999999999</v>
      </c>
      <c r="O1378" s="116">
        <v>1103.3499999999999</v>
      </c>
      <c r="P1378" s="116">
        <v>1136.5999999999999</v>
      </c>
      <c r="Q1378" s="116">
        <v>1106.55</v>
      </c>
      <c r="R1378">
        <v>835506</v>
      </c>
    </row>
    <row r="1379" spans="1:18" x14ac:dyDescent="0.25">
      <c r="A1379" s="170">
        <v>45040</v>
      </c>
      <c r="B1379" s="116">
        <v>1113.8499999999999</v>
      </c>
      <c r="C1379" s="116">
        <v>1104.5</v>
      </c>
      <c r="D1379" s="116">
        <v>1091</v>
      </c>
      <c r="E1379" s="116">
        <v>1112</v>
      </c>
      <c r="F1379" s="116">
        <v>1104.5</v>
      </c>
      <c r="G1379">
        <v>15938</v>
      </c>
      <c r="H1379" s="116"/>
      <c r="I1379" s="116"/>
      <c r="L1379" s="170">
        <v>45040</v>
      </c>
      <c r="M1379" s="116">
        <v>1105.7</v>
      </c>
      <c r="N1379" s="116">
        <v>1113.6500000000001</v>
      </c>
      <c r="O1379" s="116">
        <v>1090.5999999999999</v>
      </c>
      <c r="P1379" s="116">
        <v>1106</v>
      </c>
      <c r="Q1379" s="116">
        <v>1105.7</v>
      </c>
      <c r="R1379">
        <v>1337055</v>
      </c>
    </row>
    <row r="1380" spans="1:18" x14ac:dyDescent="0.25">
      <c r="A1380" s="170">
        <v>45041</v>
      </c>
      <c r="B1380" s="116">
        <v>1121.45</v>
      </c>
      <c r="C1380" s="116">
        <v>1104.5999999999999</v>
      </c>
      <c r="D1380" s="116">
        <v>1102.25</v>
      </c>
      <c r="E1380" s="116">
        <v>1107.95</v>
      </c>
      <c r="F1380" s="116">
        <v>1104.5999999999999</v>
      </c>
      <c r="G1380">
        <v>12024</v>
      </c>
      <c r="H1380" s="116"/>
      <c r="I1380" s="116"/>
      <c r="L1380" s="170">
        <v>45041</v>
      </c>
      <c r="M1380" s="116">
        <v>1105.8499999999999</v>
      </c>
      <c r="N1380" s="116">
        <v>1122.1500000000001</v>
      </c>
      <c r="O1380" s="116">
        <v>1101.05</v>
      </c>
      <c r="P1380" s="116">
        <v>1106</v>
      </c>
      <c r="Q1380" s="116">
        <v>1105.8499999999999</v>
      </c>
      <c r="R1380">
        <v>1099269</v>
      </c>
    </row>
    <row r="1381" spans="1:18" x14ac:dyDescent="0.25">
      <c r="A1381" s="170">
        <v>45042</v>
      </c>
      <c r="B1381" s="116">
        <v>1122.0999999999999</v>
      </c>
      <c r="C1381" s="116">
        <v>1116.95</v>
      </c>
      <c r="D1381" s="116">
        <v>1105</v>
      </c>
      <c r="E1381" s="116">
        <v>1112.9000000000001</v>
      </c>
      <c r="F1381" s="116">
        <v>1116.95</v>
      </c>
      <c r="G1381">
        <v>22103</v>
      </c>
      <c r="H1381" s="116"/>
      <c r="I1381" s="116"/>
      <c r="L1381" s="170">
        <v>45042</v>
      </c>
      <c r="M1381" s="116">
        <v>1118.3</v>
      </c>
      <c r="N1381" s="116">
        <v>1122</v>
      </c>
      <c r="O1381" s="116">
        <v>1104</v>
      </c>
      <c r="P1381" s="116">
        <v>1106</v>
      </c>
      <c r="Q1381" s="116">
        <v>1118.3</v>
      </c>
      <c r="R1381">
        <v>993607</v>
      </c>
    </row>
    <row r="1382" spans="1:18" x14ac:dyDescent="0.25">
      <c r="A1382" s="170">
        <v>45043</v>
      </c>
      <c r="B1382" s="116">
        <v>1145.5</v>
      </c>
      <c r="C1382" s="116">
        <v>1138.95</v>
      </c>
      <c r="D1382" s="116">
        <v>1125.45</v>
      </c>
      <c r="E1382" s="116">
        <v>1135.0999999999999</v>
      </c>
      <c r="F1382" s="116">
        <v>1138.95</v>
      </c>
      <c r="G1382">
        <v>44320</v>
      </c>
      <c r="H1382" s="116"/>
      <c r="I1382" s="116"/>
      <c r="L1382" s="170">
        <v>45043</v>
      </c>
      <c r="M1382" s="116">
        <v>1137.05</v>
      </c>
      <c r="N1382" s="116">
        <v>1145</v>
      </c>
      <c r="O1382" s="116">
        <v>1125</v>
      </c>
      <c r="P1382" s="116">
        <v>1138.75</v>
      </c>
      <c r="Q1382" s="116">
        <v>1137.05</v>
      </c>
      <c r="R1382">
        <v>1895316</v>
      </c>
    </row>
    <row r="1383" spans="1:18" x14ac:dyDescent="0.25">
      <c r="A1383" s="170">
        <v>45044</v>
      </c>
      <c r="B1383" s="116">
        <v>1159.95</v>
      </c>
      <c r="C1383" s="116">
        <v>1138.5999999999999</v>
      </c>
      <c r="D1383" s="116">
        <v>1129.55</v>
      </c>
      <c r="E1383" s="116">
        <v>1159.95</v>
      </c>
      <c r="F1383" s="116">
        <v>1138.5999999999999</v>
      </c>
      <c r="G1383">
        <v>29152</v>
      </c>
      <c r="H1383" s="116"/>
      <c r="I1383" s="116"/>
      <c r="L1383" s="170">
        <v>45044</v>
      </c>
      <c r="M1383" s="116">
        <v>1140.0999999999999</v>
      </c>
      <c r="N1383" s="116">
        <v>1148</v>
      </c>
      <c r="O1383" s="116">
        <v>1130.1500000000001</v>
      </c>
      <c r="P1383" s="116">
        <v>1148</v>
      </c>
      <c r="Q1383" s="116">
        <v>1140.0999999999999</v>
      </c>
      <c r="R1383">
        <v>1380448</v>
      </c>
    </row>
    <row r="1384" spans="1:18" x14ac:dyDescent="0.25">
      <c r="A1384" s="170">
        <v>45048</v>
      </c>
      <c r="B1384" s="116">
        <v>1157.95</v>
      </c>
      <c r="C1384" s="116">
        <v>1151.2</v>
      </c>
      <c r="D1384" s="116">
        <v>1144.7</v>
      </c>
      <c r="E1384" s="116">
        <v>1145.05</v>
      </c>
      <c r="F1384" s="116">
        <v>1151.2</v>
      </c>
      <c r="G1384">
        <v>15170</v>
      </c>
      <c r="H1384" s="116"/>
      <c r="I1384" s="116"/>
      <c r="L1384" s="170">
        <v>45048</v>
      </c>
      <c r="M1384" s="116">
        <v>1150.9000000000001</v>
      </c>
      <c r="N1384" s="116">
        <v>1158.25</v>
      </c>
      <c r="O1384" s="116">
        <v>1144.3499999999999</v>
      </c>
      <c r="P1384" s="116">
        <v>1147</v>
      </c>
      <c r="Q1384" s="116">
        <v>1150.9000000000001</v>
      </c>
      <c r="R1384">
        <v>916515</v>
      </c>
    </row>
    <row r="1385" spans="1:18" x14ac:dyDescent="0.25">
      <c r="A1385" s="170">
        <v>45049</v>
      </c>
      <c r="B1385" s="116">
        <v>1150.75</v>
      </c>
      <c r="C1385" s="116">
        <v>1137.0999999999999</v>
      </c>
      <c r="D1385" s="116">
        <v>1134.0999999999999</v>
      </c>
      <c r="E1385" s="116">
        <v>1140.05</v>
      </c>
      <c r="F1385" s="116">
        <v>1137.0999999999999</v>
      </c>
      <c r="G1385">
        <v>10252</v>
      </c>
      <c r="H1385" s="116"/>
      <c r="I1385" s="116"/>
      <c r="L1385" s="170">
        <v>45049</v>
      </c>
      <c r="M1385" s="116">
        <v>1136.9000000000001</v>
      </c>
      <c r="N1385" s="116">
        <v>1150.0999999999999</v>
      </c>
      <c r="O1385" s="116">
        <v>1134.3</v>
      </c>
      <c r="P1385" s="116">
        <v>1148.5</v>
      </c>
      <c r="Q1385" s="116">
        <v>1136.9000000000001</v>
      </c>
      <c r="R1385">
        <v>623440</v>
      </c>
    </row>
    <row r="1386" spans="1:18" x14ac:dyDescent="0.25">
      <c r="A1386" s="170">
        <v>45050</v>
      </c>
      <c r="B1386" s="116">
        <v>1169.9000000000001</v>
      </c>
      <c r="C1386" s="116">
        <v>1167.7</v>
      </c>
      <c r="D1386" s="116">
        <v>1130.2</v>
      </c>
      <c r="E1386" s="116">
        <v>1130.2</v>
      </c>
      <c r="F1386" s="116">
        <v>1167.7</v>
      </c>
      <c r="G1386">
        <v>48179</v>
      </c>
      <c r="H1386" s="116"/>
      <c r="I1386" s="116"/>
      <c r="L1386" s="170">
        <v>45050</v>
      </c>
      <c r="M1386" s="116">
        <v>1167.45</v>
      </c>
      <c r="N1386" s="116">
        <v>1169.9000000000001</v>
      </c>
      <c r="O1386" s="116">
        <v>1136.95</v>
      </c>
      <c r="P1386" s="116">
        <v>1136.95</v>
      </c>
      <c r="Q1386" s="116">
        <v>1167.45</v>
      </c>
      <c r="R1386">
        <v>2409910</v>
      </c>
    </row>
    <row r="1387" spans="1:18" x14ac:dyDescent="0.25">
      <c r="A1387" s="170">
        <v>45051</v>
      </c>
      <c r="B1387" s="116">
        <v>1183</v>
      </c>
      <c r="C1387" s="116">
        <v>1173.55</v>
      </c>
      <c r="D1387" s="116">
        <v>1169</v>
      </c>
      <c r="E1387" s="116">
        <v>1177.9000000000001</v>
      </c>
      <c r="F1387" s="116">
        <v>1173.55</v>
      </c>
      <c r="G1387">
        <v>29546</v>
      </c>
      <c r="H1387" s="116"/>
      <c r="I1387" s="116"/>
      <c r="L1387" s="170">
        <v>45051</v>
      </c>
      <c r="M1387" s="116">
        <v>1173.7</v>
      </c>
      <c r="N1387" s="116">
        <v>1183.25</v>
      </c>
      <c r="O1387" s="116">
        <v>1167.5</v>
      </c>
      <c r="P1387" s="116">
        <v>1172</v>
      </c>
      <c r="Q1387" s="116">
        <v>1173.7</v>
      </c>
      <c r="R1387">
        <v>1360996</v>
      </c>
    </row>
    <row r="1388" spans="1:18" x14ac:dyDescent="0.25">
      <c r="A1388" s="170">
        <v>45054</v>
      </c>
      <c r="B1388" s="116">
        <v>1184.3499999999999</v>
      </c>
      <c r="C1388" s="116">
        <v>1182.95</v>
      </c>
      <c r="D1388" s="116">
        <v>1168.05</v>
      </c>
      <c r="E1388" s="116">
        <v>1175</v>
      </c>
      <c r="F1388" s="116">
        <v>1182.95</v>
      </c>
      <c r="G1388">
        <v>11959</v>
      </c>
      <c r="H1388" s="116"/>
      <c r="I1388" s="116"/>
      <c r="L1388" s="170">
        <v>45054</v>
      </c>
      <c r="M1388" s="116">
        <v>1182.3499999999999</v>
      </c>
      <c r="N1388" s="116">
        <v>1185.7</v>
      </c>
      <c r="O1388" s="116">
        <v>1168</v>
      </c>
      <c r="P1388" s="116">
        <v>1178</v>
      </c>
      <c r="Q1388" s="116">
        <v>1182.3499999999999</v>
      </c>
      <c r="R1388">
        <v>1221625</v>
      </c>
    </row>
    <row r="1389" spans="1:18" x14ac:dyDescent="0.25">
      <c r="A1389" s="170">
        <v>45055</v>
      </c>
      <c r="B1389" s="116">
        <v>1189.6500000000001</v>
      </c>
      <c r="C1389" s="116">
        <v>1183.3499999999999</v>
      </c>
      <c r="D1389" s="116">
        <v>1166.9000000000001</v>
      </c>
      <c r="E1389" s="116">
        <v>1166.9000000000001</v>
      </c>
      <c r="F1389" s="116">
        <v>1183.3499999999999</v>
      </c>
      <c r="G1389">
        <v>21087</v>
      </c>
      <c r="H1389" s="116"/>
      <c r="I1389" s="116"/>
      <c r="L1389" s="170">
        <v>45055</v>
      </c>
      <c r="M1389" s="116">
        <v>1183.1500000000001</v>
      </c>
      <c r="N1389" s="116">
        <v>1189.95</v>
      </c>
      <c r="O1389" s="116">
        <v>1176.9000000000001</v>
      </c>
      <c r="P1389" s="116">
        <v>1183.95</v>
      </c>
      <c r="Q1389" s="116">
        <v>1183.1500000000001</v>
      </c>
      <c r="R1389">
        <v>1412254</v>
      </c>
    </row>
    <row r="1390" spans="1:18" x14ac:dyDescent="0.25">
      <c r="A1390" s="170">
        <v>45056</v>
      </c>
      <c r="B1390" s="116">
        <v>1194.95</v>
      </c>
      <c r="C1390" s="116">
        <v>1188.25</v>
      </c>
      <c r="D1390" s="116">
        <v>1181.3499999999999</v>
      </c>
      <c r="E1390" s="116">
        <v>1185</v>
      </c>
      <c r="F1390" s="116">
        <v>1188.25</v>
      </c>
      <c r="G1390">
        <v>16245</v>
      </c>
      <c r="H1390" s="116"/>
      <c r="I1390" s="116"/>
      <c r="L1390" s="170">
        <v>45056</v>
      </c>
      <c r="M1390" s="116">
        <v>1188.8</v>
      </c>
      <c r="N1390" s="116">
        <v>1195</v>
      </c>
      <c r="O1390" s="116">
        <v>1181.3499999999999</v>
      </c>
      <c r="P1390" s="116">
        <v>1184.4000000000001</v>
      </c>
      <c r="Q1390" s="116">
        <v>1188.8</v>
      </c>
      <c r="R1390">
        <v>1420187</v>
      </c>
    </row>
    <row r="1391" spans="1:18" x14ac:dyDescent="0.25">
      <c r="A1391" s="170">
        <v>45057</v>
      </c>
      <c r="B1391" s="116">
        <v>1195.95</v>
      </c>
      <c r="C1391" s="116">
        <v>1184.1500000000001</v>
      </c>
      <c r="D1391" s="116">
        <v>1179.2</v>
      </c>
      <c r="E1391" s="116">
        <v>1193.9000000000001</v>
      </c>
      <c r="F1391" s="116">
        <v>1184.1500000000001</v>
      </c>
      <c r="G1391">
        <v>9404</v>
      </c>
      <c r="H1391" s="116"/>
      <c r="I1391" s="116"/>
      <c r="L1391" s="170">
        <v>45057</v>
      </c>
      <c r="M1391" s="116">
        <v>1185.4000000000001</v>
      </c>
      <c r="N1391" s="116">
        <v>1195.8</v>
      </c>
      <c r="O1391" s="116">
        <v>1179.05</v>
      </c>
      <c r="P1391" s="116">
        <v>1189.0999999999999</v>
      </c>
      <c r="Q1391" s="116">
        <v>1185.4000000000001</v>
      </c>
      <c r="R1391">
        <v>621616</v>
      </c>
    </row>
    <row r="1392" spans="1:18" x14ac:dyDescent="0.25">
      <c r="A1392" s="170">
        <v>45058</v>
      </c>
      <c r="B1392" s="116">
        <v>1192.9000000000001</v>
      </c>
      <c r="C1392" s="116">
        <v>1185.8</v>
      </c>
      <c r="D1392" s="116">
        <v>1173.8</v>
      </c>
      <c r="E1392" s="116">
        <v>1184.1500000000001</v>
      </c>
      <c r="F1392" s="116">
        <v>1185.8</v>
      </c>
      <c r="G1392">
        <v>10708</v>
      </c>
      <c r="H1392" s="116"/>
      <c r="I1392" s="116"/>
      <c r="L1392" s="170">
        <v>45058</v>
      </c>
      <c r="M1392" s="116">
        <v>1187.05</v>
      </c>
      <c r="N1392" s="116">
        <v>1193.95</v>
      </c>
      <c r="O1392" s="116">
        <v>1174</v>
      </c>
      <c r="P1392" s="116">
        <v>1180</v>
      </c>
      <c r="Q1392" s="116">
        <v>1187.05</v>
      </c>
      <c r="R1392">
        <v>1158276</v>
      </c>
    </row>
    <row r="1393" spans="1:18" x14ac:dyDescent="0.25">
      <c r="A1393" s="170">
        <v>45061</v>
      </c>
      <c r="B1393" s="116">
        <v>1194.4000000000001</v>
      </c>
      <c r="C1393" s="116">
        <v>1188.95</v>
      </c>
      <c r="D1393" s="116">
        <v>1182.8499999999999</v>
      </c>
      <c r="E1393" s="116">
        <v>1185.75</v>
      </c>
      <c r="F1393" s="116">
        <v>1188.95</v>
      </c>
      <c r="G1393">
        <v>5161</v>
      </c>
      <c r="H1393" s="116"/>
      <c r="I1393" s="116"/>
      <c r="L1393" s="170">
        <v>45061</v>
      </c>
      <c r="M1393" s="116">
        <v>1189.45</v>
      </c>
      <c r="N1393" s="116">
        <v>1194.5</v>
      </c>
      <c r="O1393" s="116">
        <v>1181.0999999999999</v>
      </c>
      <c r="P1393" s="116">
        <v>1181.0999999999999</v>
      </c>
      <c r="Q1393" s="116">
        <v>1189.45</v>
      </c>
      <c r="R1393">
        <v>680497</v>
      </c>
    </row>
    <row r="1394" spans="1:18" x14ac:dyDescent="0.25">
      <c r="A1394" s="170">
        <v>45062</v>
      </c>
      <c r="B1394" s="116">
        <v>1200.9000000000001</v>
      </c>
      <c r="C1394" s="116">
        <v>1180.1500000000001</v>
      </c>
      <c r="D1394" s="116">
        <v>1174.8</v>
      </c>
      <c r="E1394" s="116">
        <v>1198.8</v>
      </c>
      <c r="F1394" s="116">
        <v>1180.1500000000001</v>
      </c>
      <c r="G1394">
        <v>6157</v>
      </c>
      <c r="H1394" s="116"/>
      <c r="I1394" s="116"/>
      <c r="L1394" s="170">
        <v>45062</v>
      </c>
      <c r="M1394" s="116">
        <v>1180.75</v>
      </c>
      <c r="N1394" s="116">
        <v>1201.8</v>
      </c>
      <c r="O1394" s="116">
        <v>1174.2</v>
      </c>
      <c r="P1394" s="116">
        <v>1196</v>
      </c>
      <c r="Q1394" s="116">
        <v>1180.75</v>
      </c>
      <c r="R1394">
        <v>926172</v>
      </c>
    </row>
    <row r="1395" spans="1:18" x14ac:dyDescent="0.25">
      <c r="A1395" s="170">
        <v>45063</v>
      </c>
      <c r="B1395" s="116">
        <v>1182.2</v>
      </c>
      <c r="C1395" s="116">
        <v>1162.3</v>
      </c>
      <c r="D1395" s="116">
        <v>1159.5999999999999</v>
      </c>
      <c r="E1395" s="116">
        <v>1175</v>
      </c>
      <c r="F1395" s="116">
        <v>1162.3</v>
      </c>
      <c r="G1395">
        <v>9282</v>
      </c>
      <c r="H1395" s="116"/>
      <c r="I1395" s="116"/>
      <c r="L1395" s="170">
        <v>45063</v>
      </c>
      <c r="M1395" s="116">
        <v>1162.5999999999999</v>
      </c>
      <c r="N1395" s="116">
        <v>1184.95</v>
      </c>
      <c r="O1395" s="116">
        <v>1159.2</v>
      </c>
      <c r="P1395" s="116">
        <v>1182.8</v>
      </c>
      <c r="Q1395" s="116">
        <v>1162.5999999999999</v>
      </c>
      <c r="R1395">
        <v>688730</v>
      </c>
    </row>
    <row r="1396" spans="1:18" x14ac:dyDescent="0.25">
      <c r="A1396" s="170">
        <v>45064</v>
      </c>
      <c r="B1396" s="116">
        <v>1177.95</v>
      </c>
      <c r="C1396" s="116">
        <v>1152.95</v>
      </c>
      <c r="D1396" s="116">
        <v>1150.0999999999999</v>
      </c>
      <c r="E1396" s="116">
        <v>1177.95</v>
      </c>
      <c r="F1396" s="116">
        <v>1152.95</v>
      </c>
      <c r="G1396">
        <v>7189</v>
      </c>
      <c r="H1396" s="116"/>
      <c r="I1396" s="116"/>
      <c r="L1396" s="170">
        <v>45064</v>
      </c>
      <c r="M1396" s="116">
        <v>1152.7</v>
      </c>
      <c r="N1396" s="116">
        <v>1172.8499999999999</v>
      </c>
      <c r="O1396" s="116">
        <v>1150.5</v>
      </c>
      <c r="P1396" s="116">
        <v>1162.5999999999999</v>
      </c>
      <c r="Q1396" s="116">
        <v>1152.7</v>
      </c>
      <c r="R1396">
        <v>1133501</v>
      </c>
    </row>
    <row r="1397" spans="1:18" x14ac:dyDescent="0.25">
      <c r="A1397" s="170">
        <v>45065</v>
      </c>
      <c r="B1397" s="116">
        <v>1165.95</v>
      </c>
      <c r="C1397" s="116">
        <v>1152.0999999999999</v>
      </c>
      <c r="D1397" s="116">
        <v>1142.8</v>
      </c>
      <c r="E1397" s="116">
        <v>1165.95</v>
      </c>
      <c r="F1397" s="116">
        <v>1152.0999999999999</v>
      </c>
      <c r="G1397">
        <v>13506</v>
      </c>
      <c r="H1397" s="116"/>
      <c r="I1397" s="116"/>
      <c r="L1397" s="170">
        <v>45065</v>
      </c>
      <c r="M1397" s="116">
        <v>1154.1500000000001</v>
      </c>
      <c r="N1397" s="116">
        <v>1157.7</v>
      </c>
      <c r="O1397" s="116">
        <v>1142.55</v>
      </c>
      <c r="P1397" s="116">
        <v>1152.7</v>
      </c>
      <c r="Q1397" s="116">
        <v>1154.1500000000001</v>
      </c>
      <c r="R1397">
        <v>333053</v>
      </c>
    </row>
    <row r="1398" spans="1:18" x14ac:dyDescent="0.25">
      <c r="A1398" s="170">
        <v>45068</v>
      </c>
      <c r="B1398" s="116">
        <v>1158.95</v>
      </c>
      <c r="C1398" s="116">
        <v>1150.8499999999999</v>
      </c>
      <c r="D1398" s="116">
        <v>1149.0999999999999</v>
      </c>
      <c r="E1398" s="116">
        <v>1154.3499999999999</v>
      </c>
      <c r="F1398" s="116">
        <v>1150.8499999999999</v>
      </c>
      <c r="G1398">
        <v>6217</v>
      </c>
      <c r="H1398" s="116"/>
      <c r="I1398" s="116"/>
      <c r="L1398" s="170">
        <v>45068</v>
      </c>
      <c r="M1398" s="116">
        <v>1150.8</v>
      </c>
      <c r="N1398" s="116">
        <v>1159.9000000000001</v>
      </c>
      <c r="O1398" s="116">
        <v>1149.2</v>
      </c>
      <c r="P1398" s="116">
        <v>1157.45</v>
      </c>
      <c r="Q1398" s="116">
        <v>1150.8</v>
      </c>
      <c r="R1398">
        <v>392404</v>
      </c>
    </row>
    <row r="1399" spans="1:18" x14ac:dyDescent="0.25">
      <c r="A1399" s="170">
        <v>45069</v>
      </c>
      <c r="B1399" s="116">
        <v>1167.5</v>
      </c>
      <c r="C1399" s="116">
        <v>1165.25</v>
      </c>
      <c r="D1399" s="116">
        <v>1145.4000000000001</v>
      </c>
      <c r="E1399" s="116">
        <v>1150.8</v>
      </c>
      <c r="F1399" s="116">
        <v>1165.25</v>
      </c>
      <c r="G1399">
        <v>14942</v>
      </c>
      <c r="H1399" s="116"/>
      <c r="I1399" s="116"/>
      <c r="L1399" s="170">
        <v>45069</v>
      </c>
      <c r="M1399" s="116">
        <v>1165.5999999999999</v>
      </c>
      <c r="N1399" s="116">
        <v>1167.8499999999999</v>
      </c>
      <c r="O1399" s="116">
        <v>1144.8499999999999</v>
      </c>
      <c r="P1399" s="116">
        <v>1147</v>
      </c>
      <c r="Q1399" s="116">
        <v>1165.5999999999999</v>
      </c>
      <c r="R1399">
        <v>1139676</v>
      </c>
    </row>
    <row r="1400" spans="1:18" x14ac:dyDescent="0.25">
      <c r="A1400" s="170">
        <v>45070</v>
      </c>
      <c r="B1400" s="116">
        <v>1176.95</v>
      </c>
      <c r="C1400" s="116">
        <v>1174.45</v>
      </c>
      <c r="D1400" s="116">
        <v>1159.9000000000001</v>
      </c>
      <c r="E1400" s="116">
        <v>1165.3</v>
      </c>
      <c r="F1400" s="116">
        <v>1174.45</v>
      </c>
      <c r="G1400">
        <v>8550</v>
      </c>
      <c r="H1400" s="116"/>
      <c r="I1400" s="116"/>
      <c r="L1400" s="170">
        <v>45070</v>
      </c>
      <c r="M1400" s="116">
        <v>1175.3499999999999</v>
      </c>
      <c r="N1400" s="116">
        <v>1177.1500000000001</v>
      </c>
      <c r="O1400" s="116">
        <v>1158.8</v>
      </c>
      <c r="P1400" s="116">
        <v>1169.5</v>
      </c>
      <c r="Q1400" s="116">
        <v>1175.3499999999999</v>
      </c>
      <c r="R1400">
        <v>995336</v>
      </c>
    </row>
    <row r="1401" spans="1:18" x14ac:dyDescent="0.25">
      <c r="A1401" s="170">
        <v>45071</v>
      </c>
      <c r="B1401" s="116">
        <v>1182</v>
      </c>
      <c r="C1401" s="116">
        <v>1177.8</v>
      </c>
      <c r="D1401" s="116">
        <v>1165.0999999999999</v>
      </c>
      <c r="E1401" s="116">
        <v>1165.0999999999999</v>
      </c>
      <c r="F1401" s="116">
        <v>1177.8</v>
      </c>
      <c r="G1401">
        <v>4498</v>
      </c>
      <c r="H1401" s="116"/>
      <c r="I1401" s="116"/>
      <c r="L1401" s="170">
        <v>45071</v>
      </c>
      <c r="M1401" s="116">
        <v>1177.3499999999999</v>
      </c>
      <c r="N1401" s="116">
        <v>1182</v>
      </c>
      <c r="O1401" s="116">
        <v>1171.5</v>
      </c>
      <c r="P1401" s="116">
        <v>1175.3499999999999</v>
      </c>
      <c r="Q1401" s="116">
        <v>1177.3499999999999</v>
      </c>
      <c r="R1401">
        <v>1136179</v>
      </c>
    </row>
    <row r="1402" spans="1:18" x14ac:dyDescent="0.25">
      <c r="A1402" s="170">
        <v>45072</v>
      </c>
      <c r="B1402" s="116">
        <v>1203.75</v>
      </c>
      <c r="C1402" s="116">
        <v>1196.0999999999999</v>
      </c>
      <c r="D1402" s="116">
        <v>1176.55</v>
      </c>
      <c r="E1402" s="116">
        <v>1176.95</v>
      </c>
      <c r="F1402" s="116">
        <v>1196.0999999999999</v>
      </c>
      <c r="G1402">
        <v>26444</v>
      </c>
      <c r="H1402" s="116"/>
      <c r="I1402" s="116"/>
      <c r="L1402" s="170">
        <v>45072</v>
      </c>
      <c r="M1402" s="116">
        <v>1195.75</v>
      </c>
      <c r="N1402" s="116">
        <v>1203.7</v>
      </c>
      <c r="O1402" s="116">
        <v>1173.1500000000001</v>
      </c>
      <c r="P1402" s="116">
        <v>1175</v>
      </c>
      <c r="Q1402" s="116">
        <v>1195.75</v>
      </c>
      <c r="R1402">
        <v>703725</v>
      </c>
    </row>
    <row r="1403" spans="1:18" x14ac:dyDescent="0.25">
      <c r="A1403" s="170">
        <v>45075</v>
      </c>
      <c r="B1403" s="116">
        <v>1231.8</v>
      </c>
      <c r="C1403" s="116">
        <v>1217.05</v>
      </c>
      <c r="D1403" s="116">
        <v>1196.2</v>
      </c>
      <c r="E1403" s="116">
        <v>1196.2</v>
      </c>
      <c r="F1403" s="116">
        <v>1217.05</v>
      </c>
      <c r="G1403">
        <v>39814</v>
      </c>
      <c r="H1403" s="116"/>
      <c r="I1403" s="116"/>
      <c r="L1403" s="170">
        <v>45075</v>
      </c>
      <c r="M1403" s="116">
        <v>1218.0999999999999</v>
      </c>
      <c r="N1403" s="116">
        <v>1231.9000000000001</v>
      </c>
      <c r="O1403" s="116">
        <v>1197.0999999999999</v>
      </c>
      <c r="P1403" s="116">
        <v>1198.95</v>
      </c>
      <c r="Q1403" s="116">
        <v>1218.0999999999999</v>
      </c>
      <c r="R1403">
        <v>1370649</v>
      </c>
    </row>
    <row r="1404" spans="1:18" x14ac:dyDescent="0.25">
      <c r="A1404" s="170">
        <v>45076</v>
      </c>
      <c r="B1404" s="116">
        <v>1221.95</v>
      </c>
      <c r="C1404" s="116">
        <v>1215.75</v>
      </c>
      <c r="D1404" s="116">
        <v>1201.5999999999999</v>
      </c>
      <c r="E1404" s="116">
        <v>1221.95</v>
      </c>
      <c r="F1404" s="116">
        <v>1215.75</v>
      </c>
      <c r="G1404">
        <v>8412</v>
      </c>
      <c r="H1404" s="116"/>
      <c r="I1404" s="116"/>
      <c r="L1404" s="170">
        <v>45076</v>
      </c>
      <c r="M1404" s="116">
        <v>1215.9000000000001</v>
      </c>
      <c r="N1404" s="116">
        <v>1217.8</v>
      </c>
      <c r="O1404" s="116">
        <v>1200.8499999999999</v>
      </c>
      <c r="P1404" s="116">
        <v>1214.6500000000001</v>
      </c>
      <c r="Q1404" s="116">
        <v>1215.9000000000001</v>
      </c>
      <c r="R1404">
        <v>745769</v>
      </c>
    </row>
    <row r="1405" spans="1:18" x14ac:dyDescent="0.25">
      <c r="A1405" s="170">
        <v>45077</v>
      </c>
      <c r="B1405" s="116">
        <v>1239.2</v>
      </c>
      <c r="C1405" s="116">
        <v>1234.9000000000001</v>
      </c>
      <c r="D1405" s="116">
        <v>1213.05</v>
      </c>
      <c r="E1405" s="116">
        <v>1217.95</v>
      </c>
      <c r="F1405" s="116">
        <v>1234.9000000000001</v>
      </c>
      <c r="G1405">
        <v>30799</v>
      </c>
      <c r="H1405" s="116"/>
      <c r="I1405" s="116"/>
      <c r="L1405" s="170">
        <v>45077</v>
      </c>
      <c r="M1405" s="116">
        <v>1235</v>
      </c>
      <c r="N1405" s="116">
        <v>1239.6500000000001</v>
      </c>
      <c r="O1405" s="116">
        <v>1211.95</v>
      </c>
      <c r="P1405" s="116">
        <v>1215.55</v>
      </c>
      <c r="Q1405" s="116">
        <v>1235</v>
      </c>
      <c r="R1405">
        <v>2382996</v>
      </c>
    </row>
    <row r="1406" spans="1:18" x14ac:dyDescent="0.25">
      <c r="A1406" s="170">
        <v>45078</v>
      </c>
      <c r="B1406" s="116">
        <v>1267.95</v>
      </c>
      <c r="C1406" s="116">
        <v>1207.45</v>
      </c>
      <c r="D1406" s="116">
        <v>1203.95</v>
      </c>
      <c r="E1406" s="116">
        <v>1267.95</v>
      </c>
      <c r="F1406" s="116">
        <v>1207.45</v>
      </c>
      <c r="G1406">
        <v>18087</v>
      </c>
      <c r="H1406" s="116"/>
      <c r="I1406" s="116"/>
      <c r="L1406" s="170">
        <v>45078</v>
      </c>
      <c r="M1406" s="116">
        <v>1207.75</v>
      </c>
      <c r="N1406" s="116">
        <v>1243</v>
      </c>
      <c r="O1406" s="116">
        <v>1204.4000000000001</v>
      </c>
      <c r="P1406" s="116">
        <v>1241.5</v>
      </c>
      <c r="Q1406" s="116">
        <v>1207.75</v>
      </c>
      <c r="R1406">
        <v>1041761</v>
      </c>
    </row>
    <row r="1407" spans="1:18" x14ac:dyDescent="0.25">
      <c r="A1407" s="170">
        <v>45079</v>
      </c>
      <c r="B1407" s="116">
        <v>1219.8</v>
      </c>
      <c r="C1407" s="116">
        <v>1203.0999999999999</v>
      </c>
      <c r="D1407" s="116">
        <v>1199.2</v>
      </c>
      <c r="E1407" s="116">
        <v>1219.8</v>
      </c>
      <c r="F1407" s="116">
        <v>1203.0999999999999</v>
      </c>
      <c r="G1407">
        <v>17771</v>
      </c>
      <c r="H1407" s="116"/>
      <c r="I1407" s="116"/>
      <c r="L1407" s="170">
        <v>45079</v>
      </c>
      <c r="M1407" s="116">
        <v>1202.5</v>
      </c>
      <c r="N1407" s="116">
        <v>1216.2</v>
      </c>
      <c r="O1407" s="116">
        <v>1199.25</v>
      </c>
      <c r="P1407" s="116">
        <v>1211.8</v>
      </c>
      <c r="Q1407" s="116">
        <v>1202.5</v>
      </c>
      <c r="R1407">
        <v>737046</v>
      </c>
    </row>
    <row r="1408" spans="1:18" x14ac:dyDescent="0.25">
      <c r="A1408" s="170">
        <v>45082</v>
      </c>
      <c r="B1408" s="116">
        <v>1219.6500000000001</v>
      </c>
      <c r="C1408" s="116">
        <v>1214.6500000000001</v>
      </c>
      <c r="D1408" s="116">
        <v>1205.95</v>
      </c>
      <c r="E1408" s="116">
        <v>1209.95</v>
      </c>
      <c r="F1408" s="116">
        <v>1214.6500000000001</v>
      </c>
      <c r="G1408">
        <v>18666</v>
      </c>
      <c r="H1408" s="116"/>
      <c r="I1408" s="116"/>
      <c r="L1408" s="170">
        <v>45082</v>
      </c>
      <c r="M1408" s="116">
        <v>1215.4000000000001</v>
      </c>
      <c r="N1408" s="116">
        <v>1219</v>
      </c>
      <c r="O1408" s="116">
        <v>1205</v>
      </c>
      <c r="P1408" s="116">
        <v>1208</v>
      </c>
      <c r="Q1408" s="116">
        <v>1215.4000000000001</v>
      </c>
      <c r="R1408">
        <v>1599077</v>
      </c>
    </row>
    <row r="1409" spans="1:18" x14ac:dyDescent="0.25">
      <c r="A1409" s="170">
        <v>45083</v>
      </c>
      <c r="B1409" s="116">
        <v>1225</v>
      </c>
      <c r="C1409" s="116">
        <v>1223</v>
      </c>
      <c r="D1409" s="116">
        <v>1210.2</v>
      </c>
      <c r="E1409" s="116">
        <v>1215.05</v>
      </c>
      <c r="F1409" s="116">
        <v>1223</v>
      </c>
      <c r="G1409">
        <v>6736</v>
      </c>
      <c r="H1409" s="116"/>
      <c r="I1409" s="116"/>
      <c r="L1409" s="170">
        <v>45083</v>
      </c>
      <c r="M1409" s="116">
        <v>1223</v>
      </c>
      <c r="N1409" s="116">
        <v>1225</v>
      </c>
      <c r="O1409" s="116">
        <v>1210.0999999999999</v>
      </c>
      <c r="P1409" s="116">
        <v>1219.8499999999999</v>
      </c>
      <c r="Q1409" s="116">
        <v>1223</v>
      </c>
      <c r="R1409">
        <v>793761</v>
      </c>
    </row>
    <row r="1410" spans="1:18" x14ac:dyDescent="0.25">
      <c r="A1410" s="170">
        <v>45084</v>
      </c>
      <c r="B1410" s="116">
        <v>1248</v>
      </c>
      <c r="C1410" s="116">
        <v>1245.5</v>
      </c>
      <c r="D1410" s="116">
        <v>1215.05</v>
      </c>
      <c r="E1410" s="116">
        <v>1215.05</v>
      </c>
      <c r="F1410" s="116">
        <v>1245.5</v>
      </c>
      <c r="G1410">
        <v>30112</v>
      </c>
      <c r="H1410" s="116"/>
      <c r="I1410" s="116"/>
      <c r="L1410" s="170">
        <v>45084</v>
      </c>
      <c r="M1410" s="116">
        <v>1245.8</v>
      </c>
      <c r="N1410" s="116">
        <v>1248</v>
      </c>
      <c r="O1410" s="116">
        <v>1221</v>
      </c>
      <c r="P1410" s="116">
        <v>1225.3</v>
      </c>
      <c r="Q1410" s="116">
        <v>1245.8</v>
      </c>
      <c r="R1410">
        <v>1067618</v>
      </c>
    </row>
    <row r="1411" spans="1:18" x14ac:dyDescent="0.25">
      <c r="A1411" s="170">
        <v>45085</v>
      </c>
      <c r="B1411" s="116">
        <v>1254.9000000000001</v>
      </c>
      <c r="C1411" s="116">
        <v>1237.5999999999999</v>
      </c>
      <c r="D1411" s="116">
        <v>1233.7</v>
      </c>
      <c r="E1411" s="116">
        <v>1249.95</v>
      </c>
      <c r="F1411" s="116">
        <v>1237.5999999999999</v>
      </c>
      <c r="G1411">
        <v>10497</v>
      </c>
      <c r="H1411" s="116"/>
      <c r="I1411" s="116"/>
      <c r="L1411" s="170">
        <v>45085</v>
      </c>
      <c r="M1411" s="116">
        <v>1238.9000000000001</v>
      </c>
      <c r="N1411" s="116">
        <v>1254.75</v>
      </c>
      <c r="O1411" s="116">
        <v>1234.05</v>
      </c>
      <c r="P1411" s="116">
        <v>1247.7</v>
      </c>
      <c r="Q1411" s="116">
        <v>1238.9000000000001</v>
      </c>
      <c r="R1411">
        <v>760962</v>
      </c>
    </row>
    <row r="1412" spans="1:18" x14ac:dyDescent="0.25">
      <c r="A1412" s="170">
        <v>45086</v>
      </c>
      <c r="B1412" s="116">
        <v>1253</v>
      </c>
      <c r="C1412" s="116">
        <v>1230.6500000000001</v>
      </c>
      <c r="D1412" s="116">
        <v>1206.25</v>
      </c>
      <c r="E1412" s="116">
        <v>1206.25</v>
      </c>
      <c r="F1412" s="116">
        <v>1230.6500000000001</v>
      </c>
      <c r="G1412">
        <v>13687</v>
      </c>
      <c r="H1412" s="116"/>
      <c r="I1412" s="116"/>
      <c r="L1412" s="170">
        <v>45086</v>
      </c>
      <c r="M1412" s="116">
        <v>1232.4000000000001</v>
      </c>
      <c r="N1412" s="116">
        <v>1253.5999999999999</v>
      </c>
      <c r="O1412" s="116">
        <v>1227.5</v>
      </c>
      <c r="P1412" s="116">
        <v>1227.5999999999999</v>
      </c>
      <c r="Q1412" s="116">
        <v>1232.4000000000001</v>
      </c>
      <c r="R1412">
        <v>1904738</v>
      </c>
    </row>
    <row r="1413" spans="1:18" x14ac:dyDescent="0.25">
      <c r="A1413" s="170">
        <v>45089</v>
      </c>
      <c r="B1413" s="116">
        <v>1255</v>
      </c>
      <c r="C1413" s="116">
        <v>1239.45</v>
      </c>
      <c r="D1413" s="116">
        <v>1235.25</v>
      </c>
      <c r="E1413" s="116">
        <v>1236.05</v>
      </c>
      <c r="F1413" s="116">
        <v>1239.45</v>
      </c>
      <c r="G1413">
        <v>42153</v>
      </c>
      <c r="H1413" s="116"/>
      <c r="I1413" s="116"/>
      <c r="L1413" s="170">
        <v>45089</v>
      </c>
      <c r="M1413" s="116">
        <v>1238.9000000000001</v>
      </c>
      <c r="N1413" s="116">
        <v>1256.3</v>
      </c>
      <c r="O1413" s="116">
        <v>1234.8499999999999</v>
      </c>
      <c r="P1413" s="116">
        <v>1242.2</v>
      </c>
      <c r="Q1413" s="116">
        <v>1238.9000000000001</v>
      </c>
      <c r="R1413">
        <v>1402903</v>
      </c>
    </row>
    <row r="1414" spans="1:18" x14ac:dyDescent="0.25">
      <c r="A1414" s="170">
        <v>45090</v>
      </c>
      <c r="B1414" s="116">
        <v>1248.75</v>
      </c>
      <c r="C1414" s="116">
        <v>1243.05</v>
      </c>
      <c r="D1414" s="116">
        <v>1235.05</v>
      </c>
      <c r="E1414" s="116">
        <v>1235.05</v>
      </c>
      <c r="F1414" s="116">
        <v>1243.05</v>
      </c>
      <c r="G1414">
        <v>12686</v>
      </c>
      <c r="H1414" s="116"/>
      <c r="I1414" s="116"/>
      <c r="L1414" s="170">
        <v>45090</v>
      </c>
      <c r="M1414" s="116">
        <v>1243.3</v>
      </c>
      <c r="N1414" s="116">
        <v>1248.8</v>
      </c>
      <c r="O1414" s="116">
        <v>1238</v>
      </c>
      <c r="P1414" s="116">
        <v>1238</v>
      </c>
      <c r="Q1414" s="116">
        <v>1243.3</v>
      </c>
      <c r="R1414">
        <v>1253147</v>
      </c>
    </row>
    <row r="1415" spans="1:18" x14ac:dyDescent="0.25">
      <c r="A1415" s="170">
        <v>45091</v>
      </c>
      <c r="B1415" s="116">
        <v>1253</v>
      </c>
      <c r="C1415" s="116">
        <v>1241.55</v>
      </c>
      <c r="D1415" s="116">
        <v>1228.45</v>
      </c>
      <c r="E1415" s="116">
        <v>1235.05</v>
      </c>
      <c r="F1415" s="116">
        <v>1241.55</v>
      </c>
      <c r="G1415">
        <v>7287</v>
      </c>
      <c r="H1415" s="116"/>
      <c r="I1415" s="116"/>
      <c r="L1415" s="170">
        <v>45091</v>
      </c>
      <c r="M1415" s="116">
        <v>1242.3</v>
      </c>
      <c r="N1415" s="116">
        <v>1254.95</v>
      </c>
      <c r="O1415" s="116">
        <v>1227.6500000000001</v>
      </c>
      <c r="P1415" s="116">
        <v>1240.0999999999999</v>
      </c>
      <c r="Q1415" s="116">
        <v>1242.3</v>
      </c>
      <c r="R1415">
        <v>713768</v>
      </c>
    </row>
    <row r="1416" spans="1:18" x14ac:dyDescent="0.25">
      <c r="A1416" s="170">
        <v>45092</v>
      </c>
      <c r="B1416" s="116">
        <v>1250.4000000000001</v>
      </c>
      <c r="C1416" s="116">
        <v>1241.0999999999999</v>
      </c>
      <c r="D1416" s="116">
        <v>1231.6500000000001</v>
      </c>
      <c r="E1416" s="116">
        <v>1231.6500000000001</v>
      </c>
      <c r="F1416" s="116">
        <v>1241.0999999999999</v>
      </c>
      <c r="G1416">
        <v>6513</v>
      </c>
      <c r="H1416" s="116"/>
      <c r="I1416" s="116"/>
      <c r="L1416" s="170">
        <v>45092</v>
      </c>
      <c r="M1416" s="116">
        <v>1241.0999999999999</v>
      </c>
      <c r="N1416" s="116">
        <v>1250.5999999999999</v>
      </c>
      <c r="O1416" s="116">
        <v>1236.45</v>
      </c>
      <c r="P1416" s="116">
        <v>1245</v>
      </c>
      <c r="Q1416" s="116">
        <v>1241.0999999999999</v>
      </c>
      <c r="R1416">
        <v>738348</v>
      </c>
    </row>
    <row r="1417" spans="1:18" x14ac:dyDescent="0.25">
      <c r="A1417" s="170">
        <v>45093</v>
      </c>
      <c r="B1417" s="116">
        <v>1292.5999999999999</v>
      </c>
      <c r="C1417" s="116">
        <v>1280.7</v>
      </c>
      <c r="D1417" s="116">
        <v>1235.05</v>
      </c>
      <c r="E1417" s="116">
        <v>1235.05</v>
      </c>
      <c r="F1417" s="116">
        <v>1280.7</v>
      </c>
      <c r="G1417">
        <v>47960</v>
      </c>
      <c r="H1417" s="116"/>
      <c r="I1417" s="116"/>
      <c r="L1417" s="170">
        <v>45093</v>
      </c>
      <c r="M1417" s="116">
        <v>1281.3499999999999</v>
      </c>
      <c r="N1417" s="116">
        <v>1291.95</v>
      </c>
      <c r="O1417" s="116">
        <v>1236.05</v>
      </c>
      <c r="P1417" s="116">
        <v>1241</v>
      </c>
      <c r="Q1417" s="116">
        <v>1281.3499999999999</v>
      </c>
      <c r="R1417">
        <v>2049003</v>
      </c>
    </row>
    <row r="1418" spans="1:18" x14ac:dyDescent="0.25">
      <c r="A1418" s="170">
        <v>45096</v>
      </c>
      <c r="B1418" s="116">
        <v>1288.25</v>
      </c>
      <c r="C1418" s="116">
        <v>1280.7</v>
      </c>
      <c r="D1418" s="116">
        <v>1276.75</v>
      </c>
      <c r="E1418" s="116">
        <v>1280</v>
      </c>
      <c r="F1418" s="116">
        <v>1280.7</v>
      </c>
      <c r="G1418">
        <v>15003</v>
      </c>
      <c r="H1418" s="116"/>
      <c r="I1418" s="116"/>
      <c r="L1418" s="170">
        <v>45096</v>
      </c>
      <c r="M1418" s="116">
        <v>1280.5</v>
      </c>
      <c r="N1418" s="116">
        <v>1288.1500000000001</v>
      </c>
      <c r="O1418" s="116">
        <v>1275</v>
      </c>
      <c r="P1418" s="116">
        <v>1281.3499999999999</v>
      </c>
      <c r="Q1418" s="116">
        <v>1280.5</v>
      </c>
      <c r="R1418">
        <v>741782</v>
      </c>
    </row>
    <row r="1419" spans="1:18" x14ac:dyDescent="0.25">
      <c r="A1419" s="170">
        <v>45097</v>
      </c>
      <c r="B1419" s="116">
        <v>1305.95</v>
      </c>
      <c r="C1419" s="116">
        <v>1292.2</v>
      </c>
      <c r="D1419" s="116">
        <v>1282.2</v>
      </c>
      <c r="E1419" s="116">
        <v>1288.95</v>
      </c>
      <c r="F1419" s="116">
        <v>1292.2</v>
      </c>
      <c r="G1419">
        <v>41797</v>
      </c>
      <c r="H1419" s="116"/>
      <c r="I1419" s="116"/>
      <c r="L1419" s="170">
        <v>45097</v>
      </c>
      <c r="M1419" s="116">
        <v>1295.3499999999999</v>
      </c>
      <c r="N1419" s="116">
        <v>1306.8</v>
      </c>
      <c r="O1419" s="116">
        <v>1280.5</v>
      </c>
      <c r="P1419" s="116">
        <v>1281.8499999999999</v>
      </c>
      <c r="Q1419" s="116">
        <v>1295.3499999999999</v>
      </c>
      <c r="R1419">
        <v>1474323</v>
      </c>
    </row>
    <row r="1420" spans="1:18" x14ac:dyDescent="0.25">
      <c r="A1420" s="170">
        <v>45098</v>
      </c>
      <c r="B1420" s="116">
        <v>1305.8</v>
      </c>
      <c r="C1420" s="116">
        <v>1295.2</v>
      </c>
      <c r="D1420" s="116">
        <v>1286.6500000000001</v>
      </c>
      <c r="E1420" s="116">
        <v>1292.05</v>
      </c>
      <c r="F1420" s="116">
        <v>1295.2</v>
      </c>
      <c r="G1420">
        <v>16041</v>
      </c>
      <c r="H1420" s="116"/>
      <c r="I1420" s="116"/>
      <c r="L1420" s="170">
        <v>45098</v>
      </c>
      <c r="M1420" s="116">
        <v>1294.95</v>
      </c>
      <c r="N1420" s="116">
        <v>1306.3</v>
      </c>
      <c r="O1420" s="116">
        <v>1286.25</v>
      </c>
      <c r="P1420" s="116">
        <v>1295.3499999999999</v>
      </c>
      <c r="Q1420" s="116">
        <v>1294.95</v>
      </c>
      <c r="R1420">
        <v>855234</v>
      </c>
    </row>
    <row r="1421" spans="1:18" x14ac:dyDescent="0.25">
      <c r="A1421" s="170">
        <v>45099</v>
      </c>
      <c r="B1421" s="116">
        <v>1305.45</v>
      </c>
      <c r="C1421" s="116">
        <v>1276.8</v>
      </c>
      <c r="D1421" s="116">
        <v>1272.45</v>
      </c>
      <c r="E1421" s="116">
        <v>1285.05</v>
      </c>
      <c r="F1421" s="116">
        <v>1276.8</v>
      </c>
      <c r="G1421">
        <v>13434</v>
      </c>
      <c r="H1421" s="116"/>
      <c r="I1421" s="116"/>
      <c r="L1421" s="170">
        <v>45099</v>
      </c>
      <c r="M1421" s="116">
        <v>1276.5</v>
      </c>
      <c r="N1421" s="116">
        <v>1306</v>
      </c>
      <c r="O1421" s="116">
        <v>1272.95</v>
      </c>
      <c r="P1421" s="116">
        <v>1295.9000000000001</v>
      </c>
      <c r="Q1421" s="116">
        <v>1276.5</v>
      </c>
      <c r="R1421">
        <v>556505</v>
      </c>
    </row>
    <row r="1422" spans="1:18" x14ac:dyDescent="0.25">
      <c r="A1422" s="170">
        <v>45100</v>
      </c>
      <c r="B1422" s="116">
        <v>1274.7</v>
      </c>
      <c r="C1422" s="116">
        <v>1262.3</v>
      </c>
      <c r="D1422" s="116">
        <v>1260.05</v>
      </c>
      <c r="E1422" s="116">
        <v>1270</v>
      </c>
      <c r="F1422" s="116">
        <v>1262.3</v>
      </c>
      <c r="G1422">
        <v>17465</v>
      </c>
      <c r="H1422" s="116"/>
      <c r="I1422" s="116"/>
      <c r="L1422" s="170">
        <v>45100</v>
      </c>
      <c r="M1422" s="116">
        <v>1262.7</v>
      </c>
      <c r="N1422" s="116">
        <v>1274.9000000000001</v>
      </c>
      <c r="O1422" s="116">
        <v>1260.5</v>
      </c>
      <c r="P1422" s="116">
        <v>1271.2</v>
      </c>
      <c r="Q1422" s="116">
        <v>1262.7</v>
      </c>
      <c r="R1422">
        <v>1076729</v>
      </c>
    </row>
    <row r="1423" spans="1:18" x14ac:dyDescent="0.25">
      <c r="A1423" s="170">
        <v>45103</v>
      </c>
      <c r="B1423" s="116">
        <v>1275.2</v>
      </c>
      <c r="C1423" s="116">
        <v>1266.25</v>
      </c>
      <c r="D1423" s="116">
        <v>1262.3499999999999</v>
      </c>
      <c r="E1423" s="116">
        <v>1262.3499999999999</v>
      </c>
      <c r="F1423" s="116">
        <v>1266.25</v>
      </c>
      <c r="G1423">
        <v>7075</v>
      </c>
      <c r="H1423" s="116"/>
      <c r="I1423" s="116"/>
      <c r="L1423" s="170">
        <v>45103</v>
      </c>
      <c r="M1423" s="116">
        <v>1266.3499999999999</v>
      </c>
      <c r="N1423" s="116">
        <v>1276.2</v>
      </c>
      <c r="O1423" s="116">
        <v>1263.2</v>
      </c>
      <c r="P1423" s="116">
        <v>1266.95</v>
      </c>
      <c r="Q1423" s="116">
        <v>1266.3499999999999</v>
      </c>
      <c r="R1423">
        <v>1009927</v>
      </c>
    </row>
    <row r="1424" spans="1:18" x14ac:dyDescent="0.25">
      <c r="A1424" s="170">
        <v>45104</v>
      </c>
      <c r="B1424" s="116">
        <v>1288.9000000000001</v>
      </c>
      <c r="C1424" s="116">
        <v>1286.3499999999999</v>
      </c>
      <c r="D1424" s="116">
        <v>1258.55</v>
      </c>
      <c r="E1424" s="116">
        <v>1274.8499999999999</v>
      </c>
      <c r="F1424" s="116">
        <v>1286.3499999999999</v>
      </c>
      <c r="G1424">
        <v>13843</v>
      </c>
      <c r="H1424" s="116"/>
      <c r="I1424" s="116"/>
      <c r="L1424" s="170">
        <v>45104</v>
      </c>
      <c r="M1424" s="116">
        <v>1286.4000000000001</v>
      </c>
      <c r="N1424" s="116">
        <v>1290</v>
      </c>
      <c r="O1424" s="116">
        <v>1258.1500000000001</v>
      </c>
      <c r="P1424" s="116">
        <v>1268.5</v>
      </c>
      <c r="Q1424" s="116">
        <v>1286.4000000000001</v>
      </c>
      <c r="R1424">
        <v>1650539</v>
      </c>
    </row>
    <row r="1425" spans="1:18" x14ac:dyDescent="0.25">
      <c r="A1425" s="170">
        <v>45105</v>
      </c>
      <c r="B1425" s="116">
        <v>1312.3</v>
      </c>
      <c r="C1425" s="116">
        <v>1299.75</v>
      </c>
      <c r="D1425" s="116">
        <v>1285.7</v>
      </c>
      <c r="E1425" s="116">
        <v>1299.95</v>
      </c>
      <c r="F1425" s="116">
        <v>1299.75</v>
      </c>
      <c r="G1425">
        <v>19011</v>
      </c>
      <c r="H1425" s="116"/>
      <c r="I1425" s="116"/>
      <c r="L1425" s="170">
        <v>45105</v>
      </c>
      <c r="M1425" s="116">
        <v>1299.9000000000001</v>
      </c>
      <c r="N1425" s="116">
        <v>1312.6</v>
      </c>
      <c r="O1425" s="116">
        <v>1285</v>
      </c>
      <c r="P1425" s="116">
        <v>1290</v>
      </c>
      <c r="Q1425" s="116">
        <v>1299.9000000000001</v>
      </c>
      <c r="R1425">
        <v>2245575</v>
      </c>
    </row>
    <row r="1426" spans="1:18" x14ac:dyDescent="0.25">
      <c r="A1426" s="170">
        <v>45107</v>
      </c>
      <c r="B1426" s="116">
        <v>1315</v>
      </c>
      <c r="C1426" s="116">
        <v>1306.9000000000001</v>
      </c>
      <c r="D1426" s="116">
        <v>1285.4000000000001</v>
      </c>
      <c r="E1426" s="116">
        <v>1285.4000000000001</v>
      </c>
      <c r="F1426" s="116">
        <v>1306.9000000000001</v>
      </c>
      <c r="G1426">
        <v>22617</v>
      </c>
      <c r="H1426" s="116"/>
      <c r="I1426" s="116"/>
      <c r="L1426" s="170">
        <v>45107</v>
      </c>
      <c r="M1426" s="116">
        <v>1306.9000000000001</v>
      </c>
      <c r="N1426" s="116">
        <v>1315.45</v>
      </c>
      <c r="O1426" s="116">
        <v>1301</v>
      </c>
      <c r="P1426" s="116">
        <v>1301.05</v>
      </c>
      <c r="Q1426" s="116">
        <v>1306.9000000000001</v>
      </c>
      <c r="R1426">
        <v>972782</v>
      </c>
    </row>
    <row r="1427" spans="1:18" x14ac:dyDescent="0.25">
      <c r="A1427" s="170">
        <v>45110</v>
      </c>
      <c r="B1427" s="116">
        <v>1310</v>
      </c>
      <c r="C1427" s="116">
        <v>1297.3</v>
      </c>
      <c r="D1427" s="116">
        <v>1290.3</v>
      </c>
      <c r="E1427" s="116">
        <v>1302.05</v>
      </c>
      <c r="F1427" s="116">
        <v>1297.3</v>
      </c>
      <c r="G1427">
        <v>13259</v>
      </c>
      <c r="H1427" s="116"/>
      <c r="I1427" s="116"/>
      <c r="L1427" s="170">
        <v>45110</v>
      </c>
      <c r="M1427" s="116">
        <v>1297.95</v>
      </c>
      <c r="N1427" s="116">
        <v>1312</v>
      </c>
      <c r="O1427" s="116">
        <v>1291</v>
      </c>
      <c r="P1427" s="116">
        <v>1307.95</v>
      </c>
      <c r="Q1427" s="116">
        <v>1297.95</v>
      </c>
      <c r="R1427">
        <v>599025</v>
      </c>
    </row>
    <row r="1428" spans="1:18" x14ac:dyDescent="0.25">
      <c r="A1428" s="170">
        <v>45111</v>
      </c>
      <c r="B1428" s="116">
        <v>1317</v>
      </c>
      <c r="C1428" s="116">
        <v>1288.5999999999999</v>
      </c>
      <c r="D1428" s="116">
        <v>1283.0999999999999</v>
      </c>
      <c r="E1428" s="116">
        <v>1310</v>
      </c>
      <c r="F1428" s="116">
        <v>1288.5999999999999</v>
      </c>
      <c r="G1428">
        <v>14746</v>
      </c>
      <c r="H1428" s="116"/>
      <c r="I1428" s="116"/>
      <c r="L1428" s="170">
        <v>45111</v>
      </c>
      <c r="M1428" s="116">
        <v>1289.25</v>
      </c>
      <c r="N1428" s="116">
        <v>1320.05</v>
      </c>
      <c r="O1428" s="116">
        <v>1282.8499999999999</v>
      </c>
      <c r="P1428" s="116">
        <v>1320</v>
      </c>
      <c r="Q1428" s="116">
        <v>1289.25</v>
      </c>
      <c r="R1428">
        <v>866223</v>
      </c>
    </row>
    <row r="1429" spans="1:18" x14ac:dyDescent="0.25">
      <c r="A1429" s="170">
        <v>45112</v>
      </c>
      <c r="B1429" s="116">
        <v>1315.65</v>
      </c>
      <c r="C1429" s="116">
        <v>1291.1500000000001</v>
      </c>
      <c r="D1429" s="116">
        <v>1285.3</v>
      </c>
      <c r="E1429" s="116">
        <v>1286.5</v>
      </c>
      <c r="F1429" s="116">
        <v>1291.1500000000001</v>
      </c>
      <c r="G1429">
        <v>16736</v>
      </c>
      <c r="H1429" s="116"/>
      <c r="I1429" s="116"/>
      <c r="L1429" s="170">
        <v>45112</v>
      </c>
      <c r="M1429" s="116">
        <v>1291.55</v>
      </c>
      <c r="N1429" s="116">
        <v>1316.7</v>
      </c>
      <c r="O1429" s="116">
        <v>1285.0999999999999</v>
      </c>
      <c r="P1429" s="116">
        <v>1289.55</v>
      </c>
      <c r="Q1429" s="116">
        <v>1291.55</v>
      </c>
      <c r="R1429">
        <v>960704</v>
      </c>
    </row>
    <row r="1430" spans="1:18" x14ac:dyDescent="0.25">
      <c r="A1430" s="170">
        <v>45113</v>
      </c>
      <c r="B1430" s="116">
        <v>1311.45</v>
      </c>
      <c r="C1430" s="116">
        <v>1292.7</v>
      </c>
      <c r="D1430" s="116">
        <v>1290</v>
      </c>
      <c r="E1430" s="116">
        <v>1294.05</v>
      </c>
      <c r="F1430" s="116">
        <v>1292.7</v>
      </c>
      <c r="G1430">
        <v>12537</v>
      </c>
      <c r="H1430" s="116"/>
      <c r="I1430" s="116"/>
      <c r="L1430" s="170">
        <v>45113</v>
      </c>
      <c r="M1430" s="116">
        <v>1292.95</v>
      </c>
      <c r="N1430" s="116">
        <v>1311.75</v>
      </c>
      <c r="O1430" s="116">
        <v>1289.3499999999999</v>
      </c>
      <c r="P1430" s="116">
        <v>1298</v>
      </c>
      <c r="Q1430" s="116">
        <v>1292.95</v>
      </c>
      <c r="R1430">
        <v>726222</v>
      </c>
    </row>
    <row r="1431" spans="1:18" x14ac:dyDescent="0.25">
      <c r="A1431" s="170">
        <v>45114</v>
      </c>
      <c r="B1431" s="116">
        <v>1317.3</v>
      </c>
      <c r="C1431" s="116">
        <v>1293.45</v>
      </c>
      <c r="D1431" s="116">
        <v>1289.9000000000001</v>
      </c>
      <c r="E1431" s="116">
        <v>1293</v>
      </c>
      <c r="F1431" s="116">
        <v>1293.45</v>
      </c>
      <c r="G1431">
        <v>19851</v>
      </c>
      <c r="H1431" s="116"/>
      <c r="I1431" s="116"/>
      <c r="L1431" s="170">
        <v>45114</v>
      </c>
      <c r="M1431" s="116">
        <v>1294</v>
      </c>
      <c r="N1431" s="116">
        <v>1318</v>
      </c>
      <c r="O1431" s="116">
        <v>1288.45</v>
      </c>
      <c r="P1431" s="116">
        <v>1292.5999999999999</v>
      </c>
      <c r="Q1431" s="116">
        <v>1294</v>
      </c>
      <c r="R1431">
        <v>939840</v>
      </c>
    </row>
    <row r="1432" spans="1:18" x14ac:dyDescent="0.25">
      <c r="A1432" s="170">
        <v>45117</v>
      </c>
      <c r="B1432" s="116">
        <v>1299.2</v>
      </c>
      <c r="C1432" s="116">
        <v>1293.8499999999999</v>
      </c>
      <c r="D1432" s="116">
        <v>1283.6500000000001</v>
      </c>
      <c r="E1432" s="116">
        <v>1294.5999999999999</v>
      </c>
      <c r="F1432" s="116">
        <v>1293.8499999999999</v>
      </c>
      <c r="G1432">
        <v>6305</v>
      </c>
      <c r="H1432" s="116"/>
      <c r="I1432" s="116"/>
      <c r="L1432" s="170">
        <v>45117</v>
      </c>
      <c r="M1432" s="116">
        <v>1293.3</v>
      </c>
      <c r="N1432" s="116">
        <v>1302</v>
      </c>
      <c r="O1432" s="116">
        <v>1283.2</v>
      </c>
      <c r="P1432" s="116">
        <v>1300.7</v>
      </c>
      <c r="Q1432" s="116">
        <v>1293.3</v>
      </c>
      <c r="R1432">
        <v>675354</v>
      </c>
    </row>
    <row r="1433" spans="1:18" x14ac:dyDescent="0.25">
      <c r="A1433" s="170">
        <v>45118</v>
      </c>
      <c r="B1433" s="116">
        <v>1308.7</v>
      </c>
      <c r="C1433" s="116">
        <v>1294.6500000000001</v>
      </c>
      <c r="D1433" s="116">
        <v>1289.55</v>
      </c>
      <c r="E1433" s="116">
        <v>1302.95</v>
      </c>
      <c r="F1433" s="116">
        <v>1294.6500000000001</v>
      </c>
      <c r="G1433">
        <v>18096</v>
      </c>
      <c r="H1433" s="116"/>
      <c r="I1433" s="116"/>
      <c r="L1433" s="170">
        <v>45118</v>
      </c>
      <c r="M1433" s="116">
        <v>1295</v>
      </c>
      <c r="N1433" s="116">
        <v>1308.75</v>
      </c>
      <c r="O1433" s="116">
        <v>1289.5</v>
      </c>
      <c r="P1433" s="116">
        <v>1298.75</v>
      </c>
      <c r="Q1433" s="116">
        <v>1295</v>
      </c>
      <c r="R1433">
        <v>821816</v>
      </c>
    </row>
    <row r="1434" spans="1:18" x14ac:dyDescent="0.25">
      <c r="A1434" s="170">
        <v>45119</v>
      </c>
      <c r="B1434" s="116">
        <v>1306.05</v>
      </c>
      <c r="C1434" s="116">
        <v>1300.2</v>
      </c>
      <c r="D1434" s="116">
        <v>1287.05</v>
      </c>
      <c r="E1434" s="116">
        <v>1287.05</v>
      </c>
      <c r="F1434" s="116">
        <v>1300.2</v>
      </c>
      <c r="G1434">
        <v>8556</v>
      </c>
      <c r="H1434" s="116"/>
      <c r="I1434" s="116"/>
      <c r="L1434" s="170">
        <v>45119</v>
      </c>
      <c r="M1434" s="116">
        <v>1300.5999999999999</v>
      </c>
      <c r="N1434" s="116">
        <v>1306.5999999999999</v>
      </c>
      <c r="O1434" s="116">
        <v>1291</v>
      </c>
      <c r="P1434" s="116">
        <v>1291</v>
      </c>
      <c r="Q1434" s="116">
        <v>1300.5999999999999</v>
      </c>
      <c r="R1434">
        <v>905809</v>
      </c>
    </row>
    <row r="1435" spans="1:18" x14ac:dyDescent="0.25">
      <c r="A1435" s="170">
        <v>45120</v>
      </c>
      <c r="B1435" s="116">
        <v>1336</v>
      </c>
      <c r="C1435" s="116">
        <v>1314.85</v>
      </c>
      <c r="D1435" s="116">
        <v>1305</v>
      </c>
      <c r="E1435" s="116">
        <v>1305</v>
      </c>
      <c r="F1435" s="116">
        <v>1314.85</v>
      </c>
      <c r="G1435">
        <v>16244</v>
      </c>
      <c r="H1435" s="116"/>
      <c r="I1435" s="116"/>
      <c r="L1435" s="170">
        <v>45120</v>
      </c>
      <c r="M1435" s="116">
        <v>1313.95</v>
      </c>
      <c r="N1435" s="116">
        <v>1336</v>
      </c>
      <c r="O1435" s="116">
        <v>1305.05</v>
      </c>
      <c r="P1435" s="116">
        <v>1312</v>
      </c>
      <c r="Q1435" s="116">
        <v>1313.95</v>
      </c>
      <c r="R1435">
        <v>1579954</v>
      </c>
    </row>
    <row r="1436" spans="1:18" x14ac:dyDescent="0.25">
      <c r="A1436" s="170">
        <v>45121</v>
      </c>
      <c r="B1436" s="116">
        <v>1325.7</v>
      </c>
      <c r="C1436" s="116">
        <v>1320.8</v>
      </c>
      <c r="D1436" s="116">
        <v>1312.2</v>
      </c>
      <c r="E1436" s="116">
        <v>1324.6</v>
      </c>
      <c r="F1436" s="116">
        <v>1320.8</v>
      </c>
      <c r="G1436">
        <v>14500</v>
      </c>
      <c r="H1436" s="116"/>
      <c r="I1436" s="116"/>
      <c r="L1436" s="170">
        <v>45121</v>
      </c>
      <c r="M1436" s="116">
        <v>1320.3</v>
      </c>
      <c r="N1436" s="116">
        <v>1326.05</v>
      </c>
      <c r="O1436" s="116">
        <v>1311.35</v>
      </c>
      <c r="P1436" s="116">
        <v>1320.5</v>
      </c>
      <c r="Q1436" s="116">
        <v>1320.3</v>
      </c>
      <c r="R1436">
        <v>1321159</v>
      </c>
    </row>
    <row r="1437" spans="1:18" x14ac:dyDescent="0.25">
      <c r="A1437" s="170">
        <v>45124</v>
      </c>
      <c r="B1437" s="116">
        <v>1329.05</v>
      </c>
      <c r="C1437" s="116">
        <v>1314.15</v>
      </c>
      <c r="D1437" s="116">
        <v>1297.3499999999999</v>
      </c>
      <c r="E1437" s="116">
        <v>1320</v>
      </c>
      <c r="F1437" s="116">
        <v>1314.15</v>
      </c>
      <c r="G1437">
        <v>20104</v>
      </c>
      <c r="H1437" s="116"/>
      <c r="I1437" s="116"/>
      <c r="L1437" s="170">
        <v>45124</v>
      </c>
      <c r="M1437" s="116">
        <v>1314.5</v>
      </c>
      <c r="N1437" s="116">
        <v>1328.55</v>
      </c>
      <c r="O1437" s="116">
        <v>1296.75</v>
      </c>
      <c r="P1437" s="116">
        <v>1321</v>
      </c>
      <c r="Q1437" s="116">
        <v>1314.5</v>
      </c>
      <c r="R1437">
        <v>1055414</v>
      </c>
    </row>
    <row r="1438" spans="1:18" x14ac:dyDescent="0.25">
      <c r="A1438" s="170">
        <v>45125</v>
      </c>
      <c r="B1438" s="116">
        <v>1322.15</v>
      </c>
      <c r="C1438" s="116">
        <v>1315</v>
      </c>
      <c r="D1438" s="116">
        <v>1306</v>
      </c>
      <c r="E1438" s="116">
        <v>1314.15</v>
      </c>
      <c r="F1438" s="116">
        <v>1315</v>
      </c>
      <c r="G1438">
        <v>14672</v>
      </c>
      <c r="H1438" s="116"/>
      <c r="I1438" s="116"/>
      <c r="L1438" s="170">
        <v>45125</v>
      </c>
      <c r="M1438" s="116">
        <v>1314.55</v>
      </c>
      <c r="N1438" s="116">
        <v>1322.3</v>
      </c>
      <c r="O1438" s="116">
        <v>1305.6500000000001</v>
      </c>
      <c r="P1438" s="116">
        <v>1315</v>
      </c>
      <c r="Q1438" s="116">
        <v>1314.55</v>
      </c>
      <c r="R1438">
        <v>1427102</v>
      </c>
    </row>
    <row r="1439" spans="1:18" x14ac:dyDescent="0.25">
      <c r="A1439" s="170">
        <v>45126</v>
      </c>
      <c r="B1439" s="116">
        <v>1319</v>
      </c>
      <c r="C1439" s="116">
        <v>1309.5</v>
      </c>
      <c r="D1439" s="116">
        <v>1307</v>
      </c>
      <c r="E1439" s="116">
        <v>1318</v>
      </c>
      <c r="F1439" s="116">
        <v>1309.5</v>
      </c>
      <c r="G1439">
        <v>10928</v>
      </c>
      <c r="H1439" s="116"/>
      <c r="I1439" s="116"/>
      <c r="L1439" s="170">
        <v>45126</v>
      </c>
      <c r="M1439" s="116">
        <v>1310.45</v>
      </c>
      <c r="N1439" s="116">
        <v>1321.55</v>
      </c>
      <c r="O1439" s="116">
        <v>1307.25</v>
      </c>
      <c r="P1439" s="116">
        <v>1314.6</v>
      </c>
      <c r="Q1439" s="116">
        <v>1310.45</v>
      </c>
      <c r="R1439">
        <v>659900</v>
      </c>
    </row>
    <row r="1440" spans="1:18" x14ac:dyDescent="0.25">
      <c r="A1440" s="170">
        <v>45127</v>
      </c>
      <c r="B1440" s="116">
        <v>1320.95</v>
      </c>
      <c r="C1440" s="116">
        <v>1313.1</v>
      </c>
      <c r="D1440" s="116">
        <v>1303.5</v>
      </c>
      <c r="E1440" s="116">
        <v>1320.95</v>
      </c>
      <c r="F1440" s="116">
        <v>1313.1</v>
      </c>
      <c r="G1440">
        <v>9895</v>
      </c>
      <c r="H1440" s="116"/>
      <c r="I1440" s="116"/>
      <c r="L1440" s="170">
        <v>45127</v>
      </c>
      <c r="M1440" s="116">
        <v>1314.05</v>
      </c>
      <c r="N1440" s="116">
        <v>1321.6</v>
      </c>
      <c r="O1440" s="116">
        <v>1303.1500000000001</v>
      </c>
      <c r="P1440" s="116">
        <v>1315</v>
      </c>
      <c r="Q1440" s="116">
        <v>1314.05</v>
      </c>
      <c r="R1440">
        <v>898725</v>
      </c>
    </row>
    <row r="1441" spans="1:18" x14ac:dyDescent="0.25">
      <c r="A1441" s="170">
        <v>45128</v>
      </c>
      <c r="B1441" s="116">
        <v>1322.55</v>
      </c>
      <c r="C1441" s="116">
        <v>1290.8499999999999</v>
      </c>
      <c r="D1441" s="116">
        <v>1287.8</v>
      </c>
      <c r="E1441" s="116">
        <v>1310.5999999999999</v>
      </c>
      <c r="F1441" s="116">
        <v>1290.8499999999999</v>
      </c>
      <c r="G1441">
        <v>8401</v>
      </c>
      <c r="H1441" s="116"/>
      <c r="I1441" s="116"/>
      <c r="L1441" s="170">
        <v>45128</v>
      </c>
      <c r="M1441" s="116">
        <v>1290.7</v>
      </c>
      <c r="N1441" s="116">
        <v>1322.75</v>
      </c>
      <c r="O1441" s="116">
        <v>1288</v>
      </c>
      <c r="P1441" s="116">
        <v>1314.8</v>
      </c>
      <c r="Q1441" s="116">
        <v>1290.7</v>
      </c>
      <c r="R1441">
        <v>524241</v>
      </c>
    </row>
    <row r="1442" spans="1:18" x14ac:dyDescent="0.25">
      <c r="A1442" s="170">
        <v>45131</v>
      </c>
      <c r="B1442" s="116">
        <v>1323.3</v>
      </c>
      <c r="C1442" s="116">
        <v>1318.15</v>
      </c>
      <c r="D1442" s="116">
        <v>1288.75</v>
      </c>
      <c r="E1442" s="116">
        <v>1291.2</v>
      </c>
      <c r="F1442" s="116">
        <v>1318.15</v>
      </c>
      <c r="G1442">
        <v>21852</v>
      </c>
      <c r="H1442" s="116"/>
      <c r="I1442" s="116"/>
      <c r="L1442" s="170">
        <v>45131</v>
      </c>
      <c r="M1442" s="116">
        <v>1317.15</v>
      </c>
      <c r="N1442" s="116">
        <v>1324.4</v>
      </c>
      <c r="O1442" s="116">
        <v>1287.9000000000001</v>
      </c>
      <c r="P1442" s="116">
        <v>1290.7</v>
      </c>
      <c r="Q1442" s="116">
        <v>1317.15</v>
      </c>
      <c r="R1442">
        <v>1183272</v>
      </c>
    </row>
    <row r="1443" spans="1:18" x14ac:dyDescent="0.25">
      <c r="A1443" s="170">
        <v>45132</v>
      </c>
      <c r="B1443" s="116">
        <v>1322.95</v>
      </c>
      <c r="C1443" s="116">
        <v>1300.5</v>
      </c>
      <c r="D1443" s="116">
        <v>1290.5</v>
      </c>
      <c r="E1443" s="116">
        <v>1322.95</v>
      </c>
      <c r="F1443" s="116">
        <v>1300.5</v>
      </c>
      <c r="G1443">
        <v>24405</v>
      </c>
      <c r="H1443" s="116"/>
      <c r="I1443" s="116"/>
      <c r="L1443" s="170">
        <v>45132</v>
      </c>
      <c r="M1443" s="116">
        <v>1301.0999999999999</v>
      </c>
      <c r="N1443" s="116">
        <v>1320</v>
      </c>
      <c r="O1443" s="116">
        <v>1290.0999999999999</v>
      </c>
      <c r="P1443" s="116">
        <v>1318</v>
      </c>
      <c r="Q1443" s="116">
        <v>1301.0999999999999</v>
      </c>
      <c r="R1443">
        <v>1362929</v>
      </c>
    </row>
    <row r="1444" spans="1:18" x14ac:dyDescent="0.25">
      <c r="A1444" s="170">
        <v>45133</v>
      </c>
      <c r="B1444" s="116">
        <v>1297.75</v>
      </c>
      <c r="C1444" s="116">
        <v>1293</v>
      </c>
      <c r="D1444" s="116">
        <v>1274.6500000000001</v>
      </c>
      <c r="E1444" s="116">
        <v>1294.95</v>
      </c>
      <c r="F1444" s="116">
        <v>1293</v>
      </c>
      <c r="G1444">
        <v>36519</v>
      </c>
      <c r="H1444" s="116"/>
      <c r="I1444" s="116"/>
      <c r="L1444" s="170">
        <v>45133</v>
      </c>
      <c r="M1444" s="116">
        <v>1292.6500000000001</v>
      </c>
      <c r="N1444" s="116">
        <v>1299.95</v>
      </c>
      <c r="O1444" s="116">
        <v>1275.25</v>
      </c>
      <c r="P1444" s="116">
        <v>1290</v>
      </c>
      <c r="Q1444" s="116">
        <v>1292.6500000000001</v>
      </c>
      <c r="R1444">
        <v>2302730</v>
      </c>
    </row>
    <row r="1445" spans="1:18" x14ac:dyDescent="0.25">
      <c r="A1445" s="170">
        <v>45134</v>
      </c>
      <c r="B1445" s="116">
        <v>1311.4</v>
      </c>
      <c r="C1445" s="116">
        <v>1296.7</v>
      </c>
      <c r="D1445" s="116">
        <v>1293.05</v>
      </c>
      <c r="E1445" s="116">
        <v>1299.95</v>
      </c>
      <c r="F1445" s="116">
        <v>1296.7</v>
      </c>
      <c r="G1445">
        <v>22788</v>
      </c>
      <c r="H1445" s="116"/>
      <c r="I1445" s="116"/>
      <c r="L1445" s="170">
        <v>45134</v>
      </c>
      <c r="M1445" s="116">
        <v>1296.5</v>
      </c>
      <c r="N1445" s="116">
        <v>1312</v>
      </c>
      <c r="O1445" s="116">
        <v>1292.75</v>
      </c>
      <c r="P1445" s="116">
        <v>1295</v>
      </c>
      <c r="Q1445" s="116">
        <v>1296.5</v>
      </c>
      <c r="R1445">
        <v>1946045</v>
      </c>
    </row>
    <row r="1446" spans="1:18" x14ac:dyDescent="0.25">
      <c r="A1446" s="170">
        <v>45135</v>
      </c>
      <c r="B1446" s="116">
        <v>1302.2</v>
      </c>
      <c r="C1446" s="116">
        <v>1290.4000000000001</v>
      </c>
      <c r="D1446" s="116">
        <v>1281.0999999999999</v>
      </c>
      <c r="E1446" s="116">
        <v>1296.7</v>
      </c>
      <c r="F1446" s="116">
        <v>1290.4000000000001</v>
      </c>
      <c r="G1446">
        <v>14496</v>
      </c>
      <c r="H1446" s="116"/>
      <c r="I1446" s="116"/>
      <c r="L1446" s="170">
        <v>45135</v>
      </c>
      <c r="M1446" s="116">
        <v>1289.75</v>
      </c>
      <c r="N1446" s="116">
        <v>1301.95</v>
      </c>
      <c r="O1446" s="116">
        <v>1281.3</v>
      </c>
      <c r="P1446" s="116">
        <v>1301.95</v>
      </c>
      <c r="Q1446" s="116">
        <v>1289.75</v>
      </c>
      <c r="R1446">
        <v>1051700</v>
      </c>
    </row>
    <row r="1447" spans="1:18" x14ac:dyDescent="0.25">
      <c r="A1447" s="170">
        <v>45138</v>
      </c>
      <c r="B1447" s="116">
        <v>1293.8499999999999</v>
      </c>
      <c r="C1447" s="116">
        <v>1281.25</v>
      </c>
      <c r="D1447" s="116">
        <v>1269.6500000000001</v>
      </c>
      <c r="E1447" s="116">
        <v>1292</v>
      </c>
      <c r="F1447" s="116">
        <v>1281.25</v>
      </c>
      <c r="G1447">
        <v>24770</v>
      </c>
      <c r="H1447" s="116"/>
      <c r="I1447" s="116"/>
      <c r="L1447" s="170">
        <v>45138</v>
      </c>
      <c r="M1447" s="116">
        <v>1282.1500000000001</v>
      </c>
      <c r="N1447" s="116">
        <v>1296.95</v>
      </c>
      <c r="O1447" s="116">
        <v>1270</v>
      </c>
      <c r="P1447" s="116">
        <v>1296.95</v>
      </c>
      <c r="Q1447" s="116">
        <v>1282.1500000000001</v>
      </c>
      <c r="R1447">
        <v>1061701</v>
      </c>
    </row>
    <row r="1448" spans="1:18" x14ac:dyDescent="0.25">
      <c r="A1448" s="170">
        <v>45139</v>
      </c>
      <c r="B1448" s="116">
        <v>1288</v>
      </c>
      <c r="C1448" s="116">
        <v>1279.0999999999999</v>
      </c>
      <c r="D1448" s="116">
        <v>1261</v>
      </c>
      <c r="E1448" s="116">
        <v>1288</v>
      </c>
      <c r="F1448" s="116">
        <v>1279.0999999999999</v>
      </c>
      <c r="G1448">
        <v>52333</v>
      </c>
      <c r="H1448" s="116"/>
      <c r="I1448" s="116"/>
      <c r="L1448" s="170">
        <v>45139</v>
      </c>
      <c r="M1448" s="116">
        <v>1279.95</v>
      </c>
      <c r="N1448" s="116">
        <v>1285</v>
      </c>
      <c r="O1448" s="116">
        <v>1261.0999999999999</v>
      </c>
      <c r="P1448" s="116">
        <v>1285</v>
      </c>
      <c r="Q1448" s="116">
        <v>1279.95</v>
      </c>
      <c r="R1448">
        <v>1219778</v>
      </c>
    </row>
    <row r="1449" spans="1:18" x14ac:dyDescent="0.25">
      <c r="A1449" s="170">
        <v>45140</v>
      </c>
      <c r="B1449" s="116">
        <v>1279.05</v>
      </c>
      <c r="C1449" s="116">
        <v>1257.1500000000001</v>
      </c>
      <c r="D1449" s="116">
        <v>1252.4000000000001</v>
      </c>
      <c r="E1449" s="116">
        <v>1279.05</v>
      </c>
      <c r="F1449" s="116">
        <v>1257.1500000000001</v>
      </c>
      <c r="G1449">
        <v>7555</v>
      </c>
      <c r="H1449" s="116"/>
      <c r="I1449" s="116"/>
      <c r="L1449" s="170">
        <v>45140</v>
      </c>
      <c r="M1449" s="116">
        <v>1262.25</v>
      </c>
      <c r="N1449" s="116">
        <v>1284.9000000000001</v>
      </c>
      <c r="O1449" s="116">
        <v>1252.45</v>
      </c>
      <c r="P1449" s="116">
        <v>1280</v>
      </c>
      <c r="Q1449" s="116">
        <v>1262.25</v>
      </c>
      <c r="R1449">
        <v>888107</v>
      </c>
    </row>
    <row r="1450" spans="1:18" x14ac:dyDescent="0.25">
      <c r="A1450" s="170">
        <v>45141</v>
      </c>
      <c r="B1450" s="116">
        <v>1274</v>
      </c>
      <c r="C1450" s="116">
        <v>1253.2</v>
      </c>
      <c r="D1450" s="116">
        <v>1251.3</v>
      </c>
      <c r="E1450" s="116">
        <v>1252.05</v>
      </c>
      <c r="F1450" s="116">
        <v>1253.2</v>
      </c>
      <c r="G1450">
        <v>12861</v>
      </c>
      <c r="H1450" s="116"/>
      <c r="I1450" s="116"/>
      <c r="L1450" s="170">
        <v>45141</v>
      </c>
      <c r="M1450" s="116">
        <v>1253.75</v>
      </c>
      <c r="N1450" s="116">
        <v>1274.8</v>
      </c>
      <c r="O1450" s="116">
        <v>1251.6500000000001</v>
      </c>
      <c r="P1450" s="116">
        <v>1259.95</v>
      </c>
      <c r="Q1450" s="116">
        <v>1253.75</v>
      </c>
      <c r="R1450">
        <v>871719</v>
      </c>
    </row>
    <row r="1451" spans="1:18" x14ac:dyDescent="0.25">
      <c r="A1451" s="170">
        <v>45142</v>
      </c>
      <c r="B1451" s="116">
        <v>1285.4000000000001</v>
      </c>
      <c r="C1451" s="116">
        <v>1267.5</v>
      </c>
      <c r="D1451" s="116">
        <v>1253.8</v>
      </c>
      <c r="E1451" s="116">
        <v>1253.8</v>
      </c>
      <c r="F1451" s="116">
        <v>1267.5</v>
      </c>
      <c r="G1451">
        <v>15185</v>
      </c>
      <c r="H1451" s="116"/>
      <c r="I1451" s="116"/>
      <c r="L1451" s="170">
        <v>45142</v>
      </c>
      <c r="M1451" s="116">
        <v>1267.9000000000001</v>
      </c>
      <c r="N1451" s="116">
        <v>1287.1500000000001</v>
      </c>
      <c r="O1451" s="116">
        <v>1254</v>
      </c>
      <c r="P1451" s="116">
        <v>1258.95</v>
      </c>
      <c r="Q1451" s="116">
        <v>1267.9000000000001</v>
      </c>
      <c r="R1451">
        <v>1609140</v>
      </c>
    </row>
    <row r="1452" spans="1:18" x14ac:dyDescent="0.25">
      <c r="A1452" s="170">
        <v>45145</v>
      </c>
      <c r="B1452" s="116">
        <v>1304.95</v>
      </c>
      <c r="C1452" s="116">
        <v>1302.5</v>
      </c>
      <c r="D1452" s="116">
        <v>1266.75</v>
      </c>
      <c r="E1452" s="116">
        <v>1270</v>
      </c>
      <c r="F1452" s="116">
        <v>1302.5</v>
      </c>
      <c r="G1452">
        <v>26212</v>
      </c>
      <c r="H1452" s="116"/>
      <c r="I1452" s="116"/>
      <c r="L1452" s="170">
        <v>45145</v>
      </c>
      <c r="M1452" s="116">
        <v>1302.55</v>
      </c>
      <c r="N1452" s="116">
        <v>1305.7</v>
      </c>
      <c r="O1452" s="116">
        <v>1266.55</v>
      </c>
      <c r="P1452" s="116">
        <v>1273</v>
      </c>
      <c r="Q1452" s="116">
        <v>1302.55</v>
      </c>
      <c r="R1452">
        <v>1719680</v>
      </c>
    </row>
    <row r="1453" spans="1:18" x14ac:dyDescent="0.25">
      <c r="A1453" s="170">
        <v>45146</v>
      </c>
      <c r="B1453" s="116">
        <v>1358.25</v>
      </c>
      <c r="C1453" s="116">
        <v>1349.7</v>
      </c>
      <c r="D1453" s="116">
        <v>1293.4000000000001</v>
      </c>
      <c r="E1453" s="116">
        <v>1305</v>
      </c>
      <c r="F1453" s="116">
        <v>1349.7</v>
      </c>
      <c r="G1453">
        <v>49155</v>
      </c>
      <c r="H1453" s="116"/>
      <c r="I1453" s="116"/>
      <c r="L1453" s="170">
        <v>45146</v>
      </c>
      <c r="M1453" s="116">
        <v>1349.35</v>
      </c>
      <c r="N1453" s="116">
        <v>1358.75</v>
      </c>
      <c r="O1453" s="116">
        <v>1293.75</v>
      </c>
      <c r="P1453" s="116">
        <v>1306.9000000000001</v>
      </c>
      <c r="Q1453" s="116">
        <v>1349.35</v>
      </c>
      <c r="R1453">
        <v>3458915</v>
      </c>
    </row>
    <row r="1454" spans="1:18" x14ac:dyDescent="0.25">
      <c r="A1454" s="170">
        <v>45147</v>
      </c>
      <c r="B1454" s="116">
        <v>1374.85</v>
      </c>
      <c r="C1454" s="116">
        <v>1349.4</v>
      </c>
      <c r="D1454" s="116">
        <v>1343</v>
      </c>
      <c r="E1454" s="116">
        <v>1371.65</v>
      </c>
      <c r="F1454" s="116">
        <v>1349.4</v>
      </c>
      <c r="G1454">
        <v>48334</v>
      </c>
      <c r="H1454" s="116"/>
      <c r="I1454" s="116"/>
      <c r="L1454" s="170">
        <v>45147</v>
      </c>
      <c r="M1454" s="116">
        <v>1349.35</v>
      </c>
      <c r="N1454" s="116">
        <v>1374</v>
      </c>
      <c r="O1454" s="116">
        <v>1343</v>
      </c>
      <c r="P1454" s="116">
        <v>1366</v>
      </c>
      <c r="Q1454" s="116">
        <v>1349.35</v>
      </c>
      <c r="R1454">
        <v>1746764</v>
      </c>
    </row>
    <row r="1455" spans="1:18" x14ac:dyDescent="0.25">
      <c r="A1455" s="170">
        <v>45148</v>
      </c>
      <c r="B1455" s="116">
        <v>1358.8</v>
      </c>
      <c r="C1455" s="116">
        <v>1333.1</v>
      </c>
      <c r="D1455" s="116">
        <v>1330.8</v>
      </c>
      <c r="E1455" s="116">
        <v>1344</v>
      </c>
      <c r="F1455" s="116">
        <v>1333.1</v>
      </c>
      <c r="G1455">
        <v>47676</v>
      </c>
      <c r="H1455" s="116"/>
      <c r="I1455" s="116"/>
      <c r="L1455" s="170">
        <v>45148</v>
      </c>
      <c r="M1455" s="116">
        <v>1334.35</v>
      </c>
      <c r="N1455" s="116">
        <v>1358.9</v>
      </c>
      <c r="O1455" s="116">
        <v>1330.1</v>
      </c>
      <c r="P1455" s="116">
        <v>1344.95</v>
      </c>
      <c r="Q1455" s="116">
        <v>1334.35</v>
      </c>
      <c r="R1455">
        <v>841571</v>
      </c>
    </row>
    <row r="1456" spans="1:18" x14ac:dyDescent="0.25">
      <c r="A1456" s="170">
        <v>45149</v>
      </c>
      <c r="B1456" s="116">
        <v>1337.9</v>
      </c>
      <c r="C1456" s="116">
        <v>1310.3</v>
      </c>
      <c r="D1456" s="116">
        <v>1305.3</v>
      </c>
      <c r="E1456" s="116">
        <v>1330.05</v>
      </c>
      <c r="F1456" s="116">
        <v>1310.3</v>
      </c>
      <c r="G1456">
        <v>18183</v>
      </c>
      <c r="H1456" s="116"/>
      <c r="I1456" s="116"/>
      <c r="L1456" s="170">
        <v>45149</v>
      </c>
      <c r="M1456" s="116">
        <v>1311.5</v>
      </c>
      <c r="N1456" s="116">
        <v>1340</v>
      </c>
      <c r="O1456" s="116">
        <v>1304.9000000000001</v>
      </c>
      <c r="P1456" s="116">
        <v>1340</v>
      </c>
      <c r="Q1456" s="116">
        <v>1311.5</v>
      </c>
      <c r="R1456">
        <v>891342</v>
      </c>
    </row>
    <row r="1457" spans="1:18" x14ac:dyDescent="0.25">
      <c r="A1457" s="170">
        <v>45152</v>
      </c>
      <c r="B1457" s="116">
        <v>1319.95</v>
      </c>
      <c r="C1457" s="116">
        <v>1295.8499999999999</v>
      </c>
      <c r="D1457" s="116">
        <v>1292.75</v>
      </c>
      <c r="E1457" s="116">
        <v>1319.95</v>
      </c>
      <c r="F1457" s="116">
        <v>1295.8499999999999</v>
      </c>
      <c r="G1457">
        <v>13551</v>
      </c>
      <c r="H1457" s="116"/>
      <c r="I1457" s="116"/>
      <c r="L1457" s="170">
        <v>45152</v>
      </c>
      <c r="M1457" s="116">
        <v>1297.0999999999999</v>
      </c>
      <c r="N1457" s="116">
        <v>1315.95</v>
      </c>
      <c r="O1457" s="116">
        <v>1291.95</v>
      </c>
      <c r="P1457" s="116">
        <v>1314</v>
      </c>
      <c r="Q1457" s="116">
        <v>1297.0999999999999</v>
      </c>
      <c r="R1457">
        <v>888959</v>
      </c>
    </row>
    <row r="1458" spans="1:18" x14ac:dyDescent="0.25">
      <c r="A1458" s="170">
        <v>45154</v>
      </c>
      <c r="B1458" s="116">
        <v>1297.3499999999999</v>
      </c>
      <c r="C1458" s="116">
        <v>1289.4000000000001</v>
      </c>
      <c r="D1458" s="116">
        <v>1281.7</v>
      </c>
      <c r="E1458" s="116">
        <v>1292</v>
      </c>
      <c r="F1458" s="116">
        <v>1289.4000000000001</v>
      </c>
      <c r="G1458">
        <v>8205</v>
      </c>
      <c r="H1458" s="116"/>
      <c r="I1458" s="116"/>
      <c r="L1458" s="170">
        <v>45154</v>
      </c>
      <c r="M1458" s="116">
        <v>1291.3</v>
      </c>
      <c r="N1458" s="116">
        <v>1299.95</v>
      </c>
      <c r="O1458" s="116">
        <v>1281</v>
      </c>
      <c r="P1458" s="116">
        <v>1295</v>
      </c>
      <c r="Q1458" s="116">
        <v>1291.3</v>
      </c>
      <c r="R1458">
        <v>395774</v>
      </c>
    </row>
    <row r="1459" spans="1:18" x14ac:dyDescent="0.25">
      <c r="A1459" s="170">
        <v>45155</v>
      </c>
      <c r="B1459" s="116">
        <v>1288.95</v>
      </c>
      <c r="C1459" s="116">
        <v>1283.4000000000001</v>
      </c>
      <c r="D1459" s="116">
        <v>1276.3499999999999</v>
      </c>
      <c r="E1459" s="116">
        <v>1288.95</v>
      </c>
      <c r="F1459" s="116">
        <v>1283.4000000000001</v>
      </c>
      <c r="G1459">
        <v>8821</v>
      </c>
      <c r="H1459" s="116"/>
      <c r="I1459" s="116"/>
      <c r="L1459" s="170">
        <v>45155</v>
      </c>
      <c r="M1459" s="116">
        <v>1284.45</v>
      </c>
      <c r="N1459" s="116">
        <v>1289.95</v>
      </c>
      <c r="O1459" s="116">
        <v>1276.25</v>
      </c>
      <c r="P1459" s="116">
        <v>1286.5</v>
      </c>
      <c r="Q1459" s="116">
        <v>1284.45</v>
      </c>
      <c r="R1459">
        <v>843146</v>
      </c>
    </row>
    <row r="1460" spans="1:18" x14ac:dyDescent="0.25">
      <c r="A1460" s="170">
        <v>45156</v>
      </c>
      <c r="B1460" s="116">
        <v>1285</v>
      </c>
      <c r="C1460" s="116">
        <v>1281.8</v>
      </c>
      <c r="D1460" s="116">
        <v>1266.55</v>
      </c>
      <c r="E1460" s="116">
        <v>1275.05</v>
      </c>
      <c r="F1460" s="116">
        <v>1281.8</v>
      </c>
      <c r="G1460">
        <v>6043</v>
      </c>
      <c r="H1460" s="116"/>
      <c r="I1460" s="116"/>
      <c r="L1460" s="170">
        <v>45156</v>
      </c>
      <c r="M1460" s="116">
        <v>1282.45</v>
      </c>
      <c r="N1460" s="116">
        <v>1285.8499999999999</v>
      </c>
      <c r="O1460" s="116">
        <v>1266</v>
      </c>
      <c r="P1460" s="116">
        <v>1278.55</v>
      </c>
      <c r="Q1460" s="116">
        <v>1282.45</v>
      </c>
      <c r="R1460">
        <v>886254</v>
      </c>
    </row>
    <row r="1461" spans="1:18" x14ac:dyDescent="0.25">
      <c r="A1461" s="170">
        <v>45159</v>
      </c>
      <c r="B1461" s="116">
        <v>1289</v>
      </c>
      <c r="C1461" s="116">
        <v>1278.95</v>
      </c>
      <c r="D1461" s="116">
        <v>1275</v>
      </c>
      <c r="E1461" s="116">
        <v>1275.6500000000001</v>
      </c>
      <c r="F1461" s="116">
        <v>1278.95</v>
      </c>
      <c r="G1461">
        <v>5242</v>
      </c>
      <c r="H1461" s="116"/>
      <c r="I1461" s="116"/>
      <c r="L1461" s="170">
        <v>45159</v>
      </c>
      <c r="M1461" s="116">
        <v>1278.55</v>
      </c>
      <c r="N1461" s="116">
        <v>1289.8</v>
      </c>
      <c r="O1461" s="116">
        <v>1274.3</v>
      </c>
      <c r="P1461" s="116">
        <v>1282.95</v>
      </c>
      <c r="Q1461" s="116">
        <v>1278.55</v>
      </c>
      <c r="R1461">
        <v>703317</v>
      </c>
    </row>
    <row r="1462" spans="1:18" x14ac:dyDescent="0.25">
      <c r="A1462" s="170">
        <v>45160</v>
      </c>
      <c r="B1462" s="116">
        <v>1312.2</v>
      </c>
      <c r="C1462" s="116">
        <v>1286.75</v>
      </c>
      <c r="D1462" s="116">
        <v>1278.95</v>
      </c>
      <c r="E1462" s="116">
        <v>1278.95</v>
      </c>
      <c r="F1462" s="116">
        <v>1286.75</v>
      </c>
      <c r="G1462">
        <v>26568</v>
      </c>
      <c r="H1462" s="116"/>
      <c r="I1462" s="116"/>
      <c r="L1462" s="170">
        <v>45160</v>
      </c>
      <c r="M1462" s="116">
        <v>1286.75</v>
      </c>
      <c r="N1462" s="116">
        <v>1313.2</v>
      </c>
      <c r="O1462" s="116">
        <v>1278.75</v>
      </c>
      <c r="P1462" s="116">
        <v>1284.3499999999999</v>
      </c>
      <c r="Q1462" s="116">
        <v>1286.75</v>
      </c>
      <c r="R1462">
        <v>1405263</v>
      </c>
    </row>
    <row r="1463" spans="1:18" x14ac:dyDescent="0.25">
      <c r="A1463" s="170">
        <v>45161</v>
      </c>
      <c r="B1463" s="116">
        <v>1304</v>
      </c>
      <c r="C1463" s="116">
        <v>1299.8</v>
      </c>
      <c r="D1463" s="116">
        <v>1275.7</v>
      </c>
      <c r="E1463" s="116">
        <v>1275.7</v>
      </c>
      <c r="F1463" s="116">
        <v>1299.8</v>
      </c>
      <c r="G1463">
        <v>12123</v>
      </c>
      <c r="H1463" s="116"/>
      <c r="I1463" s="116"/>
      <c r="L1463" s="170">
        <v>45161</v>
      </c>
      <c r="M1463" s="116">
        <v>1300.25</v>
      </c>
      <c r="N1463" s="116">
        <v>1304.5</v>
      </c>
      <c r="O1463" s="116">
        <v>1286.25</v>
      </c>
      <c r="P1463" s="116">
        <v>1289.95</v>
      </c>
      <c r="Q1463" s="116">
        <v>1300.25</v>
      </c>
      <c r="R1463">
        <v>583458</v>
      </c>
    </row>
    <row r="1464" spans="1:18" x14ac:dyDescent="0.25">
      <c r="A1464" s="170">
        <v>45162</v>
      </c>
      <c r="B1464" s="116">
        <v>1320.95</v>
      </c>
      <c r="C1464" s="116">
        <v>1294.05</v>
      </c>
      <c r="D1464" s="116">
        <v>1290.5</v>
      </c>
      <c r="E1464" s="116">
        <v>1320.95</v>
      </c>
      <c r="F1464" s="116">
        <v>1294.05</v>
      </c>
      <c r="G1464">
        <v>8244</v>
      </c>
      <c r="H1464" s="116"/>
      <c r="I1464" s="116"/>
      <c r="L1464" s="170">
        <v>45162</v>
      </c>
      <c r="M1464" s="116">
        <v>1293.75</v>
      </c>
      <c r="N1464" s="116">
        <v>1311.65</v>
      </c>
      <c r="O1464" s="116">
        <v>1290.1500000000001</v>
      </c>
      <c r="P1464" s="116">
        <v>1299.9000000000001</v>
      </c>
      <c r="Q1464" s="116">
        <v>1293.75</v>
      </c>
      <c r="R1464">
        <v>618797</v>
      </c>
    </row>
    <row r="1465" spans="1:18" x14ac:dyDescent="0.25">
      <c r="A1465" s="170">
        <v>45163</v>
      </c>
      <c r="B1465" s="116">
        <v>1297.9000000000001</v>
      </c>
      <c r="C1465" s="116">
        <v>1294.9000000000001</v>
      </c>
      <c r="D1465" s="116">
        <v>1280.05</v>
      </c>
      <c r="E1465" s="116">
        <v>1280.05</v>
      </c>
      <c r="F1465" s="116">
        <v>1294.9000000000001</v>
      </c>
      <c r="G1465">
        <v>11645</v>
      </c>
      <c r="H1465" s="116"/>
      <c r="I1465" s="116"/>
      <c r="L1465" s="170">
        <v>45163</v>
      </c>
      <c r="M1465" s="116">
        <v>1296.4000000000001</v>
      </c>
      <c r="N1465" s="116">
        <v>1298.55</v>
      </c>
      <c r="O1465" s="116">
        <v>1282.45</v>
      </c>
      <c r="P1465" s="116">
        <v>1293.05</v>
      </c>
      <c r="Q1465" s="116">
        <v>1296.4000000000001</v>
      </c>
      <c r="R1465">
        <v>487521</v>
      </c>
    </row>
    <row r="1466" spans="1:18" x14ac:dyDescent="0.25">
      <c r="A1466" s="170">
        <v>45166</v>
      </c>
      <c r="B1466" s="116">
        <v>1307.0999999999999</v>
      </c>
      <c r="C1466" s="116">
        <v>1291.3499999999999</v>
      </c>
      <c r="D1466" s="116">
        <v>1289.5</v>
      </c>
      <c r="E1466" s="116">
        <v>1300.95</v>
      </c>
      <c r="F1466" s="116">
        <v>1291.3499999999999</v>
      </c>
      <c r="G1466">
        <v>8417</v>
      </c>
      <c r="H1466" s="116"/>
      <c r="I1466" s="116"/>
      <c r="L1466" s="170">
        <v>45166</v>
      </c>
      <c r="M1466" s="116">
        <v>1291.55</v>
      </c>
      <c r="N1466" s="116">
        <v>1307</v>
      </c>
      <c r="O1466" s="116">
        <v>1289.55</v>
      </c>
      <c r="P1466" s="116">
        <v>1300</v>
      </c>
      <c r="Q1466" s="116">
        <v>1291.55</v>
      </c>
      <c r="R1466">
        <v>764751</v>
      </c>
    </row>
    <row r="1467" spans="1:18" x14ac:dyDescent="0.25">
      <c r="A1467" s="170">
        <v>45167</v>
      </c>
      <c r="B1467" s="116">
        <v>1300.5999999999999</v>
      </c>
      <c r="C1467" s="116">
        <v>1298.8499999999999</v>
      </c>
      <c r="D1467" s="116">
        <v>1290.3</v>
      </c>
      <c r="E1467" s="116">
        <v>1291.55</v>
      </c>
      <c r="F1467" s="116">
        <v>1298.8499999999999</v>
      </c>
      <c r="G1467">
        <v>5848</v>
      </c>
      <c r="H1467" s="116"/>
      <c r="I1467" s="116"/>
      <c r="L1467" s="170">
        <v>45167</v>
      </c>
      <c r="M1467" s="116">
        <v>1297.2</v>
      </c>
      <c r="N1467" s="116">
        <v>1301.6500000000001</v>
      </c>
      <c r="O1467" s="116">
        <v>1290</v>
      </c>
      <c r="P1467" s="116">
        <v>1292</v>
      </c>
      <c r="Q1467" s="116">
        <v>1297.2</v>
      </c>
      <c r="R1467">
        <v>1011094</v>
      </c>
    </row>
    <row r="1468" spans="1:18" x14ac:dyDescent="0.25">
      <c r="A1468" s="170">
        <v>45168</v>
      </c>
      <c r="B1468" s="116">
        <v>1307</v>
      </c>
      <c r="C1468" s="116">
        <v>1301.0999999999999</v>
      </c>
      <c r="D1468" s="116">
        <v>1282.05</v>
      </c>
      <c r="E1468" s="116">
        <v>1282.05</v>
      </c>
      <c r="F1468" s="116">
        <v>1301.0999999999999</v>
      </c>
      <c r="G1468">
        <v>23213</v>
      </c>
      <c r="H1468" s="116"/>
      <c r="I1468" s="116"/>
      <c r="L1468" s="170">
        <v>45168</v>
      </c>
      <c r="M1468" s="116">
        <v>1300.5999999999999</v>
      </c>
      <c r="N1468" s="116">
        <v>1307.8499999999999</v>
      </c>
      <c r="O1468" s="116">
        <v>1293.3</v>
      </c>
      <c r="P1468" s="116">
        <v>1301.95</v>
      </c>
      <c r="Q1468" s="116">
        <v>1300.5999999999999</v>
      </c>
      <c r="R1468">
        <v>812860</v>
      </c>
    </row>
    <row r="1469" spans="1:18" x14ac:dyDescent="0.25">
      <c r="A1469" s="170">
        <v>45169</v>
      </c>
      <c r="B1469" s="116">
        <v>1307.55</v>
      </c>
      <c r="C1469" s="116">
        <v>1293.75</v>
      </c>
      <c r="D1469" s="116">
        <v>1283.45</v>
      </c>
      <c r="E1469" s="116">
        <v>1283.45</v>
      </c>
      <c r="F1469" s="116">
        <v>1293.75</v>
      </c>
      <c r="G1469">
        <v>10268</v>
      </c>
      <c r="H1469" s="116"/>
      <c r="I1469" s="116"/>
      <c r="L1469" s="170">
        <v>45169</v>
      </c>
      <c r="M1469" s="116">
        <v>1292.55</v>
      </c>
      <c r="N1469" s="116">
        <v>1308.5999999999999</v>
      </c>
      <c r="O1469" s="116">
        <v>1286.5</v>
      </c>
      <c r="P1469" s="116">
        <v>1304.8499999999999</v>
      </c>
      <c r="Q1469" s="116">
        <v>1292.55</v>
      </c>
      <c r="R1469">
        <v>1390078</v>
      </c>
    </row>
    <row r="1470" spans="1:18" x14ac:dyDescent="0.25">
      <c r="A1470" s="170">
        <v>45170</v>
      </c>
      <c r="B1470" s="116">
        <v>1327</v>
      </c>
      <c r="C1470" s="116">
        <v>1320.2</v>
      </c>
      <c r="D1470" s="116">
        <v>1293.25</v>
      </c>
      <c r="E1470" s="116">
        <v>1293.8</v>
      </c>
      <c r="F1470" s="116">
        <v>1320.2</v>
      </c>
      <c r="G1470">
        <v>31047</v>
      </c>
      <c r="H1470" s="116"/>
      <c r="I1470" s="116"/>
      <c r="L1470" s="170">
        <v>45170</v>
      </c>
      <c r="M1470" s="116">
        <v>1320.55</v>
      </c>
      <c r="N1470" s="116">
        <v>1327.1</v>
      </c>
      <c r="O1470" s="116">
        <v>1293.2</v>
      </c>
      <c r="P1470" s="116">
        <v>1297.95</v>
      </c>
      <c r="Q1470" s="116">
        <v>1320.55</v>
      </c>
      <c r="R1470">
        <v>761000</v>
      </c>
    </row>
    <row r="1471" spans="1:18" x14ac:dyDescent="0.25">
      <c r="A1471" s="170">
        <v>45173</v>
      </c>
      <c r="B1471" s="116">
        <v>1333</v>
      </c>
      <c r="C1471" s="116">
        <v>1328.05</v>
      </c>
      <c r="D1471" s="116">
        <v>1302</v>
      </c>
      <c r="E1471" s="116">
        <v>1321.7</v>
      </c>
      <c r="F1471" s="116">
        <v>1328.05</v>
      </c>
      <c r="G1471">
        <v>13916</v>
      </c>
      <c r="H1471" s="116"/>
      <c r="I1471" s="116"/>
      <c r="L1471" s="170">
        <v>45173</v>
      </c>
      <c r="M1471" s="116">
        <v>1328.35</v>
      </c>
      <c r="N1471" s="116">
        <v>1332.45</v>
      </c>
      <c r="O1471" s="116">
        <v>1301.5</v>
      </c>
      <c r="P1471" s="116">
        <v>1328.5</v>
      </c>
      <c r="Q1471" s="116">
        <v>1328.35</v>
      </c>
      <c r="R1471">
        <v>542261</v>
      </c>
    </row>
    <row r="1472" spans="1:18" x14ac:dyDescent="0.25">
      <c r="A1472" s="170">
        <v>45174</v>
      </c>
      <c r="B1472" s="116">
        <v>1338</v>
      </c>
      <c r="C1472" s="116">
        <v>1309</v>
      </c>
      <c r="D1472" s="116">
        <v>1306.8499999999999</v>
      </c>
      <c r="E1472" s="116">
        <v>1329.25</v>
      </c>
      <c r="F1472" s="116">
        <v>1309</v>
      </c>
      <c r="G1472">
        <v>14267</v>
      </c>
      <c r="H1472" s="116"/>
      <c r="I1472" s="116"/>
      <c r="L1472" s="170">
        <v>45174</v>
      </c>
      <c r="M1472" s="116">
        <v>1309.45</v>
      </c>
      <c r="N1472" s="116">
        <v>1338.95</v>
      </c>
      <c r="O1472" s="116">
        <v>1305.6500000000001</v>
      </c>
      <c r="P1472" s="116">
        <v>1328.35</v>
      </c>
      <c r="Q1472" s="116">
        <v>1309.45</v>
      </c>
      <c r="R1472">
        <v>1922115</v>
      </c>
    </row>
    <row r="1473" spans="1:18" x14ac:dyDescent="0.25">
      <c r="A1473" s="170">
        <v>45175</v>
      </c>
      <c r="B1473" s="116">
        <v>1329</v>
      </c>
      <c r="C1473" s="116">
        <v>1318.15</v>
      </c>
      <c r="D1473" s="116">
        <v>1305.7</v>
      </c>
      <c r="E1473" s="116">
        <v>1307</v>
      </c>
      <c r="F1473" s="116">
        <v>1318.15</v>
      </c>
      <c r="G1473">
        <v>8753</v>
      </c>
      <c r="H1473" s="116"/>
      <c r="I1473" s="116"/>
      <c r="L1473" s="170">
        <v>45175</v>
      </c>
      <c r="M1473" s="116">
        <v>1319.8</v>
      </c>
      <c r="N1473" s="116">
        <v>1329</v>
      </c>
      <c r="O1473" s="116">
        <v>1305.45</v>
      </c>
      <c r="P1473" s="116">
        <v>1310</v>
      </c>
      <c r="Q1473" s="116">
        <v>1319.8</v>
      </c>
      <c r="R1473">
        <v>1461738</v>
      </c>
    </row>
    <row r="1474" spans="1:18" x14ac:dyDescent="0.25">
      <c r="A1474" s="170">
        <v>45176</v>
      </c>
      <c r="B1474" s="116">
        <v>1351.25</v>
      </c>
      <c r="C1474" s="116">
        <v>1347.15</v>
      </c>
      <c r="D1474" s="116">
        <v>1311.45</v>
      </c>
      <c r="E1474" s="116">
        <v>1317</v>
      </c>
      <c r="F1474" s="116">
        <v>1347.15</v>
      </c>
      <c r="G1474">
        <v>19628</v>
      </c>
      <c r="H1474" s="116"/>
      <c r="I1474" s="116"/>
      <c r="L1474" s="170">
        <v>45176</v>
      </c>
      <c r="M1474" s="116">
        <v>1347.5</v>
      </c>
      <c r="N1474" s="116">
        <v>1351.3</v>
      </c>
      <c r="O1474" s="116">
        <v>1311.45</v>
      </c>
      <c r="P1474" s="116">
        <v>1320</v>
      </c>
      <c r="Q1474" s="116">
        <v>1347.5</v>
      </c>
      <c r="R1474">
        <v>1468196</v>
      </c>
    </row>
    <row r="1475" spans="1:18" x14ac:dyDescent="0.25">
      <c r="A1475" s="170">
        <v>45177</v>
      </c>
      <c r="B1475" s="116">
        <v>1349.95</v>
      </c>
      <c r="C1475" s="116">
        <v>1341.35</v>
      </c>
      <c r="D1475" s="116">
        <v>1334.35</v>
      </c>
      <c r="E1475" s="116">
        <v>1349.95</v>
      </c>
      <c r="F1475" s="116">
        <v>1341.35</v>
      </c>
      <c r="G1475">
        <v>14504</v>
      </c>
      <c r="H1475" s="116"/>
      <c r="I1475" s="116"/>
      <c r="L1475" s="170">
        <v>45177</v>
      </c>
      <c r="M1475" s="116">
        <v>1341.45</v>
      </c>
      <c r="N1475" s="116">
        <v>1349.45</v>
      </c>
      <c r="O1475" s="116">
        <v>1334.35</v>
      </c>
      <c r="P1475" s="116">
        <v>1348</v>
      </c>
      <c r="Q1475" s="116">
        <v>1341.45</v>
      </c>
      <c r="R1475">
        <v>1214231</v>
      </c>
    </row>
    <row r="1476" spans="1:18" x14ac:dyDescent="0.25">
      <c r="A1476" s="170">
        <v>45180</v>
      </c>
      <c r="B1476" s="116">
        <v>1356.4</v>
      </c>
      <c r="C1476" s="116">
        <v>1349.35</v>
      </c>
      <c r="D1476" s="116">
        <v>1336.65</v>
      </c>
      <c r="E1476" s="116">
        <v>1341.4</v>
      </c>
      <c r="F1476" s="116">
        <v>1349.35</v>
      </c>
      <c r="G1476">
        <v>12070</v>
      </c>
      <c r="H1476" s="116"/>
      <c r="I1476" s="116"/>
      <c r="L1476" s="170">
        <v>45180</v>
      </c>
      <c r="M1476" s="116">
        <v>1350.15</v>
      </c>
      <c r="N1476" s="116">
        <v>1356.85</v>
      </c>
      <c r="O1476" s="116">
        <v>1337</v>
      </c>
      <c r="P1476" s="116">
        <v>1344.45</v>
      </c>
      <c r="Q1476" s="116">
        <v>1350.15</v>
      </c>
      <c r="R1476">
        <v>844034</v>
      </c>
    </row>
    <row r="1477" spans="1:18" x14ac:dyDescent="0.25">
      <c r="A1477" s="170">
        <v>45181</v>
      </c>
      <c r="B1477" s="116">
        <v>1351.25</v>
      </c>
      <c r="C1477" s="116">
        <v>1346.55</v>
      </c>
      <c r="D1477" s="116">
        <v>1331.35</v>
      </c>
      <c r="E1477" s="116">
        <v>1350.05</v>
      </c>
      <c r="F1477" s="116">
        <v>1346.55</v>
      </c>
      <c r="G1477">
        <v>17136</v>
      </c>
      <c r="H1477" s="116"/>
      <c r="I1477" s="116"/>
      <c r="L1477" s="170">
        <v>45181</v>
      </c>
      <c r="M1477" s="116">
        <v>1346.5</v>
      </c>
      <c r="N1477" s="116">
        <v>1352.8</v>
      </c>
      <c r="O1477" s="116">
        <v>1331.3</v>
      </c>
      <c r="P1477" s="116">
        <v>1352.8</v>
      </c>
      <c r="Q1477" s="116">
        <v>1346.5</v>
      </c>
      <c r="R1477">
        <v>1139357</v>
      </c>
    </row>
    <row r="1478" spans="1:18" x14ac:dyDescent="0.25">
      <c r="A1478" s="170">
        <v>45182</v>
      </c>
      <c r="B1478" s="116">
        <v>1350.85</v>
      </c>
      <c r="C1478" s="116">
        <v>1344.3</v>
      </c>
      <c r="D1478" s="116">
        <v>1329</v>
      </c>
      <c r="E1478" s="116">
        <v>1333</v>
      </c>
      <c r="F1478" s="116">
        <v>1344.3</v>
      </c>
      <c r="G1478">
        <v>14227</v>
      </c>
      <c r="H1478" s="116"/>
      <c r="I1478" s="116"/>
      <c r="L1478" s="170">
        <v>45182</v>
      </c>
      <c r="M1478" s="116">
        <v>1345.5</v>
      </c>
      <c r="N1478" s="116">
        <v>1351.05</v>
      </c>
      <c r="O1478" s="116">
        <v>1328.25</v>
      </c>
      <c r="P1478" s="116">
        <v>1350</v>
      </c>
      <c r="Q1478" s="116">
        <v>1345.5</v>
      </c>
      <c r="R1478">
        <v>438029</v>
      </c>
    </row>
    <row r="1479" spans="1:18" x14ac:dyDescent="0.25">
      <c r="A1479" s="170">
        <v>45183</v>
      </c>
      <c r="B1479" s="116">
        <v>1360</v>
      </c>
      <c r="C1479" s="116">
        <v>1353.05</v>
      </c>
      <c r="D1479" s="116">
        <v>1342.75</v>
      </c>
      <c r="E1479" s="116">
        <v>1344.3</v>
      </c>
      <c r="F1479" s="116">
        <v>1353.05</v>
      </c>
      <c r="G1479">
        <v>7311</v>
      </c>
      <c r="H1479" s="116"/>
      <c r="I1479" s="116"/>
      <c r="L1479" s="170">
        <v>45183</v>
      </c>
      <c r="M1479" s="116">
        <v>1352.75</v>
      </c>
      <c r="N1479" s="116">
        <v>1360.75</v>
      </c>
      <c r="O1479" s="116">
        <v>1342.25</v>
      </c>
      <c r="P1479" s="116">
        <v>1345.5</v>
      </c>
      <c r="Q1479" s="116">
        <v>1352.75</v>
      </c>
      <c r="R1479">
        <v>889229</v>
      </c>
    </row>
    <row r="1480" spans="1:18" x14ac:dyDescent="0.25">
      <c r="A1480" s="170">
        <v>45184</v>
      </c>
      <c r="B1480" s="116">
        <v>1374.7</v>
      </c>
      <c r="C1480" s="116">
        <v>1372.45</v>
      </c>
      <c r="D1480" s="116">
        <v>1348.7</v>
      </c>
      <c r="E1480" s="116">
        <v>1348.7</v>
      </c>
      <c r="F1480" s="116">
        <v>1372.45</v>
      </c>
      <c r="G1480">
        <v>36845</v>
      </c>
      <c r="H1480" s="116"/>
      <c r="I1480" s="116"/>
      <c r="L1480" s="170">
        <v>45184</v>
      </c>
      <c r="M1480" s="116">
        <v>1372.65</v>
      </c>
      <c r="N1480" s="116">
        <v>1374.85</v>
      </c>
      <c r="O1480" s="116">
        <v>1352</v>
      </c>
      <c r="P1480" s="116">
        <v>1355.3</v>
      </c>
      <c r="Q1480" s="116">
        <v>1372.65</v>
      </c>
      <c r="R1480">
        <v>878944</v>
      </c>
    </row>
    <row r="1481" spans="1:18" x14ac:dyDescent="0.25">
      <c r="A1481" s="170">
        <v>45187</v>
      </c>
      <c r="B1481" s="116">
        <v>1392.1</v>
      </c>
      <c r="C1481" s="116">
        <v>1372.95</v>
      </c>
      <c r="D1481" s="116">
        <v>1367.85</v>
      </c>
      <c r="E1481" s="116">
        <v>1375</v>
      </c>
      <c r="F1481" s="116">
        <v>1372.95</v>
      </c>
      <c r="G1481">
        <v>24413</v>
      </c>
      <c r="H1481" s="116"/>
      <c r="I1481" s="116"/>
      <c r="L1481" s="170">
        <v>45187</v>
      </c>
      <c r="M1481" s="116">
        <v>1373.7</v>
      </c>
      <c r="N1481" s="116">
        <v>1393</v>
      </c>
      <c r="O1481" s="116">
        <v>1367.55</v>
      </c>
      <c r="P1481" s="116">
        <v>1375</v>
      </c>
      <c r="Q1481" s="116">
        <v>1373.7</v>
      </c>
      <c r="R1481">
        <v>1324270</v>
      </c>
    </row>
    <row r="1482" spans="1:18" x14ac:dyDescent="0.25">
      <c r="A1482" s="170">
        <v>45189</v>
      </c>
      <c r="B1482" s="116">
        <v>1376.05</v>
      </c>
      <c r="C1482" s="116">
        <v>1345.1</v>
      </c>
      <c r="D1482" s="116">
        <v>1340.3</v>
      </c>
      <c r="E1482" s="116">
        <v>1372.95</v>
      </c>
      <c r="F1482" s="116">
        <v>1345.1</v>
      </c>
      <c r="G1482">
        <v>6610</v>
      </c>
      <c r="H1482" s="116"/>
      <c r="I1482" s="116"/>
      <c r="L1482" s="170">
        <v>45189</v>
      </c>
      <c r="M1482" s="116">
        <v>1345.2</v>
      </c>
      <c r="N1482" s="116">
        <v>1376.8</v>
      </c>
      <c r="O1482" s="116">
        <v>1340.35</v>
      </c>
      <c r="P1482" s="116">
        <v>1370</v>
      </c>
      <c r="Q1482" s="116">
        <v>1345.2</v>
      </c>
      <c r="R1482">
        <v>574012</v>
      </c>
    </row>
    <row r="1483" spans="1:18" x14ac:dyDescent="0.25">
      <c r="A1483" s="170">
        <v>45190</v>
      </c>
      <c r="B1483" s="116">
        <v>1350</v>
      </c>
      <c r="C1483" s="116">
        <v>1335.25</v>
      </c>
      <c r="D1483" s="116">
        <v>1327.9</v>
      </c>
      <c r="E1483" s="116">
        <v>1350</v>
      </c>
      <c r="F1483" s="116">
        <v>1335.25</v>
      </c>
      <c r="G1483">
        <v>6455</v>
      </c>
      <c r="H1483" s="116"/>
      <c r="I1483" s="116"/>
      <c r="L1483" s="170">
        <v>45190</v>
      </c>
      <c r="M1483" s="116">
        <v>1334.2</v>
      </c>
      <c r="N1483" s="116">
        <v>1351.9</v>
      </c>
      <c r="O1483" s="116">
        <v>1328.05</v>
      </c>
      <c r="P1483" s="116">
        <v>1345.5</v>
      </c>
      <c r="Q1483" s="116">
        <v>1334.2</v>
      </c>
      <c r="R1483">
        <v>783641</v>
      </c>
    </row>
    <row r="1484" spans="1:18" x14ac:dyDescent="0.25">
      <c r="A1484" s="170">
        <v>45191</v>
      </c>
      <c r="B1484" s="116">
        <v>1335.2</v>
      </c>
      <c r="C1484" s="116">
        <v>1318.85</v>
      </c>
      <c r="D1484" s="116">
        <v>1316.1</v>
      </c>
      <c r="E1484" s="116">
        <v>1328</v>
      </c>
      <c r="F1484" s="116">
        <v>1318.85</v>
      </c>
      <c r="G1484">
        <v>12110</v>
      </c>
      <c r="H1484" s="116"/>
      <c r="I1484" s="116"/>
      <c r="L1484" s="170">
        <v>45191</v>
      </c>
      <c r="M1484" s="116">
        <v>1318.85</v>
      </c>
      <c r="N1484" s="116">
        <v>1337.6</v>
      </c>
      <c r="O1484" s="116">
        <v>1316</v>
      </c>
      <c r="P1484" s="116">
        <v>1326.05</v>
      </c>
      <c r="Q1484" s="116">
        <v>1318.85</v>
      </c>
      <c r="R1484">
        <v>1084861</v>
      </c>
    </row>
    <row r="1485" spans="1:18" x14ac:dyDescent="0.25">
      <c r="A1485" s="170">
        <v>45194</v>
      </c>
      <c r="B1485" s="116">
        <v>1323.75</v>
      </c>
      <c r="C1485" s="116">
        <v>1293.2</v>
      </c>
      <c r="D1485" s="116">
        <v>1288.9000000000001</v>
      </c>
      <c r="E1485" s="116">
        <v>1316</v>
      </c>
      <c r="F1485" s="116">
        <v>1293.2</v>
      </c>
      <c r="G1485">
        <v>19637</v>
      </c>
      <c r="H1485" s="116"/>
      <c r="I1485" s="116"/>
      <c r="L1485" s="170">
        <v>45194</v>
      </c>
      <c r="M1485" s="116">
        <v>1294.1500000000001</v>
      </c>
      <c r="N1485" s="116">
        <v>1340</v>
      </c>
      <c r="O1485" s="116">
        <v>1289.0999999999999</v>
      </c>
      <c r="P1485" s="116">
        <v>1318.8</v>
      </c>
      <c r="Q1485" s="116">
        <v>1294.1500000000001</v>
      </c>
      <c r="R1485">
        <v>908011</v>
      </c>
    </row>
    <row r="1486" spans="1:18" x14ac:dyDescent="0.25">
      <c r="A1486" s="170">
        <v>45195</v>
      </c>
      <c r="B1486" s="116">
        <v>1301.95</v>
      </c>
      <c r="C1486" s="116">
        <v>1289.5</v>
      </c>
      <c r="D1486" s="116">
        <v>1285.4000000000001</v>
      </c>
      <c r="E1486" s="116">
        <v>1300.25</v>
      </c>
      <c r="F1486" s="116">
        <v>1289.5</v>
      </c>
      <c r="G1486">
        <v>7363</v>
      </c>
      <c r="H1486" s="116"/>
      <c r="I1486" s="116"/>
      <c r="L1486" s="170">
        <v>45195</v>
      </c>
      <c r="M1486" s="116">
        <v>1289.7</v>
      </c>
      <c r="N1486" s="116">
        <v>1302.3499999999999</v>
      </c>
      <c r="O1486" s="116">
        <v>1285.2</v>
      </c>
      <c r="P1486" s="116">
        <v>1295.5</v>
      </c>
      <c r="Q1486" s="116">
        <v>1289.7</v>
      </c>
      <c r="R1486">
        <v>749346</v>
      </c>
    </row>
    <row r="1487" spans="1:18" x14ac:dyDescent="0.25">
      <c r="A1487" s="170">
        <v>45196</v>
      </c>
      <c r="B1487" s="116">
        <v>1304.1500000000001</v>
      </c>
      <c r="C1487" s="116">
        <v>1300.95</v>
      </c>
      <c r="D1487" s="116">
        <v>1278</v>
      </c>
      <c r="E1487" s="116">
        <v>1285</v>
      </c>
      <c r="F1487" s="116">
        <v>1300.95</v>
      </c>
      <c r="G1487">
        <v>6740</v>
      </c>
      <c r="H1487" s="116"/>
      <c r="I1487" s="116"/>
      <c r="L1487" s="170">
        <v>45196</v>
      </c>
      <c r="M1487" s="116">
        <v>1301</v>
      </c>
      <c r="N1487" s="116">
        <v>1304</v>
      </c>
      <c r="O1487" s="116">
        <v>1277.95</v>
      </c>
      <c r="P1487" s="116">
        <v>1283.3</v>
      </c>
      <c r="Q1487" s="116">
        <v>1301</v>
      </c>
      <c r="R1487">
        <v>643756</v>
      </c>
    </row>
    <row r="1488" spans="1:18" x14ac:dyDescent="0.25">
      <c r="A1488" s="170">
        <v>45197</v>
      </c>
      <c r="B1488" s="116">
        <v>1308</v>
      </c>
      <c r="C1488" s="116">
        <v>1288.4000000000001</v>
      </c>
      <c r="D1488" s="116">
        <v>1284.2</v>
      </c>
      <c r="E1488" s="116">
        <v>1300.05</v>
      </c>
      <c r="F1488" s="116">
        <v>1288.4000000000001</v>
      </c>
      <c r="G1488">
        <v>8403</v>
      </c>
      <c r="H1488" s="116"/>
      <c r="I1488" s="116"/>
      <c r="L1488" s="170">
        <v>45197</v>
      </c>
      <c r="M1488" s="116">
        <v>1289.4000000000001</v>
      </c>
      <c r="N1488" s="116">
        <v>1308.5</v>
      </c>
      <c r="O1488" s="116">
        <v>1284.5</v>
      </c>
      <c r="P1488" s="116">
        <v>1301</v>
      </c>
      <c r="Q1488" s="116">
        <v>1289.4000000000001</v>
      </c>
      <c r="R1488">
        <v>1026081</v>
      </c>
    </row>
    <row r="1489" spans="1:18" x14ac:dyDescent="0.25">
      <c r="A1489" s="170">
        <v>45198</v>
      </c>
      <c r="B1489" s="116">
        <v>1312.4</v>
      </c>
      <c r="C1489" s="116">
        <v>1306.5999999999999</v>
      </c>
      <c r="D1489" s="116">
        <v>1288.4000000000001</v>
      </c>
      <c r="E1489" s="116">
        <v>1288.4000000000001</v>
      </c>
      <c r="F1489" s="116">
        <v>1306.5999999999999</v>
      </c>
      <c r="G1489">
        <v>5000</v>
      </c>
      <c r="H1489" s="116"/>
      <c r="I1489" s="116"/>
      <c r="L1489" s="170">
        <v>45198</v>
      </c>
      <c r="M1489" s="116">
        <v>1305.4000000000001</v>
      </c>
      <c r="N1489" s="116">
        <v>1312</v>
      </c>
      <c r="O1489" s="116">
        <v>1289</v>
      </c>
      <c r="P1489" s="116">
        <v>1289.95</v>
      </c>
      <c r="Q1489" s="116">
        <v>1305.4000000000001</v>
      </c>
      <c r="R1489">
        <v>1294800</v>
      </c>
    </row>
    <row r="1490" spans="1:18" x14ac:dyDescent="0.25">
      <c r="A1490" s="170">
        <v>45202</v>
      </c>
      <c r="B1490" s="116">
        <v>1309.95</v>
      </c>
      <c r="C1490" s="116">
        <v>1293.05</v>
      </c>
      <c r="D1490" s="116">
        <v>1283.3</v>
      </c>
      <c r="E1490" s="116">
        <v>1309.95</v>
      </c>
      <c r="F1490" s="116">
        <v>1293.05</v>
      </c>
      <c r="G1490">
        <v>12894</v>
      </c>
      <c r="H1490" s="116"/>
      <c r="I1490" s="116"/>
      <c r="L1490" s="170">
        <v>45202</v>
      </c>
      <c r="M1490" s="116">
        <v>1292.45</v>
      </c>
      <c r="N1490" s="116">
        <v>1302.1500000000001</v>
      </c>
      <c r="O1490" s="116">
        <v>1282.6500000000001</v>
      </c>
      <c r="P1490" s="116">
        <v>1302.1500000000001</v>
      </c>
      <c r="Q1490" s="116">
        <v>1292.45</v>
      </c>
      <c r="R1490">
        <v>1282289</v>
      </c>
    </row>
    <row r="1491" spans="1:18" x14ac:dyDescent="0.25">
      <c r="A1491" s="170">
        <v>45203</v>
      </c>
      <c r="B1491" s="116">
        <v>1301.9000000000001</v>
      </c>
      <c r="C1491" s="116">
        <v>1271</v>
      </c>
      <c r="D1491" s="116">
        <v>1263.95</v>
      </c>
      <c r="E1491" s="116">
        <v>1301.9000000000001</v>
      </c>
      <c r="F1491" s="116">
        <v>1271</v>
      </c>
      <c r="G1491">
        <v>14317</v>
      </c>
      <c r="H1491" s="116"/>
      <c r="I1491" s="116"/>
      <c r="L1491" s="170">
        <v>45203</v>
      </c>
      <c r="M1491" s="116">
        <v>1270.55</v>
      </c>
      <c r="N1491" s="116">
        <v>1297.7</v>
      </c>
      <c r="O1491" s="116">
        <v>1264.3499999999999</v>
      </c>
      <c r="P1491" s="116">
        <v>1291.5999999999999</v>
      </c>
      <c r="Q1491" s="116">
        <v>1270.55</v>
      </c>
      <c r="R1491">
        <v>1139615</v>
      </c>
    </row>
    <row r="1492" spans="1:18" x14ac:dyDescent="0.25">
      <c r="A1492" s="170">
        <v>45204</v>
      </c>
      <c r="B1492" s="116">
        <v>1282.4000000000001</v>
      </c>
      <c r="C1492" s="116">
        <v>1274.75</v>
      </c>
      <c r="D1492" s="116">
        <v>1265.1500000000001</v>
      </c>
      <c r="E1492" s="116">
        <v>1274.95</v>
      </c>
      <c r="F1492" s="116">
        <v>1274.75</v>
      </c>
      <c r="G1492">
        <v>10746</v>
      </c>
      <c r="H1492" s="116"/>
      <c r="I1492" s="116"/>
      <c r="L1492" s="170">
        <v>45204</v>
      </c>
      <c r="M1492" s="116">
        <v>1274.45</v>
      </c>
      <c r="N1492" s="116">
        <v>1282.0999999999999</v>
      </c>
      <c r="O1492" s="116">
        <v>1264.95</v>
      </c>
      <c r="P1492" s="116">
        <v>1271</v>
      </c>
      <c r="Q1492" s="116">
        <v>1274.45</v>
      </c>
      <c r="R1492">
        <v>979561</v>
      </c>
    </row>
    <row r="1493" spans="1:18" x14ac:dyDescent="0.25">
      <c r="A1493" s="170">
        <v>45205</v>
      </c>
      <c r="B1493" s="116">
        <v>1287</v>
      </c>
      <c r="C1493" s="116">
        <v>1282.75</v>
      </c>
      <c r="D1493" s="116">
        <v>1271.7</v>
      </c>
      <c r="E1493" s="116">
        <v>1276</v>
      </c>
      <c r="F1493" s="116">
        <v>1282.75</v>
      </c>
      <c r="G1493">
        <v>10136</v>
      </c>
      <c r="H1493" s="116"/>
      <c r="I1493" s="116"/>
      <c r="L1493" s="170">
        <v>45205</v>
      </c>
      <c r="M1493" s="116">
        <v>1282.95</v>
      </c>
      <c r="N1493" s="116">
        <v>1287.55</v>
      </c>
      <c r="O1493" s="116">
        <v>1272</v>
      </c>
      <c r="P1493" s="116">
        <v>1276</v>
      </c>
      <c r="Q1493" s="116">
        <v>1282.95</v>
      </c>
      <c r="R1493">
        <v>784191</v>
      </c>
    </row>
    <row r="1494" spans="1:18" x14ac:dyDescent="0.25">
      <c r="A1494" s="170">
        <v>45208</v>
      </c>
      <c r="B1494" s="116">
        <v>1291.1500000000001</v>
      </c>
      <c r="C1494" s="116">
        <v>1276.7</v>
      </c>
      <c r="D1494" s="116">
        <v>1272.95</v>
      </c>
      <c r="E1494" s="116">
        <v>1281.95</v>
      </c>
      <c r="F1494" s="116">
        <v>1276.7</v>
      </c>
      <c r="G1494">
        <v>22049</v>
      </c>
      <c r="H1494" s="116"/>
      <c r="I1494" s="116"/>
      <c r="L1494" s="170">
        <v>45208</v>
      </c>
      <c r="M1494" s="116">
        <v>1277.25</v>
      </c>
      <c r="N1494" s="116">
        <v>1290.75</v>
      </c>
      <c r="O1494" s="116">
        <v>1272</v>
      </c>
      <c r="P1494" s="116">
        <v>1278.0999999999999</v>
      </c>
      <c r="Q1494" s="116">
        <v>1277.25</v>
      </c>
      <c r="R1494">
        <v>1345177</v>
      </c>
    </row>
    <row r="1495" spans="1:18" x14ac:dyDescent="0.25">
      <c r="A1495" s="170">
        <v>45209</v>
      </c>
      <c r="B1495" s="116">
        <v>1312.5</v>
      </c>
      <c r="C1495" s="116">
        <v>1301</v>
      </c>
      <c r="D1495" s="116">
        <v>1279</v>
      </c>
      <c r="E1495" s="116">
        <v>1279</v>
      </c>
      <c r="F1495" s="116">
        <v>1301</v>
      </c>
      <c r="G1495">
        <v>9951</v>
      </c>
      <c r="H1495" s="116"/>
      <c r="I1495" s="116"/>
      <c r="L1495" s="170">
        <v>45209</v>
      </c>
      <c r="M1495" s="116">
        <v>1302.05</v>
      </c>
      <c r="N1495" s="116">
        <v>1312.6</v>
      </c>
      <c r="O1495" s="116">
        <v>1279.8</v>
      </c>
      <c r="P1495" s="116">
        <v>1285</v>
      </c>
      <c r="Q1495" s="116">
        <v>1302.05</v>
      </c>
      <c r="R1495">
        <v>1221002</v>
      </c>
    </row>
    <row r="1496" spans="1:18" x14ac:dyDescent="0.25">
      <c r="A1496" s="170">
        <v>45210</v>
      </c>
      <c r="B1496" s="116">
        <v>1310.8</v>
      </c>
      <c r="C1496" s="116">
        <v>1309.55</v>
      </c>
      <c r="D1496" s="116">
        <v>1291.25</v>
      </c>
      <c r="E1496" s="116">
        <v>1303.55</v>
      </c>
      <c r="F1496" s="116">
        <v>1309.55</v>
      </c>
      <c r="G1496">
        <v>12406</v>
      </c>
      <c r="H1496" s="116"/>
      <c r="I1496" s="116"/>
      <c r="L1496" s="170">
        <v>45210</v>
      </c>
      <c r="M1496" s="116">
        <v>1309.3499999999999</v>
      </c>
      <c r="N1496" s="116">
        <v>1310.95</v>
      </c>
      <c r="O1496" s="116">
        <v>1291.1500000000001</v>
      </c>
      <c r="P1496" s="116">
        <v>1310</v>
      </c>
      <c r="Q1496" s="116">
        <v>1309.3499999999999</v>
      </c>
      <c r="R1496">
        <v>1374812</v>
      </c>
    </row>
    <row r="1497" spans="1:18" x14ac:dyDescent="0.25">
      <c r="A1497" s="170">
        <v>45211</v>
      </c>
      <c r="B1497" s="116">
        <v>1316.95</v>
      </c>
      <c r="C1497" s="116">
        <v>1314.3</v>
      </c>
      <c r="D1497" s="116">
        <v>1300.7</v>
      </c>
      <c r="E1497" s="116">
        <v>1308.95</v>
      </c>
      <c r="F1497" s="116">
        <v>1314.3</v>
      </c>
      <c r="G1497">
        <v>13277</v>
      </c>
      <c r="H1497" s="116"/>
      <c r="I1497" s="116"/>
      <c r="L1497" s="170">
        <v>45211</v>
      </c>
      <c r="M1497" s="116">
        <v>1313.65</v>
      </c>
      <c r="N1497" s="116">
        <v>1317.4</v>
      </c>
      <c r="O1497" s="116">
        <v>1300.95</v>
      </c>
      <c r="P1497" s="116">
        <v>1311.95</v>
      </c>
      <c r="Q1497" s="116">
        <v>1313.65</v>
      </c>
      <c r="R1497">
        <v>726322</v>
      </c>
    </row>
    <row r="1498" spans="1:18" x14ac:dyDescent="0.25">
      <c r="A1498" s="170">
        <v>45212</v>
      </c>
      <c r="B1498" s="116">
        <v>1329.85</v>
      </c>
      <c r="C1498" s="116">
        <v>1316</v>
      </c>
      <c r="D1498" s="116">
        <v>1313</v>
      </c>
      <c r="E1498" s="116">
        <v>1319.85</v>
      </c>
      <c r="F1498" s="116">
        <v>1316</v>
      </c>
      <c r="G1498">
        <v>16371</v>
      </c>
      <c r="H1498" s="116"/>
      <c r="I1498" s="116"/>
      <c r="L1498" s="170">
        <v>45212</v>
      </c>
      <c r="M1498" s="116">
        <v>1316.45</v>
      </c>
      <c r="N1498" s="116">
        <v>1329.65</v>
      </c>
      <c r="O1498" s="116">
        <v>1312.85</v>
      </c>
      <c r="P1498" s="116">
        <v>1315.85</v>
      </c>
      <c r="Q1498" s="116">
        <v>1316.45</v>
      </c>
      <c r="R1498">
        <v>916350</v>
      </c>
    </row>
    <row r="1499" spans="1:18" x14ac:dyDescent="0.25">
      <c r="A1499" s="170">
        <v>45215</v>
      </c>
      <c r="B1499" s="116">
        <v>1331.4</v>
      </c>
      <c r="C1499" s="116">
        <v>1321.8</v>
      </c>
      <c r="D1499" s="116">
        <v>1311.25</v>
      </c>
      <c r="E1499" s="116">
        <v>1316.5</v>
      </c>
      <c r="F1499" s="116">
        <v>1321.8</v>
      </c>
      <c r="G1499">
        <v>4876</v>
      </c>
      <c r="H1499" s="116"/>
      <c r="I1499" s="116"/>
      <c r="L1499" s="170">
        <v>45215</v>
      </c>
      <c r="M1499" s="116">
        <v>1322.2</v>
      </c>
      <c r="N1499" s="116">
        <v>1332.2</v>
      </c>
      <c r="O1499" s="116">
        <v>1310.55</v>
      </c>
      <c r="P1499" s="116">
        <v>1319.2</v>
      </c>
      <c r="Q1499" s="116">
        <v>1322.2</v>
      </c>
      <c r="R1499">
        <v>578729</v>
      </c>
    </row>
    <row r="1500" spans="1:18" x14ac:dyDescent="0.25">
      <c r="A1500" s="170">
        <v>45216</v>
      </c>
      <c r="B1500" s="116">
        <v>1351.25</v>
      </c>
      <c r="C1500" s="116">
        <v>1348</v>
      </c>
      <c r="D1500" s="116">
        <v>1326.6</v>
      </c>
      <c r="E1500" s="116">
        <v>1331.95</v>
      </c>
      <c r="F1500" s="116">
        <v>1348</v>
      </c>
      <c r="G1500">
        <v>14308</v>
      </c>
      <c r="H1500" s="116"/>
      <c r="I1500" s="116"/>
      <c r="L1500" s="170">
        <v>45216</v>
      </c>
      <c r="M1500" s="116">
        <v>1348.35</v>
      </c>
      <c r="N1500" s="116">
        <v>1351.1</v>
      </c>
      <c r="O1500" s="116">
        <v>1325</v>
      </c>
      <c r="P1500" s="116">
        <v>1325</v>
      </c>
      <c r="Q1500" s="116">
        <v>1348.35</v>
      </c>
      <c r="R1500">
        <v>1073063</v>
      </c>
    </row>
    <row r="1501" spans="1:18" x14ac:dyDescent="0.25">
      <c r="A1501" s="170">
        <v>45217</v>
      </c>
      <c r="B1501" s="116">
        <v>1358</v>
      </c>
      <c r="C1501" s="116">
        <v>1356.9</v>
      </c>
      <c r="D1501" s="116">
        <v>1340.5</v>
      </c>
      <c r="E1501" s="116">
        <v>1347.3</v>
      </c>
      <c r="F1501" s="116">
        <v>1356.9</v>
      </c>
      <c r="G1501">
        <v>8577</v>
      </c>
      <c r="H1501" s="116"/>
      <c r="I1501" s="116"/>
      <c r="L1501" s="170">
        <v>45217</v>
      </c>
      <c r="M1501" s="116">
        <v>1356.35</v>
      </c>
      <c r="N1501" s="116">
        <v>1358.6</v>
      </c>
      <c r="O1501" s="116">
        <v>1339</v>
      </c>
      <c r="P1501" s="116">
        <v>1344.05</v>
      </c>
      <c r="Q1501" s="116">
        <v>1356.35</v>
      </c>
      <c r="R1501">
        <v>454861</v>
      </c>
    </row>
    <row r="1502" spans="1:18" x14ac:dyDescent="0.25">
      <c r="A1502" s="170">
        <v>45218</v>
      </c>
      <c r="B1502" s="116">
        <v>1352.55</v>
      </c>
      <c r="C1502" s="116">
        <v>1347.5</v>
      </c>
      <c r="D1502" s="116">
        <v>1338.1</v>
      </c>
      <c r="E1502" s="116">
        <v>1351</v>
      </c>
      <c r="F1502" s="116">
        <v>1347.5</v>
      </c>
      <c r="G1502">
        <v>8048</v>
      </c>
      <c r="H1502" s="116"/>
      <c r="I1502" s="116"/>
      <c r="L1502" s="170">
        <v>45218</v>
      </c>
      <c r="M1502" s="116">
        <v>1348.15</v>
      </c>
      <c r="N1502" s="116">
        <v>1353.6</v>
      </c>
      <c r="O1502" s="116">
        <v>1338.6</v>
      </c>
      <c r="P1502" s="116">
        <v>1349</v>
      </c>
      <c r="Q1502" s="116">
        <v>1348.15</v>
      </c>
      <c r="R1502">
        <v>595436</v>
      </c>
    </row>
    <row r="1503" spans="1:18" x14ac:dyDescent="0.25">
      <c r="A1503" s="170">
        <v>45219</v>
      </c>
      <c r="B1503" s="116">
        <v>1368.2</v>
      </c>
      <c r="C1503" s="116">
        <v>1361.45</v>
      </c>
      <c r="D1503" s="116">
        <v>1337</v>
      </c>
      <c r="E1503" s="116">
        <v>1350.65</v>
      </c>
      <c r="F1503" s="116">
        <v>1361.45</v>
      </c>
      <c r="G1503">
        <v>14529</v>
      </c>
      <c r="H1503" s="116"/>
      <c r="I1503" s="116"/>
      <c r="L1503" s="170">
        <v>45219</v>
      </c>
      <c r="M1503" s="116">
        <v>1362.65</v>
      </c>
      <c r="N1503" s="116">
        <v>1368.65</v>
      </c>
      <c r="O1503" s="116">
        <v>1336.5</v>
      </c>
      <c r="P1503" s="116">
        <v>1340</v>
      </c>
      <c r="Q1503" s="116">
        <v>1362.65</v>
      </c>
      <c r="R1503">
        <v>936229</v>
      </c>
    </row>
    <row r="1504" spans="1:18" x14ac:dyDescent="0.25">
      <c r="A1504" s="170">
        <v>45222</v>
      </c>
      <c r="B1504" s="116">
        <v>1367.1</v>
      </c>
      <c r="C1504" s="116">
        <v>1338.9</v>
      </c>
      <c r="D1504" s="116">
        <v>1330.55</v>
      </c>
      <c r="E1504" s="116">
        <v>1361.4</v>
      </c>
      <c r="F1504" s="116">
        <v>1338.9</v>
      </c>
      <c r="G1504">
        <v>11095</v>
      </c>
      <c r="H1504" s="116"/>
      <c r="I1504" s="116"/>
      <c r="L1504" s="170">
        <v>45222</v>
      </c>
      <c r="M1504" s="116">
        <v>1338.4</v>
      </c>
      <c r="N1504" s="116">
        <v>1366.55</v>
      </c>
      <c r="O1504" s="116">
        <v>1329.05</v>
      </c>
      <c r="P1504" s="116">
        <v>1359.95</v>
      </c>
      <c r="Q1504" s="116">
        <v>1338.4</v>
      </c>
      <c r="R1504">
        <v>976136</v>
      </c>
    </row>
    <row r="1505" spans="1:18" x14ac:dyDescent="0.25">
      <c r="A1505" s="170">
        <v>45224</v>
      </c>
      <c r="B1505" s="116">
        <v>1345.6</v>
      </c>
      <c r="C1505" s="116">
        <v>1312.85</v>
      </c>
      <c r="D1505" s="116">
        <v>1308.7</v>
      </c>
      <c r="E1505" s="116">
        <v>1330.55</v>
      </c>
      <c r="F1505" s="116">
        <v>1312.85</v>
      </c>
      <c r="G1505">
        <v>12636</v>
      </c>
      <c r="H1505" s="116"/>
      <c r="I1505" s="116"/>
      <c r="L1505" s="170">
        <v>45224</v>
      </c>
      <c r="M1505" s="116">
        <v>1314.15</v>
      </c>
      <c r="N1505" s="116">
        <v>1346.1</v>
      </c>
      <c r="O1505" s="116">
        <v>1308.6500000000001</v>
      </c>
      <c r="P1505" s="116">
        <v>1323.05</v>
      </c>
      <c r="Q1505" s="116">
        <v>1314.15</v>
      </c>
      <c r="R1505">
        <v>945901</v>
      </c>
    </row>
    <row r="1506" spans="1:18" x14ac:dyDescent="0.25">
      <c r="A1506" s="170">
        <v>45225</v>
      </c>
      <c r="B1506" s="116">
        <v>1315</v>
      </c>
      <c r="C1506" s="116">
        <v>1306.2</v>
      </c>
      <c r="D1506" s="116">
        <v>1291</v>
      </c>
      <c r="E1506" s="116">
        <v>1297.1500000000001</v>
      </c>
      <c r="F1506" s="116">
        <v>1306.2</v>
      </c>
      <c r="G1506">
        <v>15748</v>
      </c>
      <c r="H1506" s="116"/>
      <c r="I1506" s="116"/>
      <c r="L1506" s="170">
        <v>45225</v>
      </c>
      <c r="M1506" s="116">
        <v>1305.5999999999999</v>
      </c>
      <c r="N1506" s="116">
        <v>1315.8</v>
      </c>
      <c r="O1506" s="116">
        <v>1290.75</v>
      </c>
      <c r="P1506" s="116">
        <v>1315.8</v>
      </c>
      <c r="Q1506" s="116">
        <v>1305.5999999999999</v>
      </c>
      <c r="R1506">
        <v>1107874</v>
      </c>
    </row>
    <row r="1507" spans="1:18" x14ac:dyDescent="0.25">
      <c r="A1507" s="170">
        <v>45226</v>
      </c>
      <c r="B1507" s="116">
        <v>1320.75</v>
      </c>
      <c r="C1507" s="116">
        <v>1302.55</v>
      </c>
      <c r="D1507" s="116">
        <v>1294</v>
      </c>
      <c r="E1507" s="116">
        <v>1297.75</v>
      </c>
      <c r="F1507" s="116">
        <v>1302.55</v>
      </c>
      <c r="G1507">
        <v>9473</v>
      </c>
      <c r="H1507" s="116"/>
      <c r="I1507" s="116"/>
      <c r="L1507" s="170">
        <v>45226</v>
      </c>
      <c r="M1507" s="116">
        <v>1302.9000000000001</v>
      </c>
      <c r="N1507" s="116">
        <v>1320.7</v>
      </c>
      <c r="O1507" s="116">
        <v>1293.6500000000001</v>
      </c>
      <c r="P1507" s="116">
        <v>1307.5999999999999</v>
      </c>
      <c r="Q1507" s="116">
        <v>1302.9000000000001</v>
      </c>
      <c r="R1507">
        <v>654531</v>
      </c>
    </row>
    <row r="1508" spans="1:18" x14ac:dyDescent="0.25">
      <c r="A1508" s="170">
        <v>45229</v>
      </c>
      <c r="B1508" s="116">
        <v>1330.55</v>
      </c>
      <c r="C1508" s="116">
        <v>1326.8</v>
      </c>
      <c r="D1508" s="116">
        <v>1305.7</v>
      </c>
      <c r="E1508" s="116">
        <v>1313.8</v>
      </c>
      <c r="F1508" s="116">
        <v>1326.8</v>
      </c>
      <c r="G1508">
        <v>16867</v>
      </c>
      <c r="H1508" s="116"/>
      <c r="I1508" s="116"/>
      <c r="L1508" s="170">
        <v>45229</v>
      </c>
      <c r="M1508" s="116">
        <v>1326.2</v>
      </c>
      <c r="N1508" s="116">
        <v>1330.7</v>
      </c>
      <c r="O1508" s="116">
        <v>1305</v>
      </c>
      <c r="P1508" s="116">
        <v>1305.2</v>
      </c>
      <c r="Q1508" s="116">
        <v>1326.2</v>
      </c>
      <c r="R1508">
        <v>1242401</v>
      </c>
    </row>
    <row r="1509" spans="1:18" x14ac:dyDescent="0.25">
      <c r="A1509" s="170">
        <v>45230</v>
      </c>
      <c r="B1509" s="116">
        <v>1375</v>
      </c>
      <c r="C1509" s="116">
        <v>1369.2</v>
      </c>
      <c r="D1509" s="116">
        <v>1324.15</v>
      </c>
      <c r="E1509" s="116">
        <v>1326.6</v>
      </c>
      <c r="F1509" s="116">
        <v>1369.2</v>
      </c>
      <c r="G1509">
        <v>40834</v>
      </c>
      <c r="H1509" s="116"/>
      <c r="I1509" s="116"/>
      <c r="L1509" s="170">
        <v>45230</v>
      </c>
      <c r="M1509" s="116">
        <v>1367.85</v>
      </c>
      <c r="N1509" s="116">
        <v>1375.4</v>
      </c>
      <c r="O1509" s="116">
        <v>1319.5</v>
      </c>
      <c r="P1509" s="116">
        <v>1325</v>
      </c>
      <c r="Q1509" s="116">
        <v>1367.85</v>
      </c>
      <c r="R1509">
        <v>2287988</v>
      </c>
    </row>
    <row r="1510" spans="1:18" x14ac:dyDescent="0.25">
      <c r="A1510" s="170">
        <v>45231</v>
      </c>
      <c r="B1510" s="116">
        <v>1377.4</v>
      </c>
      <c r="C1510" s="116">
        <v>1335.85</v>
      </c>
      <c r="D1510" s="116">
        <v>1332</v>
      </c>
      <c r="E1510" s="116">
        <v>1375.6</v>
      </c>
      <c r="F1510" s="116">
        <v>1335.85</v>
      </c>
      <c r="G1510">
        <v>13749</v>
      </c>
      <c r="H1510" s="116"/>
      <c r="I1510" s="116"/>
      <c r="L1510" s="170">
        <v>45231</v>
      </c>
      <c r="M1510" s="116">
        <v>1336.05</v>
      </c>
      <c r="N1510" s="116">
        <v>1377.95</v>
      </c>
      <c r="O1510" s="116">
        <v>1332.4</v>
      </c>
      <c r="P1510" s="116">
        <v>1371.05</v>
      </c>
      <c r="Q1510" s="116">
        <v>1336.05</v>
      </c>
      <c r="R1510">
        <v>968893</v>
      </c>
    </row>
    <row r="1511" spans="1:18" x14ac:dyDescent="0.25">
      <c r="A1511" s="170">
        <v>45232</v>
      </c>
      <c r="B1511" s="116">
        <v>1356.95</v>
      </c>
      <c r="C1511" s="116">
        <v>1343.65</v>
      </c>
      <c r="D1511" s="116">
        <v>1338.6</v>
      </c>
      <c r="E1511" s="116">
        <v>1338.6</v>
      </c>
      <c r="F1511" s="116">
        <v>1343.65</v>
      </c>
      <c r="G1511">
        <v>3677</v>
      </c>
      <c r="H1511" s="116"/>
      <c r="I1511" s="116"/>
      <c r="L1511" s="170">
        <v>45232</v>
      </c>
      <c r="M1511" s="116">
        <v>1343.5</v>
      </c>
      <c r="N1511" s="116">
        <v>1357.75</v>
      </c>
      <c r="O1511" s="116">
        <v>1340.15</v>
      </c>
      <c r="P1511" s="116">
        <v>1342</v>
      </c>
      <c r="Q1511" s="116">
        <v>1343.5</v>
      </c>
      <c r="R1511">
        <v>637519</v>
      </c>
    </row>
    <row r="1512" spans="1:18" x14ac:dyDescent="0.25">
      <c r="A1512" s="170">
        <v>45233</v>
      </c>
      <c r="B1512" s="116">
        <v>1344.9</v>
      </c>
      <c r="C1512" s="116">
        <v>1327.75</v>
      </c>
      <c r="D1512" s="116">
        <v>1325.5</v>
      </c>
      <c r="E1512" s="116">
        <v>1340.05</v>
      </c>
      <c r="F1512" s="116">
        <v>1327.75</v>
      </c>
      <c r="G1512">
        <v>14648</v>
      </c>
      <c r="H1512" s="116"/>
      <c r="I1512" s="116"/>
      <c r="L1512" s="170">
        <v>45233</v>
      </c>
      <c r="M1512" s="116">
        <v>1329.35</v>
      </c>
      <c r="N1512" s="116">
        <v>1349.95</v>
      </c>
      <c r="O1512" s="116">
        <v>1326.1</v>
      </c>
      <c r="P1512" s="116">
        <v>1344.8</v>
      </c>
      <c r="Q1512" s="116">
        <v>1329.35</v>
      </c>
      <c r="R1512">
        <v>690163</v>
      </c>
    </row>
    <row r="1513" spans="1:18" x14ac:dyDescent="0.25">
      <c r="A1513" s="170">
        <v>45236</v>
      </c>
      <c r="B1513" s="116">
        <v>1345.15</v>
      </c>
      <c r="C1513" s="116">
        <v>1333.35</v>
      </c>
      <c r="D1513" s="116">
        <v>1324.05</v>
      </c>
      <c r="E1513" s="116">
        <v>1345.15</v>
      </c>
      <c r="F1513" s="116">
        <v>1333.35</v>
      </c>
      <c r="G1513">
        <v>6997</v>
      </c>
      <c r="H1513" s="116"/>
      <c r="I1513" s="116"/>
      <c r="L1513" s="170">
        <v>45236</v>
      </c>
      <c r="M1513" s="116">
        <v>1331.85</v>
      </c>
      <c r="N1513" s="116">
        <v>1340.7</v>
      </c>
      <c r="O1513" s="116">
        <v>1323.4</v>
      </c>
      <c r="P1513" s="116">
        <v>1335</v>
      </c>
      <c r="Q1513" s="116">
        <v>1331.85</v>
      </c>
      <c r="R1513">
        <v>377106</v>
      </c>
    </row>
    <row r="1514" spans="1:18" x14ac:dyDescent="0.25">
      <c r="A1514" s="170">
        <v>45237</v>
      </c>
      <c r="B1514" s="116">
        <v>1344.55</v>
      </c>
      <c r="C1514" s="116">
        <v>1340.65</v>
      </c>
      <c r="D1514" s="116">
        <v>1320.35</v>
      </c>
      <c r="E1514" s="116">
        <v>1331.85</v>
      </c>
      <c r="F1514" s="116">
        <v>1340.65</v>
      </c>
      <c r="G1514">
        <v>12334</v>
      </c>
      <c r="H1514" s="116"/>
      <c r="I1514" s="116"/>
      <c r="L1514" s="170">
        <v>45237</v>
      </c>
      <c r="M1514" s="116">
        <v>1340.85</v>
      </c>
      <c r="N1514" s="116">
        <v>1344.05</v>
      </c>
      <c r="O1514" s="116">
        <v>1320.4</v>
      </c>
      <c r="P1514" s="116">
        <v>1332.5</v>
      </c>
      <c r="Q1514" s="116">
        <v>1340.85</v>
      </c>
      <c r="R1514">
        <v>1038346</v>
      </c>
    </row>
    <row r="1515" spans="1:18" x14ac:dyDescent="0.25">
      <c r="A1515" s="170">
        <v>45238</v>
      </c>
      <c r="B1515" s="116">
        <v>1349.2</v>
      </c>
      <c r="C1515" s="116">
        <v>1343.7</v>
      </c>
      <c r="D1515" s="116">
        <v>1334.75</v>
      </c>
      <c r="E1515" s="116">
        <v>1340.85</v>
      </c>
      <c r="F1515" s="116">
        <v>1343.7</v>
      </c>
      <c r="G1515">
        <v>6849</v>
      </c>
      <c r="H1515" s="116"/>
      <c r="I1515" s="116"/>
      <c r="L1515" s="170">
        <v>45238</v>
      </c>
      <c r="M1515" s="116">
        <v>1345.5</v>
      </c>
      <c r="N1515" s="116">
        <v>1349.35</v>
      </c>
      <c r="O1515" s="116">
        <v>1334.7</v>
      </c>
      <c r="P1515" s="116">
        <v>1342.15</v>
      </c>
      <c r="Q1515" s="116">
        <v>1345.5</v>
      </c>
      <c r="R1515">
        <v>498283</v>
      </c>
    </row>
    <row r="1516" spans="1:18" x14ac:dyDescent="0.25">
      <c r="A1516" s="170">
        <v>45239</v>
      </c>
      <c r="B1516" s="116">
        <v>1351.7</v>
      </c>
      <c r="C1516" s="116">
        <v>1350.35</v>
      </c>
      <c r="D1516" s="116">
        <v>1330.55</v>
      </c>
      <c r="E1516" s="116">
        <v>1330.55</v>
      </c>
      <c r="F1516" s="116">
        <v>1350.35</v>
      </c>
      <c r="G1516">
        <v>6264</v>
      </c>
      <c r="H1516" s="116"/>
      <c r="I1516" s="116"/>
      <c r="L1516" s="170">
        <v>45239</v>
      </c>
      <c r="M1516" s="116">
        <v>1350.7</v>
      </c>
      <c r="N1516" s="116">
        <v>1353.35</v>
      </c>
      <c r="O1516" s="116">
        <v>1335.45</v>
      </c>
      <c r="P1516" s="116">
        <v>1345.1</v>
      </c>
      <c r="Q1516" s="116">
        <v>1350.7</v>
      </c>
      <c r="R1516">
        <v>493454</v>
      </c>
    </row>
    <row r="1517" spans="1:18" x14ac:dyDescent="0.25">
      <c r="A1517" s="170">
        <v>45240</v>
      </c>
      <c r="B1517" s="116">
        <v>1360.3</v>
      </c>
      <c r="C1517" s="116">
        <v>1355.85</v>
      </c>
      <c r="D1517" s="116">
        <v>1344.15</v>
      </c>
      <c r="E1517" s="116">
        <v>1350.95</v>
      </c>
      <c r="F1517" s="116">
        <v>1355.85</v>
      </c>
      <c r="G1517">
        <v>8504</v>
      </c>
      <c r="H1517" s="116"/>
      <c r="I1517" s="116"/>
      <c r="L1517" s="170">
        <v>45240</v>
      </c>
      <c r="M1517" s="116">
        <v>1355.4</v>
      </c>
      <c r="N1517" s="116">
        <v>1360</v>
      </c>
      <c r="O1517" s="116">
        <v>1341</v>
      </c>
      <c r="P1517" s="116">
        <v>1351.8</v>
      </c>
      <c r="Q1517" s="116">
        <v>1355.4</v>
      </c>
      <c r="R1517">
        <v>639801</v>
      </c>
    </row>
    <row r="1518" spans="1:18" x14ac:dyDescent="0.25">
      <c r="A1518" s="170">
        <v>45242</v>
      </c>
      <c r="B1518" s="116">
        <v>1367.7</v>
      </c>
      <c r="C1518" s="116">
        <v>1358.9</v>
      </c>
      <c r="D1518" s="116">
        <v>1355.1</v>
      </c>
      <c r="E1518" s="116">
        <v>1367.7</v>
      </c>
      <c r="F1518" s="116">
        <v>1358.9</v>
      </c>
      <c r="G1518">
        <v>4680</v>
      </c>
      <c r="H1518" s="116"/>
      <c r="I1518" s="116"/>
      <c r="L1518" s="170">
        <v>45242</v>
      </c>
      <c r="M1518" s="116">
        <v>1358.85</v>
      </c>
      <c r="N1518" s="116">
        <v>1370.5</v>
      </c>
      <c r="O1518" s="116">
        <v>1353.1</v>
      </c>
      <c r="P1518" s="116">
        <v>1364.5</v>
      </c>
      <c r="Q1518" s="116">
        <v>1358.85</v>
      </c>
      <c r="R1518">
        <v>67960</v>
      </c>
    </row>
    <row r="1519" spans="1:18" x14ac:dyDescent="0.25">
      <c r="A1519" s="170">
        <v>45243</v>
      </c>
      <c r="B1519" s="116">
        <v>1358.95</v>
      </c>
      <c r="C1519" s="116">
        <v>1328.25</v>
      </c>
      <c r="D1519" s="116">
        <v>1325</v>
      </c>
      <c r="E1519" s="116">
        <v>1358.95</v>
      </c>
      <c r="F1519" s="116">
        <v>1328.25</v>
      </c>
      <c r="G1519">
        <v>28167</v>
      </c>
      <c r="H1519" s="116"/>
      <c r="I1519" s="116"/>
      <c r="L1519" s="170">
        <v>45243</v>
      </c>
      <c r="M1519" s="116">
        <v>1328.35</v>
      </c>
      <c r="N1519" s="116">
        <v>1359.7</v>
      </c>
      <c r="O1519" s="116">
        <v>1325</v>
      </c>
      <c r="P1519" s="116">
        <v>1351.5</v>
      </c>
      <c r="Q1519" s="116">
        <v>1328.35</v>
      </c>
      <c r="R1519">
        <v>1332535</v>
      </c>
    </row>
    <row r="1520" spans="1:18" x14ac:dyDescent="0.25">
      <c r="A1520" s="170">
        <v>45245</v>
      </c>
      <c r="B1520" s="116">
        <v>1358.75</v>
      </c>
      <c r="C1520" s="116">
        <v>1357.6</v>
      </c>
      <c r="D1520" s="116">
        <v>1332.05</v>
      </c>
      <c r="E1520" s="116">
        <v>1345.05</v>
      </c>
      <c r="F1520" s="116">
        <v>1357.6</v>
      </c>
      <c r="G1520">
        <v>7415</v>
      </c>
      <c r="H1520" s="116"/>
      <c r="I1520" s="116"/>
      <c r="L1520" s="170">
        <v>45245</v>
      </c>
      <c r="M1520" s="116">
        <v>1357.1</v>
      </c>
      <c r="N1520" s="116">
        <v>1359</v>
      </c>
      <c r="O1520" s="116">
        <v>1332.05</v>
      </c>
      <c r="P1520" s="116">
        <v>1348.95</v>
      </c>
      <c r="Q1520" s="116">
        <v>1357.1</v>
      </c>
      <c r="R1520">
        <v>742427</v>
      </c>
    </row>
    <row r="1521" spans="1:18" x14ac:dyDescent="0.25">
      <c r="A1521" s="170">
        <v>45246</v>
      </c>
      <c r="B1521" s="116">
        <v>1369.95</v>
      </c>
      <c r="C1521" s="116">
        <v>1359.85</v>
      </c>
      <c r="D1521" s="116">
        <v>1348.2</v>
      </c>
      <c r="E1521" s="116">
        <v>1369.95</v>
      </c>
      <c r="F1521" s="116">
        <v>1359.85</v>
      </c>
      <c r="G1521">
        <v>14709</v>
      </c>
      <c r="H1521" s="116"/>
      <c r="I1521" s="116"/>
      <c r="L1521" s="170">
        <v>45246</v>
      </c>
      <c r="M1521" s="116">
        <v>1359.95</v>
      </c>
      <c r="N1521" s="116">
        <v>1365.1</v>
      </c>
      <c r="O1521" s="116">
        <v>1348.05</v>
      </c>
      <c r="P1521" s="116">
        <v>1362.75</v>
      </c>
      <c r="Q1521" s="116">
        <v>1359.95</v>
      </c>
      <c r="R1521">
        <v>577249</v>
      </c>
    </row>
    <row r="1522" spans="1:18" x14ac:dyDescent="0.25">
      <c r="A1522" s="170">
        <v>45247</v>
      </c>
      <c r="B1522" s="116">
        <v>1434.4</v>
      </c>
      <c r="C1522" s="116">
        <v>1414.2</v>
      </c>
      <c r="D1522" s="116">
        <v>1345.25</v>
      </c>
      <c r="E1522" s="116">
        <v>1345.25</v>
      </c>
      <c r="F1522" s="116">
        <v>1414.2</v>
      </c>
      <c r="G1522">
        <v>55647</v>
      </c>
      <c r="H1522" s="116"/>
      <c r="I1522" s="116"/>
      <c r="L1522" s="170">
        <v>45247</v>
      </c>
      <c r="M1522" s="116">
        <v>1413.95</v>
      </c>
      <c r="N1522" s="116">
        <v>1434.45</v>
      </c>
      <c r="O1522" s="116">
        <v>1354</v>
      </c>
      <c r="P1522" s="116">
        <v>1354</v>
      </c>
      <c r="Q1522" s="116">
        <v>1413.95</v>
      </c>
      <c r="R1522">
        <v>3192944</v>
      </c>
    </row>
    <row r="1523" spans="1:18" x14ac:dyDescent="0.25">
      <c r="A1523" s="170">
        <v>45250</v>
      </c>
      <c r="B1523" s="116">
        <v>1430.9</v>
      </c>
      <c r="C1523" s="116">
        <v>1385.2</v>
      </c>
      <c r="D1523" s="116">
        <v>1382.9</v>
      </c>
      <c r="E1523" s="116">
        <v>1430.9</v>
      </c>
      <c r="F1523" s="116">
        <v>1385.2</v>
      </c>
      <c r="G1523">
        <v>20138</v>
      </c>
      <c r="H1523" s="116"/>
      <c r="I1523" s="116"/>
      <c r="L1523" s="170">
        <v>45250</v>
      </c>
      <c r="M1523" s="116">
        <v>1385.3</v>
      </c>
      <c r="N1523" s="116">
        <v>1420</v>
      </c>
      <c r="O1523" s="116">
        <v>1383</v>
      </c>
      <c r="P1523" s="116">
        <v>1413.95</v>
      </c>
      <c r="Q1523" s="116">
        <v>1385.3</v>
      </c>
      <c r="R1523">
        <v>726211</v>
      </c>
    </row>
    <row r="1524" spans="1:18" x14ac:dyDescent="0.25">
      <c r="A1524" s="170">
        <v>45251</v>
      </c>
      <c r="B1524" s="116">
        <v>1425.35</v>
      </c>
      <c r="C1524" s="116">
        <v>1423.85</v>
      </c>
      <c r="D1524" s="116">
        <v>1387.65</v>
      </c>
      <c r="E1524" s="116">
        <v>1390</v>
      </c>
      <c r="F1524" s="116">
        <v>1423.85</v>
      </c>
      <c r="G1524">
        <v>278338</v>
      </c>
      <c r="H1524" s="116"/>
      <c r="I1524" s="116"/>
      <c r="L1524" s="170">
        <v>45251</v>
      </c>
      <c r="M1524" s="116">
        <v>1423.65</v>
      </c>
      <c r="N1524" s="116">
        <v>1425.15</v>
      </c>
      <c r="O1524" s="116">
        <v>1387.1</v>
      </c>
      <c r="P1524" s="116">
        <v>1389</v>
      </c>
      <c r="Q1524" s="116">
        <v>1423.65</v>
      </c>
      <c r="R1524">
        <v>2049132</v>
      </c>
    </row>
    <row r="1525" spans="1:18" x14ac:dyDescent="0.25">
      <c r="A1525" s="170">
        <v>45252</v>
      </c>
      <c r="B1525" s="116">
        <v>1438.5</v>
      </c>
      <c r="C1525" s="116">
        <v>1430</v>
      </c>
      <c r="D1525" s="116">
        <v>1417.25</v>
      </c>
      <c r="E1525" s="116">
        <v>1433.95</v>
      </c>
      <c r="F1525" s="116">
        <v>1430</v>
      </c>
      <c r="G1525">
        <v>31162</v>
      </c>
      <c r="H1525" s="116"/>
      <c r="I1525" s="116"/>
      <c r="L1525" s="170">
        <v>45252</v>
      </c>
      <c r="M1525" s="116">
        <v>1430.1</v>
      </c>
      <c r="N1525" s="116">
        <v>1438.55</v>
      </c>
      <c r="O1525" s="116">
        <v>1417.35</v>
      </c>
      <c r="P1525" s="116">
        <v>1425</v>
      </c>
      <c r="Q1525" s="116">
        <v>1430.1</v>
      </c>
      <c r="R1525">
        <v>865655</v>
      </c>
    </row>
    <row r="1526" spans="1:18" x14ac:dyDescent="0.25">
      <c r="A1526" s="170">
        <v>45253</v>
      </c>
      <c r="B1526" s="116">
        <v>1433.25</v>
      </c>
      <c r="C1526" s="116">
        <v>1412.4</v>
      </c>
      <c r="D1526" s="116">
        <v>1407.15</v>
      </c>
      <c r="E1526" s="116">
        <v>1431.95</v>
      </c>
      <c r="F1526" s="116">
        <v>1412.4</v>
      </c>
      <c r="G1526">
        <v>16967</v>
      </c>
      <c r="H1526" s="116"/>
      <c r="I1526" s="116"/>
      <c r="L1526" s="170">
        <v>45253</v>
      </c>
      <c r="M1526" s="116">
        <v>1410.95</v>
      </c>
      <c r="N1526" s="116">
        <v>1434.4</v>
      </c>
      <c r="O1526" s="116">
        <v>1406.35</v>
      </c>
      <c r="P1526" s="116">
        <v>1430.1</v>
      </c>
      <c r="Q1526" s="116">
        <v>1410.95</v>
      </c>
      <c r="R1526">
        <v>549853</v>
      </c>
    </row>
    <row r="1527" spans="1:18" x14ac:dyDescent="0.25">
      <c r="A1527" s="170">
        <v>45254</v>
      </c>
      <c r="B1527" s="116">
        <v>1417</v>
      </c>
      <c r="C1527" s="116">
        <v>1409.6</v>
      </c>
      <c r="D1527" s="116">
        <v>1401.3</v>
      </c>
      <c r="E1527" s="116">
        <v>1410.05</v>
      </c>
      <c r="F1527" s="116">
        <v>1409.6</v>
      </c>
      <c r="G1527">
        <v>17735</v>
      </c>
      <c r="H1527" s="116"/>
      <c r="I1527" s="116"/>
      <c r="L1527" s="170">
        <v>45254</v>
      </c>
      <c r="M1527" s="116">
        <v>1409.7</v>
      </c>
      <c r="N1527" s="116">
        <v>1418.95</v>
      </c>
      <c r="O1527" s="116">
        <v>1401.05</v>
      </c>
      <c r="P1527" s="116">
        <v>1414</v>
      </c>
      <c r="Q1527" s="116">
        <v>1409.7</v>
      </c>
      <c r="R1527">
        <v>387896</v>
      </c>
    </row>
    <row r="1528" spans="1:18" x14ac:dyDescent="0.25">
      <c r="A1528" s="170">
        <v>45258</v>
      </c>
      <c r="B1528" s="116">
        <v>1416</v>
      </c>
      <c r="C1528" s="116">
        <v>1412.9</v>
      </c>
      <c r="D1528" s="116">
        <v>1393.1</v>
      </c>
      <c r="E1528" s="116">
        <v>1409</v>
      </c>
      <c r="F1528" s="116">
        <v>1412.9</v>
      </c>
      <c r="G1528">
        <v>9809</v>
      </c>
      <c r="H1528" s="116"/>
      <c r="I1528" s="116"/>
      <c r="L1528" s="170">
        <v>45258</v>
      </c>
      <c r="M1528" s="116">
        <v>1412.45</v>
      </c>
      <c r="N1528" s="116">
        <v>1417.3</v>
      </c>
      <c r="O1528" s="116">
        <v>1393.1</v>
      </c>
      <c r="P1528" s="116">
        <v>1409.8</v>
      </c>
      <c r="Q1528" s="116">
        <v>1412.45</v>
      </c>
      <c r="R1528">
        <v>1123470</v>
      </c>
    </row>
    <row r="1529" spans="1:18" x14ac:dyDescent="0.25">
      <c r="A1529" s="170">
        <v>45259</v>
      </c>
      <c r="B1529" s="116">
        <v>1421.25</v>
      </c>
      <c r="C1529" s="116">
        <v>1407.45</v>
      </c>
      <c r="D1529" s="116">
        <v>1395.7</v>
      </c>
      <c r="E1529" s="116">
        <v>1395.7</v>
      </c>
      <c r="F1529" s="116">
        <v>1407.45</v>
      </c>
      <c r="G1529">
        <v>19525</v>
      </c>
      <c r="H1529" s="116"/>
      <c r="I1529" s="116"/>
      <c r="L1529" s="170">
        <v>45259</v>
      </c>
      <c r="M1529" s="116">
        <v>1407.85</v>
      </c>
      <c r="N1529" s="116">
        <v>1421.8</v>
      </c>
      <c r="O1529" s="116">
        <v>1406</v>
      </c>
      <c r="P1529" s="116">
        <v>1415.45</v>
      </c>
      <c r="Q1529" s="116">
        <v>1407.85</v>
      </c>
      <c r="R1529">
        <v>887709</v>
      </c>
    </row>
    <row r="1530" spans="1:18" x14ac:dyDescent="0.25">
      <c r="A1530" s="170">
        <v>45260</v>
      </c>
      <c r="B1530" s="116">
        <v>1443.5</v>
      </c>
      <c r="C1530" s="116">
        <v>1435.25</v>
      </c>
      <c r="D1530" s="116">
        <v>1409</v>
      </c>
      <c r="E1530" s="116">
        <v>1409</v>
      </c>
      <c r="F1530" s="116">
        <v>1435.25</v>
      </c>
      <c r="G1530">
        <v>21476</v>
      </c>
      <c r="H1530" s="116"/>
      <c r="I1530" s="116"/>
      <c r="L1530" s="170">
        <v>45260</v>
      </c>
      <c r="M1530" s="116">
        <v>1435.25</v>
      </c>
      <c r="N1530" s="116">
        <v>1444.2</v>
      </c>
      <c r="O1530" s="116">
        <v>1409.05</v>
      </c>
      <c r="P1530" s="116">
        <v>1410</v>
      </c>
      <c r="Q1530" s="116">
        <v>1435.25</v>
      </c>
      <c r="R1530">
        <v>3027395</v>
      </c>
    </row>
    <row r="1531" spans="1:18" x14ac:dyDescent="0.25">
      <c r="A1531" s="170">
        <v>45261</v>
      </c>
      <c r="B1531" s="116">
        <v>1445.4</v>
      </c>
      <c r="C1531" s="116">
        <v>1423.85</v>
      </c>
      <c r="D1531" s="116">
        <v>1420.45</v>
      </c>
      <c r="E1531" s="116">
        <v>1443.95</v>
      </c>
      <c r="F1531" s="116">
        <v>1423.85</v>
      </c>
      <c r="G1531">
        <v>21932</v>
      </c>
      <c r="H1531" s="116"/>
      <c r="I1531" s="116"/>
      <c r="L1531" s="170">
        <v>45261</v>
      </c>
      <c r="M1531" s="116">
        <v>1423.65</v>
      </c>
      <c r="N1531" s="116">
        <v>1445</v>
      </c>
      <c r="O1531" s="116">
        <v>1420.1</v>
      </c>
      <c r="P1531" s="116">
        <v>1438.05</v>
      </c>
      <c r="Q1531" s="116">
        <v>1423.65</v>
      </c>
      <c r="R1531">
        <v>808841</v>
      </c>
    </row>
    <row r="1532" spans="1:18" x14ac:dyDescent="0.25">
      <c r="A1532" s="170">
        <v>45264</v>
      </c>
      <c r="B1532" s="116">
        <v>1459.35</v>
      </c>
      <c r="C1532" s="116">
        <v>1454.15</v>
      </c>
      <c r="D1532" s="116">
        <v>1414.75</v>
      </c>
      <c r="E1532" s="116">
        <v>1437.95</v>
      </c>
      <c r="F1532" s="116">
        <v>1454.15</v>
      </c>
      <c r="G1532">
        <v>53634</v>
      </c>
      <c r="H1532" s="116"/>
      <c r="I1532" s="116"/>
      <c r="L1532" s="170">
        <v>45264</v>
      </c>
      <c r="M1532" s="116">
        <v>1454</v>
      </c>
      <c r="N1532" s="116">
        <v>1458.7</v>
      </c>
      <c r="O1532" s="116">
        <v>1415</v>
      </c>
      <c r="P1532" s="116">
        <v>1439.9</v>
      </c>
      <c r="Q1532" s="116">
        <v>1454</v>
      </c>
      <c r="R1532">
        <v>2078827</v>
      </c>
    </row>
    <row r="1533" spans="1:18" x14ac:dyDescent="0.25">
      <c r="A1533" s="170">
        <v>45265</v>
      </c>
      <c r="B1533" s="116">
        <v>1471.45</v>
      </c>
      <c r="C1533" s="116">
        <v>1459.7</v>
      </c>
      <c r="D1533" s="116">
        <v>1443.3</v>
      </c>
      <c r="E1533" s="116">
        <v>1459.95</v>
      </c>
      <c r="F1533" s="116">
        <v>1459.7</v>
      </c>
      <c r="G1533">
        <v>36300</v>
      </c>
      <c r="H1533" s="116"/>
      <c r="I1533" s="116"/>
      <c r="L1533" s="170">
        <v>45265</v>
      </c>
      <c r="M1533" s="116">
        <v>1460.95</v>
      </c>
      <c r="N1533" s="116">
        <v>1472.1</v>
      </c>
      <c r="O1533" s="116">
        <v>1443</v>
      </c>
      <c r="P1533" s="116">
        <v>1454</v>
      </c>
      <c r="Q1533" s="116">
        <v>1460.95</v>
      </c>
      <c r="R1533">
        <v>1932719</v>
      </c>
    </row>
    <row r="1534" spans="1:18" x14ac:dyDescent="0.25">
      <c r="A1534" s="170">
        <v>45266</v>
      </c>
      <c r="B1534" s="116">
        <v>1462</v>
      </c>
      <c r="C1534" s="116">
        <v>1450.7</v>
      </c>
      <c r="D1534" s="116">
        <v>1445.2</v>
      </c>
      <c r="E1534" s="116">
        <v>1461.95</v>
      </c>
      <c r="F1534" s="116">
        <v>1450.7</v>
      </c>
      <c r="G1534">
        <v>9419</v>
      </c>
      <c r="H1534" s="116"/>
      <c r="I1534" s="116"/>
      <c r="L1534" s="170">
        <v>45266</v>
      </c>
      <c r="M1534" s="116">
        <v>1450.7</v>
      </c>
      <c r="N1534" s="116">
        <v>1462.95</v>
      </c>
      <c r="O1534" s="116">
        <v>1445.15</v>
      </c>
      <c r="P1534" s="116">
        <v>1462</v>
      </c>
      <c r="Q1534" s="116">
        <v>1450.7</v>
      </c>
      <c r="R1534">
        <v>724418</v>
      </c>
    </row>
    <row r="1535" spans="1:18" x14ac:dyDescent="0.25">
      <c r="A1535" s="170">
        <v>45267</v>
      </c>
      <c r="B1535" s="116">
        <v>1482.95</v>
      </c>
      <c r="C1535" s="116">
        <v>1455.85</v>
      </c>
      <c r="D1535" s="116">
        <v>1450.4</v>
      </c>
      <c r="E1535" s="116">
        <v>1454.6</v>
      </c>
      <c r="F1535" s="116">
        <v>1455.85</v>
      </c>
      <c r="G1535">
        <v>22938</v>
      </c>
      <c r="H1535" s="116"/>
      <c r="I1535" s="116"/>
      <c r="L1535" s="170">
        <v>45267</v>
      </c>
      <c r="M1535" s="116">
        <v>1455.75</v>
      </c>
      <c r="N1535" s="116">
        <v>1483.45</v>
      </c>
      <c r="O1535" s="116">
        <v>1450.1</v>
      </c>
      <c r="P1535" s="116">
        <v>1456.85</v>
      </c>
      <c r="Q1535" s="116">
        <v>1455.75</v>
      </c>
      <c r="R1535">
        <v>1244939</v>
      </c>
    </row>
    <row r="1536" spans="1:18" x14ac:dyDescent="0.25">
      <c r="A1536" s="170">
        <v>45268</v>
      </c>
      <c r="B1536" s="116">
        <v>1469</v>
      </c>
      <c r="C1536" s="116">
        <v>1465.8</v>
      </c>
      <c r="D1536" s="116">
        <v>1452</v>
      </c>
      <c r="E1536" s="116">
        <v>1453.45</v>
      </c>
      <c r="F1536" s="116">
        <v>1465.8</v>
      </c>
      <c r="G1536">
        <v>41357</v>
      </c>
      <c r="H1536" s="116"/>
      <c r="I1536" s="116"/>
      <c r="L1536" s="170">
        <v>45268</v>
      </c>
      <c r="M1536" s="116">
        <v>1465.2</v>
      </c>
      <c r="N1536" s="116">
        <v>1469.55</v>
      </c>
      <c r="O1536" s="116">
        <v>1451.55</v>
      </c>
      <c r="P1536" s="116">
        <v>1455</v>
      </c>
      <c r="Q1536" s="116">
        <v>1465.2</v>
      </c>
      <c r="R1536">
        <v>1654799</v>
      </c>
    </row>
    <row r="1537" spans="1:18" x14ac:dyDescent="0.25">
      <c r="A1537" s="170">
        <v>45271</v>
      </c>
      <c r="B1537" s="116">
        <v>1468.2</v>
      </c>
      <c r="C1537" s="116">
        <v>1460.7</v>
      </c>
      <c r="D1537" s="116">
        <v>1455.05</v>
      </c>
      <c r="E1537" s="116">
        <v>1465.5</v>
      </c>
      <c r="F1537" s="116">
        <v>1460.7</v>
      </c>
      <c r="G1537">
        <v>27611</v>
      </c>
      <c r="H1537" s="116"/>
      <c r="I1537" s="116"/>
      <c r="L1537" s="170">
        <v>45271</v>
      </c>
      <c r="M1537" s="116">
        <v>1460.6</v>
      </c>
      <c r="N1537" s="116">
        <v>1468.3</v>
      </c>
      <c r="O1537" s="116">
        <v>1455</v>
      </c>
      <c r="P1537" s="116">
        <v>1465.2</v>
      </c>
      <c r="Q1537" s="116">
        <v>1460.6</v>
      </c>
      <c r="R1537">
        <v>731571</v>
      </c>
    </row>
    <row r="1538" spans="1:18" x14ac:dyDescent="0.25">
      <c r="A1538" s="170">
        <v>45272</v>
      </c>
      <c r="B1538" s="116">
        <v>1491.5</v>
      </c>
      <c r="C1538" s="116">
        <v>1481.5</v>
      </c>
      <c r="D1538" s="116">
        <v>1460.6</v>
      </c>
      <c r="E1538" s="116">
        <v>1461.4</v>
      </c>
      <c r="F1538" s="116">
        <v>1481.5</v>
      </c>
      <c r="G1538">
        <v>22099</v>
      </c>
      <c r="H1538" s="116"/>
      <c r="I1538" s="116"/>
      <c r="L1538" s="170">
        <v>45272</v>
      </c>
      <c r="M1538" s="116">
        <v>1481.45</v>
      </c>
      <c r="N1538" s="116">
        <v>1491.9</v>
      </c>
      <c r="O1538" s="116">
        <v>1459.95</v>
      </c>
      <c r="P1538" s="116">
        <v>1464.5</v>
      </c>
      <c r="Q1538" s="116">
        <v>1481.45</v>
      </c>
      <c r="R1538">
        <v>1763549</v>
      </c>
    </row>
    <row r="1539" spans="1:18" x14ac:dyDescent="0.25">
      <c r="A1539" s="170">
        <v>45273</v>
      </c>
      <c r="B1539" s="116">
        <v>1483.95</v>
      </c>
      <c r="C1539" s="116">
        <v>1467.5</v>
      </c>
      <c r="D1539" s="116">
        <v>1460</v>
      </c>
      <c r="E1539" s="116">
        <v>1482.6</v>
      </c>
      <c r="F1539" s="116">
        <v>1467.5</v>
      </c>
      <c r="G1539">
        <v>13266</v>
      </c>
      <c r="H1539" s="116"/>
      <c r="I1539" s="116"/>
      <c r="L1539" s="170">
        <v>45273</v>
      </c>
      <c r="M1539" s="116">
        <v>1466.8</v>
      </c>
      <c r="N1539" s="116">
        <v>1483.15</v>
      </c>
      <c r="O1539" s="116">
        <v>1460</v>
      </c>
      <c r="P1539" s="116">
        <v>1483.15</v>
      </c>
      <c r="Q1539" s="116">
        <v>1466.8</v>
      </c>
      <c r="R1539">
        <v>2279728</v>
      </c>
    </row>
    <row r="1540" spans="1:18" x14ac:dyDescent="0.25">
      <c r="A1540" s="170">
        <v>45274</v>
      </c>
      <c r="B1540" s="116">
        <v>1476.7</v>
      </c>
      <c r="C1540" s="116">
        <v>1469.8</v>
      </c>
      <c r="D1540" s="116">
        <v>1455.2</v>
      </c>
      <c r="E1540" s="116">
        <v>1472.15</v>
      </c>
      <c r="F1540" s="116">
        <v>1469.8</v>
      </c>
      <c r="G1540">
        <v>25490</v>
      </c>
      <c r="H1540" s="116"/>
      <c r="I1540" s="116"/>
      <c r="L1540" s="170">
        <v>45274</v>
      </c>
      <c r="M1540" s="116">
        <v>1469.85</v>
      </c>
      <c r="N1540" s="116">
        <v>1477.6</v>
      </c>
      <c r="O1540" s="116">
        <v>1454.95</v>
      </c>
      <c r="P1540" s="116">
        <v>1473</v>
      </c>
      <c r="Q1540" s="116">
        <v>1469.85</v>
      </c>
      <c r="R1540">
        <v>2953215</v>
      </c>
    </row>
    <row r="1541" spans="1:18" x14ac:dyDescent="0.25">
      <c r="A1541" s="170">
        <v>45275</v>
      </c>
      <c r="B1541" s="116">
        <v>1480.95</v>
      </c>
      <c r="C1541" s="116">
        <v>1452.55</v>
      </c>
      <c r="D1541" s="116">
        <v>1449</v>
      </c>
      <c r="E1541" s="116">
        <v>1472.6</v>
      </c>
      <c r="F1541" s="116">
        <v>1452.55</v>
      </c>
      <c r="G1541">
        <v>12087</v>
      </c>
      <c r="H1541" s="116"/>
      <c r="I1541" s="116"/>
      <c r="L1541" s="170">
        <v>45275</v>
      </c>
      <c r="M1541" s="116">
        <v>1452.5</v>
      </c>
      <c r="N1541" s="116">
        <v>1485</v>
      </c>
      <c r="O1541" s="116">
        <v>1448.6</v>
      </c>
      <c r="P1541" s="116">
        <v>1474</v>
      </c>
      <c r="Q1541" s="116">
        <v>1452.5</v>
      </c>
      <c r="R1541">
        <v>1482700</v>
      </c>
    </row>
    <row r="1542" spans="1:18" x14ac:dyDescent="0.25">
      <c r="A1542" s="170">
        <v>45278</v>
      </c>
      <c r="B1542" s="116">
        <v>1460.8</v>
      </c>
      <c r="C1542" s="116">
        <v>1446.05</v>
      </c>
      <c r="D1542" s="116">
        <v>1442</v>
      </c>
      <c r="E1542" s="116">
        <v>1450.05</v>
      </c>
      <c r="F1542" s="116">
        <v>1446.05</v>
      </c>
      <c r="G1542">
        <v>14268</v>
      </c>
      <c r="H1542" s="116"/>
      <c r="I1542" s="116"/>
      <c r="L1542" s="170">
        <v>45278</v>
      </c>
      <c r="M1542" s="116">
        <v>1446.95</v>
      </c>
      <c r="N1542" s="116">
        <v>1461.4</v>
      </c>
      <c r="O1542" s="116">
        <v>1441.65</v>
      </c>
      <c r="P1542" s="116">
        <v>1452.5</v>
      </c>
      <c r="Q1542" s="116">
        <v>1446.95</v>
      </c>
      <c r="R1542">
        <v>1580916</v>
      </c>
    </row>
    <row r="1543" spans="1:18" x14ac:dyDescent="0.25">
      <c r="A1543" s="170">
        <v>45279</v>
      </c>
      <c r="B1543" s="116">
        <v>1447</v>
      </c>
      <c r="C1543" s="116">
        <v>1424.7</v>
      </c>
      <c r="D1543" s="116">
        <v>1420</v>
      </c>
      <c r="E1543" s="116">
        <v>1446.05</v>
      </c>
      <c r="F1543" s="116">
        <v>1424.7</v>
      </c>
      <c r="G1543">
        <v>11483</v>
      </c>
      <c r="H1543" s="116"/>
      <c r="I1543" s="116"/>
      <c r="L1543" s="170">
        <v>45279</v>
      </c>
      <c r="M1543" s="116">
        <v>1424.55</v>
      </c>
      <c r="N1543" s="116">
        <v>1448</v>
      </c>
      <c r="O1543" s="116">
        <v>1419.05</v>
      </c>
      <c r="P1543" s="116">
        <v>1444.95</v>
      </c>
      <c r="Q1543" s="116">
        <v>1424.55</v>
      </c>
      <c r="R1543">
        <v>1282514</v>
      </c>
    </row>
    <row r="1544" spans="1:18" x14ac:dyDescent="0.25">
      <c r="A1544" s="170">
        <v>45280</v>
      </c>
      <c r="B1544" s="116">
        <v>1437.25</v>
      </c>
      <c r="C1544" s="116">
        <v>1409.2</v>
      </c>
      <c r="D1544" s="116">
        <v>1403.4</v>
      </c>
      <c r="E1544" s="116">
        <v>1428.95</v>
      </c>
      <c r="F1544" s="116">
        <v>1409.2</v>
      </c>
      <c r="G1544">
        <v>22210</v>
      </c>
      <c r="H1544" s="116"/>
      <c r="I1544" s="116"/>
      <c r="L1544" s="170">
        <v>45280</v>
      </c>
      <c r="M1544" s="116">
        <v>1409.25</v>
      </c>
      <c r="N1544" s="116">
        <v>1437</v>
      </c>
      <c r="O1544" s="116">
        <v>1404.05</v>
      </c>
      <c r="P1544" s="116">
        <v>1437</v>
      </c>
      <c r="Q1544" s="116">
        <v>1409.25</v>
      </c>
      <c r="R1544">
        <v>1151553</v>
      </c>
    </row>
    <row r="1545" spans="1:18" x14ac:dyDescent="0.25">
      <c r="A1545" s="170">
        <v>45281</v>
      </c>
      <c r="B1545" s="116">
        <v>1410.6</v>
      </c>
      <c r="C1545" s="116">
        <v>1405.25</v>
      </c>
      <c r="D1545" s="116">
        <v>1380.5</v>
      </c>
      <c r="E1545" s="116">
        <v>1394.2</v>
      </c>
      <c r="F1545" s="116">
        <v>1405.25</v>
      </c>
      <c r="G1545">
        <v>25935</v>
      </c>
      <c r="H1545" s="116"/>
      <c r="I1545" s="116"/>
      <c r="L1545" s="170">
        <v>45281</v>
      </c>
      <c r="M1545" s="116">
        <v>1403.75</v>
      </c>
      <c r="N1545" s="116">
        <v>1410.3</v>
      </c>
      <c r="O1545" s="116">
        <v>1379.95</v>
      </c>
      <c r="P1545" s="116">
        <v>1401.5</v>
      </c>
      <c r="Q1545" s="116">
        <v>1403.75</v>
      </c>
      <c r="R1545">
        <v>1841616</v>
      </c>
    </row>
    <row r="1546" spans="1:18" x14ac:dyDescent="0.25">
      <c r="A1546" s="170">
        <v>45282</v>
      </c>
      <c r="B1546" s="116">
        <v>1416</v>
      </c>
      <c r="C1546" s="116">
        <v>1395.8</v>
      </c>
      <c r="D1546" s="116">
        <v>1387</v>
      </c>
      <c r="E1546" s="116">
        <v>1415.75</v>
      </c>
      <c r="F1546" s="116">
        <v>1395.8</v>
      </c>
      <c r="G1546">
        <v>12051</v>
      </c>
      <c r="H1546" s="116"/>
      <c r="I1546" s="116"/>
      <c r="L1546" s="170">
        <v>45282</v>
      </c>
      <c r="M1546" s="116">
        <v>1394.3</v>
      </c>
      <c r="N1546" s="116">
        <v>1417.7</v>
      </c>
      <c r="O1546" s="116">
        <v>1387.05</v>
      </c>
      <c r="P1546" s="116">
        <v>1414</v>
      </c>
      <c r="Q1546" s="116">
        <v>1394.3</v>
      </c>
      <c r="R1546">
        <v>1111420</v>
      </c>
    </row>
    <row r="1547" spans="1:18" x14ac:dyDescent="0.25">
      <c r="A1547" s="170">
        <v>45286</v>
      </c>
      <c r="B1547" s="116">
        <v>1409</v>
      </c>
      <c r="C1547" s="116">
        <v>1395.45</v>
      </c>
      <c r="D1547" s="116">
        <v>1387.25</v>
      </c>
      <c r="E1547" s="116">
        <v>1396.05</v>
      </c>
      <c r="F1547" s="116">
        <v>1395.45</v>
      </c>
      <c r="G1547">
        <v>12773</v>
      </c>
      <c r="H1547" s="116"/>
      <c r="I1547" s="116"/>
      <c r="L1547" s="170">
        <v>45286</v>
      </c>
      <c r="M1547" s="116">
        <v>1395.3</v>
      </c>
      <c r="N1547" s="116">
        <v>1409.15</v>
      </c>
      <c r="O1547" s="116">
        <v>1387.65</v>
      </c>
      <c r="P1547" s="116">
        <v>1400</v>
      </c>
      <c r="Q1547" s="116">
        <v>1395.3</v>
      </c>
      <c r="R1547">
        <v>875367</v>
      </c>
    </row>
    <row r="1548" spans="1:18" x14ac:dyDescent="0.25">
      <c r="A1548" s="170">
        <v>45287</v>
      </c>
      <c r="B1548" s="116">
        <v>1423.85</v>
      </c>
      <c r="C1548" s="116">
        <v>1419.25</v>
      </c>
      <c r="D1548" s="116">
        <v>1401.75</v>
      </c>
      <c r="E1548" s="116">
        <v>1403.5</v>
      </c>
      <c r="F1548" s="116">
        <v>1419.25</v>
      </c>
      <c r="G1548">
        <v>25397</v>
      </c>
      <c r="H1548" s="116"/>
      <c r="I1548" s="116"/>
      <c r="L1548" s="170">
        <v>45287</v>
      </c>
      <c r="M1548" s="116">
        <v>1421.35</v>
      </c>
      <c r="N1548" s="116">
        <v>1424</v>
      </c>
      <c r="O1548" s="116">
        <v>1399.1</v>
      </c>
      <c r="P1548" s="116">
        <v>1405</v>
      </c>
      <c r="Q1548" s="116">
        <v>1421.35</v>
      </c>
      <c r="R1548">
        <v>718369</v>
      </c>
    </row>
    <row r="1549" spans="1:18" x14ac:dyDescent="0.25">
      <c r="A1549" s="170">
        <v>45288</v>
      </c>
      <c r="B1549" s="116">
        <v>1444.55</v>
      </c>
      <c r="C1549" s="116">
        <v>1435.2</v>
      </c>
      <c r="D1549" s="116">
        <v>1419.8</v>
      </c>
      <c r="E1549" s="116">
        <v>1430</v>
      </c>
      <c r="F1549" s="116">
        <v>1435.2</v>
      </c>
      <c r="G1549">
        <v>18131</v>
      </c>
      <c r="H1549" s="116"/>
      <c r="I1549" s="116"/>
      <c r="L1549" s="170">
        <v>45288</v>
      </c>
      <c r="M1549" s="116">
        <v>1435.3</v>
      </c>
      <c r="N1549" s="116">
        <v>1444.95</v>
      </c>
      <c r="O1549" s="116">
        <v>1419.2</v>
      </c>
      <c r="P1549" s="116">
        <v>1428.5</v>
      </c>
      <c r="Q1549" s="116">
        <v>1435.3</v>
      </c>
      <c r="R1549">
        <v>1446654</v>
      </c>
    </row>
    <row r="1550" spans="1:18" x14ac:dyDescent="0.25">
      <c r="A1550" s="170">
        <v>45289</v>
      </c>
      <c r="B1550" s="116">
        <v>1435.15</v>
      </c>
      <c r="C1550" s="116">
        <v>1432.15</v>
      </c>
      <c r="D1550" s="116">
        <v>1420.25</v>
      </c>
      <c r="E1550" s="116">
        <v>1420.25</v>
      </c>
      <c r="F1550" s="116">
        <v>1432.15</v>
      </c>
      <c r="G1550">
        <v>5678</v>
      </c>
      <c r="H1550" s="116"/>
      <c r="I1550" s="116"/>
      <c r="L1550" s="170">
        <v>45289</v>
      </c>
      <c r="M1550" s="116">
        <v>1432.6</v>
      </c>
      <c r="N1550" s="116">
        <v>1435.25</v>
      </c>
      <c r="O1550" s="116">
        <v>1421.05</v>
      </c>
      <c r="P1550" s="116">
        <v>1433</v>
      </c>
      <c r="Q1550" s="116">
        <v>1432.6</v>
      </c>
      <c r="R1550">
        <v>383858</v>
      </c>
    </row>
    <row r="1551" spans="1:18" x14ac:dyDescent="0.25">
      <c r="A1551" s="170">
        <v>45292</v>
      </c>
      <c r="B1551" s="116">
        <v>1436.6</v>
      </c>
      <c r="C1551" s="116">
        <v>1430.55</v>
      </c>
      <c r="D1551" s="116">
        <v>1425.3</v>
      </c>
      <c r="E1551" s="116">
        <v>1429.8</v>
      </c>
      <c r="F1551" s="116">
        <v>1430.55</v>
      </c>
      <c r="G1551">
        <v>4327</v>
      </c>
      <c r="H1551" s="116"/>
      <c r="I1551" s="116"/>
      <c r="L1551" s="170">
        <v>45292</v>
      </c>
      <c r="M1551" s="116">
        <v>1432.1</v>
      </c>
      <c r="N1551" s="116">
        <v>1437.6</v>
      </c>
      <c r="O1551" s="116">
        <v>1425.95</v>
      </c>
      <c r="P1551" s="116">
        <v>1435.85</v>
      </c>
      <c r="Q1551" s="116">
        <v>1432.1</v>
      </c>
      <c r="R1551">
        <v>158288</v>
      </c>
    </row>
    <row r="1552" spans="1:18" x14ac:dyDescent="0.25">
      <c r="A1552" s="170">
        <v>45293</v>
      </c>
      <c r="B1552" s="116">
        <v>1448.85</v>
      </c>
      <c r="C1552" s="116">
        <v>1439</v>
      </c>
      <c r="D1552" s="116">
        <v>1421.95</v>
      </c>
      <c r="E1552" s="116">
        <v>1439.85</v>
      </c>
      <c r="F1552" s="116">
        <v>1439</v>
      </c>
      <c r="G1552">
        <v>11060</v>
      </c>
      <c r="H1552" s="116"/>
      <c r="I1552" s="116"/>
      <c r="L1552" s="170">
        <v>45293</v>
      </c>
      <c r="M1552" s="116">
        <v>1437.65</v>
      </c>
      <c r="N1552" s="116">
        <v>1449.7</v>
      </c>
      <c r="O1552" s="116">
        <v>1421.75</v>
      </c>
      <c r="P1552" s="116">
        <v>1437</v>
      </c>
      <c r="Q1552" s="116">
        <v>1437.65</v>
      </c>
      <c r="R1552">
        <v>691712</v>
      </c>
    </row>
    <row r="1553" spans="1:18" x14ac:dyDescent="0.25">
      <c r="A1553" s="170">
        <v>45294</v>
      </c>
      <c r="B1553" s="116">
        <v>1439.65</v>
      </c>
      <c r="C1553" s="116">
        <v>1419.75</v>
      </c>
      <c r="D1553" s="116">
        <v>1415.7</v>
      </c>
      <c r="E1553" s="116">
        <v>1435.85</v>
      </c>
      <c r="F1553" s="116">
        <v>1419.75</v>
      </c>
      <c r="G1553">
        <v>13078</v>
      </c>
      <c r="H1553" s="116"/>
      <c r="I1553" s="116"/>
      <c r="L1553" s="170">
        <v>45294</v>
      </c>
      <c r="M1553" s="116">
        <v>1422.7</v>
      </c>
      <c r="N1553" s="116">
        <v>1440.9</v>
      </c>
      <c r="O1553" s="116">
        <v>1415.6</v>
      </c>
      <c r="P1553" s="116">
        <v>1430</v>
      </c>
      <c r="Q1553" s="116">
        <v>1422.7</v>
      </c>
      <c r="R1553">
        <v>550221</v>
      </c>
    </row>
    <row r="1554" spans="1:18" x14ac:dyDescent="0.25">
      <c r="A1554" s="170">
        <v>45295</v>
      </c>
      <c r="B1554" s="116">
        <v>1435.2</v>
      </c>
      <c r="C1554" s="116">
        <v>1431.45</v>
      </c>
      <c r="D1554" s="116">
        <v>1415.6</v>
      </c>
      <c r="E1554" s="116">
        <v>1421.5</v>
      </c>
      <c r="F1554" s="116">
        <v>1431.45</v>
      </c>
      <c r="G1554">
        <v>4869</v>
      </c>
      <c r="H1554" s="116"/>
      <c r="I1554" s="116"/>
      <c r="L1554" s="170">
        <v>45295</v>
      </c>
      <c r="M1554" s="116">
        <v>1431.6</v>
      </c>
      <c r="N1554" s="116">
        <v>1436.6</v>
      </c>
      <c r="O1554" s="116">
        <v>1415</v>
      </c>
      <c r="P1554" s="116">
        <v>1420.8</v>
      </c>
      <c r="Q1554" s="116">
        <v>1431.6</v>
      </c>
      <c r="R1554">
        <v>938454</v>
      </c>
    </row>
    <row r="1555" spans="1:18" x14ac:dyDescent="0.25">
      <c r="A1555" s="170">
        <v>45296</v>
      </c>
      <c r="B1555" s="116">
        <v>1467.55</v>
      </c>
      <c r="C1555" s="116">
        <v>1453.5</v>
      </c>
      <c r="D1555" s="116">
        <v>1431.05</v>
      </c>
      <c r="E1555" s="116">
        <v>1431.05</v>
      </c>
      <c r="F1555" s="116">
        <v>1453.5</v>
      </c>
      <c r="G1555">
        <v>19028</v>
      </c>
      <c r="H1555" s="116"/>
      <c r="I1555" s="116"/>
      <c r="L1555" s="170">
        <v>45296</v>
      </c>
      <c r="M1555" s="116">
        <v>1454.15</v>
      </c>
      <c r="N1555" s="116">
        <v>1468</v>
      </c>
      <c r="O1555" s="116">
        <v>1433.7</v>
      </c>
      <c r="P1555" s="116">
        <v>1435.9</v>
      </c>
      <c r="Q1555" s="116">
        <v>1454.15</v>
      </c>
      <c r="R1555">
        <v>1258280</v>
      </c>
    </row>
    <row r="1556" spans="1:18" x14ac:dyDescent="0.25">
      <c r="A1556" s="170">
        <v>45299</v>
      </c>
      <c r="B1556" s="116">
        <v>1463.4</v>
      </c>
      <c r="C1556" s="116">
        <v>1420.1</v>
      </c>
      <c r="D1556" s="116">
        <v>1416.75</v>
      </c>
      <c r="E1556" s="116">
        <v>1463.4</v>
      </c>
      <c r="F1556" s="116">
        <v>1420.1</v>
      </c>
      <c r="G1556">
        <v>25740</v>
      </c>
      <c r="H1556" s="116"/>
      <c r="I1556" s="116"/>
      <c r="L1556" s="170">
        <v>45299</v>
      </c>
      <c r="M1556" s="116">
        <v>1421.05</v>
      </c>
      <c r="N1556" s="116">
        <v>1460.1</v>
      </c>
      <c r="O1556" s="116">
        <v>1416.4</v>
      </c>
      <c r="P1556" s="116">
        <v>1454.15</v>
      </c>
      <c r="Q1556" s="116">
        <v>1421.05</v>
      </c>
      <c r="R1556">
        <v>738502</v>
      </c>
    </row>
    <row r="1557" spans="1:18" x14ac:dyDescent="0.25">
      <c r="A1557" s="170">
        <v>45300</v>
      </c>
      <c r="B1557" s="116">
        <v>1467.8</v>
      </c>
      <c r="C1557" s="116">
        <v>1451.65</v>
      </c>
      <c r="D1557" s="116">
        <v>1421</v>
      </c>
      <c r="E1557" s="116">
        <v>1421.15</v>
      </c>
      <c r="F1557" s="116">
        <v>1451.65</v>
      </c>
      <c r="G1557">
        <v>15685</v>
      </c>
      <c r="H1557" s="116"/>
      <c r="I1557" s="116"/>
      <c r="L1557" s="170">
        <v>45300</v>
      </c>
      <c r="M1557" s="116">
        <v>1449.35</v>
      </c>
      <c r="N1557" s="116">
        <v>1468.25</v>
      </c>
      <c r="O1557" s="116">
        <v>1421</v>
      </c>
      <c r="P1557" s="116">
        <v>1429</v>
      </c>
      <c r="Q1557" s="116">
        <v>1449.35</v>
      </c>
      <c r="R1557">
        <v>1871763</v>
      </c>
    </row>
    <row r="1558" spans="1:18" x14ac:dyDescent="0.25">
      <c r="A1558" s="170">
        <v>45301</v>
      </c>
      <c r="B1558" s="116">
        <v>1495</v>
      </c>
      <c r="C1558" s="116">
        <v>1451.1</v>
      </c>
      <c r="D1558" s="116">
        <v>1449</v>
      </c>
      <c r="E1558" s="116">
        <v>1456.55</v>
      </c>
      <c r="F1558" s="116">
        <v>1451.1</v>
      </c>
      <c r="G1558">
        <v>62237</v>
      </c>
      <c r="H1558" s="116"/>
      <c r="I1558" s="116"/>
      <c r="L1558" s="170">
        <v>45301</v>
      </c>
      <c r="M1558" s="116">
        <v>1451.45</v>
      </c>
      <c r="N1558" s="116">
        <v>1495.35</v>
      </c>
      <c r="O1558" s="116">
        <v>1448</v>
      </c>
      <c r="P1558" s="116">
        <v>1454.95</v>
      </c>
      <c r="Q1558" s="116">
        <v>1451.45</v>
      </c>
      <c r="R1558">
        <v>2547856</v>
      </c>
    </row>
    <row r="1559" spans="1:18" x14ac:dyDescent="0.25">
      <c r="A1559" s="170">
        <v>45302</v>
      </c>
      <c r="B1559" s="116">
        <v>1462.2</v>
      </c>
      <c r="C1559" s="116">
        <v>1428.7</v>
      </c>
      <c r="D1559" s="116">
        <v>1426</v>
      </c>
      <c r="E1559" s="116">
        <v>1451.45</v>
      </c>
      <c r="F1559" s="116">
        <v>1428.7</v>
      </c>
      <c r="G1559">
        <v>9610</v>
      </c>
      <c r="H1559" s="116"/>
      <c r="I1559" s="116"/>
      <c r="L1559" s="170">
        <v>45302</v>
      </c>
      <c r="M1559" s="116">
        <v>1427.8</v>
      </c>
      <c r="N1559" s="116">
        <v>1463.3</v>
      </c>
      <c r="O1559" s="116">
        <v>1425.9</v>
      </c>
      <c r="P1559" s="116">
        <v>1450.05</v>
      </c>
      <c r="Q1559" s="116">
        <v>1427.8</v>
      </c>
      <c r="R1559">
        <v>908421</v>
      </c>
    </row>
    <row r="1560" spans="1:18" x14ac:dyDescent="0.25">
      <c r="A1560" s="170">
        <v>45303</v>
      </c>
      <c r="B1560" s="116">
        <v>1440</v>
      </c>
      <c r="C1560" s="116">
        <v>1435</v>
      </c>
      <c r="D1560" s="116">
        <v>1419</v>
      </c>
      <c r="E1560" s="116">
        <v>1430.65</v>
      </c>
      <c r="F1560" s="116">
        <v>1435</v>
      </c>
      <c r="G1560">
        <v>12779</v>
      </c>
      <c r="H1560" s="116"/>
      <c r="I1560" s="116"/>
      <c r="L1560" s="170">
        <v>45303</v>
      </c>
      <c r="M1560" s="116">
        <v>1435.3</v>
      </c>
      <c r="N1560" s="116">
        <v>1440.9</v>
      </c>
      <c r="O1560" s="116">
        <v>1418.5</v>
      </c>
      <c r="P1560" s="116">
        <v>1434.8</v>
      </c>
      <c r="Q1560" s="116">
        <v>1435.3</v>
      </c>
      <c r="R1560">
        <v>557158</v>
      </c>
    </row>
    <row r="1561" spans="1:18" x14ac:dyDescent="0.25">
      <c r="A1561" s="170">
        <v>45306</v>
      </c>
      <c r="B1561" s="116">
        <v>1451.15</v>
      </c>
      <c r="C1561" s="116">
        <v>1429.6</v>
      </c>
      <c r="D1561" s="116">
        <v>1425</v>
      </c>
      <c r="E1561" s="116">
        <v>1436.1</v>
      </c>
      <c r="F1561" s="116">
        <v>1429.6</v>
      </c>
      <c r="G1561">
        <v>8109</v>
      </c>
      <c r="H1561" s="116"/>
      <c r="I1561" s="116"/>
      <c r="L1561" s="170">
        <v>45306</v>
      </c>
      <c r="M1561" s="116">
        <v>1430.05</v>
      </c>
      <c r="N1561" s="116">
        <v>1444.55</v>
      </c>
      <c r="O1561" s="116">
        <v>1424.55</v>
      </c>
      <c r="P1561" s="116">
        <v>1442</v>
      </c>
      <c r="Q1561" s="116">
        <v>1430.05</v>
      </c>
      <c r="R1561">
        <v>902104</v>
      </c>
    </row>
    <row r="1562" spans="1:18" x14ac:dyDescent="0.25">
      <c r="A1562" s="170">
        <v>45307</v>
      </c>
      <c r="B1562" s="116">
        <v>1432.15</v>
      </c>
      <c r="C1562" s="116">
        <v>1409.25</v>
      </c>
      <c r="D1562" s="116">
        <v>1405.55</v>
      </c>
      <c r="E1562" s="116">
        <v>1423.55</v>
      </c>
      <c r="F1562" s="116">
        <v>1409.25</v>
      </c>
      <c r="G1562">
        <v>12438</v>
      </c>
      <c r="H1562" s="116"/>
      <c r="I1562" s="116"/>
      <c r="L1562" s="170">
        <v>45307</v>
      </c>
      <c r="M1562" s="116">
        <v>1408.8</v>
      </c>
      <c r="N1562" s="116">
        <v>1431.9</v>
      </c>
      <c r="O1562" s="116">
        <v>1405.55</v>
      </c>
      <c r="P1562" s="116">
        <v>1425.05</v>
      </c>
      <c r="Q1562" s="116">
        <v>1408.8</v>
      </c>
      <c r="R1562">
        <v>1729041</v>
      </c>
    </row>
    <row r="1563" spans="1:18" x14ac:dyDescent="0.25">
      <c r="A1563" s="170">
        <v>45308</v>
      </c>
      <c r="B1563" s="116">
        <v>1444</v>
      </c>
      <c r="C1563" s="116">
        <v>1421.05</v>
      </c>
      <c r="D1563" s="116">
        <v>1386.95</v>
      </c>
      <c r="E1563" s="116">
        <v>1399.9</v>
      </c>
      <c r="F1563" s="116">
        <v>1421.05</v>
      </c>
      <c r="G1563">
        <v>31351</v>
      </c>
      <c r="H1563" s="116"/>
      <c r="I1563" s="116"/>
      <c r="L1563" s="170">
        <v>45308</v>
      </c>
      <c r="M1563" s="116">
        <v>1421.15</v>
      </c>
      <c r="N1563" s="116">
        <v>1444.95</v>
      </c>
      <c r="O1563" s="116">
        <v>1386.55</v>
      </c>
      <c r="P1563" s="116">
        <v>1397</v>
      </c>
      <c r="Q1563" s="116">
        <v>1421.15</v>
      </c>
      <c r="R1563">
        <v>2628568</v>
      </c>
    </row>
    <row r="1564" spans="1:18" x14ac:dyDescent="0.25">
      <c r="A1564" s="170">
        <v>45309</v>
      </c>
      <c r="B1564" s="116">
        <v>1437.9</v>
      </c>
      <c r="C1564" s="116">
        <v>1406.35</v>
      </c>
      <c r="D1564" s="116">
        <v>1384.35</v>
      </c>
      <c r="E1564" s="116">
        <v>1434.9</v>
      </c>
      <c r="F1564" s="116">
        <v>1406.35</v>
      </c>
      <c r="G1564">
        <v>14557</v>
      </c>
      <c r="H1564" s="116"/>
      <c r="I1564" s="116"/>
      <c r="L1564" s="170">
        <v>45309</v>
      </c>
      <c r="M1564" s="116">
        <v>1404.9</v>
      </c>
      <c r="N1564" s="116">
        <v>1438</v>
      </c>
      <c r="O1564" s="116">
        <v>1384.2</v>
      </c>
      <c r="P1564" s="116">
        <v>1416.9</v>
      </c>
      <c r="Q1564" s="116">
        <v>1404.9</v>
      </c>
      <c r="R1564">
        <v>2296538</v>
      </c>
    </row>
    <row r="1565" spans="1:18" x14ac:dyDescent="0.25">
      <c r="A1565" s="170">
        <v>45310</v>
      </c>
      <c r="B1565" s="116">
        <v>1443.85</v>
      </c>
      <c r="C1565" s="116">
        <v>1440.2</v>
      </c>
      <c r="D1565" s="116">
        <v>1406.4</v>
      </c>
      <c r="E1565" s="116">
        <v>1408.4</v>
      </c>
      <c r="F1565" s="116">
        <v>1440.2</v>
      </c>
      <c r="G1565">
        <v>20353</v>
      </c>
      <c r="H1565" s="116"/>
      <c r="I1565" s="116"/>
      <c r="L1565" s="170">
        <v>45310</v>
      </c>
      <c r="M1565" s="116">
        <v>1440.6</v>
      </c>
      <c r="N1565" s="116">
        <v>1445</v>
      </c>
      <c r="O1565" s="116">
        <v>1405.4</v>
      </c>
      <c r="P1565" s="116">
        <v>1405.9</v>
      </c>
      <c r="Q1565" s="116">
        <v>1440.6</v>
      </c>
      <c r="R1565">
        <v>570639</v>
      </c>
    </row>
    <row r="1566" spans="1:18" x14ac:dyDescent="0.25">
      <c r="A1566" s="170">
        <v>45311</v>
      </c>
      <c r="B1566" s="116">
        <v>1453</v>
      </c>
      <c r="C1566" s="116">
        <v>1442.65</v>
      </c>
      <c r="D1566" s="116">
        <v>1431.45</v>
      </c>
      <c r="E1566" s="116">
        <v>1445.05</v>
      </c>
      <c r="F1566" s="116">
        <v>1442.65</v>
      </c>
      <c r="G1566">
        <v>5037</v>
      </c>
      <c r="H1566" s="116"/>
      <c r="I1566" s="116"/>
      <c r="L1566" s="170">
        <v>45311</v>
      </c>
      <c r="M1566" s="116">
        <v>1442.2</v>
      </c>
      <c r="N1566" s="116">
        <v>1454.35</v>
      </c>
      <c r="O1566" s="116">
        <v>1431.6</v>
      </c>
      <c r="P1566" s="116">
        <v>1448.9</v>
      </c>
      <c r="Q1566" s="116">
        <v>1442.2</v>
      </c>
      <c r="R1566">
        <v>463302</v>
      </c>
    </row>
    <row r="1567" spans="1:18" x14ac:dyDescent="0.25">
      <c r="A1567" s="170">
        <v>45314</v>
      </c>
      <c r="B1567" s="116">
        <v>1448.2</v>
      </c>
      <c r="C1567" s="116">
        <v>1375.7</v>
      </c>
      <c r="D1567" s="116">
        <v>1368</v>
      </c>
      <c r="E1567" s="116">
        <v>1442.1</v>
      </c>
      <c r="F1567" s="116">
        <v>1375.7</v>
      </c>
      <c r="G1567">
        <v>33055</v>
      </c>
      <c r="H1567" s="116"/>
      <c r="I1567" s="116"/>
      <c r="L1567" s="170">
        <v>45314</v>
      </c>
      <c r="M1567" s="116">
        <v>1375.5</v>
      </c>
      <c r="N1567" s="116">
        <v>1448.65</v>
      </c>
      <c r="O1567" s="116">
        <v>1367.35</v>
      </c>
      <c r="P1567" s="116">
        <v>1444</v>
      </c>
      <c r="Q1567" s="116">
        <v>1375.5</v>
      </c>
      <c r="R1567">
        <v>2880301</v>
      </c>
    </row>
    <row r="1568" spans="1:18" x14ac:dyDescent="0.25">
      <c r="A1568" s="170">
        <v>45315</v>
      </c>
      <c r="B1568" s="116">
        <v>1413.5</v>
      </c>
      <c r="C1568" s="116">
        <v>1410.95</v>
      </c>
      <c r="D1568" s="116">
        <v>1370</v>
      </c>
      <c r="E1568" s="116">
        <v>1403.15</v>
      </c>
      <c r="F1568" s="116">
        <v>1410.95</v>
      </c>
      <c r="G1568">
        <v>23367</v>
      </c>
      <c r="H1568" s="116"/>
      <c r="I1568" s="116"/>
      <c r="L1568" s="170">
        <v>45315</v>
      </c>
      <c r="M1568" s="116">
        <v>1410.55</v>
      </c>
      <c r="N1568" s="116">
        <v>1413.9</v>
      </c>
      <c r="O1568" s="116">
        <v>1368.55</v>
      </c>
      <c r="P1568" s="116">
        <v>1380.4</v>
      </c>
      <c r="Q1568" s="116">
        <v>1410.55</v>
      </c>
      <c r="R1568">
        <v>1255876</v>
      </c>
    </row>
    <row r="1569" spans="1:18" x14ac:dyDescent="0.25">
      <c r="A1569" s="170">
        <v>45316</v>
      </c>
      <c r="B1569" s="116">
        <v>1414</v>
      </c>
      <c r="C1569" s="116">
        <v>1380.75</v>
      </c>
      <c r="D1569" s="116">
        <v>1357.2</v>
      </c>
      <c r="E1569" s="116">
        <v>1413.2</v>
      </c>
      <c r="F1569" s="116">
        <v>1380.75</v>
      </c>
      <c r="G1569">
        <v>59085</v>
      </c>
      <c r="H1569" s="116"/>
      <c r="I1569" s="116"/>
      <c r="L1569" s="170">
        <v>45316</v>
      </c>
      <c r="M1569" s="116">
        <v>1380.9</v>
      </c>
      <c r="N1569" s="116">
        <v>1414.9</v>
      </c>
      <c r="O1569" s="116">
        <v>1357.15</v>
      </c>
      <c r="P1569" s="116">
        <v>1414.9</v>
      </c>
      <c r="Q1569" s="116">
        <v>1380.9</v>
      </c>
      <c r="R1569">
        <v>3230297</v>
      </c>
    </row>
    <row r="1570" spans="1:18" x14ac:dyDescent="0.25">
      <c r="A1570" s="170">
        <v>45320</v>
      </c>
      <c r="B1570" s="116">
        <v>1425.1</v>
      </c>
      <c r="C1570" s="116">
        <v>1418.2</v>
      </c>
      <c r="D1570" s="116">
        <v>1391.15</v>
      </c>
      <c r="E1570" s="116">
        <v>1407.85</v>
      </c>
      <c r="F1570" s="116">
        <v>1418.2</v>
      </c>
      <c r="G1570">
        <v>19727</v>
      </c>
      <c r="H1570" s="116"/>
      <c r="I1570" s="116"/>
      <c r="L1570" s="170">
        <v>45320</v>
      </c>
      <c r="M1570" s="116">
        <v>1418.4</v>
      </c>
      <c r="N1570" s="116">
        <v>1424.6</v>
      </c>
      <c r="O1570" s="116">
        <v>1388</v>
      </c>
      <c r="P1570" s="116">
        <v>1388</v>
      </c>
      <c r="Q1570" s="116">
        <v>1418.4</v>
      </c>
      <c r="R1570">
        <v>1607583</v>
      </c>
    </row>
    <row r="1571" spans="1:18" x14ac:dyDescent="0.25">
      <c r="A1571" s="170">
        <v>45321</v>
      </c>
      <c r="B1571" s="116">
        <v>1432.7</v>
      </c>
      <c r="C1571" s="116">
        <v>1399.3</v>
      </c>
      <c r="D1571" s="116">
        <v>1393.25</v>
      </c>
      <c r="E1571" s="116">
        <v>1424</v>
      </c>
      <c r="F1571" s="116">
        <v>1399.3</v>
      </c>
      <c r="G1571">
        <v>13896</v>
      </c>
      <c r="H1571" s="116"/>
      <c r="I1571" s="116"/>
      <c r="L1571" s="170">
        <v>45321</v>
      </c>
      <c r="M1571" s="116">
        <v>1399</v>
      </c>
      <c r="N1571" s="116">
        <v>1433.7</v>
      </c>
      <c r="O1571" s="116">
        <v>1392.85</v>
      </c>
      <c r="P1571" s="116">
        <v>1425</v>
      </c>
      <c r="Q1571" s="116">
        <v>1399</v>
      </c>
      <c r="R1571">
        <v>1464906</v>
      </c>
    </row>
    <row r="1572" spans="1:18" x14ac:dyDescent="0.25">
      <c r="A1572" s="170">
        <v>45322</v>
      </c>
      <c r="B1572" s="116">
        <v>1409.85</v>
      </c>
      <c r="C1572" s="116">
        <v>1401</v>
      </c>
      <c r="D1572" s="116">
        <v>1381.95</v>
      </c>
      <c r="E1572" s="116">
        <v>1409.85</v>
      </c>
      <c r="F1572" s="116">
        <v>1401</v>
      </c>
      <c r="G1572">
        <v>17594</v>
      </c>
      <c r="H1572" s="116"/>
      <c r="I1572" s="116"/>
      <c r="L1572" s="170">
        <v>45322</v>
      </c>
      <c r="M1572" s="116">
        <v>1401.15</v>
      </c>
      <c r="N1572" s="116">
        <v>1406.5</v>
      </c>
      <c r="O1572" s="116">
        <v>1381.7</v>
      </c>
      <c r="P1572" s="116">
        <v>1400</v>
      </c>
      <c r="Q1572" s="116">
        <v>1401.15</v>
      </c>
      <c r="R1572">
        <v>1343827</v>
      </c>
    </row>
    <row r="1573" spans="1:18" x14ac:dyDescent="0.25">
      <c r="A1573" s="170">
        <v>45323</v>
      </c>
      <c r="B1573" s="116">
        <v>1458.3</v>
      </c>
      <c r="C1573" s="116">
        <v>1432.8</v>
      </c>
      <c r="D1573" s="116">
        <v>1398.9</v>
      </c>
      <c r="E1573" s="116">
        <v>1401.15</v>
      </c>
      <c r="F1573" s="116">
        <v>1432.8</v>
      </c>
      <c r="G1573">
        <v>28474</v>
      </c>
      <c r="H1573" s="116"/>
      <c r="I1573" s="116"/>
      <c r="L1573" s="170">
        <v>45323</v>
      </c>
      <c r="M1573" s="116">
        <v>1432.75</v>
      </c>
      <c r="N1573" s="116">
        <v>1459.7</v>
      </c>
      <c r="O1573" s="116">
        <v>1398.5</v>
      </c>
      <c r="P1573" s="116">
        <v>1407.3</v>
      </c>
      <c r="Q1573" s="116">
        <v>1432.75</v>
      </c>
      <c r="R1573">
        <v>1803699</v>
      </c>
    </row>
    <row r="1574" spans="1:18" x14ac:dyDescent="0.25">
      <c r="A1574" s="170">
        <v>45324</v>
      </c>
      <c r="B1574" s="116">
        <v>1456</v>
      </c>
      <c r="C1574" s="116">
        <v>1435.05</v>
      </c>
      <c r="D1574" s="116">
        <v>1420</v>
      </c>
      <c r="E1574" s="116">
        <v>1434.5</v>
      </c>
      <c r="F1574" s="116">
        <v>1435.05</v>
      </c>
      <c r="G1574">
        <v>20570</v>
      </c>
      <c r="H1574" s="116"/>
      <c r="I1574" s="116"/>
      <c r="L1574" s="170">
        <v>45324</v>
      </c>
      <c r="M1574" s="116">
        <v>1435.45</v>
      </c>
      <c r="N1574" s="116">
        <v>1456</v>
      </c>
      <c r="O1574" s="116">
        <v>1420.05</v>
      </c>
      <c r="P1574" s="116">
        <v>1440.8</v>
      </c>
      <c r="Q1574" s="116">
        <v>1435.45</v>
      </c>
      <c r="R1574">
        <v>1817169</v>
      </c>
    </row>
    <row r="1575" spans="1:18" x14ac:dyDescent="0.25">
      <c r="A1575" s="170">
        <v>45327</v>
      </c>
      <c r="B1575" s="116">
        <v>1449.15</v>
      </c>
      <c r="C1575" s="116">
        <v>1420.05</v>
      </c>
      <c r="D1575" s="116">
        <v>1415.75</v>
      </c>
      <c r="E1575" s="116">
        <v>1437.9</v>
      </c>
      <c r="F1575" s="116">
        <v>1420.05</v>
      </c>
      <c r="G1575">
        <v>12027</v>
      </c>
      <c r="H1575" s="116"/>
      <c r="I1575" s="116"/>
      <c r="L1575" s="170">
        <v>45327</v>
      </c>
      <c r="M1575" s="116">
        <v>1419.85</v>
      </c>
      <c r="N1575" s="116">
        <v>1460</v>
      </c>
      <c r="O1575" s="116">
        <v>1414.9</v>
      </c>
      <c r="P1575" s="116">
        <v>1435</v>
      </c>
      <c r="Q1575" s="116">
        <v>1419.85</v>
      </c>
      <c r="R1575">
        <v>1010779</v>
      </c>
    </row>
    <row r="1576" spans="1:18" x14ac:dyDescent="0.25">
      <c r="A1576" s="170">
        <v>45328</v>
      </c>
      <c r="B1576" s="116">
        <v>1468</v>
      </c>
      <c r="C1576" s="116">
        <v>1463.95</v>
      </c>
      <c r="D1576" s="116">
        <v>1407</v>
      </c>
      <c r="E1576" s="116">
        <v>1418.15</v>
      </c>
      <c r="F1576" s="116">
        <v>1463.95</v>
      </c>
      <c r="G1576">
        <v>45837</v>
      </c>
      <c r="H1576" s="116"/>
      <c r="I1576" s="116"/>
      <c r="L1576" s="170">
        <v>45328</v>
      </c>
      <c r="M1576" s="116">
        <v>1464</v>
      </c>
      <c r="N1576" s="116">
        <v>1469.95</v>
      </c>
      <c r="O1576" s="116">
        <v>1404.9</v>
      </c>
      <c r="P1576" s="116">
        <v>1422.6</v>
      </c>
      <c r="Q1576" s="116">
        <v>1464</v>
      </c>
      <c r="R1576">
        <v>1515381</v>
      </c>
    </row>
    <row r="1577" spans="1:18" x14ac:dyDescent="0.25">
      <c r="A1577" s="170">
        <v>45329</v>
      </c>
      <c r="B1577" s="116">
        <v>1492</v>
      </c>
      <c r="C1577" s="116">
        <v>1470.15</v>
      </c>
      <c r="D1577" s="116">
        <v>1454</v>
      </c>
      <c r="E1577" s="116">
        <v>1470.7</v>
      </c>
      <c r="F1577" s="116">
        <v>1470.15</v>
      </c>
      <c r="G1577">
        <v>21821</v>
      </c>
      <c r="H1577" s="116"/>
      <c r="I1577" s="116"/>
      <c r="L1577" s="170">
        <v>45329</v>
      </c>
      <c r="M1577" s="116">
        <v>1469.45</v>
      </c>
      <c r="N1577" s="116">
        <v>1493</v>
      </c>
      <c r="O1577" s="116">
        <v>1453.65</v>
      </c>
      <c r="P1577" s="116">
        <v>1472.6</v>
      </c>
      <c r="Q1577" s="116">
        <v>1469.45</v>
      </c>
      <c r="R1577">
        <v>690402</v>
      </c>
    </row>
    <row r="1578" spans="1:18" x14ac:dyDescent="0.25">
      <c r="A1578" s="170">
        <v>45330</v>
      </c>
      <c r="B1578" s="116">
        <v>1491</v>
      </c>
      <c r="C1578" s="116">
        <v>1459.8</v>
      </c>
      <c r="D1578" s="116">
        <v>1455.05</v>
      </c>
      <c r="E1578" s="116">
        <v>1480.05</v>
      </c>
      <c r="F1578" s="116">
        <v>1459.8</v>
      </c>
      <c r="G1578">
        <v>25076</v>
      </c>
      <c r="H1578" s="116"/>
      <c r="I1578" s="116"/>
      <c r="L1578" s="170">
        <v>45330</v>
      </c>
      <c r="M1578" s="116">
        <v>1459.05</v>
      </c>
      <c r="N1578" s="116">
        <v>1492.1</v>
      </c>
      <c r="O1578" s="116">
        <v>1455.15</v>
      </c>
      <c r="P1578" s="116">
        <v>1481.9</v>
      </c>
      <c r="Q1578" s="116">
        <v>1459.05</v>
      </c>
      <c r="R1578">
        <v>1679065</v>
      </c>
    </row>
    <row r="1579" spans="1:18" x14ac:dyDescent="0.25">
      <c r="A1579" s="170">
        <v>45331</v>
      </c>
      <c r="B1579" s="116">
        <v>1468.15</v>
      </c>
      <c r="C1579" s="116">
        <v>1442.05</v>
      </c>
      <c r="D1579" s="116">
        <v>1436.15</v>
      </c>
      <c r="E1579" s="116">
        <v>1468.15</v>
      </c>
      <c r="F1579" s="116">
        <v>1442.05</v>
      </c>
      <c r="G1579">
        <v>14690</v>
      </c>
      <c r="H1579" s="116"/>
      <c r="I1579" s="116"/>
      <c r="L1579" s="170">
        <v>45331</v>
      </c>
      <c r="M1579" s="116">
        <v>1439.7</v>
      </c>
      <c r="N1579" s="116">
        <v>1468</v>
      </c>
      <c r="O1579" s="116">
        <v>1436.5</v>
      </c>
      <c r="P1579" s="116">
        <v>1468</v>
      </c>
      <c r="Q1579" s="116">
        <v>1439.7</v>
      </c>
      <c r="R1579">
        <v>596482</v>
      </c>
    </row>
    <row r="1580" spans="1:18" x14ac:dyDescent="0.25">
      <c r="A1580" s="170">
        <v>45334</v>
      </c>
      <c r="B1580" s="116">
        <v>1451</v>
      </c>
      <c r="C1580" s="116">
        <v>1435.15</v>
      </c>
      <c r="D1580" s="116">
        <v>1423</v>
      </c>
      <c r="E1580" s="116">
        <v>1440.65</v>
      </c>
      <c r="F1580" s="116">
        <v>1435.15</v>
      </c>
      <c r="G1580">
        <v>12463</v>
      </c>
      <c r="H1580" s="116"/>
      <c r="I1580" s="116"/>
      <c r="L1580" s="170">
        <v>45334</v>
      </c>
      <c r="M1580" s="116">
        <v>1436</v>
      </c>
      <c r="N1580" s="116">
        <v>1452</v>
      </c>
      <c r="O1580" s="116">
        <v>1423.25</v>
      </c>
      <c r="P1580" s="116">
        <v>1442.45</v>
      </c>
      <c r="Q1580" s="116">
        <v>1436</v>
      </c>
      <c r="R1580">
        <v>515507</v>
      </c>
    </row>
    <row r="1581" spans="1:18" x14ac:dyDescent="0.25">
      <c r="A1581" s="170">
        <v>45335</v>
      </c>
      <c r="B1581" s="116">
        <v>1475</v>
      </c>
      <c r="C1581" s="116">
        <v>1465.4</v>
      </c>
      <c r="D1581" s="116">
        <v>1411.15</v>
      </c>
      <c r="E1581" s="116">
        <v>1411.15</v>
      </c>
      <c r="F1581" s="116">
        <v>1465.4</v>
      </c>
      <c r="G1581">
        <v>16805</v>
      </c>
      <c r="H1581" s="116"/>
      <c r="I1581" s="116"/>
      <c r="L1581" s="170">
        <v>45335</v>
      </c>
      <c r="M1581" s="116">
        <v>1467.6</v>
      </c>
      <c r="N1581" s="116">
        <v>1475.85</v>
      </c>
      <c r="O1581" s="116">
        <v>1428.2</v>
      </c>
      <c r="P1581" s="116">
        <v>1436</v>
      </c>
      <c r="Q1581" s="116">
        <v>1467.6</v>
      </c>
      <c r="R1581">
        <v>1388464</v>
      </c>
    </row>
    <row r="1582" spans="1:18" x14ac:dyDescent="0.25">
      <c r="A1582" s="170">
        <v>45336</v>
      </c>
      <c r="B1582" s="116">
        <v>1464.75</v>
      </c>
      <c r="C1582" s="116">
        <v>1453.95</v>
      </c>
      <c r="D1582" s="116">
        <v>1439.35</v>
      </c>
      <c r="E1582" s="116">
        <v>1464.75</v>
      </c>
      <c r="F1582" s="116">
        <v>1453.95</v>
      </c>
      <c r="G1582">
        <v>5314</v>
      </c>
      <c r="H1582" s="116"/>
      <c r="I1582" s="116"/>
      <c r="L1582" s="170">
        <v>45336</v>
      </c>
      <c r="M1582" s="116">
        <v>1453.7</v>
      </c>
      <c r="N1582" s="116">
        <v>1464</v>
      </c>
      <c r="O1582" s="116">
        <v>1439.05</v>
      </c>
      <c r="P1582" s="116">
        <v>1460</v>
      </c>
      <c r="Q1582" s="116">
        <v>1453.7</v>
      </c>
      <c r="R1582">
        <v>504590</v>
      </c>
    </row>
    <row r="1583" spans="1:18" x14ac:dyDescent="0.25">
      <c r="A1583" s="170">
        <v>45337</v>
      </c>
      <c r="B1583" s="116">
        <v>1479</v>
      </c>
      <c r="C1583" s="116">
        <v>1456.75</v>
      </c>
      <c r="D1583" s="116">
        <v>1444.1</v>
      </c>
      <c r="E1583" s="116">
        <v>1465</v>
      </c>
      <c r="F1583" s="116">
        <v>1456.75</v>
      </c>
      <c r="G1583">
        <v>12741</v>
      </c>
      <c r="H1583" s="116"/>
      <c r="I1583" s="116"/>
      <c r="L1583" s="170">
        <v>45337</v>
      </c>
      <c r="M1583" s="116">
        <v>1453.35</v>
      </c>
      <c r="N1583" s="116">
        <v>1464.35</v>
      </c>
      <c r="O1583" s="116">
        <v>1443.65</v>
      </c>
      <c r="P1583" s="116">
        <v>1464</v>
      </c>
      <c r="Q1583" s="116">
        <v>1453.35</v>
      </c>
      <c r="R1583">
        <v>736364</v>
      </c>
    </row>
    <row r="1584" spans="1:18" x14ac:dyDescent="0.25">
      <c r="A1584" s="170">
        <v>45338</v>
      </c>
      <c r="B1584" s="116">
        <v>1515.5</v>
      </c>
      <c r="C1584" s="116">
        <v>1508.45</v>
      </c>
      <c r="D1584" s="116">
        <v>1453.35</v>
      </c>
      <c r="E1584" s="116">
        <v>1456.75</v>
      </c>
      <c r="F1584" s="116">
        <v>1508.45</v>
      </c>
      <c r="G1584">
        <v>73358</v>
      </c>
      <c r="H1584" s="116"/>
      <c r="I1584" s="116"/>
      <c r="L1584" s="170">
        <v>45338</v>
      </c>
      <c r="M1584" s="116">
        <v>1508.45</v>
      </c>
      <c r="N1584" s="116">
        <v>1516.2</v>
      </c>
      <c r="O1584" s="116">
        <v>1451.6</v>
      </c>
      <c r="P1584" s="116">
        <v>1456.4</v>
      </c>
      <c r="Q1584" s="116">
        <v>1508.45</v>
      </c>
      <c r="R1584">
        <v>2008339</v>
      </c>
    </row>
    <row r="1585" spans="1:18" x14ac:dyDescent="0.25">
      <c r="A1585" s="170">
        <v>45341</v>
      </c>
      <c r="B1585" s="116">
        <v>1520.25</v>
      </c>
      <c r="C1585" s="116">
        <v>1489.05</v>
      </c>
      <c r="D1585" s="116">
        <v>1486</v>
      </c>
      <c r="E1585" s="116">
        <v>1519.85</v>
      </c>
      <c r="F1585" s="116">
        <v>1489.05</v>
      </c>
      <c r="G1585">
        <v>32205</v>
      </c>
      <c r="H1585" s="116"/>
      <c r="I1585" s="116"/>
      <c r="L1585" s="170">
        <v>45341</v>
      </c>
      <c r="M1585" s="116">
        <v>1488.85</v>
      </c>
      <c r="N1585" s="116">
        <v>1522</v>
      </c>
      <c r="O1585" s="116">
        <v>1486</v>
      </c>
      <c r="P1585" s="116">
        <v>1517.1</v>
      </c>
      <c r="Q1585" s="116">
        <v>1488.85</v>
      </c>
      <c r="R1585">
        <v>1163429</v>
      </c>
    </row>
    <row r="1586" spans="1:18" x14ac:dyDescent="0.25">
      <c r="A1586" s="170">
        <v>45342</v>
      </c>
      <c r="B1586" s="116">
        <v>1517</v>
      </c>
      <c r="C1586" s="116">
        <v>1513.45</v>
      </c>
      <c r="D1586" s="116">
        <v>1472.75</v>
      </c>
      <c r="E1586" s="116">
        <v>1498.9</v>
      </c>
      <c r="F1586" s="116">
        <v>1513.45</v>
      </c>
      <c r="G1586">
        <v>61803</v>
      </c>
      <c r="H1586" s="116"/>
      <c r="I1586" s="116"/>
      <c r="L1586" s="170">
        <v>45342</v>
      </c>
      <c r="M1586" s="116">
        <v>1513.55</v>
      </c>
      <c r="N1586" s="116">
        <v>1517.65</v>
      </c>
      <c r="O1586" s="116">
        <v>1473.35</v>
      </c>
      <c r="P1586" s="116">
        <v>1488.85</v>
      </c>
      <c r="Q1586" s="116">
        <v>1513.55</v>
      </c>
      <c r="R1586">
        <v>1569035</v>
      </c>
    </row>
    <row r="1587" spans="1:18" x14ac:dyDescent="0.25">
      <c r="A1587" s="170">
        <v>45343</v>
      </c>
      <c r="B1587" s="116">
        <v>1519.85</v>
      </c>
      <c r="C1587" s="116">
        <v>1501.25</v>
      </c>
      <c r="D1587" s="116">
        <v>1496.7</v>
      </c>
      <c r="E1587" s="116">
        <v>1512.65</v>
      </c>
      <c r="F1587" s="116">
        <v>1501.25</v>
      </c>
      <c r="G1587">
        <v>331197</v>
      </c>
      <c r="H1587" s="116"/>
      <c r="I1587" s="116"/>
      <c r="L1587" s="170">
        <v>45343</v>
      </c>
      <c r="M1587" s="116">
        <v>1501.7</v>
      </c>
      <c r="N1587" s="116">
        <v>1519.5</v>
      </c>
      <c r="O1587" s="116">
        <v>1495.4</v>
      </c>
      <c r="P1587" s="116">
        <v>1510.05</v>
      </c>
      <c r="Q1587" s="116">
        <v>1501.7</v>
      </c>
      <c r="R1587">
        <v>1156081</v>
      </c>
    </row>
    <row r="1588" spans="1:18" x14ac:dyDescent="0.25">
      <c r="A1588" s="170">
        <v>45344</v>
      </c>
      <c r="B1588" s="116">
        <v>1512.75</v>
      </c>
      <c r="C1588" s="116">
        <v>1511.8</v>
      </c>
      <c r="D1588" s="116">
        <v>1470.65</v>
      </c>
      <c r="E1588" s="116">
        <v>1500.65</v>
      </c>
      <c r="F1588" s="116">
        <v>1511.8</v>
      </c>
      <c r="G1588">
        <v>16681</v>
      </c>
      <c r="H1588" s="116"/>
      <c r="I1588" s="116"/>
      <c r="L1588" s="170">
        <v>45344</v>
      </c>
      <c r="M1588" s="116">
        <v>1509.65</v>
      </c>
      <c r="N1588" s="116">
        <v>1513.5</v>
      </c>
      <c r="O1588" s="116">
        <v>1470.2</v>
      </c>
      <c r="P1588" s="116">
        <v>1510</v>
      </c>
      <c r="Q1588" s="116">
        <v>1509.65</v>
      </c>
      <c r="R1588">
        <v>1355358</v>
      </c>
    </row>
    <row r="1589" spans="1:18" x14ac:dyDescent="0.25">
      <c r="A1589" s="170">
        <v>45345</v>
      </c>
      <c r="B1589" s="116">
        <v>1535.8</v>
      </c>
      <c r="C1589" s="116">
        <v>1528.05</v>
      </c>
      <c r="D1589" s="116">
        <v>1500.55</v>
      </c>
      <c r="E1589" s="116">
        <v>1511.25</v>
      </c>
      <c r="F1589" s="116">
        <v>1528.05</v>
      </c>
      <c r="G1589">
        <v>29470</v>
      </c>
      <c r="H1589" s="116"/>
      <c r="I1589" s="116"/>
      <c r="L1589" s="170">
        <v>45345</v>
      </c>
      <c r="M1589" s="116">
        <v>1529.15</v>
      </c>
      <c r="N1589" s="116">
        <v>1536.25</v>
      </c>
      <c r="O1589" s="116">
        <v>1501.25</v>
      </c>
      <c r="P1589" s="116">
        <v>1508.4</v>
      </c>
      <c r="Q1589" s="116">
        <v>1529.15</v>
      </c>
      <c r="R1589">
        <v>1115653</v>
      </c>
    </row>
    <row r="1590" spans="1:18" x14ac:dyDescent="0.25">
      <c r="A1590" s="170">
        <v>45348</v>
      </c>
      <c r="B1590" s="116">
        <v>1553.2</v>
      </c>
      <c r="C1590" s="116">
        <v>1547.6</v>
      </c>
      <c r="D1590" s="116">
        <v>1526.3</v>
      </c>
      <c r="E1590" s="116">
        <v>1532.05</v>
      </c>
      <c r="F1590" s="116">
        <v>1547.6</v>
      </c>
      <c r="G1590">
        <v>28927</v>
      </c>
      <c r="H1590" s="116"/>
      <c r="I1590" s="116"/>
      <c r="L1590" s="170">
        <v>45348</v>
      </c>
      <c r="M1590" s="116">
        <v>1549.15</v>
      </c>
      <c r="N1590" s="116">
        <v>1553.4</v>
      </c>
      <c r="O1590" s="116">
        <v>1525.1</v>
      </c>
      <c r="P1590" s="116">
        <v>1531.15</v>
      </c>
      <c r="Q1590" s="116">
        <v>1549.15</v>
      </c>
      <c r="R1590">
        <v>1283074</v>
      </c>
    </row>
    <row r="1591" spans="1:18" x14ac:dyDescent="0.25">
      <c r="A1591" s="170">
        <v>45349</v>
      </c>
      <c r="B1591" s="116">
        <v>1569.55</v>
      </c>
      <c r="C1591" s="116">
        <v>1540.55</v>
      </c>
      <c r="D1591" s="116">
        <v>1537.9</v>
      </c>
      <c r="E1591" s="116">
        <v>1565.75</v>
      </c>
      <c r="F1591" s="116">
        <v>1540.55</v>
      </c>
      <c r="G1591">
        <v>30181</v>
      </c>
      <c r="H1591" s="116"/>
      <c r="I1591" s="116"/>
      <c r="L1591" s="170">
        <v>45349</v>
      </c>
      <c r="M1591" s="116">
        <v>1542.7</v>
      </c>
      <c r="N1591" s="116">
        <v>1569</v>
      </c>
      <c r="O1591" s="116">
        <v>1538.9</v>
      </c>
      <c r="P1591" s="116">
        <v>1553.8</v>
      </c>
      <c r="Q1591" s="116">
        <v>1542.7</v>
      </c>
      <c r="R1591">
        <v>1764621</v>
      </c>
    </row>
    <row r="1592" spans="1:18" x14ac:dyDescent="0.25">
      <c r="A1592" s="170">
        <v>45350</v>
      </c>
      <c r="B1592" s="116">
        <v>1556.85</v>
      </c>
      <c r="C1592" s="116">
        <v>1539.95</v>
      </c>
      <c r="D1592" s="116">
        <v>1536.7</v>
      </c>
      <c r="E1592" s="116">
        <v>1551.65</v>
      </c>
      <c r="F1592" s="116">
        <v>1539.95</v>
      </c>
      <c r="G1592">
        <v>18906</v>
      </c>
      <c r="H1592" s="116"/>
      <c r="I1592" s="116"/>
      <c r="L1592" s="170">
        <v>45350</v>
      </c>
      <c r="M1592" s="116">
        <v>1540.2</v>
      </c>
      <c r="N1592" s="116">
        <v>1556.75</v>
      </c>
      <c r="O1592" s="116">
        <v>1536.4</v>
      </c>
      <c r="P1592" s="116">
        <v>1544</v>
      </c>
      <c r="Q1592" s="116">
        <v>1540.2</v>
      </c>
      <c r="R1592">
        <v>834214</v>
      </c>
    </row>
    <row r="1593" spans="1:18" x14ac:dyDescent="0.25">
      <c r="A1593" s="170">
        <v>45351</v>
      </c>
      <c r="B1593" s="116">
        <v>1571.55</v>
      </c>
      <c r="C1593" s="116">
        <v>1554.95</v>
      </c>
      <c r="D1593" s="116">
        <v>1527.2</v>
      </c>
      <c r="E1593" s="116">
        <v>1554.95</v>
      </c>
      <c r="F1593" s="116">
        <v>1554.95</v>
      </c>
      <c r="G1593">
        <v>2095908</v>
      </c>
      <c r="H1593" s="116"/>
      <c r="I1593" s="116"/>
      <c r="L1593" s="170">
        <v>45351</v>
      </c>
      <c r="M1593" s="116">
        <v>1552.55</v>
      </c>
      <c r="N1593" s="116">
        <v>1567.1</v>
      </c>
      <c r="O1593" s="116">
        <v>1525.4</v>
      </c>
      <c r="P1593" s="116">
        <v>1540.2</v>
      </c>
      <c r="Q1593" s="116">
        <v>1552.55</v>
      </c>
      <c r="R1593">
        <v>1672455</v>
      </c>
    </row>
    <row r="1594" spans="1:18" x14ac:dyDescent="0.25">
      <c r="A1594" s="170">
        <v>45352</v>
      </c>
      <c r="B1594" s="116">
        <v>1570</v>
      </c>
      <c r="C1594" s="116">
        <v>1540.25</v>
      </c>
      <c r="D1594" s="116">
        <v>1535.7</v>
      </c>
      <c r="E1594" s="116">
        <v>1567</v>
      </c>
      <c r="F1594" s="116">
        <v>1540.25</v>
      </c>
      <c r="G1594">
        <v>16080</v>
      </c>
      <c r="H1594" s="116"/>
      <c r="I1594" s="116"/>
      <c r="L1594" s="170">
        <v>45352</v>
      </c>
      <c r="M1594" s="116">
        <v>1542.15</v>
      </c>
      <c r="N1594" s="116">
        <v>1569.35</v>
      </c>
      <c r="O1594" s="116">
        <v>1536.05</v>
      </c>
      <c r="P1594" s="116">
        <v>1564.9</v>
      </c>
      <c r="Q1594" s="116">
        <v>1542.15</v>
      </c>
      <c r="R1594">
        <v>1088145</v>
      </c>
    </row>
    <row r="1595" spans="1:18" x14ac:dyDescent="0.25">
      <c r="A1595" s="170">
        <v>45353</v>
      </c>
      <c r="B1595" s="116">
        <v>1571.1</v>
      </c>
      <c r="C1595" s="116">
        <v>1547.45</v>
      </c>
      <c r="D1595" s="116">
        <v>1542.15</v>
      </c>
      <c r="E1595" s="116">
        <v>1571.1</v>
      </c>
      <c r="F1595" s="116">
        <v>1547.45</v>
      </c>
      <c r="G1595">
        <v>698</v>
      </c>
      <c r="H1595" s="116"/>
      <c r="I1595" s="116"/>
      <c r="L1595" s="170">
        <v>45353</v>
      </c>
      <c r="M1595" s="116">
        <v>1546.8</v>
      </c>
      <c r="N1595" s="116">
        <v>1569.4</v>
      </c>
      <c r="O1595" s="116">
        <v>1535.2</v>
      </c>
      <c r="P1595" s="116">
        <v>1553.05</v>
      </c>
      <c r="Q1595" s="116">
        <v>1546.8</v>
      </c>
      <c r="R1595">
        <v>50098</v>
      </c>
    </row>
    <row r="1596" spans="1:18" x14ac:dyDescent="0.25">
      <c r="A1596" s="170">
        <v>45355</v>
      </c>
      <c r="B1596" s="116">
        <v>1551.15</v>
      </c>
      <c r="C1596" s="116">
        <v>1517.95</v>
      </c>
      <c r="D1596" s="116">
        <v>1508.3</v>
      </c>
      <c r="E1596" s="116">
        <v>1550.3</v>
      </c>
      <c r="F1596" s="116">
        <v>1517.95</v>
      </c>
      <c r="G1596">
        <v>27135</v>
      </c>
      <c r="H1596" s="116"/>
      <c r="I1596" s="116"/>
      <c r="L1596" s="170">
        <v>45355</v>
      </c>
      <c r="M1596" s="116">
        <v>1517.95</v>
      </c>
      <c r="N1596" s="116">
        <v>1554</v>
      </c>
      <c r="O1596" s="116">
        <v>1508.25</v>
      </c>
      <c r="P1596" s="116">
        <v>1553.85</v>
      </c>
      <c r="Q1596" s="116">
        <v>1517.95</v>
      </c>
      <c r="R1596">
        <v>2126926</v>
      </c>
    </row>
    <row r="1597" spans="1:18" x14ac:dyDescent="0.25">
      <c r="A1597" s="170">
        <v>45356</v>
      </c>
      <c r="B1597" s="116">
        <v>1526.05</v>
      </c>
      <c r="C1597" s="116">
        <v>1490.25</v>
      </c>
      <c r="D1597" s="116">
        <v>1488.25</v>
      </c>
      <c r="E1597" s="116">
        <v>1515.25</v>
      </c>
      <c r="F1597" s="116">
        <v>1490.25</v>
      </c>
      <c r="G1597">
        <v>21965</v>
      </c>
      <c r="H1597" s="116"/>
      <c r="I1597" s="116"/>
      <c r="L1597" s="170">
        <v>45356</v>
      </c>
      <c r="M1597" s="116">
        <v>1491.25</v>
      </c>
      <c r="N1597" s="116">
        <v>1525</v>
      </c>
      <c r="O1597" s="116">
        <v>1487.95</v>
      </c>
      <c r="P1597" s="116">
        <v>1525</v>
      </c>
      <c r="Q1597" s="116">
        <v>1491.25</v>
      </c>
      <c r="R1597">
        <v>1476872</v>
      </c>
    </row>
    <row r="1598" spans="1:18" x14ac:dyDescent="0.25">
      <c r="A1598" s="170">
        <v>45357</v>
      </c>
      <c r="B1598" s="116">
        <v>1523.75</v>
      </c>
      <c r="C1598" s="116">
        <v>1520.45</v>
      </c>
      <c r="D1598" s="116">
        <v>1488.05</v>
      </c>
      <c r="E1598" s="116">
        <v>1494.35</v>
      </c>
      <c r="F1598" s="116">
        <v>1520.45</v>
      </c>
      <c r="G1598">
        <v>20528</v>
      </c>
      <c r="H1598" s="116"/>
      <c r="I1598" s="116"/>
      <c r="L1598" s="170">
        <v>45357</v>
      </c>
      <c r="M1598" s="116">
        <v>1520.4</v>
      </c>
      <c r="N1598" s="116">
        <v>1523.9</v>
      </c>
      <c r="O1598" s="116">
        <v>1487</v>
      </c>
      <c r="P1598" s="116">
        <v>1492.25</v>
      </c>
      <c r="Q1598" s="116">
        <v>1520.4</v>
      </c>
      <c r="R1598">
        <v>1568041</v>
      </c>
    </row>
    <row r="1599" spans="1:18" x14ac:dyDescent="0.25">
      <c r="A1599" s="170">
        <v>45358</v>
      </c>
      <c r="B1599" s="116">
        <v>1529.95</v>
      </c>
      <c r="C1599" s="116">
        <v>1509.65</v>
      </c>
      <c r="D1599" s="116">
        <v>1489.1</v>
      </c>
      <c r="E1599" s="116">
        <v>1529.95</v>
      </c>
      <c r="F1599" s="116">
        <v>1509.65</v>
      </c>
      <c r="G1599">
        <v>30646</v>
      </c>
      <c r="H1599" s="116"/>
      <c r="I1599" s="116"/>
      <c r="L1599" s="170">
        <v>45358</v>
      </c>
      <c r="M1599" s="116">
        <v>1510.4</v>
      </c>
      <c r="N1599" s="116">
        <v>1521.3</v>
      </c>
      <c r="O1599" s="116">
        <v>1489</v>
      </c>
      <c r="P1599" s="116">
        <v>1520</v>
      </c>
      <c r="Q1599" s="116">
        <v>1510.4</v>
      </c>
      <c r="R1599">
        <v>2468543</v>
      </c>
    </row>
    <row r="1600" spans="1:18" x14ac:dyDescent="0.25">
      <c r="A1600" s="170">
        <v>45362</v>
      </c>
      <c r="B1600" s="116">
        <v>1540</v>
      </c>
      <c r="C1600" s="116">
        <v>1531.45</v>
      </c>
      <c r="D1600" s="116">
        <v>1514.3</v>
      </c>
      <c r="E1600" s="116">
        <v>1520.15</v>
      </c>
      <c r="F1600" s="116">
        <v>1531.45</v>
      </c>
      <c r="G1600">
        <v>18665</v>
      </c>
      <c r="H1600" s="116"/>
      <c r="I1600" s="116"/>
      <c r="L1600" s="170">
        <v>45362</v>
      </c>
      <c r="M1600" s="116">
        <v>1532.1</v>
      </c>
      <c r="N1600" s="116">
        <v>1539.8</v>
      </c>
      <c r="O1600" s="116">
        <v>1513.6</v>
      </c>
      <c r="P1600" s="116">
        <v>1526.95</v>
      </c>
      <c r="Q1600" s="116">
        <v>1532.1</v>
      </c>
      <c r="R1600">
        <v>1824218</v>
      </c>
    </row>
    <row r="1601" spans="1:18" x14ac:dyDescent="0.25">
      <c r="A1601" s="170">
        <v>45363</v>
      </c>
      <c r="B1601" s="116">
        <v>1551</v>
      </c>
      <c r="C1601" s="116">
        <v>1516.85</v>
      </c>
      <c r="D1601" s="116">
        <v>1510</v>
      </c>
      <c r="E1601" s="116">
        <v>1539.05</v>
      </c>
      <c r="F1601" s="116">
        <v>1516.85</v>
      </c>
      <c r="G1601">
        <v>27139</v>
      </c>
      <c r="H1601" s="116"/>
      <c r="I1601" s="116"/>
      <c r="L1601" s="170">
        <v>45363</v>
      </c>
      <c r="M1601" s="116">
        <v>1516.4</v>
      </c>
      <c r="N1601" s="116">
        <v>1551.75</v>
      </c>
      <c r="O1601" s="116">
        <v>1509.05</v>
      </c>
      <c r="P1601" s="116">
        <v>1533</v>
      </c>
      <c r="Q1601" s="116">
        <v>1516.4</v>
      </c>
      <c r="R1601">
        <v>1608593</v>
      </c>
    </row>
    <row r="1602" spans="1:18" x14ac:dyDescent="0.25">
      <c r="A1602" s="170">
        <v>45364</v>
      </c>
      <c r="B1602" s="116">
        <v>1531.45</v>
      </c>
      <c r="C1602" s="116">
        <v>1487.95</v>
      </c>
      <c r="D1602" s="116">
        <v>1481</v>
      </c>
      <c r="E1602" s="116">
        <v>1508.3</v>
      </c>
      <c r="F1602" s="116">
        <v>1487.95</v>
      </c>
      <c r="G1602">
        <v>22449</v>
      </c>
      <c r="H1602" s="116"/>
      <c r="I1602" s="116"/>
      <c r="L1602" s="170">
        <v>45364</v>
      </c>
      <c r="M1602" s="116">
        <v>1487.35</v>
      </c>
      <c r="N1602" s="116">
        <v>1532.6</v>
      </c>
      <c r="O1602" s="116">
        <v>1480.65</v>
      </c>
      <c r="P1602" s="116">
        <v>1524</v>
      </c>
      <c r="Q1602" s="116">
        <v>1487.35</v>
      </c>
      <c r="R1602">
        <v>1461171</v>
      </c>
    </row>
    <row r="1603" spans="1:18" x14ac:dyDescent="0.25">
      <c r="A1603" s="170">
        <v>45365</v>
      </c>
      <c r="B1603" s="116">
        <v>1513.35</v>
      </c>
      <c r="C1603" s="116">
        <v>1505.3</v>
      </c>
      <c r="D1603" s="116">
        <v>1460.55</v>
      </c>
      <c r="E1603" s="116">
        <v>1460.55</v>
      </c>
      <c r="F1603" s="116">
        <v>1505.3</v>
      </c>
      <c r="G1603">
        <v>18170</v>
      </c>
      <c r="H1603" s="116"/>
      <c r="I1603" s="116"/>
      <c r="L1603" s="170">
        <v>45365</v>
      </c>
      <c r="M1603" s="116">
        <v>1505.85</v>
      </c>
      <c r="N1603" s="116">
        <v>1514.55</v>
      </c>
      <c r="O1603" s="116">
        <v>1465.3</v>
      </c>
      <c r="P1603" s="116">
        <v>1482.2</v>
      </c>
      <c r="Q1603" s="116">
        <v>1505.85</v>
      </c>
      <c r="R1603">
        <v>1094035</v>
      </c>
    </row>
    <row r="1604" spans="1:18" x14ac:dyDescent="0.25">
      <c r="A1604" s="170">
        <v>45366</v>
      </c>
      <c r="B1604" s="116">
        <v>1503.7</v>
      </c>
      <c r="C1604" s="116">
        <v>1500.5</v>
      </c>
      <c r="D1604" s="116">
        <v>1465.95</v>
      </c>
      <c r="E1604" s="116">
        <v>1465.95</v>
      </c>
      <c r="F1604" s="116">
        <v>1500.5</v>
      </c>
      <c r="G1604">
        <v>6744</v>
      </c>
      <c r="H1604" s="116"/>
      <c r="I1604" s="116"/>
      <c r="L1604" s="170">
        <v>45366</v>
      </c>
      <c r="M1604" s="116">
        <v>1500</v>
      </c>
      <c r="N1604" s="116">
        <v>1504.95</v>
      </c>
      <c r="O1604" s="116">
        <v>1481.1</v>
      </c>
      <c r="P1604" s="116">
        <v>1482</v>
      </c>
      <c r="Q1604" s="116">
        <v>1500</v>
      </c>
      <c r="R1604">
        <v>1466897</v>
      </c>
    </row>
    <row r="1605" spans="1:18" x14ac:dyDescent="0.25">
      <c r="A1605" s="170">
        <v>45369</v>
      </c>
      <c r="B1605" s="116">
        <v>1499.65</v>
      </c>
      <c r="C1605" s="116">
        <v>1489</v>
      </c>
      <c r="D1605" s="116">
        <v>1478.3</v>
      </c>
      <c r="E1605" s="116">
        <v>1499.65</v>
      </c>
      <c r="F1605" s="116">
        <v>1489</v>
      </c>
      <c r="G1605">
        <v>7365</v>
      </c>
      <c r="H1605" s="116"/>
      <c r="I1605" s="116"/>
      <c r="L1605" s="170">
        <v>45369</v>
      </c>
      <c r="M1605" s="116">
        <v>1489.7</v>
      </c>
      <c r="N1605" s="116">
        <v>1503.45</v>
      </c>
      <c r="O1605" s="116">
        <v>1478.3</v>
      </c>
      <c r="P1605" s="116">
        <v>1493</v>
      </c>
      <c r="Q1605" s="116">
        <v>1489.7</v>
      </c>
      <c r="R1605">
        <v>641326</v>
      </c>
    </row>
    <row r="1606" spans="1:18" x14ac:dyDescent="0.25">
      <c r="A1606" s="170">
        <v>45370</v>
      </c>
      <c r="B1606" s="116">
        <v>1485.45</v>
      </c>
      <c r="C1606" s="116">
        <v>1458.55</v>
      </c>
      <c r="D1606" s="116">
        <v>1455.9</v>
      </c>
      <c r="E1606" s="116">
        <v>1479</v>
      </c>
      <c r="F1606" s="116">
        <v>1458.55</v>
      </c>
      <c r="G1606">
        <v>8822</v>
      </c>
      <c r="H1606" s="116"/>
      <c r="I1606" s="116"/>
      <c r="L1606" s="170">
        <v>45370</v>
      </c>
      <c r="M1606" s="116">
        <v>1461.35</v>
      </c>
      <c r="N1606" s="116">
        <v>1488.95</v>
      </c>
      <c r="O1606" s="116">
        <v>1456.3</v>
      </c>
      <c r="P1606" s="116">
        <v>1480</v>
      </c>
      <c r="Q1606" s="116">
        <v>1461.35</v>
      </c>
      <c r="R1606">
        <v>1010444</v>
      </c>
    </row>
    <row r="1607" spans="1:18" x14ac:dyDescent="0.25">
      <c r="A1607" s="170">
        <v>45371</v>
      </c>
      <c r="B1607" s="116">
        <v>1469.05</v>
      </c>
      <c r="C1607" s="116">
        <v>1457.7</v>
      </c>
      <c r="D1607" s="116">
        <v>1450.7</v>
      </c>
      <c r="E1607" s="116">
        <v>1465.2</v>
      </c>
      <c r="F1607" s="116">
        <v>1457.7</v>
      </c>
      <c r="G1607">
        <v>4695</v>
      </c>
      <c r="H1607" s="116"/>
      <c r="I1607" s="116"/>
      <c r="L1607" s="170">
        <v>45371</v>
      </c>
      <c r="M1607" s="116">
        <v>1458.4</v>
      </c>
      <c r="N1607" s="116">
        <v>1469.45</v>
      </c>
      <c r="O1607" s="116">
        <v>1450</v>
      </c>
      <c r="P1607" s="116">
        <v>1460</v>
      </c>
      <c r="Q1607" s="116">
        <v>1458.4</v>
      </c>
      <c r="R1607">
        <v>477278</v>
      </c>
    </row>
    <row r="1608" spans="1:18" x14ac:dyDescent="0.25">
      <c r="A1608" s="170">
        <v>45372</v>
      </c>
      <c r="B1608" s="116">
        <v>1486.35</v>
      </c>
      <c r="C1608" s="116">
        <v>1470</v>
      </c>
      <c r="D1608" s="116">
        <v>1459.5</v>
      </c>
      <c r="E1608" s="116">
        <v>1486.35</v>
      </c>
      <c r="F1608" s="116">
        <v>1470</v>
      </c>
      <c r="G1608">
        <v>6140</v>
      </c>
      <c r="H1608" s="116"/>
      <c r="I1608" s="116"/>
      <c r="L1608" s="170">
        <v>45372</v>
      </c>
      <c r="M1608" s="116">
        <v>1468.05</v>
      </c>
      <c r="N1608" s="116">
        <v>1477</v>
      </c>
      <c r="O1608" s="116">
        <v>1458</v>
      </c>
      <c r="P1608" s="116">
        <v>1472.9</v>
      </c>
      <c r="Q1608" s="116">
        <v>1468.05</v>
      </c>
      <c r="R1608">
        <v>958834</v>
      </c>
    </row>
    <row r="1609" spans="1:18" x14ac:dyDescent="0.25">
      <c r="A1609" s="170">
        <v>45373</v>
      </c>
      <c r="B1609" s="116">
        <v>1510.5</v>
      </c>
      <c r="C1609" s="116">
        <v>1500.6</v>
      </c>
      <c r="D1609" s="116">
        <v>1458.8</v>
      </c>
      <c r="E1609" s="116">
        <v>1461.05</v>
      </c>
      <c r="F1609" s="116">
        <v>1500.6</v>
      </c>
      <c r="G1609">
        <v>70758</v>
      </c>
      <c r="H1609" s="116"/>
      <c r="I1609" s="116"/>
      <c r="L1609" s="170">
        <v>45373</v>
      </c>
      <c r="M1609" s="116">
        <v>1501.1</v>
      </c>
      <c r="N1609" s="116">
        <v>1511</v>
      </c>
      <c r="O1609" s="116">
        <v>1458.1</v>
      </c>
      <c r="P1609" s="116">
        <v>1474</v>
      </c>
      <c r="Q1609" s="116">
        <v>1501.1</v>
      </c>
      <c r="R1609">
        <v>563028</v>
      </c>
    </row>
    <row r="1610" spans="1:18" x14ac:dyDescent="0.25">
      <c r="A1610" s="170">
        <v>45377</v>
      </c>
      <c r="B1610" s="116">
        <v>1507</v>
      </c>
      <c r="C1610" s="116">
        <v>1485.65</v>
      </c>
      <c r="D1610" s="116">
        <v>1458.45</v>
      </c>
      <c r="E1610" s="116">
        <v>1474.95</v>
      </c>
      <c r="F1610" s="116">
        <v>1485.65</v>
      </c>
      <c r="G1610">
        <v>11960</v>
      </c>
      <c r="H1610" s="116"/>
      <c r="I1610" s="116"/>
      <c r="L1610" s="170">
        <v>45377</v>
      </c>
      <c r="M1610" s="116">
        <v>1486.4</v>
      </c>
      <c r="N1610" s="116">
        <v>1509.45</v>
      </c>
      <c r="O1610" s="116">
        <v>1457.8</v>
      </c>
      <c r="P1610" s="116">
        <v>1458.5</v>
      </c>
      <c r="Q1610" s="116">
        <v>1486.4</v>
      </c>
      <c r="R1610">
        <v>1349881</v>
      </c>
    </row>
    <row r="1611" spans="1:18" x14ac:dyDescent="0.25">
      <c r="A1611" s="170">
        <v>45378</v>
      </c>
      <c r="B1611" s="116">
        <v>1499</v>
      </c>
      <c r="C1611" s="116">
        <v>1479.25</v>
      </c>
      <c r="D1611" s="116">
        <v>1474.3</v>
      </c>
      <c r="E1611" s="116">
        <v>1491</v>
      </c>
      <c r="F1611" s="116">
        <v>1479.25</v>
      </c>
      <c r="G1611">
        <v>7041</v>
      </c>
      <c r="H1611" s="116"/>
      <c r="I1611" s="116"/>
      <c r="L1611" s="170">
        <v>45378</v>
      </c>
      <c r="M1611" s="116">
        <v>1479.55</v>
      </c>
      <c r="N1611" s="116">
        <v>1499</v>
      </c>
      <c r="O1611" s="116">
        <v>1473.5</v>
      </c>
      <c r="P1611" s="116">
        <v>1490</v>
      </c>
      <c r="Q1611" s="116">
        <v>1479.55</v>
      </c>
      <c r="R1611">
        <v>795193</v>
      </c>
    </row>
    <row r="1612" spans="1:18" x14ac:dyDescent="0.25">
      <c r="A1612" s="170">
        <v>45379</v>
      </c>
      <c r="B1612" s="116">
        <v>1522.45</v>
      </c>
      <c r="C1612" s="116">
        <v>1497.95</v>
      </c>
      <c r="D1612" s="116">
        <v>1481</v>
      </c>
      <c r="E1612" s="116">
        <v>1481</v>
      </c>
      <c r="F1612" s="116">
        <v>1497.95</v>
      </c>
      <c r="G1612">
        <v>7272</v>
      </c>
      <c r="H1612" s="116"/>
      <c r="I1612" s="116"/>
      <c r="L1612" s="170">
        <v>45379</v>
      </c>
      <c r="M1612" s="116">
        <v>1500.25</v>
      </c>
      <c r="N1612" s="116">
        <v>1521.85</v>
      </c>
      <c r="O1612" s="116">
        <v>1480</v>
      </c>
      <c r="P1612" s="116">
        <v>1480</v>
      </c>
      <c r="Q1612" s="116">
        <v>1500.25</v>
      </c>
      <c r="R1612">
        <v>1704887</v>
      </c>
    </row>
    <row r="1613" spans="1:18" x14ac:dyDescent="0.25">
      <c r="A1613" s="170">
        <v>45383</v>
      </c>
      <c r="B1613" s="116">
        <v>1517.75</v>
      </c>
      <c r="C1613" s="116">
        <v>1490.3</v>
      </c>
      <c r="D1613" s="116">
        <v>1486.65</v>
      </c>
      <c r="E1613" s="116">
        <v>1499.95</v>
      </c>
      <c r="F1613" s="116">
        <v>1490.3</v>
      </c>
      <c r="G1613">
        <v>5284</v>
      </c>
      <c r="H1613" s="116"/>
      <c r="I1613" s="116"/>
      <c r="L1613" s="170">
        <v>45383</v>
      </c>
      <c r="M1613" s="116">
        <v>1489.95</v>
      </c>
      <c r="N1613" s="116">
        <v>1519.1</v>
      </c>
      <c r="O1613" s="116">
        <v>1486.75</v>
      </c>
      <c r="P1613" s="116">
        <v>1498</v>
      </c>
      <c r="Q1613" s="116">
        <v>1489.95</v>
      </c>
      <c r="R1613">
        <v>838186</v>
      </c>
    </row>
    <row r="1614" spans="1:18" x14ac:dyDescent="0.25">
      <c r="A1614" s="170">
        <v>45384</v>
      </c>
      <c r="B1614" s="116">
        <v>1495.75</v>
      </c>
      <c r="C1614" s="116">
        <v>1470.75</v>
      </c>
      <c r="D1614" s="116">
        <v>1464.65</v>
      </c>
      <c r="E1614" s="116">
        <v>1490</v>
      </c>
      <c r="F1614" s="116">
        <v>1470.75</v>
      </c>
      <c r="G1614">
        <v>13869</v>
      </c>
      <c r="H1614" s="116"/>
      <c r="I1614" s="116"/>
      <c r="L1614" s="170">
        <v>45384</v>
      </c>
      <c r="M1614" s="116">
        <v>1470.6</v>
      </c>
      <c r="N1614" s="116">
        <v>1496.6</v>
      </c>
      <c r="O1614" s="116">
        <v>1465.3</v>
      </c>
      <c r="P1614" s="116">
        <v>1495</v>
      </c>
      <c r="Q1614" s="116">
        <v>1470.6</v>
      </c>
      <c r="R1614">
        <v>941688</v>
      </c>
    </row>
    <row r="1615" spans="1:18" x14ac:dyDescent="0.25">
      <c r="A1615" s="170">
        <v>45385</v>
      </c>
      <c r="B1615" s="116">
        <v>1473.6</v>
      </c>
      <c r="C1615" s="116">
        <v>1460.95</v>
      </c>
      <c r="D1615" s="116">
        <v>1456.35</v>
      </c>
      <c r="E1615" s="116">
        <v>1469.65</v>
      </c>
      <c r="F1615" s="116">
        <v>1460.95</v>
      </c>
      <c r="G1615">
        <v>20037</v>
      </c>
      <c r="H1615" s="116"/>
      <c r="I1615" s="116"/>
      <c r="L1615" s="170">
        <v>45385</v>
      </c>
      <c r="M1615" s="116">
        <v>1460.8</v>
      </c>
      <c r="N1615" s="116">
        <v>1472.95</v>
      </c>
      <c r="O1615" s="116">
        <v>1456.05</v>
      </c>
      <c r="P1615" s="116">
        <v>1470</v>
      </c>
      <c r="Q1615" s="116">
        <v>1460.8</v>
      </c>
      <c r="R1615">
        <v>1862464</v>
      </c>
    </row>
    <row r="1616" spans="1:18" x14ac:dyDescent="0.25">
      <c r="A1616" s="170">
        <v>45386</v>
      </c>
      <c r="B1616" s="116">
        <v>1474.95</v>
      </c>
      <c r="C1616" s="116">
        <v>1465.15</v>
      </c>
      <c r="D1616" s="116">
        <v>1447.5</v>
      </c>
      <c r="E1616" s="116">
        <v>1468.35</v>
      </c>
      <c r="F1616" s="116">
        <v>1465.15</v>
      </c>
      <c r="G1616">
        <v>16775</v>
      </c>
      <c r="H1616" s="116"/>
      <c r="I1616" s="116"/>
      <c r="L1616" s="170">
        <v>45386</v>
      </c>
      <c r="M1616" s="116">
        <v>1463.75</v>
      </c>
      <c r="N1616" s="116">
        <v>1475.05</v>
      </c>
      <c r="O1616" s="116">
        <v>1447</v>
      </c>
      <c r="P1616" s="116">
        <v>1467.5</v>
      </c>
      <c r="Q1616" s="116">
        <v>1463.75</v>
      </c>
      <c r="R1616">
        <v>1905528</v>
      </c>
    </row>
    <row r="1617" spans="1:18" x14ac:dyDescent="0.25">
      <c r="A1617" s="170">
        <v>45387</v>
      </c>
      <c r="B1617" s="116">
        <v>1490</v>
      </c>
      <c r="C1617" s="116">
        <v>1484.9</v>
      </c>
      <c r="D1617" s="116">
        <v>1463.2</v>
      </c>
      <c r="E1617" s="116">
        <v>1467.15</v>
      </c>
      <c r="F1617" s="116">
        <v>1484.9</v>
      </c>
      <c r="G1617">
        <v>23440</v>
      </c>
      <c r="H1617" s="116"/>
      <c r="I1617" s="116"/>
      <c r="L1617" s="170">
        <v>45387</v>
      </c>
      <c r="M1617" s="116">
        <v>1485.3</v>
      </c>
      <c r="N1617" s="116">
        <v>1489.9</v>
      </c>
      <c r="O1617" s="116">
        <v>1460.15</v>
      </c>
      <c r="P1617" s="116">
        <v>1469</v>
      </c>
      <c r="Q1617" s="116">
        <v>1485.3</v>
      </c>
      <c r="R1617">
        <v>836975</v>
      </c>
    </row>
    <row r="1618" spans="1:18" x14ac:dyDescent="0.25">
      <c r="A1618" s="170">
        <v>45390</v>
      </c>
      <c r="B1618" s="116">
        <v>1528.35</v>
      </c>
      <c r="C1618" s="116">
        <v>1518.9</v>
      </c>
      <c r="D1618" s="116">
        <v>1490</v>
      </c>
      <c r="E1618" s="116">
        <v>1491</v>
      </c>
      <c r="F1618" s="116">
        <v>1518.9</v>
      </c>
      <c r="G1618">
        <v>16764</v>
      </c>
      <c r="H1618" s="116"/>
      <c r="I1618" s="116"/>
      <c r="L1618" s="170">
        <v>45390</v>
      </c>
      <c r="M1618" s="116">
        <v>1518.8</v>
      </c>
      <c r="N1618" s="116">
        <v>1528</v>
      </c>
      <c r="O1618" s="116">
        <v>1487</v>
      </c>
      <c r="P1618" s="116">
        <v>1488.7</v>
      </c>
      <c r="Q1618" s="116">
        <v>1518.8</v>
      </c>
      <c r="R1618">
        <v>822205</v>
      </c>
    </row>
    <row r="1619" spans="1:18" x14ac:dyDescent="0.25">
      <c r="A1619" s="170">
        <v>45391</v>
      </c>
      <c r="B1619" s="116">
        <v>1527.25</v>
      </c>
      <c r="C1619" s="116">
        <v>1509.8</v>
      </c>
      <c r="D1619" s="116">
        <v>1502</v>
      </c>
      <c r="E1619" s="116">
        <v>1526.75</v>
      </c>
      <c r="F1619" s="116">
        <v>1509.8</v>
      </c>
      <c r="G1619">
        <v>15555</v>
      </c>
      <c r="H1619" s="116"/>
      <c r="I1619" s="116"/>
      <c r="L1619" s="170">
        <v>45391</v>
      </c>
      <c r="M1619" s="116">
        <v>1510.55</v>
      </c>
      <c r="N1619" s="116">
        <v>1527.4</v>
      </c>
      <c r="O1619" s="116">
        <v>1503.05</v>
      </c>
      <c r="P1619" s="116">
        <v>1525.1</v>
      </c>
      <c r="Q1619" s="116">
        <v>1510.55</v>
      </c>
      <c r="R1619">
        <v>718575</v>
      </c>
    </row>
    <row r="1620" spans="1:18" x14ac:dyDescent="0.25">
      <c r="A1620" s="170">
        <v>45392</v>
      </c>
      <c r="B1620" s="116">
        <v>1519.45</v>
      </c>
      <c r="C1620" s="116">
        <v>1495.5</v>
      </c>
      <c r="D1620" s="116">
        <v>1481.8</v>
      </c>
      <c r="E1620" s="116">
        <v>1519.45</v>
      </c>
      <c r="F1620" s="116">
        <v>1495.5</v>
      </c>
      <c r="G1620">
        <v>14060</v>
      </c>
      <c r="H1620" s="116"/>
      <c r="I1620" s="116"/>
      <c r="L1620" s="170">
        <v>45392</v>
      </c>
      <c r="M1620" s="116">
        <v>1503.35</v>
      </c>
      <c r="N1620" s="116">
        <v>1516.7</v>
      </c>
      <c r="O1620" s="116">
        <v>1481</v>
      </c>
      <c r="P1620" s="116">
        <v>1515</v>
      </c>
      <c r="Q1620" s="116">
        <v>1503.35</v>
      </c>
      <c r="R1620">
        <v>1056524</v>
      </c>
    </row>
    <row r="1621" spans="1:18" x14ac:dyDescent="0.25">
      <c r="A1621" s="170">
        <v>45394</v>
      </c>
      <c r="B1621" s="116">
        <v>1511.15</v>
      </c>
      <c r="C1621" s="116">
        <v>1493.1</v>
      </c>
      <c r="D1621" s="116">
        <v>1489.75</v>
      </c>
      <c r="E1621" s="116">
        <v>1502.6</v>
      </c>
      <c r="F1621" s="116">
        <v>1493.1</v>
      </c>
      <c r="G1621">
        <v>15045</v>
      </c>
      <c r="H1621" s="116"/>
      <c r="I1621" s="116"/>
      <c r="L1621" s="170">
        <v>45394</v>
      </c>
      <c r="M1621" s="116">
        <v>1493.15</v>
      </c>
      <c r="N1621" s="116">
        <v>1511.4</v>
      </c>
      <c r="O1621" s="116">
        <v>1488.2</v>
      </c>
      <c r="P1621" s="116">
        <v>1501</v>
      </c>
      <c r="Q1621" s="116">
        <v>1493.15</v>
      </c>
      <c r="R1621">
        <v>787733</v>
      </c>
    </row>
    <row r="1622" spans="1:18" x14ac:dyDescent="0.25">
      <c r="A1622" s="170">
        <v>45397</v>
      </c>
      <c r="B1622" s="116">
        <v>1486.85</v>
      </c>
      <c r="C1622" s="116">
        <v>1468.35</v>
      </c>
      <c r="D1622" s="116">
        <v>1463</v>
      </c>
      <c r="E1622" s="116">
        <v>1463.25</v>
      </c>
      <c r="F1622" s="116">
        <v>1468.35</v>
      </c>
      <c r="G1622">
        <v>9598</v>
      </c>
      <c r="H1622" s="116"/>
      <c r="I1622" s="116"/>
      <c r="L1622" s="170">
        <v>45397</v>
      </c>
      <c r="M1622" s="116">
        <v>1466.9</v>
      </c>
      <c r="N1622" s="116">
        <v>1489.9</v>
      </c>
      <c r="O1622" s="116">
        <v>1462.5</v>
      </c>
      <c r="P1622" s="116">
        <v>1489.85</v>
      </c>
      <c r="Q1622" s="116">
        <v>1466.9</v>
      </c>
      <c r="R1622">
        <v>994053</v>
      </c>
    </row>
    <row r="1623" spans="1:18" x14ac:dyDescent="0.25">
      <c r="A1623" s="170">
        <v>45398</v>
      </c>
      <c r="B1623" s="116">
        <v>1476.2</v>
      </c>
      <c r="C1623" s="116">
        <v>1462.45</v>
      </c>
      <c r="D1623" s="116">
        <v>1452</v>
      </c>
      <c r="E1623" s="116">
        <v>1461.7</v>
      </c>
      <c r="F1623" s="116">
        <v>1462.45</v>
      </c>
      <c r="G1623">
        <v>12729</v>
      </c>
      <c r="H1623" s="116"/>
      <c r="I1623" s="116"/>
      <c r="L1623" s="170">
        <v>45398</v>
      </c>
      <c r="M1623" s="116">
        <v>1462.75</v>
      </c>
      <c r="N1623" s="116">
        <v>1476.9</v>
      </c>
      <c r="O1623" s="116">
        <v>1452</v>
      </c>
      <c r="P1623" s="116">
        <v>1460.2</v>
      </c>
      <c r="Q1623" s="116">
        <v>1462.75</v>
      </c>
      <c r="R1623">
        <v>717750</v>
      </c>
    </row>
    <row r="1624" spans="1:18" x14ac:dyDescent="0.25">
      <c r="A1624" s="170">
        <v>45400</v>
      </c>
      <c r="B1624" s="116">
        <v>1482.6</v>
      </c>
      <c r="C1624" s="116">
        <v>1454.7</v>
      </c>
      <c r="D1624" s="116">
        <v>1448.15</v>
      </c>
      <c r="E1624" s="116">
        <v>1466</v>
      </c>
      <c r="F1624" s="116">
        <v>1454.7</v>
      </c>
      <c r="G1624">
        <v>7784</v>
      </c>
      <c r="H1624" s="116"/>
      <c r="I1624" s="116"/>
      <c r="L1624" s="170">
        <v>45400</v>
      </c>
      <c r="M1624" s="116">
        <v>1456.95</v>
      </c>
      <c r="N1624" s="116">
        <v>1483.65</v>
      </c>
      <c r="O1624" s="116">
        <v>1448</v>
      </c>
      <c r="P1624" s="116">
        <v>1465</v>
      </c>
      <c r="Q1624" s="116">
        <v>1456.95</v>
      </c>
      <c r="R1624">
        <v>1746383</v>
      </c>
    </row>
    <row r="1625" spans="1:18" x14ac:dyDescent="0.25">
      <c r="A1625" s="170">
        <v>45401</v>
      </c>
      <c r="B1625" s="116">
        <v>1456.6</v>
      </c>
      <c r="C1625" s="116">
        <v>1447.05</v>
      </c>
      <c r="D1625" s="116">
        <v>1426.45</v>
      </c>
      <c r="E1625" s="116">
        <v>1445.15</v>
      </c>
      <c r="F1625" s="116">
        <v>1447.05</v>
      </c>
      <c r="G1625">
        <v>10654</v>
      </c>
      <c r="H1625" s="116"/>
      <c r="I1625" s="116"/>
      <c r="L1625" s="170">
        <v>45401</v>
      </c>
      <c r="M1625" s="116">
        <v>1447.55</v>
      </c>
      <c r="N1625" s="116">
        <v>1457.55</v>
      </c>
      <c r="O1625" s="116">
        <v>1425.35</v>
      </c>
      <c r="P1625" s="116">
        <v>1450</v>
      </c>
      <c r="Q1625" s="116">
        <v>1447.55</v>
      </c>
      <c r="R1625">
        <v>1129149</v>
      </c>
    </row>
    <row r="1626" spans="1:18" x14ac:dyDescent="0.25">
      <c r="A1626" s="170">
        <v>45404</v>
      </c>
      <c r="B1626" s="116">
        <v>1482.3</v>
      </c>
      <c r="C1626" s="116">
        <v>1474.35</v>
      </c>
      <c r="D1626" s="116">
        <v>1453.7</v>
      </c>
      <c r="E1626" s="116">
        <v>1464.55</v>
      </c>
      <c r="F1626" s="116">
        <v>1474.35</v>
      </c>
      <c r="G1626">
        <v>7196</v>
      </c>
      <c r="H1626" s="116"/>
      <c r="I1626" s="116"/>
      <c r="L1626" s="170">
        <v>45404</v>
      </c>
      <c r="M1626" s="116">
        <v>1475.4</v>
      </c>
      <c r="N1626" s="116">
        <v>1482.9</v>
      </c>
      <c r="O1626" s="116">
        <v>1452</v>
      </c>
      <c r="P1626" s="116">
        <v>1456.5</v>
      </c>
      <c r="Q1626" s="116">
        <v>1475.4</v>
      </c>
      <c r="R1626">
        <v>772048</v>
      </c>
    </row>
    <row r="1627" spans="1:18" x14ac:dyDescent="0.25">
      <c r="A1627" s="170">
        <v>45405</v>
      </c>
      <c r="B1627" s="116">
        <v>1489.1</v>
      </c>
      <c r="C1627" s="116">
        <v>1469.25</v>
      </c>
      <c r="D1627" s="116">
        <v>1465</v>
      </c>
      <c r="E1627" s="116">
        <v>1479.2</v>
      </c>
      <c r="F1627" s="116">
        <v>1469.25</v>
      </c>
      <c r="G1627">
        <v>6321</v>
      </c>
      <c r="H1627" s="116"/>
      <c r="I1627" s="116"/>
      <c r="L1627" s="170">
        <v>45405</v>
      </c>
      <c r="M1627" s="116">
        <v>1469.85</v>
      </c>
      <c r="N1627" s="116">
        <v>1489.2</v>
      </c>
      <c r="O1627" s="116">
        <v>1464.25</v>
      </c>
      <c r="P1627" s="116">
        <v>1478</v>
      </c>
      <c r="Q1627" s="116">
        <v>1469.85</v>
      </c>
      <c r="R1627">
        <v>1042729</v>
      </c>
    </row>
    <row r="1628" spans="1:18" x14ac:dyDescent="0.25">
      <c r="A1628" s="170">
        <v>45406</v>
      </c>
      <c r="B1628" s="116">
        <v>1476.15</v>
      </c>
      <c r="C1628" s="116">
        <v>1459.55</v>
      </c>
      <c r="D1628" s="116">
        <v>1452.95</v>
      </c>
      <c r="E1628" s="116">
        <v>1466.35</v>
      </c>
      <c r="F1628" s="116">
        <v>1459.55</v>
      </c>
      <c r="G1628">
        <v>7967</v>
      </c>
      <c r="H1628" s="116"/>
      <c r="I1628" s="116"/>
      <c r="L1628" s="170">
        <v>45406</v>
      </c>
      <c r="M1628" s="116">
        <v>1460.05</v>
      </c>
      <c r="N1628" s="116">
        <v>1478</v>
      </c>
      <c r="O1628" s="116">
        <v>1452.55</v>
      </c>
      <c r="P1628" s="116">
        <v>1469.85</v>
      </c>
      <c r="Q1628" s="116">
        <v>1460.05</v>
      </c>
      <c r="R1628">
        <v>898680</v>
      </c>
    </row>
    <row r="1629" spans="1:18" x14ac:dyDescent="0.25">
      <c r="A1629" s="170">
        <v>45407</v>
      </c>
      <c r="B1629" s="116">
        <v>1462.5</v>
      </c>
      <c r="C1629" s="116">
        <v>1444.05</v>
      </c>
      <c r="D1629" s="116">
        <v>1436.55</v>
      </c>
      <c r="E1629" s="116">
        <v>1462.5</v>
      </c>
      <c r="F1629" s="116">
        <v>1444.05</v>
      </c>
      <c r="G1629">
        <v>13382</v>
      </c>
      <c r="H1629" s="116"/>
      <c r="I1629" s="116"/>
      <c r="L1629" s="170">
        <v>45407</v>
      </c>
      <c r="M1629" s="116">
        <v>1444.45</v>
      </c>
      <c r="N1629" s="116">
        <v>1464</v>
      </c>
      <c r="O1629" s="116">
        <v>1436.15</v>
      </c>
      <c r="P1629" s="116">
        <v>1464</v>
      </c>
      <c r="Q1629" s="116">
        <v>1444.45</v>
      </c>
      <c r="R1629">
        <v>2406788</v>
      </c>
    </row>
    <row r="1630" spans="1:18" x14ac:dyDescent="0.25">
      <c r="A1630" s="170">
        <v>45408</v>
      </c>
      <c r="B1630" s="116">
        <v>1466</v>
      </c>
      <c r="C1630" s="116">
        <v>1415.25</v>
      </c>
      <c r="D1630" s="116">
        <v>1413</v>
      </c>
      <c r="E1630" s="116">
        <v>1454</v>
      </c>
      <c r="F1630" s="116">
        <v>1415.25</v>
      </c>
      <c r="G1630">
        <v>34231</v>
      </c>
      <c r="H1630" s="116"/>
      <c r="I1630" s="116"/>
      <c r="L1630" s="170">
        <v>45408</v>
      </c>
      <c r="M1630" s="116">
        <v>1415.25</v>
      </c>
      <c r="N1630" s="116">
        <v>1466.85</v>
      </c>
      <c r="O1630" s="116">
        <v>1411.2</v>
      </c>
      <c r="P1630" s="116">
        <v>1455</v>
      </c>
      <c r="Q1630" s="116">
        <v>1415.25</v>
      </c>
      <c r="R1630">
        <v>2180945</v>
      </c>
    </row>
    <row r="1631" spans="1:18" x14ac:dyDescent="0.25">
      <c r="A1631" s="170">
        <v>45411</v>
      </c>
      <c r="B1631" s="116">
        <v>1460.35</v>
      </c>
      <c r="C1631" s="116">
        <v>1423.25</v>
      </c>
      <c r="D1631" s="116">
        <v>1415</v>
      </c>
      <c r="E1631" s="116">
        <v>1442.7</v>
      </c>
      <c r="F1631" s="116">
        <v>1423.25</v>
      </c>
      <c r="G1631">
        <v>844535</v>
      </c>
      <c r="H1631" s="116"/>
      <c r="I1631" s="116"/>
      <c r="L1631" s="170">
        <v>45411</v>
      </c>
      <c r="M1631" s="116">
        <v>1422.35</v>
      </c>
      <c r="N1631" s="116">
        <v>1460.9</v>
      </c>
      <c r="O1631" s="116">
        <v>1414.05</v>
      </c>
      <c r="P1631" s="116">
        <v>1437</v>
      </c>
      <c r="Q1631" s="116">
        <v>1422.35</v>
      </c>
      <c r="R1631">
        <v>4381119</v>
      </c>
    </row>
    <row r="1632" spans="1:18" x14ac:dyDescent="0.25">
      <c r="A1632" s="170">
        <v>45412</v>
      </c>
      <c r="B1632" s="116">
        <v>1449</v>
      </c>
      <c r="C1632" s="116">
        <v>1436.35</v>
      </c>
      <c r="D1632" s="116">
        <v>1423.8</v>
      </c>
      <c r="E1632" s="116">
        <v>1433.5</v>
      </c>
      <c r="F1632" s="116">
        <v>1436.35</v>
      </c>
      <c r="G1632">
        <v>31584</v>
      </c>
      <c r="H1632" s="116"/>
      <c r="I1632" s="116"/>
      <c r="L1632" s="170">
        <v>45412</v>
      </c>
      <c r="M1632" s="116">
        <v>1436.55</v>
      </c>
      <c r="N1632" s="116">
        <v>1449.85</v>
      </c>
      <c r="O1632" s="116">
        <v>1423.2</v>
      </c>
      <c r="P1632" s="116">
        <v>1432</v>
      </c>
      <c r="Q1632" s="116">
        <v>1436.55</v>
      </c>
      <c r="R1632">
        <v>2402464</v>
      </c>
    </row>
    <row r="1633" spans="1:18" x14ac:dyDescent="0.25">
      <c r="A1633" s="170">
        <v>45414</v>
      </c>
      <c r="B1633" s="116">
        <v>1464.55</v>
      </c>
      <c r="C1633" s="116">
        <v>1460.8</v>
      </c>
      <c r="D1633" s="116">
        <v>1420</v>
      </c>
      <c r="E1633" s="116">
        <v>1420</v>
      </c>
      <c r="F1633" s="116">
        <v>1460.8</v>
      </c>
      <c r="G1633">
        <v>28201</v>
      </c>
      <c r="H1633" s="116"/>
      <c r="I1633" s="116"/>
      <c r="L1633" s="170">
        <v>45414</v>
      </c>
      <c r="M1633" s="116">
        <v>1460.9</v>
      </c>
      <c r="N1633" s="116">
        <v>1464.75</v>
      </c>
      <c r="O1633" s="116">
        <v>1416.35</v>
      </c>
      <c r="P1633" s="116">
        <v>1416.35</v>
      </c>
      <c r="Q1633" s="116">
        <v>1460.9</v>
      </c>
      <c r="R1633">
        <v>2194261</v>
      </c>
    </row>
    <row r="1634" spans="1:18" x14ac:dyDescent="0.25">
      <c r="A1634" s="170">
        <v>45415</v>
      </c>
      <c r="B1634" s="116">
        <v>1472.5</v>
      </c>
      <c r="C1634" s="116">
        <v>1443</v>
      </c>
      <c r="D1634" s="116">
        <v>1438</v>
      </c>
      <c r="E1634" s="116">
        <v>1470</v>
      </c>
      <c r="F1634" s="116">
        <v>1443</v>
      </c>
      <c r="G1634">
        <v>13500</v>
      </c>
      <c r="H1634" s="116"/>
      <c r="I1634" s="116"/>
      <c r="L1634" s="170">
        <v>45415</v>
      </c>
      <c r="M1634" s="116">
        <v>1443.25</v>
      </c>
      <c r="N1634" s="116">
        <v>1472.7</v>
      </c>
      <c r="O1634" s="116">
        <v>1438.4</v>
      </c>
      <c r="P1634" s="116">
        <v>1469</v>
      </c>
      <c r="Q1634" s="116">
        <v>1443.25</v>
      </c>
      <c r="R1634">
        <v>1355425</v>
      </c>
    </row>
    <row r="1635" spans="1:18" x14ac:dyDescent="0.25">
      <c r="A1635" s="170">
        <v>45418</v>
      </c>
      <c r="B1635" s="116">
        <v>1458.95</v>
      </c>
      <c r="C1635" s="116">
        <v>1440.25</v>
      </c>
      <c r="D1635" s="116">
        <v>1433.7</v>
      </c>
      <c r="E1635" s="116">
        <v>1458.95</v>
      </c>
      <c r="F1635" s="116">
        <v>1440.25</v>
      </c>
      <c r="G1635">
        <v>9528</v>
      </c>
      <c r="H1635" s="116"/>
      <c r="I1635" s="116"/>
      <c r="L1635" s="170">
        <v>45418</v>
      </c>
      <c r="M1635" s="116">
        <v>1440.6</v>
      </c>
      <c r="N1635" s="116">
        <v>1457.45</v>
      </c>
      <c r="O1635" s="116">
        <v>1431.6</v>
      </c>
      <c r="P1635" s="116">
        <v>1450</v>
      </c>
      <c r="Q1635" s="116">
        <v>1440.6</v>
      </c>
      <c r="R1635">
        <v>920880</v>
      </c>
    </row>
    <row r="1636" spans="1:18" x14ac:dyDescent="0.25">
      <c r="A1636" s="170">
        <v>45419</v>
      </c>
      <c r="B1636" s="116">
        <v>1459.1</v>
      </c>
      <c r="C1636" s="116">
        <v>1452.35</v>
      </c>
      <c r="D1636" s="116">
        <v>1431.9</v>
      </c>
      <c r="E1636" s="116">
        <v>1443.35</v>
      </c>
      <c r="F1636" s="116">
        <v>1452.35</v>
      </c>
      <c r="G1636">
        <v>19331</v>
      </c>
      <c r="H1636" s="116"/>
      <c r="I1636" s="116"/>
      <c r="L1636" s="170">
        <v>45419</v>
      </c>
      <c r="M1636" s="116">
        <v>1450.15</v>
      </c>
      <c r="N1636" s="116">
        <v>1458.9</v>
      </c>
      <c r="O1636" s="116">
        <v>1431.55</v>
      </c>
      <c r="P1636" s="116">
        <v>1440.9</v>
      </c>
      <c r="Q1636" s="116">
        <v>1450.15</v>
      </c>
      <c r="R1636">
        <v>1800920</v>
      </c>
    </row>
    <row r="1637" spans="1:18" x14ac:dyDescent="0.25">
      <c r="A1637" s="170">
        <v>45420</v>
      </c>
      <c r="B1637" s="116">
        <v>1465</v>
      </c>
      <c r="C1637" s="116">
        <v>1427.1</v>
      </c>
      <c r="D1637" s="116">
        <v>1423.25</v>
      </c>
      <c r="E1637" s="116">
        <v>1432.9</v>
      </c>
      <c r="F1637" s="116">
        <v>1427.1</v>
      </c>
      <c r="G1637">
        <v>23000</v>
      </c>
      <c r="H1637" s="116"/>
      <c r="I1637" s="116"/>
      <c r="L1637" s="170">
        <v>45420</v>
      </c>
      <c r="M1637" s="116">
        <v>1426.75</v>
      </c>
      <c r="N1637" s="116">
        <v>1465.95</v>
      </c>
      <c r="O1637" s="116">
        <v>1423</v>
      </c>
      <c r="P1637" s="116">
        <v>1440</v>
      </c>
      <c r="Q1637" s="116">
        <v>1426.75</v>
      </c>
      <c r="R1637">
        <v>1297162</v>
      </c>
    </row>
    <row r="1638" spans="1:18" x14ac:dyDescent="0.25">
      <c r="A1638" s="170">
        <v>45421</v>
      </c>
      <c r="B1638" s="116">
        <v>1455</v>
      </c>
      <c r="C1638" s="116">
        <v>1421.7</v>
      </c>
      <c r="D1638" s="116">
        <v>1413.7</v>
      </c>
      <c r="E1638" s="116">
        <v>1455</v>
      </c>
      <c r="F1638" s="116">
        <v>1421.7</v>
      </c>
      <c r="G1638">
        <v>13389</v>
      </c>
      <c r="H1638" s="116"/>
      <c r="I1638" s="116"/>
      <c r="L1638" s="170">
        <v>45421</v>
      </c>
      <c r="M1638" s="116">
        <v>1422.4</v>
      </c>
      <c r="N1638" s="116">
        <v>1439.5</v>
      </c>
      <c r="O1638" s="116">
        <v>1413.2</v>
      </c>
      <c r="P1638" s="116">
        <v>1431.9</v>
      </c>
      <c r="Q1638" s="116">
        <v>1422.4</v>
      </c>
      <c r="R1638">
        <v>1645954</v>
      </c>
    </row>
    <row r="1639" spans="1:18" x14ac:dyDescent="0.25">
      <c r="A1639" s="170">
        <v>45422</v>
      </c>
      <c r="B1639" s="116">
        <v>1436.85</v>
      </c>
      <c r="C1639" s="116">
        <v>1432.15</v>
      </c>
      <c r="D1639" s="116">
        <v>1416.65</v>
      </c>
      <c r="E1639" s="116">
        <v>1422</v>
      </c>
      <c r="F1639" s="116">
        <v>1432.15</v>
      </c>
      <c r="G1639">
        <v>6933</v>
      </c>
      <c r="H1639" s="116"/>
      <c r="I1639" s="116"/>
      <c r="L1639" s="170">
        <v>45422</v>
      </c>
      <c r="M1639" s="116">
        <v>1431.95</v>
      </c>
      <c r="N1639" s="116">
        <v>1438.5</v>
      </c>
      <c r="O1639" s="116">
        <v>1415.75</v>
      </c>
      <c r="P1639" s="116">
        <v>1425</v>
      </c>
      <c r="Q1639" s="116">
        <v>1431.95</v>
      </c>
      <c r="R1639">
        <v>741292</v>
      </c>
    </row>
    <row r="1640" spans="1:18" x14ac:dyDescent="0.25">
      <c r="A1640" s="170">
        <v>45425</v>
      </c>
      <c r="B1640" s="116">
        <v>1438</v>
      </c>
      <c r="C1640" s="116">
        <v>1424.7</v>
      </c>
      <c r="D1640" s="116">
        <v>1421</v>
      </c>
      <c r="E1640" s="116">
        <v>1430.55</v>
      </c>
      <c r="F1640" s="116">
        <v>1424.7</v>
      </c>
      <c r="G1640">
        <v>8300</v>
      </c>
      <c r="H1640" s="116"/>
      <c r="I1640" s="116"/>
      <c r="L1640" s="170">
        <v>45425</v>
      </c>
      <c r="M1640" s="116">
        <v>1425.1</v>
      </c>
      <c r="N1640" s="116">
        <v>1440</v>
      </c>
      <c r="O1640" s="116">
        <v>1420.55</v>
      </c>
      <c r="P1640" s="116">
        <v>1435</v>
      </c>
      <c r="Q1640" s="116">
        <v>1425.1</v>
      </c>
      <c r="R1640">
        <v>771284</v>
      </c>
    </row>
    <row r="1641" spans="1:18" x14ac:dyDescent="0.25">
      <c r="A1641" s="170">
        <v>45426</v>
      </c>
      <c r="B1641" s="116">
        <v>1436.35</v>
      </c>
      <c r="C1641" s="116">
        <v>1433.25</v>
      </c>
      <c r="D1641" s="116">
        <v>1423.3</v>
      </c>
      <c r="E1641" s="116">
        <v>1427</v>
      </c>
      <c r="F1641" s="116">
        <v>1433.25</v>
      </c>
      <c r="G1641">
        <v>5907</v>
      </c>
      <c r="H1641" s="116"/>
      <c r="I1641" s="116"/>
      <c r="L1641" s="170">
        <v>45426</v>
      </c>
      <c r="M1641" s="116">
        <v>1432.85</v>
      </c>
      <c r="N1641" s="116">
        <v>1436.75</v>
      </c>
      <c r="O1641" s="116">
        <v>1422.05</v>
      </c>
      <c r="P1641" s="116">
        <v>1427.2</v>
      </c>
      <c r="Q1641" s="116">
        <v>1432.85</v>
      </c>
      <c r="R1641">
        <v>896653</v>
      </c>
    </row>
    <row r="1642" spans="1:18" x14ac:dyDescent="0.25">
      <c r="A1642" s="170">
        <v>45427</v>
      </c>
      <c r="B1642" s="116">
        <v>1449.95</v>
      </c>
      <c r="C1642" s="116">
        <v>1428.3</v>
      </c>
      <c r="D1642" s="116">
        <v>1425.45</v>
      </c>
      <c r="E1642" s="116">
        <v>1449.95</v>
      </c>
      <c r="F1642" s="116">
        <v>1428.3</v>
      </c>
      <c r="G1642">
        <v>6011</v>
      </c>
      <c r="H1642" s="116"/>
      <c r="I1642" s="116"/>
      <c r="L1642" s="170">
        <v>45427</v>
      </c>
      <c r="M1642" s="116">
        <v>1430.1</v>
      </c>
      <c r="N1642" s="116">
        <v>1443.85</v>
      </c>
      <c r="O1642" s="116">
        <v>1425.75</v>
      </c>
      <c r="P1642" s="116">
        <v>1440</v>
      </c>
      <c r="Q1642" s="116">
        <v>1430.1</v>
      </c>
      <c r="R1642">
        <v>254646</v>
      </c>
    </row>
    <row r="1643" spans="1:18" x14ac:dyDescent="0.25">
      <c r="A1643" s="170">
        <v>45428</v>
      </c>
      <c r="B1643" s="116">
        <v>1457</v>
      </c>
      <c r="C1643" s="116">
        <v>1452.3</v>
      </c>
      <c r="D1643" s="116">
        <v>1419.95</v>
      </c>
      <c r="E1643" s="116">
        <v>1435.25</v>
      </c>
      <c r="F1643" s="116">
        <v>1452.3</v>
      </c>
      <c r="G1643">
        <v>8451</v>
      </c>
      <c r="H1643" s="116"/>
      <c r="I1643" s="116"/>
      <c r="L1643" s="170">
        <v>45428</v>
      </c>
      <c r="M1643" s="116">
        <v>1452.2</v>
      </c>
      <c r="N1643" s="116">
        <v>1458.2</v>
      </c>
      <c r="O1643" s="116">
        <v>1420.15</v>
      </c>
      <c r="P1643" s="116">
        <v>1431.55</v>
      </c>
      <c r="Q1643" s="116">
        <v>1452.2</v>
      </c>
      <c r="R1643">
        <v>1176239</v>
      </c>
    </row>
    <row r="1644" spans="1:18" x14ac:dyDescent="0.25">
      <c r="A1644" s="170">
        <v>45429</v>
      </c>
      <c r="B1644" s="116">
        <v>1451.95</v>
      </c>
      <c r="C1644" s="116">
        <v>1433.65</v>
      </c>
      <c r="D1644" s="116">
        <v>1430.3</v>
      </c>
      <c r="E1644" s="116">
        <v>1451.95</v>
      </c>
      <c r="F1644" s="116">
        <v>1433.65</v>
      </c>
      <c r="G1644">
        <v>13329</v>
      </c>
      <c r="H1644" s="116"/>
      <c r="I1644" s="116"/>
      <c r="L1644" s="170">
        <v>45429</v>
      </c>
      <c r="M1644" s="116">
        <v>1434.2</v>
      </c>
      <c r="N1644" s="116">
        <v>1450</v>
      </c>
      <c r="O1644" s="116">
        <v>1430.5</v>
      </c>
      <c r="P1644" s="116">
        <v>1450</v>
      </c>
      <c r="Q1644" s="116">
        <v>1434.2</v>
      </c>
      <c r="R1644">
        <v>2433315</v>
      </c>
    </row>
    <row r="1645" spans="1:18" x14ac:dyDescent="0.25">
      <c r="A1645" s="170">
        <v>45430</v>
      </c>
      <c r="B1645" s="116">
        <v>1442.8</v>
      </c>
      <c r="C1645" s="116">
        <v>1438.65</v>
      </c>
      <c r="D1645" s="116">
        <v>1430.8</v>
      </c>
      <c r="E1645" s="116">
        <v>1434</v>
      </c>
      <c r="F1645" s="116">
        <v>1438.65</v>
      </c>
      <c r="G1645">
        <v>842</v>
      </c>
      <c r="H1645" s="116"/>
      <c r="I1645" s="116"/>
      <c r="L1645" s="170">
        <v>45430</v>
      </c>
      <c r="M1645" s="116">
        <v>1439.85</v>
      </c>
      <c r="N1645" s="116">
        <v>1444.1</v>
      </c>
      <c r="O1645" s="116">
        <v>1430.5</v>
      </c>
      <c r="P1645" s="116">
        <v>1434</v>
      </c>
      <c r="Q1645" s="116">
        <v>1439.85</v>
      </c>
      <c r="R1645">
        <v>29747</v>
      </c>
    </row>
    <row r="1646" spans="1:18" x14ac:dyDescent="0.25">
      <c r="A1646" s="170">
        <v>45433</v>
      </c>
      <c r="B1646" s="116">
        <v>1445.45</v>
      </c>
      <c r="C1646" s="116">
        <v>1429.05</v>
      </c>
      <c r="D1646" s="116">
        <v>1421.75</v>
      </c>
      <c r="E1646" s="116">
        <v>1445.45</v>
      </c>
      <c r="F1646" s="116">
        <v>1429.05</v>
      </c>
      <c r="G1646">
        <v>8877</v>
      </c>
      <c r="H1646" s="116"/>
      <c r="I1646" s="116"/>
      <c r="L1646" s="170">
        <v>45433</v>
      </c>
      <c r="M1646" s="116">
        <v>1429.65</v>
      </c>
      <c r="N1646" s="116">
        <v>1440.7</v>
      </c>
      <c r="O1646" s="116">
        <v>1422.5</v>
      </c>
      <c r="P1646" s="116">
        <v>1438.85</v>
      </c>
      <c r="Q1646" s="116">
        <v>1429.65</v>
      </c>
      <c r="R1646">
        <v>1300334</v>
      </c>
    </row>
    <row r="1647" spans="1:18" x14ac:dyDescent="0.25">
      <c r="A1647" s="170">
        <v>45434</v>
      </c>
      <c r="B1647" s="116">
        <v>1438.95</v>
      </c>
      <c r="C1647" s="116">
        <v>1426.6</v>
      </c>
      <c r="D1647" s="116">
        <v>1424</v>
      </c>
      <c r="E1647" s="116">
        <v>1438.95</v>
      </c>
      <c r="F1647" s="116">
        <v>1426.6</v>
      </c>
      <c r="G1647">
        <v>2570</v>
      </c>
      <c r="H1647" s="116"/>
      <c r="I1647" s="116"/>
      <c r="L1647" s="170">
        <v>45434</v>
      </c>
      <c r="M1647" s="116">
        <v>1427.4</v>
      </c>
      <c r="N1647" s="116">
        <v>1435.55</v>
      </c>
      <c r="O1647" s="116">
        <v>1424</v>
      </c>
      <c r="P1647" s="116">
        <v>1434.25</v>
      </c>
      <c r="Q1647" s="116">
        <v>1427.4</v>
      </c>
      <c r="R1647">
        <v>966583</v>
      </c>
    </row>
    <row r="1648" spans="1:18" x14ac:dyDescent="0.25">
      <c r="A1648" s="170">
        <v>45435</v>
      </c>
      <c r="B1648" s="116">
        <v>1452.7</v>
      </c>
      <c r="C1648" s="116">
        <v>1445.45</v>
      </c>
      <c r="D1648" s="116">
        <v>1432</v>
      </c>
      <c r="E1648" s="116">
        <v>1435.95</v>
      </c>
      <c r="F1648" s="116">
        <v>1445.45</v>
      </c>
      <c r="G1648">
        <v>164468</v>
      </c>
      <c r="H1648" s="116"/>
      <c r="I1648" s="116"/>
      <c r="L1648" s="170">
        <v>45435</v>
      </c>
      <c r="M1648" s="116">
        <v>1446.8</v>
      </c>
      <c r="N1648" s="116">
        <v>1452.95</v>
      </c>
      <c r="O1648" s="116">
        <v>1424.05</v>
      </c>
      <c r="P1648" s="116">
        <v>1434</v>
      </c>
      <c r="Q1648" s="116">
        <v>1446.8</v>
      </c>
      <c r="R1648">
        <v>1206423</v>
      </c>
    </row>
    <row r="1649" spans="1:18" x14ac:dyDescent="0.25">
      <c r="A1649" s="170">
        <v>45436</v>
      </c>
      <c r="B1649" s="116">
        <v>1447</v>
      </c>
      <c r="C1649" s="116">
        <v>1436.5</v>
      </c>
      <c r="D1649" s="116">
        <v>1416.65</v>
      </c>
      <c r="E1649" s="116">
        <v>1416.65</v>
      </c>
      <c r="F1649" s="116">
        <v>1436.5</v>
      </c>
      <c r="G1649">
        <v>4929</v>
      </c>
      <c r="H1649" s="116"/>
      <c r="I1649" s="116"/>
      <c r="L1649" s="170">
        <v>45436</v>
      </c>
      <c r="M1649" s="116">
        <v>1436.25</v>
      </c>
      <c r="N1649" s="116">
        <v>1448.45</v>
      </c>
      <c r="O1649" s="116">
        <v>1433.45</v>
      </c>
      <c r="P1649" s="116">
        <v>1442.5</v>
      </c>
      <c r="Q1649" s="116">
        <v>1436.25</v>
      </c>
      <c r="R1649">
        <v>487961</v>
      </c>
    </row>
    <row r="1650" spans="1:18" x14ac:dyDescent="0.25">
      <c r="A1650" s="170">
        <v>45439</v>
      </c>
      <c r="B1650" s="116">
        <v>1442.25</v>
      </c>
      <c r="C1650" s="116">
        <v>1409.5</v>
      </c>
      <c r="D1650" s="116">
        <v>1405</v>
      </c>
      <c r="E1650" s="116">
        <v>1436.45</v>
      </c>
      <c r="F1650" s="116">
        <v>1409.5</v>
      </c>
      <c r="G1650">
        <v>17763</v>
      </c>
      <c r="H1650" s="116"/>
      <c r="I1650" s="116"/>
      <c r="L1650" s="170">
        <v>45439</v>
      </c>
      <c r="M1650" s="116">
        <v>1410.2</v>
      </c>
      <c r="N1650" s="116">
        <v>1448</v>
      </c>
      <c r="O1650" s="116">
        <v>1402.15</v>
      </c>
      <c r="P1650" s="116">
        <v>1435</v>
      </c>
      <c r="Q1650" s="116">
        <v>1410.2</v>
      </c>
      <c r="R1650">
        <v>1675749</v>
      </c>
    </row>
    <row r="1651" spans="1:18" x14ac:dyDescent="0.25">
      <c r="A1651" s="170">
        <v>45440</v>
      </c>
      <c r="B1651" s="116">
        <v>1454</v>
      </c>
      <c r="C1651" s="116">
        <v>1450.8</v>
      </c>
      <c r="D1651" s="116">
        <v>1406.45</v>
      </c>
      <c r="E1651" s="116">
        <v>1423.95</v>
      </c>
      <c r="F1651" s="116">
        <v>1450.8</v>
      </c>
      <c r="G1651">
        <v>18762</v>
      </c>
      <c r="H1651" s="116"/>
      <c r="I1651" s="116"/>
      <c r="L1651" s="170">
        <v>45440</v>
      </c>
      <c r="M1651" s="116">
        <v>1450.75</v>
      </c>
      <c r="N1651" s="116">
        <v>1455</v>
      </c>
      <c r="O1651" s="116">
        <v>1405.9</v>
      </c>
      <c r="P1651" s="116">
        <v>1415</v>
      </c>
      <c r="Q1651" s="116">
        <v>1450.75</v>
      </c>
      <c r="R1651">
        <v>1600105</v>
      </c>
    </row>
    <row r="1652" spans="1:18" x14ac:dyDescent="0.25">
      <c r="A1652" s="170">
        <v>45441</v>
      </c>
      <c r="B1652" s="116">
        <v>1451.95</v>
      </c>
      <c r="C1652" s="116">
        <v>1412.3</v>
      </c>
      <c r="D1652" s="116">
        <v>1407</v>
      </c>
      <c r="E1652" s="116">
        <v>1451.95</v>
      </c>
      <c r="F1652" s="116">
        <v>1412.3</v>
      </c>
      <c r="G1652">
        <v>30387</v>
      </c>
      <c r="H1652" s="116"/>
      <c r="I1652" s="116"/>
      <c r="L1652" s="170">
        <v>45441</v>
      </c>
      <c r="M1652" s="116">
        <v>1412.8</v>
      </c>
      <c r="N1652" s="116">
        <v>1449.45</v>
      </c>
      <c r="O1652" s="116">
        <v>1406.6</v>
      </c>
      <c r="P1652" s="116">
        <v>1448</v>
      </c>
      <c r="Q1652" s="116">
        <v>1412.8</v>
      </c>
      <c r="R1652">
        <v>1518325</v>
      </c>
    </row>
    <row r="1653" spans="1:18" x14ac:dyDescent="0.25">
      <c r="A1653" s="170">
        <v>45442</v>
      </c>
      <c r="B1653" s="116">
        <v>1416.2</v>
      </c>
      <c r="C1653" s="116">
        <v>1379.9</v>
      </c>
      <c r="D1653" s="116">
        <v>1371.4</v>
      </c>
      <c r="E1653" s="116">
        <v>1415.55</v>
      </c>
      <c r="F1653" s="116">
        <v>1379.9</v>
      </c>
      <c r="G1653">
        <v>34895</v>
      </c>
      <c r="H1653" s="116"/>
      <c r="I1653" s="116"/>
      <c r="L1653" s="170">
        <v>45442</v>
      </c>
      <c r="M1653" s="116">
        <v>1380.05</v>
      </c>
      <c r="N1653" s="116">
        <v>1418.8</v>
      </c>
      <c r="O1653" s="116">
        <v>1371</v>
      </c>
      <c r="P1653" s="116">
        <v>1418.8</v>
      </c>
      <c r="Q1653" s="116">
        <v>1380.05</v>
      </c>
      <c r="R1653">
        <v>2097166</v>
      </c>
    </row>
    <row r="1654" spans="1:18" x14ac:dyDescent="0.25">
      <c r="A1654" s="170">
        <v>45443</v>
      </c>
      <c r="B1654" s="116">
        <v>1401.5</v>
      </c>
      <c r="C1654" s="116">
        <v>1386.1</v>
      </c>
      <c r="D1654" s="116">
        <v>1373.25</v>
      </c>
      <c r="E1654" s="116">
        <v>1385</v>
      </c>
      <c r="F1654" s="116">
        <v>1386.1</v>
      </c>
      <c r="G1654">
        <v>10081</v>
      </c>
      <c r="H1654" s="116"/>
      <c r="I1654" s="116"/>
      <c r="L1654" s="170">
        <v>45443</v>
      </c>
      <c r="M1654" s="116">
        <v>1386.4</v>
      </c>
      <c r="N1654" s="116">
        <v>1401.15</v>
      </c>
      <c r="O1654" s="116">
        <v>1372.6</v>
      </c>
      <c r="P1654" s="116">
        <v>1393.8</v>
      </c>
      <c r="Q1654" s="116">
        <v>1386.4</v>
      </c>
      <c r="R1654">
        <v>2559060</v>
      </c>
    </row>
    <row r="1655" spans="1:18" x14ac:dyDescent="0.25">
      <c r="A1655" s="170">
        <v>45446</v>
      </c>
      <c r="B1655" s="116">
        <v>1448.5</v>
      </c>
      <c r="C1655" s="116">
        <v>1391.55</v>
      </c>
      <c r="D1655" s="116">
        <v>1387.7</v>
      </c>
      <c r="E1655" s="116">
        <v>1448.5</v>
      </c>
      <c r="F1655" s="116">
        <v>1391.55</v>
      </c>
      <c r="G1655">
        <v>12508</v>
      </c>
      <c r="H1655" s="116"/>
      <c r="I1655" s="116"/>
      <c r="L1655" s="170">
        <v>45446</v>
      </c>
      <c r="M1655" s="116">
        <v>1391.5</v>
      </c>
      <c r="N1655" s="116">
        <v>1436.4</v>
      </c>
      <c r="O1655" s="116">
        <v>1387.35</v>
      </c>
      <c r="P1655" s="116">
        <v>1435.3</v>
      </c>
      <c r="Q1655" s="116">
        <v>1391.5</v>
      </c>
      <c r="R1655">
        <v>870693</v>
      </c>
    </row>
    <row r="1656" spans="1:18" x14ac:dyDescent="0.25">
      <c r="A1656" s="170">
        <v>45447</v>
      </c>
      <c r="B1656" s="116">
        <v>1402.95</v>
      </c>
      <c r="C1656" s="116">
        <v>1339.3</v>
      </c>
      <c r="D1656" s="116">
        <v>1307</v>
      </c>
      <c r="E1656" s="116">
        <v>1402.95</v>
      </c>
      <c r="F1656" s="116">
        <v>1339.3</v>
      </c>
      <c r="G1656">
        <v>52147</v>
      </c>
      <c r="H1656" s="116"/>
      <c r="I1656" s="116"/>
      <c r="L1656" s="170">
        <v>45447</v>
      </c>
      <c r="M1656" s="116">
        <v>1338.85</v>
      </c>
      <c r="N1656" s="116">
        <v>1402.7</v>
      </c>
      <c r="O1656" s="116">
        <v>1307.7</v>
      </c>
      <c r="P1656" s="116">
        <v>1398.15</v>
      </c>
      <c r="Q1656" s="116">
        <v>1338.85</v>
      </c>
      <c r="R1656">
        <v>3277433</v>
      </c>
    </row>
    <row r="1657" spans="1:18" x14ac:dyDescent="0.25">
      <c r="A1657" s="170">
        <v>45448</v>
      </c>
      <c r="B1657" s="116">
        <v>1396</v>
      </c>
      <c r="C1657" s="116">
        <v>1390.35</v>
      </c>
      <c r="D1657" s="116">
        <v>1331.85</v>
      </c>
      <c r="E1657" s="116">
        <v>1350.8</v>
      </c>
      <c r="F1657" s="116">
        <v>1390.35</v>
      </c>
      <c r="G1657">
        <v>32422</v>
      </c>
      <c r="H1657" s="116"/>
      <c r="I1657" s="116"/>
      <c r="L1657" s="170">
        <v>45448</v>
      </c>
      <c r="M1657" s="116">
        <v>1390.1</v>
      </c>
      <c r="N1657" s="116">
        <v>1396.2</v>
      </c>
      <c r="O1657" s="116">
        <v>1330.7</v>
      </c>
      <c r="P1657" s="116">
        <v>1341</v>
      </c>
      <c r="Q1657" s="116">
        <v>1390.1</v>
      </c>
      <c r="R1657">
        <v>1238176</v>
      </c>
    </row>
    <row r="1658" spans="1:18" x14ac:dyDescent="0.25">
      <c r="A1658" s="170">
        <v>45449</v>
      </c>
      <c r="B1658" s="116">
        <v>1446.1</v>
      </c>
      <c r="C1658" s="116">
        <v>1442.55</v>
      </c>
      <c r="D1658" s="116">
        <v>1382.25</v>
      </c>
      <c r="E1658" s="116">
        <v>1399.95</v>
      </c>
      <c r="F1658" s="116">
        <v>1442.55</v>
      </c>
      <c r="G1658">
        <v>53258</v>
      </c>
      <c r="H1658" s="116"/>
      <c r="I1658" s="116"/>
      <c r="L1658" s="170">
        <v>45449</v>
      </c>
      <c r="M1658" s="116">
        <v>1442.85</v>
      </c>
      <c r="N1658" s="116">
        <v>1445.8</v>
      </c>
      <c r="O1658" s="116">
        <v>1380.25</v>
      </c>
      <c r="P1658" s="116">
        <v>1390.1</v>
      </c>
      <c r="Q1658" s="116">
        <v>1442.85</v>
      </c>
      <c r="R1658">
        <v>2227021</v>
      </c>
    </row>
    <row r="1659" spans="1:18" x14ac:dyDescent="0.25">
      <c r="A1659" s="170">
        <v>45450</v>
      </c>
      <c r="B1659" s="116">
        <v>1448.3</v>
      </c>
      <c r="C1659" s="116">
        <v>1425.85</v>
      </c>
      <c r="D1659" s="116">
        <v>1420</v>
      </c>
      <c r="E1659" s="116">
        <v>1448.3</v>
      </c>
      <c r="F1659" s="116">
        <v>1425.85</v>
      </c>
      <c r="G1659">
        <v>27788</v>
      </c>
      <c r="H1659" s="116"/>
      <c r="I1659" s="116"/>
      <c r="L1659" s="170">
        <v>45450</v>
      </c>
      <c r="M1659" s="116">
        <v>1425.85</v>
      </c>
      <c r="N1659" s="116">
        <v>1440</v>
      </c>
      <c r="O1659" s="116">
        <v>1420</v>
      </c>
      <c r="P1659" s="116">
        <v>1435.1</v>
      </c>
      <c r="Q1659" s="116">
        <v>1425.85</v>
      </c>
      <c r="R1659">
        <v>1279929</v>
      </c>
    </row>
    <row r="1660" spans="1:18" x14ac:dyDescent="0.25">
      <c r="A1660" s="170">
        <v>45453</v>
      </c>
      <c r="B1660" s="116">
        <v>1451.85</v>
      </c>
      <c r="C1660" s="116">
        <v>1431.35</v>
      </c>
      <c r="D1660" s="116">
        <v>1419</v>
      </c>
      <c r="E1660" s="116">
        <v>1439.8</v>
      </c>
      <c r="F1660" s="116">
        <v>1431.35</v>
      </c>
      <c r="G1660">
        <v>44617</v>
      </c>
      <c r="H1660" s="116"/>
      <c r="I1660" s="116"/>
      <c r="L1660" s="170">
        <v>45453</v>
      </c>
      <c r="M1660" s="116">
        <v>1432.3</v>
      </c>
      <c r="N1660" s="116">
        <v>1452</v>
      </c>
      <c r="O1660" s="116">
        <v>1418.35</v>
      </c>
      <c r="P1660" s="116">
        <v>1436.85</v>
      </c>
      <c r="Q1660" s="116">
        <v>1432.3</v>
      </c>
      <c r="R1660">
        <v>2059288</v>
      </c>
    </row>
    <row r="1661" spans="1:18" x14ac:dyDescent="0.25">
      <c r="A1661" s="170">
        <v>45454</v>
      </c>
      <c r="B1661" s="116">
        <v>1439.4</v>
      </c>
      <c r="C1661" s="116">
        <v>1427.85</v>
      </c>
      <c r="D1661" s="116">
        <v>1421.75</v>
      </c>
      <c r="E1661" s="116">
        <v>1425.45</v>
      </c>
      <c r="F1661" s="116">
        <v>1427.85</v>
      </c>
      <c r="G1661">
        <v>18265</v>
      </c>
      <c r="H1661" s="116"/>
      <c r="I1661" s="116"/>
      <c r="L1661" s="170">
        <v>45454</v>
      </c>
      <c r="M1661" s="116">
        <v>1428.05</v>
      </c>
      <c r="N1661" s="116">
        <v>1439.8</v>
      </c>
      <c r="O1661" s="116">
        <v>1422</v>
      </c>
      <c r="P1661" s="116">
        <v>1432.45</v>
      </c>
      <c r="Q1661" s="116">
        <v>1428.05</v>
      </c>
      <c r="R1661">
        <v>991450</v>
      </c>
    </row>
    <row r="1662" spans="1:18" x14ac:dyDescent="0.25">
      <c r="A1662" s="170">
        <v>45455</v>
      </c>
      <c r="B1662" s="116">
        <v>1462.15</v>
      </c>
      <c r="C1662" s="116">
        <v>1452.25</v>
      </c>
      <c r="D1662" s="116">
        <v>1422.6</v>
      </c>
      <c r="E1662" s="116">
        <v>1422.6</v>
      </c>
      <c r="F1662" s="116">
        <v>1452.25</v>
      </c>
      <c r="G1662">
        <v>24824</v>
      </c>
      <c r="H1662" s="116"/>
      <c r="I1662" s="116"/>
      <c r="L1662" s="170">
        <v>45455</v>
      </c>
      <c r="M1662" s="116">
        <v>1452.7</v>
      </c>
      <c r="N1662" s="116">
        <v>1461.8</v>
      </c>
      <c r="O1662" s="116">
        <v>1425.8</v>
      </c>
      <c r="P1662" s="116">
        <v>1428.1</v>
      </c>
      <c r="Q1662" s="116">
        <v>1452.7</v>
      </c>
      <c r="R1662">
        <v>1823958</v>
      </c>
    </row>
    <row r="1663" spans="1:18" x14ac:dyDescent="0.25">
      <c r="A1663" s="170">
        <v>45456</v>
      </c>
      <c r="B1663" s="116">
        <v>1478.25</v>
      </c>
      <c r="C1663" s="116">
        <v>1446.7</v>
      </c>
      <c r="D1663" s="116">
        <v>1434.35</v>
      </c>
      <c r="E1663" s="116">
        <v>1464.5</v>
      </c>
      <c r="F1663" s="116">
        <v>1446.7</v>
      </c>
      <c r="G1663">
        <v>40737</v>
      </c>
      <c r="H1663" s="116"/>
      <c r="I1663" s="116"/>
      <c r="L1663" s="170">
        <v>45456</v>
      </c>
      <c r="M1663" s="116">
        <v>1449.9</v>
      </c>
      <c r="N1663" s="116">
        <v>1479.45</v>
      </c>
      <c r="O1663" s="116">
        <v>1432.85</v>
      </c>
      <c r="P1663" s="116">
        <v>1459.65</v>
      </c>
      <c r="Q1663" s="116">
        <v>1449.9</v>
      </c>
      <c r="R1663">
        <v>3086173</v>
      </c>
    </row>
    <row r="1664" spans="1:18" x14ac:dyDescent="0.25">
      <c r="A1664" s="170">
        <v>45457</v>
      </c>
      <c r="B1664" s="116">
        <v>1473.7</v>
      </c>
      <c r="C1664" s="116">
        <v>1469</v>
      </c>
      <c r="D1664" s="116">
        <v>1441.3</v>
      </c>
      <c r="E1664" s="116">
        <v>1446.65</v>
      </c>
      <c r="F1664" s="116">
        <v>1469</v>
      </c>
      <c r="G1664">
        <v>19061</v>
      </c>
      <c r="H1664" s="116"/>
      <c r="I1664" s="116"/>
      <c r="L1664" s="170">
        <v>45457</v>
      </c>
      <c r="M1664" s="116">
        <v>1469.9</v>
      </c>
      <c r="N1664" s="116">
        <v>1473.75</v>
      </c>
      <c r="O1664" s="116">
        <v>1440.6</v>
      </c>
      <c r="P1664" s="116">
        <v>1444.9</v>
      </c>
      <c r="Q1664" s="116">
        <v>1469.9</v>
      </c>
      <c r="R1664">
        <v>856835</v>
      </c>
    </row>
    <row r="1665" spans="1:18" x14ac:dyDescent="0.25">
      <c r="A1665" s="170">
        <v>45461</v>
      </c>
      <c r="B1665" s="116">
        <v>1479.9</v>
      </c>
      <c r="C1665" s="116">
        <v>1473.85</v>
      </c>
      <c r="D1665" s="116">
        <v>1456</v>
      </c>
      <c r="E1665" s="116">
        <v>1479.9</v>
      </c>
      <c r="F1665" s="116">
        <v>1473.85</v>
      </c>
      <c r="G1665">
        <v>26409</v>
      </c>
      <c r="H1665" s="116"/>
      <c r="I1665" s="116"/>
      <c r="L1665" s="170">
        <v>45461</v>
      </c>
      <c r="M1665" s="116">
        <v>1473.55</v>
      </c>
      <c r="N1665" s="116">
        <v>1480</v>
      </c>
      <c r="O1665" s="116">
        <v>1455.05</v>
      </c>
      <c r="P1665" s="116">
        <v>1480</v>
      </c>
      <c r="Q1665" s="116">
        <v>1473.55</v>
      </c>
      <c r="R1665">
        <v>1427035</v>
      </c>
    </row>
    <row r="1666" spans="1:18" x14ac:dyDescent="0.25">
      <c r="A1666" s="170">
        <v>45462</v>
      </c>
      <c r="B1666" s="116">
        <v>1478</v>
      </c>
      <c r="C1666" s="116">
        <v>1448.75</v>
      </c>
      <c r="D1666" s="116">
        <v>1446</v>
      </c>
      <c r="E1666" s="116">
        <v>1476.95</v>
      </c>
      <c r="F1666" s="116">
        <v>1448.75</v>
      </c>
      <c r="G1666">
        <v>20757</v>
      </c>
      <c r="H1666" s="116"/>
      <c r="I1666" s="116"/>
      <c r="L1666" s="170">
        <v>45462</v>
      </c>
      <c r="M1666" s="116">
        <v>1449.2</v>
      </c>
      <c r="N1666" s="116">
        <v>1478.4</v>
      </c>
      <c r="O1666" s="116">
        <v>1446.15</v>
      </c>
      <c r="P1666" s="116">
        <v>1478.35</v>
      </c>
      <c r="Q1666" s="116">
        <v>1449.2</v>
      </c>
      <c r="R1666">
        <v>578983</v>
      </c>
    </row>
    <row r="1667" spans="1:18" x14ac:dyDescent="0.25">
      <c r="A1667" s="170">
        <v>45463</v>
      </c>
      <c r="B1667" s="116">
        <v>1481.75</v>
      </c>
      <c r="C1667" s="116">
        <v>1455.25</v>
      </c>
      <c r="D1667" s="116">
        <v>1451.6</v>
      </c>
      <c r="E1667" s="116">
        <v>1481.75</v>
      </c>
      <c r="F1667" s="116">
        <v>1455.25</v>
      </c>
      <c r="G1667">
        <v>34530</v>
      </c>
      <c r="H1667" s="116"/>
      <c r="I1667" s="116"/>
      <c r="L1667" s="170">
        <v>45463</v>
      </c>
      <c r="M1667" s="116">
        <v>1455.5</v>
      </c>
      <c r="N1667" s="116">
        <v>1480.9</v>
      </c>
      <c r="O1667" s="116">
        <v>1451.45</v>
      </c>
      <c r="P1667" s="116">
        <v>1476</v>
      </c>
      <c r="Q1667" s="116">
        <v>1455.5</v>
      </c>
      <c r="R1667">
        <v>1444553</v>
      </c>
    </row>
    <row r="1668" spans="1:18" x14ac:dyDescent="0.25">
      <c r="A1668" s="170">
        <v>45464</v>
      </c>
      <c r="B1668" s="116">
        <v>1478.15</v>
      </c>
      <c r="C1668" s="116">
        <v>1464.5</v>
      </c>
      <c r="D1668" s="116">
        <v>1448</v>
      </c>
      <c r="E1668" s="116">
        <v>1470.4</v>
      </c>
      <c r="F1668" s="116">
        <v>1464.5</v>
      </c>
      <c r="G1668">
        <v>10559</v>
      </c>
      <c r="H1668" s="116"/>
      <c r="I1668" s="116"/>
      <c r="L1668" s="170">
        <v>45464</v>
      </c>
      <c r="M1668" s="116">
        <v>1464.15</v>
      </c>
      <c r="N1668" s="116">
        <v>1478.55</v>
      </c>
      <c r="O1668" s="116">
        <v>1445.15</v>
      </c>
      <c r="P1668" s="116">
        <v>1455.5</v>
      </c>
      <c r="Q1668" s="116">
        <v>1464.15</v>
      </c>
      <c r="R1668">
        <v>1184387</v>
      </c>
    </row>
    <row r="1669" spans="1:18" x14ac:dyDescent="0.25">
      <c r="A1669" s="170">
        <v>45467</v>
      </c>
      <c r="B1669" s="116">
        <v>1463.95</v>
      </c>
      <c r="C1669" s="116">
        <v>1452.85</v>
      </c>
      <c r="D1669" s="116">
        <v>1446.45</v>
      </c>
      <c r="E1669" s="116">
        <v>1459.75</v>
      </c>
      <c r="F1669" s="116">
        <v>1452.85</v>
      </c>
      <c r="G1669">
        <v>14221</v>
      </c>
      <c r="H1669" s="116"/>
      <c r="I1669" s="116"/>
      <c r="L1669" s="170">
        <v>45467</v>
      </c>
      <c r="M1669" s="116">
        <v>1452.75</v>
      </c>
      <c r="N1669" s="116">
        <v>1464.15</v>
      </c>
      <c r="O1669" s="116">
        <v>1447.2</v>
      </c>
      <c r="P1669" s="116">
        <v>1464.15</v>
      </c>
      <c r="Q1669" s="116">
        <v>1452.75</v>
      </c>
      <c r="R1669">
        <v>460942</v>
      </c>
    </row>
    <row r="1670" spans="1:18" x14ac:dyDescent="0.25">
      <c r="A1670" s="170">
        <v>45468</v>
      </c>
      <c r="B1670" s="116">
        <v>1466.75</v>
      </c>
      <c r="C1670" s="116">
        <v>1462.95</v>
      </c>
      <c r="D1670" s="116">
        <v>1430.5</v>
      </c>
      <c r="E1670" s="116">
        <v>1464.95</v>
      </c>
      <c r="F1670" s="116">
        <v>1462.95</v>
      </c>
      <c r="G1670">
        <v>26041</v>
      </c>
      <c r="H1670" s="116"/>
      <c r="I1670" s="116"/>
      <c r="L1670" s="170">
        <v>45468</v>
      </c>
      <c r="M1670" s="116">
        <v>1462</v>
      </c>
      <c r="N1670" s="116">
        <v>1467.5</v>
      </c>
      <c r="O1670" s="116">
        <v>1430</v>
      </c>
      <c r="P1670" s="116">
        <v>1457.4</v>
      </c>
      <c r="Q1670" s="116">
        <v>1462</v>
      </c>
      <c r="R1670">
        <v>1845922</v>
      </c>
    </row>
    <row r="1671" spans="1:18" x14ac:dyDescent="0.25">
      <c r="A1671" s="170">
        <v>45469</v>
      </c>
      <c r="B1671" s="116">
        <v>1474.95</v>
      </c>
      <c r="C1671" s="116">
        <v>1451.1</v>
      </c>
      <c r="D1671" s="116">
        <v>1445.65</v>
      </c>
      <c r="E1671" s="116">
        <v>1463.05</v>
      </c>
      <c r="F1671" s="116">
        <v>1451.1</v>
      </c>
      <c r="G1671">
        <v>24260</v>
      </c>
      <c r="H1671" s="116"/>
      <c r="I1671" s="116"/>
      <c r="L1671" s="170">
        <v>45469</v>
      </c>
      <c r="M1671" s="116">
        <v>1450.9</v>
      </c>
      <c r="N1671" s="116">
        <v>1475.65</v>
      </c>
      <c r="O1671" s="116">
        <v>1447</v>
      </c>
      <c r="P1671" s="116">
        <v>1462</v>
      </c>
      <c r="Q1671" s="116">
        <v>1450.9</v>
      </c>
      <c r="R1671">
        <v>780636</v>
      </c>
    </row>
    <row r="1672" spans="1:18" x14ac:dyDescent="0.25">
      <c r="A1672" s="170">
        <v>45470</v>
      </c>
      <c r="B1672" s="116">
        <v>1472.3</v>
      </c>
      <c r="C1672" s="116">
        <v>1465.95</v>
      </c>
      <c r="D1672" s="116">
        <v>1437.8</v>
      </c>
      <c r="E1672" s="116">
        <v>1440.05</v>
      </c>
      <c r="F1672" s="116">
        <v>1465.95</v>
      </c>
      <c r="G1672">
        <v>24458</v>
      </c>
      <c r="H1672" s="116"/>
      <c r="I1672" s="116"/>
      <c r="L1672" s="170">
        <v>45470</v>
      </c>
      <c r="M1672" s="116">
        <v>1463.45</v>
      </c>
      <c r="N1672" s="116">
        <v>1473.65</v>
      </c>
      <c r="O1672" s="116">
        <v>1437.55</v>
      </c>
      <c r="P1672" s="116">
        <v>1445</v>
      </c>
      <c r="Q1672" s="116">
        <v>1463.45</v>
      </c>
      <c r="R1672">
        <v>1492222</v>
      </c>
    </row>
    <row r="1673" spans="1:18" x14ac:dyDescent="0.25">
      <c r="A1673" s="170">
        <v>45471</v>
      </c>
      <c r="B1673" s="116">
        <v>1498</v>
      </c>
      <c r="C1673" s="116">
        <v>1491.1</v>
      </c>
      <c r="D1673" s="116">
        <v>1451.2</v>
      </c>
      <c r="E1673" s="116">
        <v>1453.35</v>
      </c>
      <c r="F1673" s="116">
        <v>1491.1</v>
      </c>
      <c r="G1673">
        <v>50104</v>
      </c>
      <c r="H1673" s="116"/>
      <c r="I1673" s="116"/>
      <c r="L1673" s="170">
        <v>45471</v>
      </c>
      <c r="M1673" s="116">
        <v>1491.95</v>
      </c>
      <c r="N1673" s="116">
        <v>1498.8</v>
      </c>
      <c r="O1673" s="116">
        <v>1450</v>
      </c>
      <c r="P1673" s="116">
        <v>1450.1</v>
      </c>
      <c r="Q1673" s="116">
        <v>1491.95</v>
      </c>
      <c r="R1673">
        <v>1533271</v>
      </c>
    </row>
    <row r="1674" spans="1:18" x14ac:dyDescent="0.25">
      <c r="A1674" s="170">
        <v>45474</v>
      </c>
      <c r="B1674" s="116">
        <v>1512</v>
      </c>
      <c r="C1674" s="116">
        <v>1502.4</v>
      </c>
      <c r="D1674" s="116">
        <v>1482</v>
      </c>
      <c r="E1674" s="116">
        <v>1491.3</v>
      </c>
      <c r="F1674" s="116">
        <v>1502.4</v>
      </c>
      <c r="G1674">
        <v>11907</v>
      </c>
      <c r="H1674" s="116"/>
      <c r="I1674" s="116"/>
      <c r="L1674" s="170">
        <v>45474</v>
      </c>
      <c r="M1674" s="116">
        <v>1501.85</v>
      </c>
      <c r="N1674" s="116">
        <v>1511.9</v>
      </c>
      <c r="O1674" s="116">
        <v>1481.9</v>
      </c>
      <c r="P1674" s="116">
        <v>1491.95</v>
      </c>
      <c r="Q1674" s="116">
        <v>1501.85</v>
      </c>
      <c r="R1674">
        <v>788569</v>
      </c>
    </row>
    <row r="1675" spans="1:18" x14ac:dyDescent="0.25">
      <c r="A1675" s="170">
        <v>45475</v>
      </c>
      <c r="B1675" s="116">
        <v>1509.55</v>
      </c>
      <c r="C1675" s="116">
        <v>1494.25</v>
      </c>
      <c r="D1675" s="116">
        <v>1468.05</v>
      </c>
      <c r="E1675" s="116">
        <v>1509.55</v>
      </c>
      <c r="F1675" s="116">
        <v>1494.25</v>
      </c>
      <c r="G1675">
        <v>23175</v>
      </c>
      <c r="H1675" s="116"/>
      <c r="I1675" s="116"/>
      <c r="L1675" s="170">
        <v>45475</v>
      </c>
      <c r="M1675" s="116">
        <v>1494.9</v>
      </c>
      <c r="N1675" s="116">
        <v>1510.35</v>
      </c>
      <c r="O1675" s="116">
        <v>1468.1</v>
      </c>
      <c r="P1675" s="116">
        <v>1507</v>
      </c>
      <c r="Q1675" s="116">
        <v>1494.9</v>
      </c>
      <c r="R1675">
        <v>1462260</v>
      </c>
    </row>
    <row r="1676" spans="1:18" x14ac:dyDescent="0.25">
      <c r="A1676" s="170">
        <v>45476</v>
      </c>
      <c r="B1676" s="116">
        <v>1506.35</v>
      </c>
      <c r="C1676" s="116">
        <v>1495.7</v>
      </c>
      <c r="D1676" s="116">
        <v>1489.35</v>
      </c>
      <c r="E1676" s="116">
        <v>1495.3</v>
      </c>
      <c r="F1676" s="116">
        <v>1495.7</v>
      </c>
      <c r="G1676">
        <v>7913</v>
      </c>
      <c r="H1676" s="116"/>
      <c r="I1676" s="116"/>
      <c r="L1676" s="170">
        <v>45476</v>
      </c>
      <c r="M1676" s="116">
        <v>1496.35</v>
      </c>
      <c r="N1676" s="116">
        <v>1506.95</v>
      </c>
      <c r="O1676" s="116">
        <v>1486.2</v>
      </c>
      <c r="P1676" s="116">
        <v>1503</v>
      </c>
      <c r="Q1676" s="116">
        <v>1496.35</v>
      </c>
      <c r="R1676">
        <v>527776</v>
      </c>
    </row>
    <row r="1677" spans="1:18" x14ac:dyDescent="0.25">
      <c r="A1677" s="170">
        <v>45477</v>
      </c>
      <c r="B1677" s="116">
        <v>1518.1</v>
      </c>
      <c r="C1677" s="116">
        <v>1507.05</v>
      </c>
      <c r="D1677" s="116">
        <v>1496</v>
      </c>
      <c r="E1677" s="116">
        <v>1498</v>
      </c>
      <c r="F1677" s="116">
        <v>1507.05</v>
      </c>
      <c r="G1677">
        <v>9688</v>
      </c>
      <c r="H1677" s="116"/>
      <c r="I1677" s="116"/>
      <c r="L1677" s="170">
        <v>45477</v>
      </c>
      <c r="M1677" s="116">
        <v>1507.75</v>
      </c>
      <c r="N1677" s="116">
        <v>1518.85</v>
      </c>
      <c r="O1677" s="116">
        <v>1492.25</v>
      </c>
      <c r="P1677" s="116">
        <v>1496.4</v>
      </c>
      <c r="Q1677" s="116">
        <v>1507.75</v>
      </c>
      <c r="R1677">
        <v>1363288</v>
      </c>
    </row>
    <row r="1678" spans="1:18" x14ac:dyDescent="0.25">
      <c r="A1678" s="170">
        <v>45478</v>
      </c>
      <c r="B1678" s="116">
        <v>1532.65</v>
      </c>
      <c r="C1678" s="116">
        <v>1528.5</v>
      </c>
      <c r="D1678" s="116">
        <v>1505.5</v>
      </c>
      <c r="E1678" s="116">
        <v>1507</v>
      </c>
      <c r="F1678" s="116">
        <v>1528.5</v>
      </c>
      <c r="G1678">
        <v>11389</v>
      </c>
      <c r="H1678" s="116"/>
      <c r="I1678" s="116"/>
      <c r="L1678" s="170">
        <v>45478</v>
      </c>
      <c r="M1678" s="116">
        <v>1529.4</v>
      </c>
      <c r="N1678" s="116">
        <v>1531.95</v>
      </c>
      <c r="O1678" s="116">
        <v>1505.45</v>
      </c>
      <c r="P1678" s="116">
        <v>1507.75</v>
      </c>
      <c r="Q1678" s="116">
        <v>1529.4</v>
      </c>
      <c r="R1678">
        <v>961676</v>
      </c>
    </row>
    <row r="1679" spans="1:18" x14ac:dyDescent="0.25">
      <c r="A1679" s="170">
        <v>45481</v>
      </c>
      <c r="B1679" s="116">
        <v>1530</v>
      </c>
      <c r="C1679" s="116">
        <v>1514.7</v>
      </c>
      <c r="D1679" s="116">
        <v>1508</v>
      </c>
      <c r="E1679" s="116">
        <v>1527.3</v>
      </c>
      <c r="F1679" s="116">
        <v>1514.7</v>
      </c>
      <c r="G1679">
        <v>6695</v>
      </c>
      <c r="H1679" s="116"/>
      <c r="I1679" s="116"/>
      <c r="L1679" s="170">
        <v>45481</v>
      </c>
      <c r="M1679" s="116">
        <v>1514.95</v>
      </c>
      <c r="N1679" s="116">
        <v>1531.95</v>
      </c>
      <c r="O1679" s="116">
        <v>1508.25</v>
      </c>
      <c r="P1679" s="116">
        <v>1529.4</v>
      </c>
      <c r="Q1679" s="116">
        <v>1514.95</v>
      </c>
      <c r="R1679">
        <v>774723</v>
      </c>
    </row>
    <row r="1680" spans="1:18" x14ac:dyDescent="0.25">
      <c r="A1680" s="170">
        <v>45482</v>
      </c>
      <c r="B1680" s="116">
        <v>1528.5</v>
      </c>
      <c r="C1680" s="116">
        <v>1525.1</v>
      </c>
      <c r="D1680" s="116">
        <v>1513</v>
      </c>
      <c r="E1680" s="116">
        <v>1517.8</v>
      </c>
      <c r="F1680" s="116">
        <v>1525.1</v>
      </c>
      <c r="G1680">
        <v>10582</v>
      </c>
      <c r="H1680" s="116"/>
      <c r="I1680" s="116"/>
      <c r="L1680" s="170">
        <v>45482</v>
      </c>
      <c r="M1680" s="116">
        <v>1524.75</v>
      </c>
      <c r="N1680" s="116">
        <v>1529</v>
      </c>
      <c r="O1680" s="116">
        <v>1512.4</v>
      </c>
      <c r="P1680" s="116">
        <v>1525</v>
      </c>
      <c r="Q1680" s="116">
        <v>1524.75</v>
      </c>
      <c r="R1680">
        <v>726889</v>
      </c>
    </row>
    <row r="1681" spans="1:18" x14ac:dyDescent="0.25">
      <c r="A1681" s="170">
        <v>45483</v>
      </c>
      <c r="B1681" s="116">
        <v>1562.45</v>
      </c>
      <c r="C1681" s="116">
        <v>1558.9</v>
      </c>
      <c r="D1681" s="116">
        <v>1517.95</v>
      </c>
      <c r="E1681" s="116">
        <v>1529.95</v>
      </c>
      <c r="F1681" s="116">
        <v>1558.9</v>
      </c>
      <c r="G1681">
        <v>56498</v>
      </c>
      <c r="H1681" s="116"/>
      <c r="I1681" s="116"/>
      <c r="L1681" s="170">
        <v>45483</v>
      </c>
      <c r="M1681" s="116">
        <v>1558.8</v>
      </c>
      <c r="N1681" s="116">
        <v>1562.5</v>
      </c>
      <c r="O1681" s="116">
        <v>1518.6</v>
      </c>
      <c r="P1681" s="116">
        <v>1524.75</v>
      </c>
      <c r="Q1681" s="116">
        <v>1558.8</v>
      </c>
      <c r="R1681">
        <v>1964480</v>
      </c>
    </row>
    <row r="1682" spans="1:18" x14ac:dyDescent="0.25">
      <c r="A1682" s="170">
        <v>45484</v>
      </c>
      <c r="B1682" s="116">
        <v>1569</v>
      </c>
      <c r="C1682" s="116">
        <v>1561.4</v>
      </c>
      <c r="D1682" s="116">
        <v>1545.85</v>
      </c>
      <c r="E1682" s="116">
        <v>1560.35</v>
      </c>
      <c r="F1682" s="116">
        <v>1561.4</v>
      </c>
      <c r="G1682">
        <v>16461</v>
      </c>
      <c r="H1682" s="116"/>
      <c r="I1682" s="116"/>
      <c r="L1682" s="170">
        <v>45484</v>
      </c>
      <c r="M1682" s="116">
        <v>1558.8</v>
      </c>
      <c r="N1682" s="116">
        <v>1569.65</v>
      </c>
      <c r="O1682" s="116">
        <v>1546.15</v>
      </c>
      <c r="P1682" s="116">
        <v>1562</v>
      </c>
      <c r="Q1682" s="116">
        <v>1558.8</v>
      </c>
      <c r="R1682">
        <v>1156236</v>
      </c>
    </row>
    <row r="1683" spans="1:18" x14ac:dyDescent="0.25">
      <c r="A1683" s="170">
        <v>45485</v>
      </c>
      <c r="B1683" s="116">
        <v>1570</v>
      </c>
      <c r="C1683" s="116">
        <v>1562.3</v>
      </c>
      <c r="D1683" s="116">
        <v>1548</v>
      </c>
      <c r="E1683" s="116">
        <v>1570</v>
      </c>
      <c r="F1683" s="116">
        <v>1562.3</v>
      </c>
      <c r="G1683">
        <v>18426</v>
      </c>
      <c r="H1683" s="116"/>
      <c r="I1683" s="116"/>
      <c r="L1683" s="170">
        <v>45485</v>
      </c>
      <c r="M1683" s="116">
        <v>1562.85</v>
      </c>
      <c r="N1683" s="116">
        <v>1570</v>
      </c>
      <c r="O1683" s="116">
        <v>1547.35</v>
      </c>
      <c r="P1683" s="116">
        <v>1562.9</v>
      </c>
      <c r="Q1683" s="116">
        <v>1562.85</v>
      </c>
      <c r="R1683">
        <v>589534</v>
      </c>
    </row>
    <row r="1684" spans="1:18" x14ac:dyDescent="0.25">
      <c r="A1684" s="170">
        <v>45488</v>
      </c>
      <c r="B1684" s="116">
        <v>1620.45</v>
      </c>
      <c r="C1684" s="116">
        <v>1613.4</v>
      </c>
      <c r="D1684" s="116">
        <v>1558.85</v>
      </c>
      <c r="E1684" s="116">
        <v>1562.3</v>
      </c>
      <c r="F1684" s="116">
        <v>1613.4</v>
      </c>
      <c r="G1684">
        <v>22478</v>
      </c>
      <c r="H1684" s="116"/>
      <c r="I1684" s="116"/>
      <c r="L1684" s="170">
        <v>45488</v>
      </c>
      <c r="M1684" s="116">
        <v>1613.45</v>
      </c>
      <c r="N1684" s="116">
        <v>1620.9</v>
      </c>
      <c r="O1684" s="116">
        <v>1557.9</v>
      </c>
      <c r="P1684" s="116">
        <v>1562.85</v>
      </c>
      <c r="Q1684" s="116">
        <v>1613.45</v>
      </c>
      <c r="R1684">
        <v>2498480</v>
      </c>
    </row>
    <row r="1685" spans="1:18" x14ac:dyDescent="0.25">
      <c r="A1685" s="170">
        <v>45489</v>
      </c>
      <c r="B1685" s="116">
        <v>1639</v>
      </c>
      <c r="C1685" s="116">
        <v>1621.2</v>
      </c>
      <c r="D1685" s="116">
        <v>1591.85</v>
      </c>
      <c r="E1685" s="116">
        <v>1619.9</v>
      </c>
      <c r="F1685" s="116">
        <v>1621.2</v>
      </c>
      <c r="G1685">
        <v>19892</v>
      </c>
      <c r="H1685" s="116"/>
      <c r="I1685" s="116"/>
      <c r="L1685" s="170">
        <v>45489</v>
      </c>
      <c r="M1685" s="116">
        <v>1621.35</v>
      </c>
      <c r="N1685" s="116">
        <v>1639.6</v>
      </c>
      <c r="O1685" s="116">
        <v>1592.2</v>
      </c>
      <c r="P1685" s="116">
        <v>1613.4</v>
      </c>
      <c r="Q1685" s="116">
        <v>1621.35</v>
      </c>
      <c r="R1685">
        <v>1844059</v>
      </c>
    </row>
    <row r="1686" spans="1:18" x14ac:dyDescent="0.25">
      <c r="A1686" s="170">
        <v>45491</v>
      </c>
      <c r="B1686" s="116">
        <v>1665</v>
      </c>
      <c r="C1686" s="116">
        <v>1659</v>
      </c>
      <c r="D1686" s="116">
        <v>1614.55</v>
      </c>
      <c r="E1686" s="116">
        <v>1621.95</v>
      </c>
      <c r="F1686" s="116">
        <v>1659</v>
      </c>
      <c r="G1686">
        <v>33296</v>
      </c>
      <c r="H1686" s="116"/>
      <c r="I1686" s="116"/>
      <c r="L1686" s="170">
        <v>45491</v>
      </c>
      <c r="M1686" s="116">
        <v>1659.8</v>
      </c>
      <c r="N1686" s="116">
        <v>1664.95</v>
      </c>
      <c r="O1686" s="116">
        <v>1615.05</v>
      </c>
      <c r="P1686" s="116">
        <v>1620</v>
      </c>
      <c r="Q1686" s="116">
        <v>1659.8</v>
      </c>
      <c r="R1686">
        <v>2104021</v>
      </c>
    </row>
    <row r="1687" spans="1:18" x14ac:dyDescent="0.25">
      <c r="A1687" s="170">
        <v>45492</v>
      </c>
      <c r="B1687" s="116">
        <v>1657.55</v>
      </c>
      <c r="C1687" s="116">
        <v>1646.75</v>
      </c>
      <c r="D1687" s="116">
        <v>1634.65</v>
      </c>
      <c r="E1687" s="116">
        <v>1634.65</v>
      </c>
      <c r="F1687" s="116">
        <v>1646.75</v>
      </c>
      <c r="G1687">
        <v>12051</v>
      </c>
      <c r="H1687" s="116"/>
      <c r="I1687" s="116"/>
      <c r="L1687" s="170">
        <v>45492</v>
      </c>
      <c r="M1687" s="116">
        <v>1647.7</v>
      </c>
      <c r="N1687" s="116">
        <v>1658.55</v>
      </c>
      <c r="O1687" s="116">
        <v>1632</v>
      </c>
      <c r="P1687" s="116">
        <v>1632</v>
      </c>
      <c r="Q1687" s="116">
        <v>1647.7</v>
      </c>
      <c r="R1687">
        <v>567209</v>
      </c>
    </row>
    <row r="1688" spans="1:18" x14ac:dyDescent="0.25">
      <c r="A1688" s="170">
        <v>45495</v>
      </c>
      <c r="B1688" s="116">
        <v>1647.5</v>
      </c>
      <c r="C1688" s="116">
        <v>1620.5</v>
      </c>
      <c r="D1688" s="116">
        <v>1618.6</v>
      </c>
      <c r="E1688" s="116">
        <v>1640</v>
      </c>
      <c r="F1688" s="116">
        <v>1620.5</v>
      </c>
      <c r="G1688">
        <v>5405</v>
      </c>
      <c r="H1688" s="116"/>
      <c r="I1688" s="116"/>
      <c r="L1688" s="170">
        <v>45495</v>
      </c>
      <c r="M1688" s="116">
        <v>1621.15</v>
      </c>
      <c r="N1688" s="116">
        <v>1647.7</v>
      </c>
      <c r="O1688" s="116">
        <v>1618.65</v>
      </c>
      <c r="P1688" s="116">
        <v>1641.1</v>
      </c>
      <c r="Q1688" s="116">
        <v>1621.15</v>
      </c>
      <c r="R1688">
        <v>397490</v>
      </c>
    </row>
    <row r="1689" spans="1:18" x14ac:dyDescent="0.25">
      <c r="A1689" s="170">
        <v>45496</v>
      </c>
      <c r="B1689" s="116">
        <v>1638.05</v>
      </c>
      <c r="C1689" s="116">
        <v>1597.45</v>
      </c>
      <c r="D1689" s="116">
        <v>1579.65</v>
      </c>
      <c r="E1689" s="116">
        <v>1629</v>
      </c>
      <c r="F1689" s="116">
        <v>1597.45</v>
      </c>
      <c r="G1689">
        <v>17403</v>
      </c>
      <c r="H1689" s="116"/>
      <c r="I1689" s="116"/>
      <c r="L1689" s="170">
        <v>45496</v>
      </c>
      <c r="M1689" s="116">
        <v>1594.85</v>
      </c>
      <c r="N1689" s="116">
        <v>1638</v>
      </c>
      <c r="O1689" s="116">
        <v>1578.05</v>
      </c>
      <c r="P1689" s="116">
        <v>1621.15</v>
      </c>
      <c r="Q1689" s="116">
        <v>1594.85</v>
      </c>
      <c r="R1689">
        <v>2145861</v>
      </c>
    </row>
    <row r="1690" spans="1:18" x14ac:dyDescent="0.25">
      <c r="A1690" s="170">
        <v>45497</v>
      </c>
      <c r="B1690" s="116">
        <v>1649.65</v>
      </c>
      <c r="C1690" s="116">
        <v>1634.1</v>
      </c>
      <c r="D1690" s="116">
        <v>1580</v>
      </c>
      <c r="E1690" s="116">
        <v>1584.7</v>
      </c>
      <c r="F1690" s="116">
        <v>1634.1</v>
      </c>
      <c r="G1690">
        <v>37294</v>
      </c>
      <c r="H1690" s="116"/>
      <c r="I1690" s="116"/>
      <c r="L1690" s="170">
        <v>45497</v>
      </c>
      <c r="M1690" s="116">
        <v>1632.95</v>
      </c>
      <c r="N1690" s="116">
        <v>1650</v>
      </c>
      <c r="O1690" s="116">
        <v>1579.65</v>
      </c>
      <c r="P1690" s="116">
        <v>1580</v>
      </c>
      <c r="Q1690" s="116">
        <v>1632.95</v>
      </c>
      <c r="R1690">
        <v>2099093</v>
      </c>
    </row>
    <row r="1691" spans="1:18" x14ac:dyDescent="0.25">
      <c r="A1691" s="170">
        <v>45498</v>
      </c>
      <c r="B1691" s="116">
        <v>1700.1</v>
      </c>
      <c r="C1691" s="116">
        <v>1695.2</v>
      </c>
      <c r="D1691" s="116">
        <v>1648.45</v>
      </c>
      <c r="E1691" s="116">
        <v>1649.45</v>
      </c>
      <c r="F1691" s="116">
        <v>1695.2</v>
      </c>
      <c r="G1691">
        <v>94546</v>
      </c>
      <c r="H1691" s="116"/>
      <c r="I1691" s="116"/>
      <c r="L1691" s="170">
        <v>45498</v>
      </c>
      <c r="M1691" s="116">
        <v>1695.4</v>
      </c>
      <c r="N1691" s="116">
        <v>1701.35</v>
      </c>
      <c r="O1691" s="116">
        <v>1645</v>
      </c>
      <c r="P1691" s="116">
        <v>1645</v>
      </c>
      <c r="Q1691" s="116">
        <v>1695.4</v>
      </c>
      <c r="R1691">
        <v>4427012</v>
      </c>
    </row>
    <row r="1692" spans="1:18" x14ac:dyDescent="0.25">
      <c r="A1692" s="170">
        <v>45499</v>
      </c>
      <c r="B1692" s="116">
        <v>1777.4</v>
      </c>
      <c r="C1692" s="116">
        <v>1751.15</v>
      </c>
      <c r="D1692" s="116">
        <v>1686.85</v>
      </c>
      <c r="E1692" s="116">
        <v>1694.95</v>
      </c>
      <c r="F1692" s="116">
        <v>1751.15</v>
      </c>
      <c r="G1692">
        <v>61477</v>
      </c>
      <c r="H1692" s="116"/>
      <c r="I1692" s="116"/>
      <c r="L1692" s="170">
        <v>45499</v>
      </c>
      <c r="M1692" s="116">
        <v>1750.95</v>
      </c>
      <c r="N1692" s="116">
        <v>1777.7</v>
      </c>
      <c r="O1692" s="116">
        <v>1686.25</v>
      </c>
      <c r="P1692" s="116">
        <v>1686.25</v>
      </c>
      <c r="Q1692" s="116">
        <v>1750.95</v>
      </c>
      <c r="R1692">
        <v>2982227</v>
      </c>
    </row>
    <row r="1693" spans="1:18" x14ac:dyDescent="0.25">
      <c r="A1693" s="170">
        <v>45502</v>
      </c>
      <c r="B1693" s="116">
        <v>1774.75</v>
      </c>
      <c r="C1693" s="116">
        <v>1746.25</v>
      </c>
      <c r="D1693" s="116">
        <v>1736.2</v>
      </c>
      <c r="E1693" s="116">
        <v>1774.75</v>
      </c>
      <c r="F1693" s="116">
        <v>1746.25</v>
      </c>
      <c r="G1693">
        <v>23708</v>
      </c>
      <c r="H1693" s="116"/>
      <c r="I1693" s="116"/>
      <c r="L1693" s="170">
        <v>45502</v>
      </c>
      <c r="M1693" s="116">
        <v>1746.7</v>
      </c>
      <c r="N1693" s="116">
        <v>1763.55</v>
      </c>
      <c r="O1693" s="116">
        <v>1736.5</v>
      </c>
      <c r="P1693" s="116">
        <v>1752.5</v>
      </c>
      <c r="Q1693" s="116">
        <v>1746.7</v>
      </c>
      <c r="R1693">
        <v>1368641</v>
      </c>
    </row>
    <row r="1694" spans="1:18" x14ac:dyDescent="0.25">
      <c r="A1694" s="170">
        <v>45503</v>
      </c>
      <c r="B1694" s="116">
        <v>1746.65</v>
      </c>
      <c r="C1694" s="116">
        <v>1724.25</v>
      </c>
      <c r="D1694" s="116">
        <v>1707.8</v>
      </c>
      <c r="E1694" s="116">
        <v>1728.3</v>
      </c>
      <c r="F1694" s="116">
        <v>1724.25</v>
      </c>
      <c r="G1694">
        <v>20021</v>
      </c>
      <c r="H1694" s="116"/>
      <c r="I1694" s="116"/>
      <c r="L1694" s="170">
        <v>45503</v>
      </c>
      <c r="M1694" s="116">
        <v>1721.05</v>
      </c>
      <c r="N1694" s="116">
        <v>1746.3</v>
      </c>
      <c r="O1694" s="116">
        <v>1708</v>
      </c>
      <c r="P1694" s="116">
        <v>1740.5</v>
      </c>
      <c r="Q1694" s="116">
        <v>1721.05</v>
      </c>
      <c r="R1694">
        <v>2096978</v>
      </c>
    </row>
    <row r="1695" spans="1:18" x14ac:dyDescent="0.25">
      <c r="A1695" s="170">
        <v>45504</v>
      </c>
      <c r="B1695" s="116">
        <v>1759.95</v>
      </c>
      <c r="C1695" s="116">
        <v>1753.5</v>
      </c>
      <c r="D1695" s="116">
        <v>1720.15</v>
      </c>
      <c r="E1695" s="116">
        <v>1723.85</v>
      </c>
      <c r="F1695" s="116">
        <v>1753.5</v>
      </c>
      <c r="G1695">
        <v>21393</v>
      </c>
      <c r="H1695" s="116"/>
      <c r="I1695" s="116"/>
      <c r="L1695" s="170">
        <v>45504</v>
      </c>
      <c r="M1695" s="116">
        <v>1753.65</v>
      </c>
      <c r="N1695" s="116">
        <v>1760</v>
      </c>
      <c r="O1695" s="116">
        <v>1720</v>
      </c>
      <c r="P1695" s="116">
        <v>1721.05</v>
      </c>
      <c r="Q1695" s="116">
        <v>1753.65</v>
      </c>
      <c r="R1695">
        <v>1082466</v>
      </c>
    </row>
    <row r="1696" spans="1:18" x14ac:dyDescent="0.25">
      <c r="A1696" s="170">
        <v>45505</v>
      </c>
      <c r="B1696" s="116">
        <v>1790</v>
      </c>
      <c r="C1696" s="116">
        <v>1765.55</v>
      </c>
      <c r="D1696" s="116">
        <v>1759.45</v>
      </c>
      <c r="E1696" s="116">
        <v>1785.8</v>
      </c>
      <c r="F1696" s="116">
        <v>1765.55</v>
      </c>
      <c r="G1696">
        <v>11773</v>
      </c>
      <c r="H1696" s="116"/>
      <c r="I1696" s="116"/>
      <c r="L1696" s="170">
        <v>45505</v>
      </c>
      <c r="M1696" s="116">
        <v>1767.25</v>
      </c>
      <c r="N1696" s="116">
        <v>1791.15</v>
      </c>
      <c r="O1696" s="116">
        <v>1758.1</v>
      </c>
      <c r="P1696" s="116">
        <v>1791.1</v>
      </c>
      <c r="Q1696" s="116">
        <v>1767.25</v>
      </c>
      <c r="R1696">
        <v>1247361</v>
      </c>
    </row>
    <row r="1697" spans="1:18" x14ac:dyDescent="0.25">
      <c r="A1697" s="170">
        <v>45506</v>
      </c>
      <c r="B1697" s="116">
        <v>1769.1</v>
      </c>
      <c r="C1697" s="116">
        <v>1743.85</v>
      </c>
      <c r="D1697" s="116">
        <v>1732</v>
      </c>
      <c r="E1697" s="116">
        <v>1760</v>
      </c>
      <c r="F1697" s="116">
        <v>1743.85</v>
      </c>
      <c r="G1697">
        <v>8791</v>
      </c>
      <c r="H1697" s="116"/>
      <c r="I1697" s="116"/>
      <c r="L1697" s="170">
        <v>45506</v>
      </c>
      <c r="M1697" s="116">
        <v>1744.9</v>
      </c>
      <c r="N1697" s="116">
        <v>1768.9</v>
      </c>
      <c r="O1697" s="116">
        <v>1731</v>
      </c>
      <c r="P1697" s="116">
        <v>1760</v>
      </c>
      <c r="Q1697" s="116">
        <v>1744.9</v>
      </c>
      <c r="R1697">
        <v>594517</v>
      </c>
    </row>
    <row r="1698" spans="1:18" x14ac:dyDescent="0.25">
      <c r="A1698" s="170">
        <v>45509</v>
      </c>
      <c r="B1698" s="116">
        <v>1739.25</v>
      </c>
      <c r="C1698" s="116">
        <v>1722.05</v>
      </c>
      <c r="D1698" s="116">
        <v>1640.05</v>
      </c>
      <c r="E1698" s="116">
        <v>1640.05</v>
      </c>
      <c r="F1698" s="116">
        <v>1722.05</v>
      </c>
      <c r="G1698">
        <v>16271</v>
      </c>
      <c r="H1698" s="116"/>
      <c r="I1698" s="116"/>
      <c r="L1698" s="170">
        <v>45509</v>
      </c>
      <c r="M1698" s="116">
        <v>1722.2</v>
      </c>
      <c r="N1698" s="116">
        <v>1739.35</v>
      </c>
      <c r="O1698" s="116">
        <v>1679.95</v>
      </c>
      <c r="P1698" s="116">
        <v>1680</v>
      </c>
      <c r="Q1698" s="116">
        <v>1722.2</v>
      </c>
      <c r="R1698">
        <v>1240111</v>
      </c>
    </row>
    <row r="1699" spans="1:18" x14ac:dyDescent="0.25">
      <c r="A1699" s="170">
        <v>45510</v>
      </c>
      <c r="B1699" s="116">
        <v>1737.8</v>
      </c>
      <c r="C1699" s="116">
        <v>1674.5</v>
      </c>
      <c r="D1699" s="116">
        <v>1670</v>
      </c>
      <c r="E1699" s="116">
        <v>1706.2</v>
      </c>
      <c r="F1699" s="116">
        <v>1674.5</v>
      </c>
      <c r="G1699">
        <v>18259</v>
      </c>
      <c r="H1699" s="116"/>
      <c r="I1699" s="116"/>
      <c r="L1699" s="170">
        <v>45510</v>
      </c>
      <c r="M1699" s="116">
        <v>1674.5</v>
      </c>
      <c r="N1699" s="116">
        <v>1780</v>
      </c>
      <c r="O1699" s="116">
        <v>1670.1</v>
      </c>
      <c r="P1699" s="116">
        <v>1722.2</v>
      </c>
      <c r="Q1699" s="116">
        <v>1674.5</v>
      </c>
      <c r="R1699">
        <v>1500825</v>
      </c>
    </row>
    <row r="1700" spans="1:18" x14ac:dyDescent="0.25">
      <c r="A1700" s="170">
        <v>45511</v>
      </c>
      <c r="B1700" s="116">
        <v>1695.05</v>
      </c>
      <c r="C1700" s="116">
        <v>1686.1</v>
      </c>
      <c r="D1700" s="116">
        <v>1678</v>
      </c>
      <c r="E1700" s="116">
        <v>1695.05</v>
      </c>
      <c r="F1700" s="116">
        <v>1686.1</v>
      </c>
      <c r="G1700">
        <v>9081</v>
      </c>
      <c r="H1700" s="116"/>
      <c r="I1700" s="116"/>
      <c r="L1700" s="170">
        <v>45511</v>
      </c>
      <c r="M1700" s="116">
        <v>1685.7</v>
      </c>
      <c r="N1700" s="116">
        <v>1698.9</v>
      </c>
      <c r="O1700" s="116">
        <v>1677.1</v>
      </c>
      <c r="P1700" s="116">
        <v>1690.05</v>
      </c>
      <c r="Q1700" s="116">
        <v>1685.7</v>
      </c>
      <c r="R1700">
        <v>603417</v>
      </c>
    </row>
    <row r="1701" spans="1:18" x14ac:dyDescent="0.25">
      <c r="A1701" s="170">
        <v>45512</v>
      </c>
      <c r="B1701" s="116">
        <v>1715.95</v>
      </c>
      <c r="C1701" s="116">
        <v>1706</v>
      </c>
      <c r="D1701" s="116">
        <v>1670.4</v>
      </c>
      <c r="E1701" s="116">
        <v>1686.05</v>
      </c>
      <c r="F1701" s="116">
        <v>1706</v>
      </c>
      <c r="G1701">
        <v>10377</v>
      </c>
      <c r="H1701" s="116"/>
      <c r="I1701" s="116"/>
      <c r="L1701" s="170">
        <v>45512</v>
      </c>
      <c r="M1701" s="116">
        <v>1706.3</v>
      </c>
      <c r="N1701" s="116">
        <v>1715.15</v>
      </c>
      <c r="O1701" s="116">
        <v>1670.05</v>
      </c>
      <c r="P1701" s="116">
        <v>1671.1</v>
      </c>
      <c r="Q1701" s="116">
        <v>1706.3</v>
      </c>
      <c r="R1701">
        <v>1291138</v>
      </c>
    </row>
    <row r="1702" spans="1:18" x14ac:dyDescent="0.25">
      <c r="A1702" s="170">
        <v>45513</v>
      </c>
      <c r="B1702" s="116">
        <v>1732.6</v>
      </c>
      <c r="C1702" s="116">
        <v>1724.5</v>
      </c>
      <c r="D1702" s="116">
        <v>1708.5</v>
      </c>
      <c r="E1702" s="116">
        <v>1729.95</v>
      </c>
      <c r="F1702" s="116">
        <v>1724.5</v>
      </c>
      <c r="G1702">
        <v>8835</v>
      </c>
      <c r="H1702" s="116"/>
      <c r="I1702" s="116"/>
      <c r="L1702" s="170">
        <v>45513</v>
      </c>
      <c r="M1702" s="116">
        <v>1725.1</v>
      </c>
      <c r="N1702" s="116">
        <v>1733.4</v>
      </c>
      <c r="O1702" s="116">
        <v>1708</v>
      </c>
      <c r="P1702" s="116">
        <v>1720</v>
      </c>
      <c r="Q1702" s="116">
        <v>1725.1</v>
      </c>
      <c r="R1702">
        <v>804893</v>
      </c>
    </row>
    <row r="1703" spans="1:18" x14ac:dyDescent="0.25">
      <c r="A1703" s="170">
        <v>45516</v>
      </c>
      <c r="B1703" s="116">
        <v>1730.3</v>
      </c>
      <c r="C1703" s="116">
        <v>1703.75</v>
      </c>
      <c r="D1703" s="116">
        <v>1693.45</v>
      </c>
      <c r="E1703" s="116">
        <v>1721.05</v>
      </c>
      <c r="F1703" s="116">
        <v>1703.75</v>
      </c>
      <c r="G1703">
        <v>5143</v>
      </c>
      <c r="H1703" s="116"/>
      <c r="I1703" s="116"/>
      <c r="L1703" s="170">
        <v>45516</v>
      </c>
      <c r="M1703" s="116">
        <v>1705</v>
      </c>
      <c r="N1703" s="116">
        <v>1730</v>
      </c>
      <c r="O1703" s="116">
        <v>1692.05</v>
      </c>
      <c r="P1703" s="116">
        <v>1722.9</v>
      </c>
      <c r="Q1703" s="116">
        <v>1705</v>
      </c>
      <c r="R1703">
        <v>1019251</v>
      </c>
    </row>
    <row r="1704" spans="1:18" x14ac:dyDescent="0.25">
      <c r="A1704" s="170">
        <v>45517</v>
      </c>
      <c r="B1704" s="116">
        <v>1719</v>
      </c>
      <c r="C1704" s="116">
        <v>1683.25</v>
      </c>
      <c r="D1704" s="116">
        <v>1673</v>
      </c>
      <c r="E1704" s="116">
        <v>1702.45</v>
      </c>
      <c r="F1704" s="116">
        <v>1683.25</v>
      </c>
      <c r="G1704">
        <v>5472</v>
      </c>
      <c r="H1704" s="116"/>
      <c r="I1704" s="116"/>
      <c r="L1704" s="170">
        <v>45517</v>
      </c>
      <c r="M1704" s="116">
        <v>1682.4</v>
      </c>
      <c r="N1704" s="116">
        <v>1721.3</v>
      </c>
      <c r="O1704" s="116">
        <v>1672.05</v>
      </c>
      <c r="P1704" s="116">
        <v>1705</v>
      </c>
      <c r="Q1704" s="116">
        <v>1682.4</v>
      </c>
      <c r="R1704">
        <v>1064268</v>
      </c>
    </row>
    <row r="1705" spans="1:18" x14ac:dyDescent="0.25">
      <c r="A1705" s="170">
        <v>45518</v>
      </c>
      <c r="B1705" s="116">
        <v>1706.7</v>
      </c>
      <c r="C1705" s="116">
        <v>1692.2</v>
      </c>
      <c r="D1705" s="116">
        <v>1673.05</v>
      </c>
      <c r="E1705" s="116">
        <v>1681.15</v>
      </c>
      <c r="F1705" s="116">
        <v>1692.2</v>
      </c>
      <c r="G1705">
        <v>6294</v>
      </c>
      <c r="H1705" s="116"/>
      <c r="I1705" s="116"/>
      <c r="L1705" s="170">
        <v>45518</v>
      </c>
      <c r="M1705" s="116">
        <v>1692.1</v>
      </c>
      <c r="N1705" s="116">
        <v>1707.35</v>
      </c>
      <c r="O1705" s="116">
        <v>1673</v>
      </c>
      <c r="P1705" s="116">
        <v>1696.2</v>
      </c>
      <c r="Q1705" s="116">
        <v>1692.1</v>
      </c>
      <c r="R1705">
        <v>557473</v>
      </c>
    </row>
    <row r="1706" spans="1:18" x14ac:dyDescent="0.25">
      <c r="A1706" s="170">
        <v>45520</v>
      </c>
      <c r="B1706" s="116">
        <v>1707.55</v>
      </c>
      <c r="C1706" s="116">
        <v>1689.95</v>
      </c>
      <c r="D1706" s="116">
        <v>1666.85</v>
      </c>
      <c r="E1706" s="116">
        <v>1707.55</v>
      </c>
      <c r="F1706" s="116">
        <v>1689.95</v>
      </c>
      <c r="G1706">
        <v>11600</v>
      </c>
      <c r="H1706" s="116"/>
      <c r="I1706" s="116"/>
      <c r="L1706" s="170">
        <v>45520</v>
      </c>
      <c r="M1706" s="116">
        <v>1688.9</v>
      </c>
      <c r="N1706" s="116">
        <v>1702.1</v>
      </c>
      <c r="O1706" s="116">
        <v>1666.15</v>
      </c>
      <c r="P1706" s="116">
        <v>1699</v>
      </c>
      <c r="Q1706" s="116">
        <v>1688.9</v>
      </c>
      <c r="R1706">
        <v>721574</v>
      </c>
    </row>
    <row r="1707" spans="1:18" x14ac:dyDescent="0.25">
      <c r="A1707" s="170">
        <v>45523</v>
      </c>
      <c r="B1707" s="116">
        <v>1698.45</v>
      </c>
      <c r="C1707" s="116">
        <v>1671.1</v>
      </c>
      <c r="D1707" s="116">
        <v>1666.4</v>
      </c>
      <c r="E1707" s="116">
        <v>1693.55</v>
      </c>
      <c r="F1707" s="116">
        <v>1671.1</v>
      </c>
      <c r="G1707">
        <v>13809</v>
      </c>
      <c r="H1707" s="116"/>
      <c r="I1707" s="116"/>
      <c r="L1707" s="170">
        <v>45523</v>
      </c>
      <c r="M1707" s="116">
        <v>1671.55</v>
      </c>
      <c r="N1707" s="116">
        <v>1696.8</v>
      </c>
      <c r="O1707" s="116">
        <v>1666</v>
      </c>
      <c r="P1707" s="116">
        <v>1696.8</v>
      </c>
      <c r="Q1707" s="116">
        <v>1671.55</v>
      </c>
      <c r="R1707">
        <v>632647</v>
      </c>
    </row>
    <row r="1708" spans="1:18" x14ac:dyDescent="0.25">
      <c r="A1708" s="170">
        <v>45524</v>
      </c>
      <c r="B1708" s="116">
        <v>1766.05</v>
      </c>
      <c r="C1708" s="116">
        <v>1761.8</v>
      </c>
      <c r="D1708" s="116">
        <v>1673.6</v>
      </c>
      <c r="E1708" s="116">
        <v>1677.7</v>
      </c>
      <c r="F1708" s="116">
        <v>1761.8</v>
      </c>
      <c r="G1708">
        <v>50943</v>
      </c>
      <c r="H1708" s="116"/>
      <c r="I1708" s="116"/>
      <c r="L1708" s="170">
        <v>45524</v>
      </c>
      <c r="M1708" s="116">
        <v>1761.3</v>
      </c>
      <c r="N1708" s="116">
        <v>1770.8</v>
      </c>
      <c r="O1708" s="116">
        <v>1672.75</v>
      </c>
      <c r="P1708" s="116">
        <v>1672.8</v>
      </c>
      <c r="Q1708" s="116">
        <v>1761.3</v>
      </c>
      <c r="R1708">
        <v>3951662</v>
      </c>
    </row>
    <row r="1709" spans="1:18" x14ac:dyDescent="0.25">
      <c r="A1709" s="170">
        <v>45525</v>
      </c>
      <c r="B1709" s="116">
        <v>1804</v>
      </c>
      <c r="C1709" s="116">
        <v>1800.05</v>
      </c>
      <c r="D1709" s="116">
        <v>1750.05</v>
      </c>
      <c r="E1709" s="116">
        <v>1766.25</v>
      </c>
      <c r="F1709" s="116">
        <v>1800.05</v>
      </c>
      <c r="G1709">
        <v>58322</v>
      </c>
      <c r="H1709" s="116"/>
      <c r="I1709" s="116"/>
      <c r="L1709" s="170">
        <v>45525</v>
      </c>
      <c r="M1709" s="116">
        <v>1800.6</v>
      </c>
      <c r="N1709" s="116">
        <v>1804.45</v>
      </c>
      <c r="O1709" s="116">
        <v>1750.9</v>
      </c>
      <c r="P1709" s="116">
        <v>1761.3</v>
      </c>
      <c r="Q1709" s="116">
        <v>1800.6</v>
      </c>
      <c r="R1709">
        <v>2972530</v>
      </c>
    </row>
    <row r="1710" spans="1:18" x14ac:dyDescent="0.25">
      <c r="A1710" s="170">
        <v>45526</v>
      </c>
      <c r="B1710" s="116">
        <v>1811.55</v>
      </c>
      <c r="C1710" s="116">
        <v>1795</v>
      </c>
      <c r="D1710" s="116">
        <v>1790.1</v>
      </c>
      <c r="E1710" s="116">
        <v>1806.85</v>
      </c>
      <c r="F1710" s="116">
        <v>1795</v>
      </c>
      <c r="G1710">
        <v>196792</v>
      </c>
      <c r="H1710" s="116"/>
      <c r="I1710" s="116"/>
      <c r="L1710" s="170">
        <v>45526</v>
      </c>
      <c r="M1710" s="116">
        <v>1795.25</v>
      </c>
      <c r="N1710" s="116">
        <v>1812.4</v>
      </c>
      <c r="O1710" s="116">
        <v>1789.85</v>
      </c>
      <c r="P1710" s="116">
        <v>1801</v>
      </c>
      <c r="Q1710" s="116">
        <v>1795.25</v>
      </c>
      <c r="R1710">
        <v>1380510</v>
      </c>
    </row>
    <row r="1711" spans="1:18" x14ac:dyDescent="0.25">
      <c r="A1711" s="170">
        <v>45527</v>
      </c>
      <c r="B1711" s="116">
        <v>1798.35</v>
      </c>
      <c r="C1711" s="116">
        <v>1788.95</v>
      </c>
      <c r="D1711" s="116">
        <v>1782.55</v>
      </c>
      <c r="E1711" s="116">
        <v>1794.85</v>
      </c>
      <c r="F1711" s="116">
        <v>1788.95</v>
      </c>
      <c r="G1711">
        <v>11127</v>
      </c>
      <c r="H1711" s="116"/>
      <c r="I1711" s="116"/>
      <c r="L1711" s="170">
        <v>45527</v>
      </c>
      <c r="M1711" s="116">
        <v>1789.3</v>
      </c>
      <c r="N1711" s="116">
        <v>1798.4</v>
      </c>
      <c r="O1711" s="116">
        <v>1782</v>
      </c>
      <c r="P1711" s="116">
        <v>1789.5</v>
      </c>
      <c r="Q1711" s="116">
        <v>1789.3</v>
      </c>
      <c r="R1711">
        <v>858249</v>
      </c>
    </row>
    <row r="1712" spans="1:18" x14ac:dyDescent="0.25">
      <c r="A1712" s="170">
        <v>45530</v>
      </c>
      <c r="B1712" s="116">
        <v>1800.75</v>
      </c>
      <c r="C1712" s="116">
        <v>1795.65</v>
      </c>
      <c r="D1712" s="116">
        <v>1768.55</v>
      </c>
      <c r="E1712" s="116">
        <v>1788.95</v>
      </c>
      <c r="F1712" s="116">
        <v>1795.65</v>
      </c>
      <c r="G1712">
        <v>11208</v>
      </c>
      <c r="H1712" s="116"/>
      <c r="I1712" s="116"/>
      <c r="L1712" s="170">
        <v>45530</v>
      </c>
      <c r="M1712" s="116">
        <v>1796.25</v>
      </c>
      <c r="N1712" s="116">
        <v>1801.45</v>
      </c>
      <c r="O1712" s="116">
        <v>1769.35</v>
      </c>
      <c r="P1712" s="116">
        <v>1791</v>
      </c>
      <c r="Q1712" s="116">
        <v>1796.25</v>
      </c>
      <c r="R1712">
        <v>593628</v>
      </c>
    </row>
    <row r="1713" spans="1:18" x14ac:dyDescent="0.25">
      <c r="A1713" s="170">
        <v>45531</v>
      </c>
      <c r="B1713" s="116">
        <v>1849.3</v>
      </c>
      <c r="C1713" s="116">
        <v>1838.35</v>
      </c>
      <c r="D1713" s="116">
        <v>1785</v>
      </c>
      <c r="E1713" s="116">
        <v>1790</v>
      </c>
      <c r="F1713" s="116">
        <v>1838.35</v>
      </c>
      <c r="G1713">
        <v>22882</v>
      </c>
      <c r="H1713" s="116"/>
      <c r="I1713" s="116"/>
      <c r="L1713" s="170">
        <v>45531</v>
      </c>
      <c r="M1713" s="116">
        <v>1838.95</v>
      </c>
      <c r="N1713" s="116">
        <v>1848.6</v>
      </c>
      <c r="O1713" s="116">
        <v>1784.1</v>
      </c>
      <c r="P1713" s="116">
        <v>1788.4</v>
      </c>
      <c r="Q1713" s="116">
        <v>1838.95</v>
      </c>
      <c r="R1713">
        <v>2239371</v>
      </c>
    </row>
    <row r="1714" spans="1:18" x14ac:dyDescent="0.25">
      <c r="A1714" s="170">
        <v>45532</v>
      </c>
      <c r="B1714" s="116">
        <v>1853.85</v>
      </c>
      <c r="C1714" s="116">
        <v>1842.15</v>
      </c>
      <c r="D1714" s="116">
        <v>1826.05</v>
      </c>
      <c r="E1714" s="116">
        <v>1838.35</v>
      </c>
      <c r="F1714" s="116">
        <v>1842.15</v>
      </c>
      <c r="G1714">
        <v>8726</v>
      </c>
      <c r="H1714" s="116"/>
      <c r="I1714" s="116"/>
      <c r="L1714" s="170">
        <v>45532</v>
      </c>
      <c r="M1714" s="116">
        <v>1843.7</v>
      </c>
      <c r="N1714" s="116">
        <v>1854.25</v>
      </c>
      <c r="O1714" s="116">
        <v>1826</v>
      </c>
      <c r="P1714" s="116">
        <v>1838.75</v>
      </c>
      <c r="Q1714" s="116">
        <v>1843.7</v>
      </c>
      <c r="R1714">
        <v>724092</v>
      </c>
    </row>
    <row r="1715" spans="1:18" x14ac:dyDescent="0.25">
      <c r="A1715" s="170">
        <v>45533</v>
      </c>
      <c r="B1715" s="116">
        <v>1867</v>
      </c>
      <c r="C1715" s="116">
        <v>1843.4</v>
      </c>
      <c r="D1715" s="116">
        <v>1836.85</v>
      </c>
      <c r="E1715" s="116">
        <v>1844.95</v>
      </c>
      <c r="F1715" s="116">
        <v>1843.4</v>
      </c>
      <c r="G1715">
        <v>14133</v>
      </c>
      <c r="H1715" s="116"/>
      <c r="I1715" s="116"/>
      <c r="L1715" s="170">
        <v>45533</v>
      </c>
      <c r="M1715" s="116">
        <v>1843.7</v>
      </c>
      <c r="N1715" s="116">
        <v>1867.75</v>
      </c>
      <c r="O1715" s="116">
        <v>1835.5</v>
      </c>
      <c r="P1715" s="116">
        <v>1840</v>
      </c>
      <c r="Q1715" s="116">
        <v>1843.7</v>
      </c>
      <c r="R1715">
        <v>2248185</v>
      </c>
    </row>
    <row r="1716" spans="1:18" x14ac:dyDescent="0.25">
      <c r="A1716" s="170">
        <v>45534</v>
      </c>
      <c r="B1716" s="116">
        <v>1870.35</v>
      </c>
      <c r="C1716" s="116">
        <v>1850.15</v>
      </c>
      <c r="D1716" s="116">
        <v>1836.85</v>
      </c>
      <c r="E1716" s="116">
        <v>1836.85</v>
      </c>
      <c r="F1716" s="116">
        <v>1850.15</v>
      </c>
      <c r="G1716">
        <v>30713</v>
      </c>
      <c r="H1716" s="116"/>
      <c r="I1716" s="116"/>
      <c r="L1716" s="170">
        <v>45534</v>
      </c>
      <c r="M1716" s="116">
        <v>1850.3</v>
      </c>
      <c r="N1716" s="116">
        <v>1869.8</v>
      </c>
      <c r="O1716" s="116">
        <v>1837</v>
      </c>
      <c r="P1716" s="116">
        <v>1839.95</v>
      </c>
      <c r="Q1716" s="116">
        <v>1850.3</v>
      </c>
      <c r="R1716">
        <v>2125138</v>
      </c>
    </row>
    <row r="1717" spans="1:18" x14ac:dyDescent="0.25">
      <c r="A1717" s="170">
        <v>45537</v>
      </c>
      <c r="B1717" s="116">
        <v>1894.25</v>
      </c>
      <c r="C1717" s="116">
        <v>1888.1</v>
      </c>
      <c r="D1717" s="116">
        <v>1850.7</v>
      </c>
      <c r="E1717" s="116">
        <v>1854.7</v>
      </c>
      <c r="F1717" s="116">
        <v>1888.1</v>
      </c>
      <c r="G1717">
        <v>27571</v>
      </c>
      <c r="H1717" s="116"/>
      <c r="I1717" s="116"/>
      <c r="L1717" s="170">
        <v>45537</v>
      </c>
      <c r="M1717" s="116">
        <v>1888.75</v>
      </c>
      <c r="N1717" s="116">
        <v>1894.65</v>
      </c>
      <c r="O1717" s="116">
        <v>1849.05</v>
      </c>
      <c r="P1717" s="116">
        <v>1850.3</v>
      </c>
      <c r="Q1717" s="116">
        <v>1888.75</v>
      </c>
      <c r="R1717">
        <v>2522132</v>
      </c>
    </row>
    <row r="1718" spans="1:18" x14ac:dyDescent="0.25">
      <c r="A1718" s="170">
        <v>45538</v>
      </c>
      <c r="B1718" s="116">
        <v>1935</v>
      </c>
      <c r="C1718" s="116">
        <v>1926.45</v>
      </c>
      <c r="D1718" s="116">
        <v>1881.7</v>
      </c>
      <c r="E1718" s="116">
        <v>1893.5</v>
      </c>
      <c r="F1718" s="116">
        <v>1926.45</v>
      </c>
      <c r="G1718">
        <v>60456</v>
      </c>
      <c r="H1718" s="116"/>
      <c r="I1718" s="116"/>
      <c r="L1718" s="170">
        <v>45538</v>
      </c>
      <c r="M1718" s="116">
        <v>1928.65</v>
      </c>
      <c r="N1718" s="116">
        <v>1936</v>
      </c>
      <c r="O1718" s="116">
        <v>1881.75</v>
      </c>
      <c r="P1718" s="116">
        <v>1890</v>
      </c>
      <c r="Q1718" s="116">
        <v>1928.65</v>
      </c>
      <c r="R1718">
        <v>3457882</v>
      </c>
    </row>
    <row r="1719" spans="1:18" x14ac:dyDescent="0.25">
      <c r="A1719" s="170">
        <v>45539</v>
      </c>
      <c r="B1719" s="116">
        <v>1919</v>
      </c>
      <c r="C1719" s="116">
        <v>1911.35</v>
      </c>
      <c r="D1719" s="116">
        <v>1902.15</v>
      </c>
      <c r="E1719" s="116">
        <v>1915.45</v>
      </c>
      <c r="F1719" s="116">
        <v>1911.35</v>
      </c>
      <c r="G1719">
        <v>15588</v>
      </c>
      <c r="H1719" s="116"/>
      <c r="I1719" s="116"/>
      <c r="L1719" s="170">
        <v>45539</v>
      </c>
      <c r="M1719" s="116">
        <v>1912.2</v>
      </c>
      <c r="N1719" s="116">
        <v>1920</v>
      </c>
      <c r="O1719" s="116">
        <v>1902.35</v>
      </c>
      <c r="P1719" s="116">
        <v>1910</v>
      </c>
      <c r="Q1719" s="116">
        <v>1912.2</v>
      </c>
      <c r="R1719">
        <v>952279</v>
      </c>
    </row>
    <row r="1720" spans="1:18" x14ac:dyDescent="0.25">
      <c r="A1720" s="170">
        <v>45540</v>
      </c>
      <c r="B1720" s="116">
        <v>1922.4</v>
      </c>
      <c r="C1720" s="116">
        <v>1907.7</v>
      </c>
      <c r="D1720" s="116">
        <v>1900.45</v>
      </c>
      <c r="E1720" s="116">
        <v>1922.4</v>
      </c>
      <c r="F1720" s="116">
        <v>1907.7</v>
      </c>
      <c r="G1720">
        <v>9323</v>
      </c>
      <c r="H1720" s="116"/>
      <c r="I1720" s="116"/>
      <c r="L1720" s="170">
        <v>45540</v>
      </c>
      <c r="M1720" s="116">
        <v>1907.85</v>
      </c>
      <c r="N1720" s="116">
        <v>1919</v>
      </c>
      <c r="O1720" s="116">
        <v>1900.2</v>
      </c>
      <c r="P1720" s="116">
        <v>1919</v>
      </c>
      <c r="Q1720" s="116">
        <v>1907.85</v>
      </c>
      <c r="R1720">
        <v>947097</v>
      </c>
    </row>
    <row r="1721" spans="1:18" x14ac:dyDescent="0.25">
      <c r="A1721" s="170">
        <v>45541</v>
      </c>
      <c r="B1721" s="116">
        <v>1916.9</v>
      </c>
      <c r="C1721" s="116">
        <v>1897.25</v>
      </c>
      <c r="D1721" s="116">
        <v>1889.2</v>
      </c>
      <c r="E1721" s="116">
        <v>1914.85</v>
      </c>
      <c r="F1721" s="116">
        <v>1897.25</v>
      </c>
      <c r="G1721">
        <v>7479</v>
      </c>
      <c r="H1721" s="116"/>
      <c r="I1721" s="116"/>
      <c r="L1721" s="170">
        <v>45541</v>
      </c>
      <c r="M1721" s="116">
        <v>1896.3</v>
      </c>
      <c r="N1721" s="116">
        <v>1916.85</v>
      </c>
      <c r="O1721" s="116">
        <v>1889.45</v>
      </c>
      <c r="P1721" s="116">
        <v>1898.1</v>
      </c>
      <c r="Q1721" s="116">
        <v>1896.3</v>
      </c>
      <c r="R1721">
        <v>772396</v>
      </c>
    </row>
    <row r="1722" spans="1:18" x14ac:dyDescent="0.25">
      <c r="A1722" s="170">
        <v>45544</v>
      </c>
      <c r="B1722" s="116">
        <v>1932.7</v>
      </c>
      <c r="C1722" s="116">
        <v>1902.65</v>
      </c>
      <c r="D1722" s="116">
        <v>1894.6</v>
      </c>
      <c r="E1722" s="116">
        <v>1897.6</v>
      </c>
      <c r="F1722" s="116">
        <v>1902.65</v>
      </c>
      <c r="G1722">
        <v>49133</v>
      </c>
      <c r="H1722" s="116"/>
      <c r="I1722" s="116"/>
      <c r="L1722" s="170">
        <v>45544</v>
      </c>
      <c r="M1722" s="116">
        <v>1901.75</v>
      </c>
      <c r="N1722" s="116">
        <v>1932.85</v>
      </c>
      <c r="O1722" s="116">
        <v>1894.5</v>
      </c>
      <c r="P1722" s="116">
        <v>1900.85</v>
      </c>
      <c r="Q1722" s="116">
        <v>1901.75</v>
      </c>
      <c r="R1722">
        <v>1845859</v>
      </c>
    </row>
    <row r="1723" spans="1:18" x14ac:dyDescent="0.25">
      <c r="A1723" s="170">
        <v>45545</v>
      </c>
      <c r="B1723" s="116">
        <v>1902</v>
      </c>
      <c r="C1723" s="116">
        <v>1853.3</v>
      </c>
      <c r="D1723" s="116">
        <v>1839.5</v>
      </c>
      <c r="E1723" s="116">
        <v>1902</v>
      </c>
      <c r="F1723" s="116">
        <v>1853.3</v>
      </c>
      <c r="G1723">
        <v>35430</v>
      </c>
      <c r="H1723" s="116"/>
      <c r="I1723" s="116"/>
      <c r="L1723" s="170">
        <v>45545</v>
      </c>
      <c r="M1723" s="116">
        <v>1853.45</v>
      </c>
      <c r="N1723" s="116">
        <v>1890</v>
      </c>
      <c r="O1723" s="116">
        <v>1838.75</v>
      </c>
      <c r="P1723" s="116">
        <v>1890</v>
      </c>
      <c r="Q1723" s="116">
        <v>1853.45</v>
      </c>
      <c r="R1723">
        <v>2515665</v>
      </c>
    </row>
    <row r="1724" spans="1:18" x14ac:dyDescent="0.25">
      <c r="A1724" s="170">
        <v>45546</v>
      </c>
      <c r="B1724" s="116">
        <v>1870.5</v>
      </c>
      <c r="C1724" s="116">
        <v>1860.15</v>
      </c>
      <c r="D1724" s="116">
        <v>1842.7</v>
      </c>
      <c r="E1724" s="116">
        <v>1853</v>
      </c>
      <c r="F1724" s="116">
        <v>1860.15</v>
      </c>
      <c r="G1724">
        <v>7913</v>
      </c>
      <c r="H1724" s="116"/>
      <c r="I1724" s="116"/>
      <c r="L1724" s="170">
        <v>45546</v>
      </c>
      <c r="M1724" s="116">
        <v>1859.15</v>
      </c>
      <c r="N1724" s="116">
        <v>1871.05</v>
      </c>
      <c r="O1724" s="116">
        <v>1844.55</v>
      </c>
      <c r="P1724" s="116">
        <v>1845.1</v>
      </c>
      <c r="Q1724" s="116">
        <v>1859.15</v>
      </c>
      <c r="R1724">
        <v>630094</v>
      </c>
    </row>
    <row r="1725" spans="1:18" x14ac:dyDescent="0.25">
      <c r="A1725" s="170">
        <v>45547</v>
      </c>
      <c r="B1725" s="116">
        <v>1879.8</v>
      </c>
      <c r="C1725" s="116">
        <v>1874.05</v>
      </c>
      <c r="D1725" s="116">
        <v>1841.85</v>
      </c>
      <c r="E1725" s="116">
        <v>1861.05</v>
      </c>
      <c r="F1725" s="116">
        <v>1874.05</v>
      </c>
      <c r="G1725">
        <v>14276</v>
      </c>
      <c r="H1725" s="116"/>
      <c r="I1725" s="116"/>
      <c r="L1725" s="170">
        <v>45547</v>
      </c>
      <c r="M1725" s="116">
        <v>1875.95</v>
      </c>
      <c r="N1725" s="116">
        <v>1880</v>
      </c>
      <c r="O1725" s="116">
        <v>1840.6</v>
      </c>
      <c r="P1725" s="116">
        <v>1863</v>
      </c>
      <c r="Q1725" s="116">
        <v>1875.95</v>
      </c>
      <c r="R1725">
        <v>1126825</v>
      </c>
    </row>
    <row r="1726" spans="1:18" x14ac:dyDescent="0.25">
      <c r="A1726" s="170">
        <v>45548</v>
      </c>
      <c r="B1726" s="116">
        <v>1873.6</v>
      </c>
      <c r="C1726" s="116">
        <v>1845.9</v>
      </c>
      <c r="D1726" s="116">
        <v>1843</v>
      </c>
      <c r="E1726" s="116">
        <v>1873.6</v>
      </c>
      <c r="F1726" s="116">
        <v>1845.9</v>
      </c>
      <c r="G1726">
        <v>10611</v>
      </c>
      <c r="H1726" s="116"/>
      <c r="I1726" s="116"/>
      <c r="L1726" s="170">
        <v>45548</v>
      </c>
      <c r="M1726" s="116">
        <v>1846.5</v>
      </c>
      <c r="N1726" s="116">
        <v>1871.75</v>
      </c>
      <c r="O1726" s="116">
        <v>1841.75</v>
      </c>
      <c r="P1726" s="116">
        <v>1869</v>
      </c>
      <c r="Q1726" s="116">
        <v>1846.5</v>
      </c>
      <c r="R1726">
        <v>886112</v>
      </c>
    </row>
    <row r="1727" spans="1:18" x14ac:dyDescent="0.25">
      <c r="A1727" s="170">
        <v>45551</v>
      </c>
      <c r="B1727" s="116">
        <v>1861.2</v>
      </c>
      <c r="C1727" s="116">
        <v>1821.4</v>
      </c>
      <c r="D1727" s="116">
        <v>1817</v>
      </c>
      <c r="E1727" s="116">
        <v>1855.5</v>
      </c>
      <c r="F1727" s="116">
        <v>1821.4</v>
      </c>
      <c r="G1727">
        <v>7607</v>
      </c>
      <c r="H1727" s="116"/>
      <c r="I1727" s="116"/>
      <c r="L1727" s="170">
        <v>45551</v>
      </c>
      <c r="M1727" s="116">
        <v>1821.25</v>
      </c>
      <c r="N1727" s="116">
        <v>1864.8</v>
      </c>
      <c r="O1727" s="116">
        <v>1816.1</v>
      </c>
      <c r="P1727" s="116">
        <v>1851</v>
      </c>
      <c r="Q1727" s="116">
        <v>1821.25</v>
      </c>
      <c r="R1727">
        <v>1576652</v>
      </c>
    </row>
    <row r="1728" spans="1:18" x14ac:dyDescent="0.25">
      <c r="A1728" s="170">
        <v>45552</v>
      </c>
      <c r="B1728" s="116">
        <v>1844.2</v>
      </c>
      <c r="C1728" s="116">
        <v>1822.3</v>
      </c>
      <c r="D1728" s="116">
        <v>1809</v>
      </c>
      <c r="E1728" s="116">
        <v>1822</v>
      </c>
      <c r="F1728" s="116">
        <v>1822.3</v>
      </c>
      <c r="G1728">
        <v>15993</v>
      </c>
      <c r="H1728" s="116"/>
      <c r="I1728" s="116"/>
      <c r="L1728" s="170">
        <v>45552</v>
      </c>
      <c r="M1728" s="116">
        <v>1819.15</v>
      </c>
      <c r="N1728" s="116">
        <v>1844.3</v>
      </c>
      <c r="O1728" s="116">
        <v>1808.45</v>
      </c>
      <c r="P1728" s="116">
        <v>1823.5</v>
      </c>
      <c r="Q1728" s="116">
        <v>1819.15</v>
      </c>
      <c r="R1728">
        <v>844866</v>
      </c>
    </row>
    <row r="1729" spans="1:18" x14ac:dyDescent="0.25">
      <c r="A1729" s="170">
        <v>45553</v>
      </c>
      <c r="B1729" s="116">
        <v>1849.45</v>
      </c>
      <c r="C1729" s="116">
        <v>1842.7</v>
      </c>
      <c r="D1729" s="116">
        <v>1810</v>
      </c>
      <c r="E1729" s="116">
        <v>1810</v>
      </c>
      <c r="F1729" s="116">
        <v>1842.7</v>
      </c>
      <c r="G1729">
        <v>59062</v>
      </c>
      <c r="H1729" s="116"/>
      <c r="I1729" s="116"/>
      <c r="L1729" s="170">
        <v>45553</v>
      </c>
      <c r="M1729" s="116">
        <v>1842.45</v>
      </c>
      <c r="N1729" s="116">
        <v>1848.95</v>
      </c>
      <c r="O1729" s="116">
        <v>1815.05</v>
      </c>
      <c r="P1729" s="116">
        <v>1818.2</v>
      </c>
      <c r="Q1729" s="116">
        <v>1842.45</v>
      </c>
      <c r="R1729">
        <v>518691</v>
      </c>
    </row>
    <row r="1730" spans="1:18" x14ac:dyDescent="0.25">
      <c r="A1730" s="170">
        <v>45554</v>
      </c>
      <c r="B1730" s="116">
        <v>1859.5</v>
      </c>
      <c r="C1730" s="116">
        <v>1842.5</v>
      </c>
      <c r="D1730" s="116">
        <v>1827.8</v>
      </c>
      <c r="E1730" s="116">
        <v>1841.5</v>
      </c>
      <c r="F1730" s="116">
        <v>1842.5</v>
      </c>
      <c r="G1730">
        <v>15204</v>
      </c>
      <c r="H1730" s="116"/>
      <c r="I1730" s="116"/>
      <c r="L1730" s="170">
        <v>45554</v>
      </c>
      <c r="M1730" s="116">
        <v>1840.95</v>
      </c>
      <c r="N1730" s="116">
        <v>1860</v>
      </c>
      <c r="O1730" s="116">
        <v>1828.2</v>
      </c>
      <c r="P1730" s="116">
        <v>1850</v>
      </c>
      <c r="Q1730" s="116">
        <v>1840.95</v>
      </c>
      <c r="R1730">
        <v>776068</v>
      </c>
    </row>
    <row r="1731" spans="1:18" x14ac:dyDescent="0.25">
      <c r="A1731" s="170">
        <v>45555</v>
      </c>
      <c r="B1731" s="116">
        <v>1884.4</v>
      </c>
      <c r="C1731" s="116">
        <v>1868.7</v>
      </c>
      <c r="D1731" s="116">
        <v>1843.75</v>
      </c>
      <c r="E1731" s="116">
        <v>1843.75</v>
      </c>
      <c r="F1731" s="116">
        <v>1868.7</v>
      </c>
      <c r="G1731">
        <v>19598</v>
      </c>
      <c r="H1731" s="116"/>
      <c r="I1731" s="116"/>
      <c r="L1731" s="170">
        <v>45555</v>
      </c>
      <c r="M1731" s="116">
        <v>1870.25</v>
      </c>
      <c r="N1731" s="116">
        <v>1885</v>
      </c>
      <c r="O1731" s="116">
        <v>1845</v>
      </c>
      <c r="P1731" s="116">
        <v>1850</v>
      </c>
      <c r="Q1731" s="116">
        <v>1870.25</v>
      </c>
      <c r="R1731">
        <v>1512372</v>
      </c>
    </row>
    <row r="1732" spans="1:18" x14ac:dyDescent="0.25">
      <c r="A1732" s="170">
        <v>45558</v>
      </c>
      <c r="B1732" s="116">
        <v>1924.5</v>
      </c>
      <c r="C1732" s="116">
        <v>1920.6</v>
      </c>
      <c r="D1732" s="116">
        <v>1881.6</v>
      </c>
      <c r="E1732" s="116">
        <v>1885.5</v>
      </c>
      <c r="F1732" s="116">
        <v>1920.6</v>
      </c>
      <c r="G1732">
        <v>18736</v>
      </c>
      <c r="H1732" s="116"/>
      <c r="I1732" s="116"/>
      <c r="L1732" s="170">
        <v>45558</v>
      </c>
      <c r="M1732" s="116">
        <v>1920.15</v>
      </c>
      <c r="N1732" s="116">
        <v>1925</v>
      </c>
      <c r="O1732" s="116">
        <v>1880</v>
      </c>
      <c r="P1732" s="116">
        <v>1882</v>
      </c>
      <c r="Q1732" s="116">
        <v>1920.15</v>
      </c>
      <c r="R1732">
        <v>1022492</v>
      </c>
    </row>
    <row r="1733" spans="1:18" x14ac:dyDescent="0.25">
      <c r="A1733" s="170">
        <v>45559</v>
      </c>
      <c r="B1733" s="116">
        <v>1929.75</v>
      </c>
      <c r="C1733" s="116">
        <v>1863.7</v>
      </c>
      <c r="D1733" s="116">
        <v>1854</v>
      </c>
      <c r="E1733" s="116">
        <v>1929.75</v>
      </c>
      <c r="F1733" s="116">
        <v>1863.7</v>
      </c>
      <c r="G1733">
        <v>28368</v>
      </c>
      <c r="H1733" s="116"/>
      <c r="I1733" s="116"/>
      <c r="L1733" s="170">
        <v>45559</v>
      </c>
      <c r="M1733" s="116">
        <v>1864.35</v>
      </c>
      <c r="N1733" s="116">
        <v>1927.95</v>
      </c>
      <c r="O1733" s="116">
        <v>1854.6</v>
      </c>
      <c r="P1733" s="116">
        <v>1927.1</v>
      </c>
      <c r="Q1733" s="116">
        <v>1864.35</v>
      </c>
      <c r="R1733">
        <v>2608386</v>
      </c>
    </row>
    <row r="1734" spans="1:18" x14ac:dyDescent="0.25">
      <c r="A1734" s="170">
        <v>45560</v>
      </c>
      <c r="B1734" s="116">
        <v>1874</v>
      </c>
      <c r="C1734" s="116">
        <v>1868.2</v>
      </c>
      <c r="D1734" s="116">
        <v>1841.15</v>
      </c>
      <c r="E1734" s="116">
        <v>1870.05</v>
      </c>
      <c r="F1734" s="116">
        <v>1868.2</v>
      </c>
      <c r="G1734">
        <v>8848</v>
      </c>
      <c r="H1734" s="116"/>
      <c r="I1734" s="116"/>
      <c r="L1734" s="170">
        <v>45560</v>
      </c>
      <c r="M1734" s="116">
        <v>1863.6</v>
      </c>
      <c r="N1734" s="116">
        <v>1875</v>
      </c>
      <c r="O1734" s="116">
        <v>1841.05</v>
      </c>
      <c r="P1734" s="116">
        <v>1873.7</v>
      </c>
      <c r="Q1734" s="116">
        <v>1863.6</v>
      </c>
      <c r="R1734">
        <v>1395256</v>
      </c>
    </row>
    <row r="1735" spans="1:18" x14ac:dyDescent="0.25">
      <c r="A1735" s="170">
        <v>45561</v>
      </c>
      <c r="B1735" s="116">
        <v>1901</v>
      </c>
      <c r="C1735" s="116">
        <v>1897.6</v>
      </c>
      <c r="D1735" s="116">
        <v>1867.45</v>
      </c>
      <c r="E1735" s="116">
        <v>1878.35</v>
      </c>
      <c r="F1735" s="116">
        <v>1897.6</v>
      </c>
      <c r="G1735">
        <v>26262</v>
      </c>
      <c r="H1735" s="116"/>
      <c r="I1735" s="116"/>
      <c r="L1735" s="170">
        <v>45561</v>
      </c>
      <c r="M1735" s="116">
        <v>1898.3</v>
      </c>
      <c r="N1735" s="116">
        <v>1902.05</v>
      </c>
      <c r="O1735" s="116">
        <v>1868.5</v>
      </c>
      <c r="P1735" s="116">
        <v>1873</v>
      </c>
      <c r="Q1735" s="116">
        <v>1898.3</v>
      </c>
      <c r="R1735">
        <v>1396821</v>
      </c>
    </row>
    <row r="1736" spans="1:18" x14ac:dyDescent="0.25">
      <c r="A1736" s="170">
        <v>45562</v>
      </c>
      <c r="B1736" s="116">
        <v>1913.15</v>
      </c>
      <c r="C1736" s="116">
        <v>1885.7</v>
      </c>
      <c r="D1736" s="116">
        <v>1873.7</v>
      </c>
      <c r="E1736" s="116">
        <v>1903.65</v>
      </c>
      <c r="F1736" s="116">
        <v>1885.7</v>
      </c>
      <c r="G1736">
        <v>8113</v>
      </c>
      <c r="H1736" s="116"/>
      <c r="I1736" s="116"/>
      <c r="L1736" s="170">
        <v>45562</v>
      </c>
      <c r="M1736" s="116">
        <v>1882.65</v>
      </c>
      <c r="N1736" s="116">
        <v>1913</v>
      </c>
      <c r="O1736" s="116">
        <v>1873.9</v>
      </c>
      <c r="P1736" s="116">
        <v>1898.3</v>
      </c>
      <c r="Q1736" s="116">
        <v>1882.65</v>
      </c>
      <c r="R1736">
        <v>1678089</v>
      </c>
    </row>
    <row r="1737" spans="1:18" x14ac:dyDescent="0.25">
      <c r="A1737" s="170">
        <v>45565</v>
      </c>
      <c r="B1737" s="116">
        <v>1893</v>
      </c>
      <c r="C1737" s="116">
        <v>1843.3</v>
      </c>
      <c r="D1737" s="116">
        <v>1838.95</v>
      </c>
      <c r="E1737" s="116">
        <v>1883.25</v>
      </c>
      <c r="F1737" s="116">
        <v>1843.3</v>
      </c>
      <c r="G1737">
        <v>11717</v>
      </c>
      <c r="H1737" s="116"/>
      <c r="I1737" s="116"/>
      <c r="L1737" s="170">
        <v>45565</v>
      </c>
      <c r="M1737" s="116">
        <v>1844</v>
      </c>
      <c r="N1737" s="116">
        <v>1893.6</v>
      </c>
      <c r="O1737" s="116">
        <v>1838.25</v>
      </c>
      <c r="P1737" s="116">
        <v>1892</v>
      </c>
      <c r="Q1737" s="116">
        <v>1844</v>
      </c>
      <c r="R1737">
        <v>1473366</v>
      </c>
    </row>
    <row r="1738" spans="1:18" x14ac:dyDescent="0.25">
      <c r="A1738" s="170">
        <v>45566</v>
      </c>
      <c r="B1738" s="116">
        <v>1887.95</v>
      </c>
      <c r="C1738" s="116">
        <v>1833.75</v>
      </c>
      <c r="D1738" s="116">
        <v>1825</v>
      </c>
      <c r="E1738" s="116">
        <v>1887.95</v>
      </c>
      <c r="F1738" s="116">
        <v>1833.75</v>
      </c>
      <c r="G1738">
        <v>10709</v>
      </c>
      <c r="H1738" s="116"/>
      <c r="I1738" s="116"/>
      <c r="L1738" s="170">
        <v>45566</v>
      </c>
      <c r="M1738" s="116">
        <v>1834.2</v>
      </c>
      <c r="N1738" s="116">
        <v>1859.3</v>
      </c>
      <c r="O1738" s="116">
        <v>1824.3</v>
      </c>
      <c r="P1738" s="116">
        <v>1840.2</v>
      </c>
      <c r="Q1738" s="116">
        <v>1834.2</v>
      </c>
      <c r="R1738">
        <v>885515</v>
      </c>
    </row>
    <row r="1739" spans="1:18" x14ac:dyDescent="0.25">
      <c r="A1739" s="170">
        <v>45568</v>
      </c>
      <c r="B1739" s="116">
        <v>1842.1</v>
      </c>
      <c r="C1739" s="116">
        <v>1807</v>
      </c>
      <c r="D1739" s="116">
        <v>1795</v>
      </c>
      <c r="E1739" s="116">
        <v>1800.15</v>
      </c>
      <c r="F1739" s="116">
        <v>1807</v>
      </c>
      <c r="G1739">
        <v>13348</v>
      </c>
      <c r="H1739" s="116"/>
      <c r="I1739" s="116"/>
      <c r="L1739" s="170">
        <v>45568</v>
      </c>
      <c r="M1739" s="116">
        <v>1805.55</v>
      </c>
      <c r="N1739" s="116">
        <v>1845.2</v>
      </c>
      <c r="O1739" s="116">
        <v>1795.05</v>
      </c>
      <c r="P1739" s="116">
        <v>1807</v>
      </c>
      <c r="Q1739" s="116">
        <v>1805.55</v>
      </c>
      <c r="R1739">
        <v>1307453</v>
      </c>
    </row>
    <row r="1740" spans="1:18" x14ac:dyDescent="0.25">
      <c r="A1740" s="170">
        <v>45569</v>
      </c>
      <c r="B1740" s="116">
        <v>1850.9</v>
      </c>
      <c r="C1740" s="116">
        <v>1798.1</v>
      </c>
      <c r="D1740" s="116">
        <v>1782.7</v>
      </c>
      <c r="E1740" s="116">
        <v>1795.2</v>
      </c>
      <c r="F1740" s="116">
        <v>1798.1</v>
      </c>
      <c r="G1740">
        <v>25018</v>
      </c>
      <c r="H1740" s="116"/>
      <c r="I1740" s="116"/>
      <c r="L1740" s="170">
        <v>45569</v>
      </c>
      <c r="M1740" s="116">
        <v>1798.1</v>
      </c>
      <c r="N1740" s="116">
        <v>1850</v>
      </c>
      <c r="O1740" s="116">
        <v>1782.55</v>
      </c>
      <c r="P1740" s="116">
        <v>1805.55</v>
      </c>
      <c r="Q1740" s="116">
        <v>1798.1</v>
      </c>
      <c r="R1740">
        <v>1554623</v>
      </c>
    </row>
    <row r="1741" spans="1:18" x14ac:dyDescent="0.25">
      <c r="A1741" s="170">
        <v>45572</v>
      </c>
      <c r="B1741" s="116">
        <v>1821.55</v>
      </c>
      <c r="C1741" s="116">
        <v>1786.95</v>
      </c>
      <c r="D1741" s="116">
        <v>1776.15</v>
      </c>
      <c r="E1741" s="116">
        <v>1790.2</v>
      </c>
      <c r="F1741" s="116">
        <v>1786.95</v>
      </c>
      <c r="G1741">
        <v>19985</v>
      </c>
      <c r="H1741" s="116"/>
      <c r="I1741" s="116"/>
      <c r="L1741" s="170">
        <v>45572</v>
      </c>
      <c r="M1741" s="116">
        <v>1787.95</v>
      </c>
      <c r="N1741" s="116">
        <v>1819.85</v>
      </c>
      <c r="O1741" s="116">
        <v>1776</v>
      </c>
      <c r="P1741" s="116">
        <v>1800</v>
      </c>
      <c r="Q1741" s="116">
        <v>1787.95</v>
      </c>
      <c r="R1741">
        <v>692912</v>
      </c>
    </row>
    <row r="1742" spans="1:18" x14ac:dyDescent="0.25">
      <c r="A1742" s="170">
        <v>45573</v>
      </c>
      <c r="B1742" s="116">
        <v>1797.95</v>
      </c>
      <c r="C1742" s="116">
        <v>1727.8</v>
      </c>
      <c r="D1742" s="116">
        <v>1724.4</v>
      </c>
      <c r="E1742" s="116">
        <v>1775</v>
      </c>
      <c r="F1742" s="116">
        <v>1727.8</v>
      </c>
      <c r="G1742">
        <v>19075</v>
      </c>
      <c r="H1742" s="116"/>
      <c r="I1742" s="116"/>
      <c r="L1742" s="170">
        <v>45573</v>
      </c>
      <c r="M1742" s="116">
        <v>1728.05</v>
      </c>
      <c r="N1742" s="116">
        <v>1799.05</v>
      </c>
      <c r="O1742" s="116">
        <v>1723.55</v>
      </c>
      <c r="P1742" s="116">
        <v>1785</v>
      </c>
      <c r="Q1742" s="116">
        <v>1728.05</v>
      </c>
      <c r="R1742">
        <v>2888148</v>
      </c>
    </row>
    <row r="1743" spans="1:18" x14ac:dyDescent="0.25">
      <c r="A1743" s="170">
        <v>45574</v>
      </c>
      <c r="B1743" s="116">
        <v>1757.8</v>
      </c>
      <c r="C1743" s="116">
        <v>1738.15</v>
      </c>
      <c r="D1743" s="116">
        <v>1733.8</v>
      </c>
      <c r="E1743" s="116">
        <v>1752.95</v>
      </c>
      <c r="F1743" s="116">
        <v>1738.15</v>
      </c>
      <c r="G1743">
        <v>7815</v>
      </c>
      <c r="H1743" s="116"/>
      <c r="I1743" s="116"/>
      <c r="L1743" s="170">
        <v>45574</v>
      </c>
      <c r="M1743" s="116">
        <v>1737.4</v>
      </c>
      <c r="N1743" s="116">
        <v>1759</v>
      </c>
      <c r="O1743" s="116">
        <v>1733.05</v>
      </c>
      <c r="P1743" s="116">
        <v>1748.05</v>
      </c>
      <c r="Q1743" s="116">
        <v>1737.4</v>
      </c>
      <c r="R1743">
        <v>704112</v>
      </c>
    </row>
    <row r="1744" spans="1:18" x14ac:dyDescent="0.25">
      <c r="A1744" s="170">
        <v>45575</v>
      </c>
      <c r="B1744" s="116">
        <v>1757.95</v>
      </c>
      <c r="C1744" s="116">
        <v>1737</v>
      </c>
      <c r="D1744" s="116">
        <v>1728.8</v>
      </c>
      <c r="E1744" s="116">
        <v>1757.95</v>
      </c>
      <c r="F1744" s="116">
        <v>1737</v>
      </c>
      <c r="G1744">
        <v>12973</v>
      </c>
      <c r="H1744" s="116"/>
      <c r="I1744" s="116"/>
      <c r="L1744" s="170">
        <v>45575</v>
      </c>
      <c r="M1744" s="116">
        <v>1734.5</v>
      </c>
      <c r="N1744" s="116">
        <v>1754.45</v>
      </c>
      <c r="O1744" s="116">
        <v>1729.55</v>
      </c>
      <c r="P1744" s="116">
        <v>1745.15</v>
      </c>
      <c r="Q1744" s="116">
        <v>1734.5</v>
      </c>
      <c r="R1744">
        <v>784503</v>
      </c>
    </row>
    <row r="1745" spans="1:18" x14ac:dyDescent="0.25">
      <c r="A1745" s="170">
        <v>45576</v>
      </c>
      <c r="B1745" s="116">
        <v>1746.55</v>
      </c>
      <c r="C1745" s="116">
        <v>1734.55</v>
      </c>
      <c r="D1745" s="116">
        <v>1718.85</v>
      </c>
      <c r="E1745" s="116">
        <v>1737</v>
      </c>
      <c r="F1745" s="116">
        <v>1734.55</v>
      </c>
      <c r="G1745">
        <v>10540</v>
      </c>
      <c r="H1745" s="116"/>
      <c r="I1745" s="116"/>
      <c r="L1745" s="170">
        <v>45576</v>
      </c>
      <c r="M1745" s="116">
        <v>1735.05</v>
      </c>
      <c r="N1745" s="116">
        <v>1746.75</v>
      </c>
      <c r="O1745" s="116">
        <v>1718.6</v>
      </c>
      <c r="P1745" s="116">
        <v>1737.5</v>
      </c>
      <c r="Q1745" s="116">
        <v>1735.05</v>
      </c>
      <c r="R1745">
        <v>805944</v>
      </c>
    </row>
    <row r="1746" spans="1:18" x14ac:dyDescent="0.25">
      <c r="A1746" s="170">
        <v>45579</v>
      </c>
      <c r="B1746" s="116">
        <v>1741.2</v>
      </c>
      <c r="C1746" s="116">
        <v>1737.45</v>
      </c>
      <c r="D1746" s="116">
        <v>1718</v>
      </c>
      <c r="E1746" s="116">
        <v>1733.6</v>
      </c>
      <c r="F1746" s="116">
        <v>1737.45</v>
      </c>
      <c r="G1746">
        <v>8443</v>
      </c>
      <c r="H1746" s="116"/>
      <c r="I1746" s="116"/>
      <c r="L1746" s="170">
        <v>45579</v>
      </c>
      <c r="M1746" s="116">
        <v>1738.3</v>
      </c>
      <c r="N1746" s="116">
        <v>1743.85</v>
      </c>
      <c r="O1746" s="116">
        <v>1717.3</v>
      </c>
      <c r="P1746" s="116">
        <v>1738.75</v>
      </c>
      <c r="Q1746" s="116">
        <v>1738.3</v>
      </c>
      <c r="R1746">
        <v>1349793</v>
      </c>
    </row>
    <row r="1747" spans="1:18" x14ac:dyDescent="0.25">
      <c r="A1747" s="170">
        <v>45580</v>
      </c>
      <c r="B1747" s="116">
        <v>1753.65</v>
      </c>
      <c r="C1747" s="116">
        <v>1723.1</v>
      </c>
      <c r="D1747" s="116">
        <v>1719.3</v>
      </c>
      <c r="E1747" s="116">
        <v>1737.5</v>
      </c>
      <c r="F1747" s="116">
        <v>1723.1</v>
      </c>
      <c r="G1747">
        <v>6705</v>
      </c>
      <c r="H1747" s="116"/>
      <c r="I1747" s="116"/>
      <c r="L1747" s="170">
        <v>45580</v>
      </c>
      <c r="M1747" s="116">
        <v>1723.75</v>
      </c>
      <c r="N1747" s="116">
        <v>1754.95</v>
      </c>
      <c r="O1747" s="116">
        <v>1718.5</v>
      </c>
      <c r="P1747" s="116">
        <v>1741.95</v>
      </c>
      <c r="Q1747" s="116">
        <v>1723.75</v>
      </c>
      <c r="R1747">
        <v>2159705</v>
      </c>
    </row>
    <row r="1748" spans="1:18" x14ac:dyDescent="0.25">
      <c r="A1748" s="170">
        <v>45581</v>
      </c>
      <c r="B1748" s="116">
        <v>1748.9</v>
      </c>
      <c r="C1748" s="116">
        <v>1733.3</v>
      </c>
      <c r="D1748" s="116">
        <v>1723.75</v>
      </c>
      <c r="E1748" s="116">
        <v>1723.75</v>
      </c>
      <c r="F1748" s="116">
        <v>1733.3</v>
      </c>
      <c r="G1748">
        <v>5674</v>
      </c>
      <c r="H1748" s="116"/>
      <c r="I1748" s="116"/>
      <c r="L1748" s="170">
        <v>45581</v>
      </c>
      <c r="M1748" s="116">
        <v>1733.75</v>
      </c>
      <c r="N1748" s="116">
        <v>1749</v>
      </c>
      <c r="O1748" s="116">
        <v>1724</v>
      </c>
      <c r="P1748" s="116">
        <v>1725.05</v>
      </c>
      <c r="Q1748" s="116">
        <v>1733.75</v>
      </c>
      <c r="R1748">
        <v>891554</v>
      </c>
    </row>
    <row r="1749" spans="1:18" x14ac:dyDescent="0.25">
      <c r="A1749" s="170">
        <v>45582</v>
      </c>
      <c r="B1749" s="116">
        <v>1744.85</v>
      </c>
      <c r="C1749" s="116">
        <v>1702.35</v>
      </c>
      <c r="D1749" s="116">
        <v>1698.05</v>
      </c>
      <c r="E1749" s="116">
        <v>1744.85</v>
      </c>
      <c r="F1749" s="116">
        <v>1702.35</v>
      </c>
      <c r="G1749">
        <v>3528</v>
      </c>
      <c r="H1749" s="116"/>
      <c r="I1749" s="116"/>
      <c r="L1749" s="170">
        <v>45582</v>
      </c>
      <c r="M1749" s="116">
        <v>1702</v>
      </c>
      <c r="N1749" s="116">
        <v>1739</v>
      </c>
      <c r="O1749" s="116">
        <v>1695.75</v>
      </c>
      <c r="P1749" s="116">
        <v>1734</v>
      </c>
      <c r="Q1749" s="116">
        <v>1702</v>
      </c>
      <c r="R1749">
        <v>2442434</v>
      </c>
    </row>
    <row r="1750" spans="1:18" x14ac:dyDescent="0.25">
      <c r="A1750" s="170">
        <v>45583</v>
      </c>
      <c r="B1750" s="116">
        <v>1715.8</v>
      </c>
      <c r="C1750" s="116">
        <v>1705.35</v>
      </c>
      <c r="D1750" s="116">
        <v>1680.6</v>
      </c>
      <c r="E1750" s="116">
        <v>1697.1</v>
      </c>
      <c r="F1750" s="116">
        <v>1705.35</v>
      </c>
      <c r="G1750">
        <v>5703</v>
      </c>
      <c r="H1750" s="116"/>
      <c r="I1750" s="116"/>
      <c r="L1750" s="170">
        <v>45583</v>
      </c>
      <c r="M1750" s="116">
        <v>1706.05</v>
      </c>
      <c r="N1750" s="116">
        <v>1717.45</v>
      </c>
      <c r="O1750" s="116">
        <v>1680.6</v>
      </c>
      <c r="P1750" s="116">
        <v>1706</v>
      </c>
      <c r="Q1750" s="116">
        <v>1706.05</v>
      </c>
      <c r="R1750">
        <v>2045293</v>
      </c>
    </row>
    <row r="1751" spans="1:18" x14ac:dyDescent="0.25">
      <c r="A1751" s="170">
        <v>45586</v>
      </c>
      <c r="B1751" s="116">
        <v>1736.25</v>
      </c>
      <c r="C1751" s="116">
        <v>1712.75</v>
      </c>
      <c r="D1751" s="116">
        <v>1697.85</v>
      </c>
      <c r="E1751" s="116">
        <v>1707.05</v>
      </c>
      <c r="F1751" s="116">
        <v>1712.75</v>
      </c>
      <c r="G1751">
        <v>8085</v>
      </c>
      <c r="H1751" s="116"/>
      <c r="I1751" s="116"/>
      <c r="L1751" s="170">
        <v>45586</v>
      </c>
      <c r="M1751" s="116">
        <v>1711.85</v>
      </c>
      <c r="N1751" s="116">
        <v>1776.05</v>
      </c>
      <c r="O1751" s="116">
        <v>1696.8</v>
      </c>
      <c r="P1751" s="116">
        <v>1715.15</v>
      </c>
      <c r="Q1751" s="116">
        <v>1711.85</v>
      </c>
      <c r="R1751">
        <v>1574574</v>
      </c>
    </row>
    <row r="1752" spans="1:18" x14ac:dyDescent="0.25">
      <c r="A1752" s="170">
        <v>45587</v>
      </c>
      <c r="B1752" s="116">
        <v>1726.55</v>
      </c>
      <c r="C1752" s="116">
        <v>1699.05</v>
      </c>
      <c r="D1752" s="116">
        <v>1687.4</v>
      </c>
      <c r="E1752" s="116">
        <v>1705</v>
      </c>
      <c r="F1752" s="116">
        <v>1699.05</v>
      </c>
      <c r="G1752">
        <v>12822</v>
      </c>
      <c r="H1752" s="116"/>
      <c r="I1752" s="116"/>
      <c r="L1752" s="170">
        <v>45587</v>
      </c>
      <c r="M1752" s="116">
        <v>1698.15</v>
      </c>
      <c r="N1752" s="116">
        <v>1726.95</v>
      </c>
      <c r="O1752" s="116">
        <v>1672.9</v>
      </c>
      <c r="P1752" s="116">
        <v>1701</v>
      </c>
      <c r="Q1752" s="116">
        <v>1698.15</v>
      </c>
      <c r="R1752">
        <v>1290296</v>
      </c>
    </row>
    <row r="1753" spans="1:18" x14ac:dyDescent="0.25">
      <c r="A1753" s="170">
        <v>45588</v>
      </c>
      <c r="B1753" s="116">
        <v>1728.35</v>
      </c>
      <c r="C1753" s="116">
        <v>1714.9</v>
      </c>
      <c r="D1753" s="116">
        <v>1692.45</v>
      </c>
      <c r="E1753" s="116">
        <v>1707.25</v>
      </c>
      <c r="F1753" s="116">
        <v>1714.9</v>
      </c>
      <c r="G1753">
        <v>25173</v>
      </c>
      <c r="H1753" s="116"/>
      <c r="I1753" s="116"/>
      <c r="L1753" s="170">
        <v>45588</v>
      </c>
      <c r="M1753" s="116">
        <v>1716</v>
      </c>
      <c r="N1753" s="116">
        <v>1728.9</v>
      </c>
      <c r="O1753" s="116">
        <v>1692.25</v>
      </c>
      <c r="P1753" s="116">
        <v>1703.2</v>
      </c>
      <c r="Q1753" s="116">
        <v>1716</v>
      </c>
      <c r="R1753">
        <v>952362</v>
      </c>
    </row>
    <row r="1754" spans="1:18" x14ac:dyDescent="0.25">
      <c r="A1754" s="170">
        <v>45589</v>
      </c>
      <c r="B1754" s="116">
        <v>1739.3</v>
      </c>
      <c r="C1754" s="116">
        <v>1633.9</v>
      </c>
      <c r="D1754" s="116">
        <v>1624.55</v>
      </c>
      <c r="E1754" s="116">
        <v>1739.3</v>
      </c>
      <c r="F1754" s="116">
        <v>1633.9</v>
      </c>
      <c r="G1754">
        <v>29555</v>
      </c>
      <c r="H1754" s="116"/>
      <c r="I1754" s="116"/>
      <c r="L1754" s="170">
        <v>45589</v>
      </c>
      <c r="M1754" s="116">
        <v>1635.3</v>
      </c>
      <c r="N1754" s="116">
        <v>1724.45</v>
      </c>
      <c r="O1754" s="116">
        <v>1623</v>
      </c>
      <c r="P1754" s="116">
        <v>1724.45</v>
      </c>
      <c r="Q1754" s="116">
        <v>1635.3</v>
      </c>
      <c r="R1754">
        <v>4320374</v>
      </c>
    </row>
    <row r="1755" spans="1:18" x14ac:dyDescent="0.25">
      <c r="A1755" s="170">
        <v>45590</v>
      </c>
      <c r="B1755" s="116">
        <v>1651.65</v>
      </c>
      <c r="C1755" s="116">
        <v>1617.1</v>
      </c>
      <c r="D1755" s="116">
        <v>1603.75</v>
      </c>
      <c r="E1755" s="116">
        <v>1636.5</v>
      </c>
      <c r="F1755" s="116">
        <v>1617.1</v>
      </c>
      <c r="G1755">
        <v>24310</v>
      </c>
      <c r="H1755" s="116"/>
      <c r="I1755" s="116"/>
      <c r="L1755" s="170">
        <v>45590</v>
      </c>
      <c r="M1755" s="116">
        <v>1616.75</v>
      </c>
      <c r="N1755" s="116">
        <v>1653.3</v>
      </c>
      <c r="O1755" s="116">
        <v>1603.95</v>
      </c>
      <c r="P1755" s="116">
        <v>1644.85</v>
      </c>
      <c r="Q1755" s="116">
        <v>1616.75</v>
      </c>
      <c r="R1755">
        <v>1639581</v>
      </c>
    </row>
    <row r="1756" spans="1:18" x14ac:dyDescent="0.25">
      <c r="A1756" s="170">
        <v>45593</v>
      </c>
      <c r="B1756" s="116">
        <v>1617.1</v>
      </c>
      <c r="C1756" s="116">
        <v>1606.3</v>
      </c>
      <c r="D1756" s="116">
        <v>1593.2</v>
      </c>
      <c r="E1756" s="116">
        <v>1617.1</v>
      </c>
      <c r="F1756" s="116">
        <v>1606.3</v>
      </c>
      <c r="G1756">
        <v>16333</v>
      </c>
      <c r="H1756" s="116"/>
      <c r="I1756" s="116"/>
      <c r="L1756" s="170">
        <v>45593</v>
      </c>
      <c r="M1756" s="116">
        <v>1605.9</v>
      </c>
      <c r="N1756" s="116">
        <v>1620</v>
      </c>
      <c r="O1756" s="116">
        <v>1593.6</v>
      </c>
      <c r="P1756" s="116">
        <v>1617</v>
      </c>
      <c r="Q1756" s="116">
        <v>1605.9</v>
      </c>
      <c r="R1756">
        <v>2366566</v>
      </c>
    </row>
    <row r="1757" spans="1:18" x14ac:dyDescent="0.25">
      <c r="A1757" s="170">
        <v>45594</v>
      </c>
      <c r="B1757" s="116">
        <v>1665</v>
      </c>
      <c r="C1757" s="116">
        <v>1659.1</v>
      </c>
      <c r="D1757" s="116">
        <v>1596.25</v>
      </c>
      <c r="E1757" s="116">
        <v>1606.95</v>
      </c>
      <c r="F1757" s="116">
        <v>1659.1</v>
      </c>
      <c r="G1757">
        <v>34711</v>
      </c>
      <c r="H1757" s="116"/>
      <c r="I1757" s="116"/>
      <c r="L1757" s="170">
        <v>45594</v>
      </c>
      <c r="M1757" s="116">
        <v>1661.35</v>
      </c>
      <c r="N1757" s="116">
        <v>1665.8</v>
      </c>
      <c r="O1757" s="116">
        <v>1595.9</v>
      </c>
      <c r="P1757" s="116">
        <v>1606</v>
      </c>
      <c r="Q1757" s="116">
        <v>1661.35</v>
      </c>
      <c r="R1757">
        <v>2052244</v>
      </c>
    </row>
    <row r="1758" spans="1:18" x14ac:dyDescent="0.25">
      <c r="A1758" s="170">
        <v>45595</v>
      </c>
      <c r="B1758" s="116">
        <v>1658.85</v>
      </c>
      <c r="C1758" s="116">
        <v>1625.45</v>
      </c>
      <c r="D1758" s="116">
        <v>1620</v>
      </c>
      <c r="E1758" s="116">
        <v>1658.85</v>
      </c>
      <c r="F1758" s="116">
        <v>1625.45</v>
      </c>
      <c r="G1758">
        <v>12282</v>
      </c>
      <c r="H1758" s="116"/>
      <c r="I1758" s="116"/>
      <c r="L1758" s="170">
        <v>45595</v>
      </c>
      <c r="M1758" s="116">
        <v>1624.15</v>
      </c>
      <c r="N1758" s="116">
        <v>1649.35</v>
      </c>
      <c r="O1758" s="116">
        <v>1619.3</v>
      </c>
      <c r="P1758" s="116">
        <v>1636.5</v>
      </c>
      <c r="Q1758" s="116">
        <v>1624.15</v>
      </c>
      <c r="R1758">
        <v>1512352</v>
      </c>
    </row>
    <row r="1759" spans="1:18" x14ac:dyDescent="0.25">
      <c r="A1759" s="170">
        <v>45596</v>
      </c>
      <c r="B1759" s="116">
        <v>1632.8</v>
      </c>
      <c r="C1759" s="116">
        <v>1622.95</v>
      </c>
      <c r="D1759" s="116">
        <v>1613.55</v>
      </c>
      <c r="E1759" s="116">
        <v>1625.45</v>
      </c>
      <c r="F1759" s="116">
        <v>1622.95</v>
      </c>
      <c r="G1759">
        <v>8795</v>
      </c>
      <c r="H1759" s="116"/>
      <c r="I1759" s="116"/>
      <c r="L1759" s="170">
        <v>45596</v>
      </c>
      <c r="M1759" s="116">
        <v>1622.15</v>
      </c>
      <c r="N1759" s="116">
        <v>1641.95</v>
      </c>
      <c r="O1759" s="116">
        <v>1613.05</v>
      </c>
      <c r="P1759" s="116">
        <v>1630.1</v>
      </c>
      <c r="Q1759" s="116">
        <v>1622.15</v>
      </c>
      <c r="R1759">
        <v>809110</v>
      </c>
    </row>
    <row r="1760" spans="1:18" x14ac:dyDescent="0.25">
      <c r="A1760" s="170">
        <v>45597</v>
      </c>
      <c r="B1760" s="116">
        <v>1638.95</v>
      </c>
      <c r="C1760" s="116">
        <v>1629.95</v>
      </c>
      <c r="D1760" s="116">
        <v>1624</v>
      </c>
      <c r="E1760" s="116">
        <v>1630.05</v>
      </c>
      <c r="F1760" s="116">
        <v>1629.95</v>
      </c>
      <c r="G1760">
        <v>3481</v>
      </c>
      <c r="H1760" s="116"/>
      <c r="I1760" s="116"/>
      <c r="L1760" s="170">
        <v>45597</v>
      </c>
      <c r="M1760" s="116">
        <v>1628.85</v>
      </c>
      <c r="N1760" s="116">
        <v>1639.4</v>
      </c>
      <c r="O1760" s="116">
        <v>1623</v>
      </c>
      <c r="P1760" s="116">
        <v>1639.4</v>
      </c>
      <c r="Q1760" s="116">
        <v>1628.85</v>
      </c>
      <c r="R1760">
        <v>53886</v>
      </c>
    </row>
    <row r="1761" spans="1:18" x14ac:dyDescent="0.25">
      <c r="A1761" s="170">
        <v>45600</v>
      </c>
      <c r="B1761" s="116">
        <v>1640.75</v>
      </c>
      <c r="C1761" s="116">
        <v>1608.55</v>
      </c>
      <c r="D1761" s="116">
        <v>1589</v>
      </c>
      <c r="E1761" s="116">
        <v>1640.75</v>
      </c>
      <c r="F1761" s="116">
        <v>1608.55</v>
      </c>
      <c r="G1761">
        <v>14285</v>
      </c>
      <c r="H1761" s="116"/>
      <c r="I1761" s="116"/>
      <c r="L1761" s="170">
        <v>45600</v>
      </c>
      <c r="M1761" s="116">
        <v>1608.8</v>
      </c>
      <c r="N1761" s="116">
        <v>1641.15</v>
      </c>
      <c r="O1761" s="116">
        <v>1588</v>
      </c>
      <c r="P1761" s="116">
        <v>1637</v>
      </c>
      <c r="Q1761" s="116">
        <v>1608.8</v>
      </c>
      <c r="R1761">
        <v>1470020</v>
      </c>
    </row>
    <row r="1762" spans="1:18" x14ac:dyDescent="0.25">
      <c r="A1762" s="170">
        <v>45601</v>
      </c>
      <c r="B1762" s="116">
        <v>1641</v>
      </c>
      <c r="C1762" s="116">
        <v>1632.05</v>
      </c>
      <c r="D1762" s="116">
        <v>1599.15</v>
      </c>
      <c r="E1762" s="116">
        <v>1608.65</v>
      </c>
      <c r="F1762" s="116">
        <v>1632.05</v>
      </c>
      <c r="G1762">
        <v>11219</v>
      </c>
      <c r="H1762" s="116"/>
      <c r="I1762" s="116"/>
      <c r="L1762" s="170">
        <v>45601</v>
      </c>
      <c r="M1762" s="116">
        <v>1633.2</v>
      </c>
      <c r="N1762" s="116">
        <v>1642</v>
      </c>
      <c r="O1762" s="116">
        <v>1598.65</v>
      </c>
      <c r="P1762" s="116">
        <v>1606.8</v>
      </c>
      <c r="Q1762" s="116">
        <v>1633.2</v>
      </c>
      <c r="R1762">
        <v>978590</v>
      </c>
    </row>
    <row r="1763" spans="1:18" x14ac:dyDescent="0.25">
      <c r="A1763" s="170">
        <v>45602</v>
      </c>
      <c r="B1763" s="116">
        <v>1637.75</v>
      </c>
      <c r="C1763" s="116">
        <v>1604.8</v>
      </c>
      <c r="D1763" s="116">
        <v>1601</v>
      </c>
      <c r="E1763" s="116">
        <v>1637.75</v>
      </c>
      <c r="F1763" s="116">
        <v>1604.8</v>
      </c>
      <c r="G1763">
        <v>701742</v>
      </c>
      <c r="H1763" s="116"/>
      <c r="I1763" s="116"/>
      <c r="L1763" s="170">
        <v>45602</v>
      </c>
      <c r="M1763" s="116">
        <v>1603.95</v>
      </c>
      <c r="N1763" s="116">
        <v>1638.65</v>
      </c>
      <c r="O1763" s="116">
        <v>1600.45</v>
      </c>
      <c r="P1763" s="116">
        <v>1633.2</v>
      </c>
      <c r="Q1763" s="116">
        <v>1603.95</v>
      </c>
      <c r="R1763">
        <v>1352644</v>
      </c>
    </row>
    <row r="1764" spans="1:18" x14ac:dyDescent="0.25">
      <c r="A1764" s="170">
        <v>45603</v>
      </c>
      <c r="B1764" s="116">
        <v>1617.3</v>
      </c>
      <c r="C1764" s="116">
        <v>1590.35</v>
      </c>
      <c r="D1764" s="116">
        <v>1575.5</v>
      </c>
      <c r="E1764" s="116">
        <v>1617.3</v>
      </c>
      <c r="F1764" s="116">
        <v>1590.35</v>
      </c>
      <c r="G1764">
        <v>20800</v>
      </c>
      <c r="H1764" s="116"/>
      <c r="I1764" s="116"/>
      <c r="L1764" s="170">
        <v>45603</v>
      </c>
      <c r="M1764" s="116">
        <v>1589.85</v>
      </c>
      <c r="N1764" s="116">
        <v>1617.95</v>
      </c>
      <c r="O1764" s="116">
        <v>1575</v>
      </c>
      <c r="P1764" s="116">
        <v>1605.05</v>
      </c>
      <c r="Q1764" s="116">
        <v>1589.85</v>
      </c>
      <c r="R1764">
        <v>1359619</v>
      </c>
    </row>
    <row r="1765" spans="1:18" x14ac:dyDescent="0.25">
      <c r="A1765" s="170">
        <v>45604</v>
      </c>
      <c r="B1765" s="116">
        <v>1603</v>
      </c>
      <c r="C1765" s="116">
        <v>1569.65</v>
      </c>
      <c r="D1765" s="116">
        <v>1567.25</v>
      </c>
      <c r="E1765" s="116">
        <v>1600</v>
      </c>
      <c r="F1765" s="116">
        <v>1569.65</v>
      </c>
      <c r="G1765">
        <v>17759</v>
      </c>
      <c r="H1765" s="116"/>
      <c r="I1765" s="116"/>
      <c r="L1765" s="170">
        <v>45604</v>
      </c>
      <c r="M1765" s="116">
        <v>1569.95</v>
      </c>
      <c r="N1765" s="116">
        <v>1603.35</v>
      </c>
      <c r="O1765" s="116">
        <v>1566.85</v>
      </c>
      <c r="P1765" s="116">
        <v>1589</v>
      </c>
      <c r="Q1765" s="116">
        <v>1569.95</v>
      </c>
      <c r="R1765">
        <v>1131938</v>
      </c>
    </row>
    <row r="1766" spans="1:18" x14ac:dyDescent="0.25">
      <c r="A1766" s="170">
        <v>45607</v>
      </c>
      <c r="B1766" s="116">
        <v>1588.65</v>
      </c>
      <c r="C1766" s="116">
        <v>1566.25</v>
      </c>
      <c r="D1766" s="116">
        <v>1556.25</v>
      </c>
      <c r="E1766" s="116">
        <v>1588.65</v>
      </c>
      <c r="F1766" s="116">
        <v>1566.25</v>
      </c>
      <c r="G1766">
        <v>5517</v>
      </c>
      <c r="H1766" s="116"/>
      <c r="I1766" s="116"/>
      <c r="L1766" s="170">
        <v>45607</v>
      </c>
      <c r="M1766" s="116">
        <v>1566</v>
      </c>
      <c r="N1766" s="116">
        <v>1578.6</v>
      </c>
      <c r="O1766" s="116">
        <v>1555.25</v>
      </c>
      <c r="P1766" s="116">
        <v>1578.6</v>
      </c>
      <c r="Q1766" s="116">
        <v>1566</v>
      </c>
      <c r="R1766">
        <v>862991</v>
      </c>
    </row>
    <row r="1767" spans="1:18" x14ac:dyDescent="0.25">
      <c r="A1767" s="170">
        <v>45608</v>
      </c>
      <c r="B1767" s="116">
        <v>1585.15</v>
      </c>
      <c r="C1767" s="116">
        <v>1559.45</v>
      </c>
      <c r="D1767" s="116">
        <v>1532.3</v>
      </c>
      <c r="E1767" s="116">
        <v>1566.25</v>
      </c>
      <c r="F1767" s="116">
        <v>1559.45</v>
      </c>
      <c r="G1767">
        <v>17615</v>
      </c>
      <c r="H1767" s="116"/>
      <c r="I1767" s="116"/>
      <c r="L1767" s="170">
        <v>45608</v>
      </c>
      <c r="M1767" s="116">
        <v>1562.45</v>
      </c>
      <c r="N1767" s="116">
        <v>1585.95</v>
      </c>
      <c r="O1767" s="116">
        <v>1557</v>
      </c>
      <c r="P1767" s="116">
        <v>1569.1</v>
      </c>
      <c r="Q1767" s="116">
        <v>1562.45</v>
      </c>
      <c r="R1767">
        <v>1177157</v>
      </c>
    </row>
    <row r="1768" spans="1:18" x14ac:dyDescent="0.25">
      <c r="A1768" s="170">
        <v>45609</v>
      </c>
      <c r="B1768" s="116">
        <v>1570.6</v>
      </c>
      <c r="C1768" s="116">
        <v>1546.35</v>
      </c>
      <c r="D1768" s="116">
        <v>1541</v>
      </c>
      <c r="E1768" s="116">
        <v>1549.15</v>
      </c>
      <c r="F1768" s="116">
        <v>1546.35</v>
      </c>
      <c r="G1768">
        <v>38659</v>
      </c>
      <c r="H1768" s="116"/>
      <c r="I1768" s="116"/>
      <c r="L1768" s="170">
        <v>45609</v>
      </c>
      <c r="M1768" s="116">
        <v>1546.7</v>
      </c>
      <c r="N1768" s="116">
        <v>1572</v>
      </c>
      <c r="O1768" s="116">
        <v>1540</v>
      </c>
      <c r="P1768" s="116">
        <v>1560</v>
      </c>
      <c r="Q1768" s="116">
        <v>1546.7</v>
      </c>
      <c r="R1768">
        <v>2946117</v>
      </c>
    </row>
    <row r="1769" spans="1:18" x14ac:dyDescent="0.25">
      <c r="A1769" s="170">
        <v>45610</v>
      </c>
      <c r="B1769" s="116">
        <v>1567.05</v>
      </c>
      <c r="C1769" s="116">
        <v>1562.15</v>
      </c>
      <c r="D1769" s="116">
        <v>1531.05</v>
      </c>
      <c r="E1769" s="116">
        <v>1531.05</v>
      </c>
      <c r="F1769" s="116">
        <v>1562.15</v>
      </c>
      <c r="G1769">
        <v>5193</v>
      </c>
      <c r="H1769" s="116"/>
      <c r="I1769" s="116"/>
      <c r="L1769" s="170">
        <v>45610</v>
      </c>
      <c r="M1769" s="116">
        <v>1562.3</v>
      </c>
      <c r="N1769" s="116">
        <v>1568.95</v>
      </c>
      <c r="O1769" s="116">
        <v>1546.05</v>
      </c>
      <c r="P1769" s="116">
        <v>1546.2</v>
      </c>
      <c r="Q1769" s="116">
        <v>1562.3</v>
      </c>
      <c r="R1769">
        <v>684365</v>
      </c>
    </row>
    <row r="1770" spans="1:18" x14ac:dyDescent="0.25">
      <c r="A1770" s="170">
        <v>45614</v>
      </c>
      <c r="B1770" s="116">
        <v>1565.15</v>
      </c>
      <c r="C1770" s="116">
        <v>1562.4</v>
      </c>
      <c r="D1770" s="116">
        <v>1551.6</v>
      </c>
      <c r="E1770" s="116">
        <v>1560</v>
      </c>
      <c r="F1770" s="116">
        <v>1562.4</v>
      </c>
      <c r="G1770">
        <v>4300</v>
      </c>
      <c r="H1770" s="116"/>
      <c r="I1770" s="116"/>
      <c r="L1770" s="170">
        <v>45614</v>
      </c>
      <c r="M1770" s="116">
        <v>1562.6</v>
      </c>
      <c r="N1770" s="116">
        <v>1566.55</v>
      </c>
      <c r="O1770" s="116">
        <v>1551</v>
      </c>
      <c r="P1770" s="116">
        <v>1551</v>
      </c>
      <c r="Q1770" s="116">
        <v>1562.6</v>
      </c>
      <c r="R1770">
        <v>490930</v>
      </c>
    </row>
    <row r="1771" spans="1:18" x14ac:dyDescent="0.25">
      <c r="A1771" s="170">
        <v>45615</v>
      </c>
      <c r="B1771" s="116">
        <v>1573.85</v>
      </c>
      <c r="C1771" s="116">
        <v>1522.95</v>
      </c>
      <c r="D1771" s="116">
        <v>1501</v>
      </c>
      <c r="E1771" s="116">
        <v>1573.85</v>
      </c>
      <c r="F1771" s="116">
        <v>1522.95</v>
      </c>
      <c r="G1771">
        <v>41424</v>
      </c>
      <c r="H1771" s="116"/>
      <c r="I1771" s="116"/>
      <c r="L1771" s="170">
        <v>45615</v>
      </c>
      <c r="M1771" s="116">
        <v>1522.9</v>
      </c>
      <c r="N1771" s="116">
        <v>1568.05</v>
      </c>
      <c r="O1771" s="116">
        <v>1501</v>
      </c>
      <c r="P1771" s="116">
        <v>1568</v>
      </c>
      <c r="Q1771" s="116">
        <v>1522.9</v>
      </c>
      <c r="R1771">
        <v>4198931</v>
      </c>
    </row>
    <row r="1772" spans="1:18" x14ac:dyDescent="0.25">
      <c r="A1772" s="170">
        <v>45617</v>
      </c>
      <c r="B1772" s="116">
        <v>1515.45</v>
      </c>
      <c r="C1772" s="116">
        <v>1477.75</v>
      </c>
      <c r="D1772" s="116">
        <v>1473.6</v>
      </c>
      <c r="E1772" s="116">
        <v>1510.05</v>
      </c>
      <c r="F1772" s="116">
        <v>1477.75</v>
      </c>
      <c r="G1772">
        <v>20226</v>
      </c>
      <c r="H1772" s="116"/>
      <c r="I1772" s="116"/>
      <c r="L1772" s="170">
        <v>45617</v>
      </c>
      <c r="M1772" s="116">
        <v>1477.95</v>
      </c>
      <c r="N1772" s="116">
        <v>1515.5</v>
      </c>
      <c r="O1772" s="116">
        <v>1474</v>
      </c>
      <c r="P1772" s="116">
        <v>1513.3</v>
      </c>
      <c r="Q1772" s="116">
        <v>1477.95</v>
      </c>
      <c r="R1772">
        <v>1827614</v>
      </c>
    </row>
    <row r="1773" spans="1:18" x14ac:dyDescent="0.25">
      <c r="A1773" s="170">
        <v>45618</v>
      </c>
      <c r="B1773" s="116">
        <v>1495.65</v>
      </c>
      <c r="C1773" s="116">
        <v>1482.1</v>
      </c>
      <c r="D1773" s="116">
        <v>1473.85</v>
      </c>
      <c r="E1773" s="116">
        <v>1480.25</v>
      </c>
      <c r="F1773" s="116">
        <v>1482.1</v>
      </c>
      <c r="G1773">
        <v>8679</v>
      </c>
      <c r="H1773" s="116"/>
      <c r="I1773" s="116"/>
      <c r="L1773" s="170">
        <v>45618</v>
      </c>
      <c r="M1773" s="116">
        <v>1485.15</v>
      </c>
      <c r="N1773" s="116">
        <v>1496.45</v>
      </c>
      <c r="O1773" s="116">
        <v>1475</v>
      </c>
      <c r="P1773" s="116">
        <v>1485.35</v>
      </c>
      <c r="Q1773" s="116">
        <v>1485.15</v>
      </c>
      <c r="R1773">
        <v>977581</v>
      </c>
    </row>
    <row r="1774" spans="1:18" x14ac:dyDescent="0.25">
      <c r="A1774" s="170">
        <v>45621</v>
      </c>
      <c r="B1774" s="116">
        <v>1511.15</v>
      </c>
      <c r="C1774" s="116">
        <v>1496.6</v>
      </c>
      <c r="D1774" s="116">
        <v>1490</v>
      </c>
      <c r="E1774" s="116">
        <v>1509.95</v>
      </c>
      <c r="F1774" s="116">
        <v>1496.6</v>
      </c>
      <c r="G1774">
        <v>7597</v>
      </c>
      <c r="H1774" s="116"/>
      <c r="I1774" s="116"/>
      <c r="L1774" s="170">
        <v>45621</v>
      </c>
      <c r="M1774" s="116">
        <v>1495.2</v>
      </c>
      <c r="N1774" s="116">
        <v>1511</v>
      </c>
      <c r="O1774" s="116">
        <v>1488.35</v>
      </c>
      <c r="P1774" s="116">
        <v>1492.6</v>
      </c>
      <c r="Q1774" s="116">
        <v>1495.2</v>
      </c>
      <c r="R1774">
        <v>1785465</v>
      </c>
    </row>
    <row r="1775" spans="1:18" x14ac:dyDescent="0.25">
      <c r="A1775" s="170">
        <v>45622</v>
      </c>
      <c r="B1775" s="116">
        <v>1516.15</v>
      </c>
      <c r="C1775" s="116">
        <v>1506.25</v>
      </c>
      <c r="D1775" s="116">
        <v>1489.15</v>
      </c>
      <c r="E1775" s="116">
        <v>1503.95</v>
      </c>
      <c r="F1775" s="116">
        <v>1506.25</v>
      </c>
      <c r="G1775">
        <v>13229</v>
      </c>
      <c r="H1775" s="116"/>
      <c r="I1775" s="116"/>
      <c r="L1775" s="170">
        <v>45622</v>
      </c>
      <c r="M1775" s="116">
        <v>1506.75</v>
      </c>
      <c r="N1775" s="116">
        <v>1516.9</v>
      </c>
      <c r="O1775" s="116">
        <v>1489.25</v>
      </c>
      <c r="P1775" s="116">
        <v>1495.2</v>
      </c>
      <c r="Q1775" s="116">
        <v>1506.75</v>
      </c>
      <c r="R1775">
        <v>601372</v>
      </c>
    </row>
    <row r="1776" spans="1:18" x14ac:dyDescent="0.25">
      <c r="A1776" s="170">
        <v>45623</v>
      </c>
      <c r="B1776" s="116">
        <v>1511</v>
      </c>
      <c r="C1776" s="116">
        <v>1505.5</v>
      </c>
      <c r="D1776" s="116">
        <v>1495.1</v>
      </c>
      <c r="E1776" s="116">
        <v>1510.95</v>
      </c>
      <c r="F1776" s="116">
        <v>1505.5</v>
      </c>
      <c r="G1776">
        <v>3255</v>
      </c>
      <c r="H1776" s="116"/>
      <c r="I1776" s="116"/>
      <c r="L1776" s="170">
        <v>45623</v>
      </c>
      <c r="M1776" s="116">
        <v>1505.4</v>
      </c>
      <c r="N1776" s="116">
        <v>1515.95</v>
      </c>
      <c r="O1776" s="116">
        <v>1495.1</v>
      </c>
      <c r="P1776" s="116">
        <v>1507</v>
      </c>
      <c r="Q1776" s="116">
        <v>1505.4</v>
      </c>
      <c r="R1776">
        <v>467560</v>
      </c>
    </row>
    <row r="1777" spans="1:18" x14ac:dyDescent="0.25">
      <c r="A1777" s="170">
        <v>45624</v>
      </c>
      <c r="B1777" s="116">
        <v>1518.75</v>
      </c>
      <c r="C1777" s="116">
        <v>1427.95</v>
      </c>
      <c r="D1777" s="116">
        <v>1403.2</v>
      </c>
      <c r="E1777" s="116">
        <v>1511.95</v>
      </c>
      <c r="F1777" s="116">
        <v>1427.95</v>
      </c>
      <c r="G1777">
        <v>311730</v>
      </c>
      <c r="H1777" s="116"/>
      <c r="I1777" s="116"/>
      <c r="L1777" s="170">
        <v>45624</v>
      </c>
      <c r="M1777" s="116">
        <v>1428.6</v>
      </c>
      <c r="N1777" s="116">
        <v>1519.7</v>
      </c>
      <c r="O1777" s="116">
        <v>1403</v>
      </c>
      <c r="P1777" s="116">
        <v>1507.15</v>
      </c>
      <c r="Q1777" s="116">
        <v>1428.6</v>
      </c>
      <c r="R1777">
        <v>5574277</v>
      </c>
    </row>
    <row r="1778" spans="1:18" x14ac:dyDescent="0.25">
      <c r="A1778" s="170">
        <v>45625</v>
      </c>
      <c r="B1778" s="116">
        <v>1456.7</v>
      </c>
      <c r="C1778" s="116">
        <v>1436.3</v>
      </c>
      <c r="D1778" s="116">
        <v>1397.8</v>
      </c>
      <c r="E1778" s="116">
        <v>1439.5</v>
      </c>
      <c r="F1778" s="116">
        <v>1436.3</v>
      </c>
      <c r="G1778">
        <v>87085</v>
      </c>
      <c r="H1778" s="116"/>
      <c r="I1778" s="116"/>
      <c r="L1778" s="170">
        <v>45625</v>
      </c>
      <c r="M1778" s="116">
        <v>1437.75</v>
      </c>
      <c r="N1778" s="116">
        <v>1460</v>
      </c>
      <c r="O1778" s="116">
        <v>1396.65</v>
      </c>
      <c r="P1778" s="116">
        <v>1442</v>
      </c>
      <c r="Q1778" s="116">
        <v>1437.75</v>
      </c>
      <c r="R1778">
        <v>9016112</v>
      </c>
    </row>
    <row r="1779" spans="1:18" x14ac:dyDescent="0.25">
      <c r="A1779" s="170">
        <v>45628</v>
      </c>
      <c r="B1779" s="116">
        <v>1449.05</v>
      </c>
      <c r="C1779" s="116">
        <v>1422.55</v>
      </c>
      <c r="D1779" s="116">
        <v>1412</v>
      </c>
      <c r="E1779" s="116">
        <v>1434.95</v>
      </c>
      <c r="F1779" s="116">
        <v>1422.55</v>
      </c>
      <c r="G1779">
        <v>14675</v>
      </c>
      <c r="H1779" s="116"/>
      <c r="I1779" s="116"/>
      <c r="L1779" s="170">
        <v>45628</v>
      </c>
      <c r="M1779" s="116">
        <v>1422.05</v>
      </c>
      <c r="N1779" s="116">
        <v>1449.8</v>
      </c>
      <c r="O1779" s="116">
        <v>1411.15</v>
      </c>
      <c r="P1779" s="116">
        <v>1428.4</v>
      </c>
      <c r="Q1779" s="116">
        <v>1422.05</v>
      </c>
      <c r="R1779">
        <v>3117960</v>
      </c>
    </row>
    <row r="1780" spans="1:18" x14ac:dyDescent="0.25">
      <c r="A1780" s="170">
        <v>45629</v>
      </c>
      <c r="B1780" s="116">
        <v>1447.9</v>
      </c>
      <c r="C1780" s="116">
        <v>1441.4</v>
      </c>
      <c r="D1780" s="116">
        <v>1417</v>
      </c>
      <c r="E1780" s="116">
        <v>1443.55</v>
      </c>
      <c r="F1780" s="116">
        <v>1441.4</v>
      </c>
      <c r="G1780">
        <v>173979</v>
      </c>
      <c r="H1780" s="116"/>
      <c r="I1780" s="116"/>
      <c r="L1780" s="170">
        <v>45629</v>
      </c>
      <c r="M1780" s="116">
        <v>1440.95</v>
      </c>
      <c r="N1780" s="116">
        <v>1448.35</v>
      </c>
      <c r="O1780" s="116">
        <v>1416.95</v>
      </c>
      <c r="P1780" s="116">
        <v>1430.1</v>
      </c>
      <c r="Q1780" s="116">
        <v>1440.95</v>
      </c>
      <c r="R1780">
        <v>4645704</v>
      </c>
    </row>
    <row r="1781" spans="1:18" x14ac:dyDescent="0.25">
      <c r="A1781" s="170">
        <v>45630</v>
      </c>
      <c r="B1781" s="116">
        <v>1472</v>
      </c>
      <c r="C1781" s="116">
        <v>1452.3</v>
      </c>
      <c r="D1781" s="116">
        <v>1436</v>
      </c>
      <c r="E1781" s="116">
        <v>1436</v>
      </c>
      <c r="F1781" s="116">
        <v>1452.3</v>
      </c>
      <c r="G1781">
        <v>82503</v>
      </c>
      <c r="H1781" s="116"/>
      <c r="I1781" s="116"/>
      <c r="L1781" s="170">
        <v>45630</v>
      </c>
      <c r="M1781" s="116">
        <v>1452.6</v>
      </c>
      <c r="N1781" s="116">
        <v>1472.35</v>
      </c>
      <c r="O1781" s="116">
        <v>1435.05</v>
      </c>
      <c r="P1781" s="116">
        <v>1441</v>
      </c>
      <c r="Q1781" s="116">
        <v>1452.6</v>
      </c>
      <c r="R1781">
        <v>1976987</v>
      </c>
    </row>
    <row r="1782" spans="1:18" x14ac:dyDescent="0.25">
      <c r="A1782" s="170">
        <v>45631</v>
      </c>
      <c r="B1782" s="116">
        <v>1456.9</v>
      </c>
      <c r="C1782" s="116">
        <v>1433.2</v>
      </c>
      <c r="D1782" s="116">
        <v>1417.85</v>
      </c>
      <c r="E1782" s="116">
        <v>1456.9</v>
      </c>
      <c r="F1782" s="116">
        <v>1433.2</v>
      </c>
      <c r="G1782">
        <v>29055</v>
      </c>
      <c r="H1782" s="116"/>
      <c r="I1782" s="116"/>
      <c r="L1782" s="170">
        <v>45631</v>
      </c>
      <c r="M1782" s="116">
        <v>1431.85</v>
      </c>
      <c r="N1782" s="116">
        <v>1456.05</v>
      </c>
      <c r="O1782" s="116">
        <v>1417.55</v>
      </c>
      <c r="P1782" s="116">
        <v>1452.6</v>
      </c>
      <c r="Q1782" s="116">
        <v>1431.85</v>
      </c>
      <c r="R1782">
        <v>2632452</v>
      </c>
    </row>
    <row r="1783" spans="1:18" x14ac:dyDescent="0.25">
      <c r="A1783" s="170">
        <v>45632</v>
      </c>
      <c r="B1783" s="116">
        <v>1452.75</v>
      </c>
      <c r="C1783" s="116">
        <v>1448.35</v>
      </c>
      <c r="D1783" s="116">
        <v>1428.65</v>
      </c>
      <c r="E1783" s="116">
        <v>1438.45</v>
      </c>
      <c r="F1783" s="116">
        <v>1448.35</v>
      </c>
      <c r="G1783">
        <v>27250</v>
      </c>
      <c r="H1783" s="116"/>
      <c r="I1783" s="116"/>
      <c r="L1783" s="170">
        <v>45632</v>
      </c>
      <c r="M1783" s="116">
        <v>1448.55</v>
      </c>
      <c r="N1783" s="116">
        <v>1452.95</v>
      </c>
      <c r="O1783" s="116">
        <v>1429.3</v>
      </c>
      <c r="P1783" s="116">
        <v>1435</v>
      </c>
      <c r="Q1783" s="116">
        <v>1448.55</v>
      </c>
      <c r="R1783">
        <v>1359753</v>
      </c>
    </row>
    <row r="1784" spans="1:18" x14ac:dyDescent="0.25">
      <c r="A1784" s="170">
        <v>45635</v>
      </c>
      <c r="B1784" s="116">
        <v>1484</v>
      </c>
      <c r="C1784" s="116">
        <v>1469.25</v>
      </c>
      <c r="D1784" s="116">
        <v>1449.6</v>
      </c>
      <c r="E1784" s="116">
        <v>1469.55</v>
      </c>
      <c r="F1784" s="116">
        <v>1469.25</v>
      </c>
      <c r="G1784">
        <v>24372</v>
      </c>
      <c r="H1784" s="116"/>
      <c r="I1784" s="116"/>
      <c r="L1784" s="170">
        <v>45635</v>
      </c>
      <c r="M1784" s="116">
        <v>1469.3</v>
      </c>
      <c r="N1784" s="116">
        <v>1484.4</v>
      </c>
      <c r="O1784" s="116">
        <v>1449.05</v>
      </c>
      <c r="P1784" s="116">
        <v>1454</v>
      </c>
      <c r="Q1784" s="116">
        <v>1469.3</v>
      </c>
      <c r="R1784">
        <v>2397565</v>
      </c>
    </row>
    <row r="1785" spans="1:18" x14ac:dyDescent="0.25">
      <c r="A1785" s="170">
        <v>45636</v>
      </c>
      <c r="B1785" s="116">
        <v>1484.2</v>
      </c>
      <c r="C1785" s="116">
        <v>1462</v>
      </c>
      <c r="D1785" s="116">
        <v>1455</v>
      </c>
      <c r="E1785" s="116">
        <v>1470.05</v>
      </c>
      <c r="F1785" s="116">
        <v>1462</v>
      </c>
      <c r="G1785">
        <v>11825</v>
      </c>
      <c r="H1785" s="116"/>
      <c r="I1785" s="116"/>
      <c r="L1785" s="170">
        <v>45636</v>
      </c>
      <c r="M1785" s="116">
        <v>1461.85</v>
      </c>
      <c r="N1785" s="116">
        <v>1483.9</v>
      </c>
      <c r="O1785" s="116">
        <v>1451.6</v>
      </c>
      <c r="P1785" s="116">
        <v>1463.7</v>
      </c>
      <c r="Q1785" s="116">
        <v>1461.85</v>
      </c>
      <c r="R1785">
        <v>1994725</v>
      </c>
    </row>
    <row r="1786" spans="1:18" x14ac:dyDescent="0.25">
      <c r="A1786" s="170">
        <v>45637</v>
      </c>
      <c r="B1786" s="116">
        <v>1473.3</v>
      </c>
      <c r="C1786" s="116">
        <v>1456.6</v>
      </c>
      <c r="D1786" s="116">
        <v>1454.7</v>
      </c>
      <c r="E1786" s="116">
        <v>1460</v>
      </c>
      <c r="F1786" s="116">
        <v>1456.6</v>
      </c>
      <c r="G1786">
        <v>22507</v>
      </c>
      <c r="H1786" s="116"/>
      <c r="I1786" s="116"/>
      <c r="L1786" s="170">
        <v>45637</v>
      </c>
      <c r="M1786" s="116">
        <v>1456.15</v>
      </c>
      <c r="N1786" s="116">
        <v>1473.5</v>
      </c>
      <c r="O1786" s="116">
        <v>1454.45</v>
      </c>
      <c r="P1786" s="116">
        <v>1455.5</v>
      </c>
      <c r="Q1786" s="116">
        <v>1456.15</v>
      </c>
      <c r="R1786">
        <v>1213092</v>
      </c>
    </row>
    <row r="1787" spans="1:18" x14ac:dyDescent="0.25">
      <c r="A1787" s="170">
        <v>45638</v>
      </c>
      <c r="B1787" s="116">
        <v>1463</v>
      </c>
      <c r="C1787" s="116">
        <v>1435</v>
      </c>
      <c r="D1787" s="116">
        <v>1420.2</v>
      </c>
      <c r="E1787" s="116">
        <v>1463</v>
      </c>
      <c r="F1787" s="116">
        <v>1435</v>
      </c>
      <c r="G1787">
        <v>31577</v>
      </c>
      <c r="H1787" s="116"/>
      <c r="I1787" s="116"/>
      <c r="L1787" s="170">
        <v>45638</v>
      </c>
      <c r="M1787" s="116">
        <v>1432.5</v>
      </c>
      <c r="N1787" s="116">
        <v>1455.75</v>
      </c>
      <c r="O1787" s="116">
        <v>1420.35</v>
      </c>
      <c r="P1787" s="116">
        <v>1450</v>
      </c>
      <c r="Q1787" s="116">
        <v>1432.5</v>
      </c>
      <c r="R1787">
        <v>2851447</v>
      </c>
    </row>
    <row r="1788" spans="1:18" x14ac:dyDescent="0.25">
      <c r="A1788" s="170">
        <v>45639</v>
      </c>
      <c r="B1788" s="116">
        <v>1442.35</v>
      </c>
      <c r="C1788" s="116">
        <v>1428.6</v>
      </c>
      <c r="D1788" s="116">
        <v>1409.7</v>
      </c>
      <c r="E1788" s="116">
        <v>1435</v>
      </c>
      <c r="F1788" s="116">
        <v>1428.6</v>
      </c>
      <c r="G1788">
        <v>36188</v>
      </c>
      <c r="H1788" s="116"/>
      <c r="I1788" s="116"/>
      <c r="L1788" s="170">
        <v>45639</v>
      </c>
      <c r="M1788" s="116">
        <v>1428.8</v>
      </c>
      <c r="N1788" s="116">
        <v>1441.95</v>
      </c>
      <c r="O1788" s="116">
        <v>1409.3</v>
      </c>
      <c r="P1788" s="116">
        <v>1422.05</v>
      </c>
      <c r="Q1788" s="116">
        <v>1428.8</v>
      </c>
      <c r="R1788">
        <v>3926561</v>
      </c>
    </row>
    <row r="1789" spans="1:18" x14ac:dyDescent="0.25">
      <c r="A1789" s="170">
        <v>45642</v>
      </c>
      <c r="B1789" s="116">
        <v>1439.25</v>
      </c>
      <c r="C1789" s="116">
        <v>1421.8</v>
      </c>
      <c r="D1789" s="116">
        <v>1416.5</v>
      </c>
      <c r="E1789" s="116">
        <v>1439.25</v>
      </c>
      <c r="F1789" s="116">
        <v>1421.8</v>
      </c>
      <c r="G1789">
        <v>9391</v>
      </c>
      <c r="H1789" s="116"/>
      <c r="I1789" s="116"/>
      <c r="L1789" s="170">
        <v>45642</v>
      </c>
      <c r="M1789" s="116">
        <v>1421.65</v>
      </c>
      <c r="N1789" s="116">
        <v>1436.95</v>
      </c>
      <c r="O1789" s="116">
        <v>1415.65</v>
      </c>
      <c r="P1789" s="116">
        <v>1428.8</v>
      </c>
      <c r="Q1789" s="116">
        <v>1421.65</v>
      </c>
      <c r="R1789">
        <v>1601339</v>
      </c>
    </row>
    <row r="1790" spans="1:18" x14ac:dyDescent="0.25">
      <c r="A1790" s="170">
        <v>45643</v>
      </c>
      <c r="B1790" s="116">
        <v>1429.6</v>
      </c>
      <c r="C1790" s="116">
        <v>1409.7</v>
      </c>
      <c r="D1790" s="116">
        <v>1405.95</v>
      </c>
      <c r="E1790" s="116">
        <v>1429.6</v>
      </c>
      <c r="F1790" s="116">
        <v>1409.7</v>
      </c>
      <c r="G1790">
        <v>28773</v>
      </c>
      <c r="H1790" s="116"/>
      <c r="I1790" s="116"/>
      <c r="L1790" s="170">
        <v>45643</v>
      </c>
      <c r="M1790" s="116">
        <v>1409.7</v>
      </c>
      <c r="N1790" s="116">
        <v>1425</v>
      </c>
      <c r="O1790" s="116">
        <v>1405.6</v>
      </c>
      <c r="P1790" s="116">
        <v>1421.7</v>
      </c>
      <c r="Q1790" s="116">
        <v>1409.7</v>
      </c>
      <c r="R1790">
        <v>1973758</v>
      </c>
    </row>
    <row r="1791" spans="1:18" x14ac:dyDescent="0.25">
      <c r="A1791" s="170">
        <v>45644</v>
      </c>
      <c r="B1791" s="116">
        <v>1435.85</v>
      </c>
      <c r="C1791" s="116">
        <v>1397.9</v>
      </c>
      <c r="D1791" s="116">
        <v>1392.95</v>
      </c>
      <c r="E1791" s="116">
        <v>1435.85</v>
      </c>
      <c r="F1791" s="116">
        <v>1397.9</v>
      </c>
      <c r="G1791">
        <v>24768</v>
      </c>
      <c r="H1791" s="116"/>
      <c r="I1791" s="116"/>
      <c r="L1791" s="170">
        <v>45644</v>
      </c>
      <c r="M1791" s="116">
        <v>1398</v>
      </c>
      <c r="N1791" s="116">
        <v>1420.35</v>
      </c>
      <c r="O1791" s="116">
        <v>1392.7</v>
      </c>
      <c r="P1791" s="116">
        <v>1414.8</v>
      </c>
      <c r="Q1791" s="116">
        <v>1398</v>
      </c>
      <c r="R1791">
        <v>1454595</v>
      </c>
    </row>
    <row r="1792" spans="1:18" x14ac:dyDescent="0.25">
      <c r="A1792" s="170">
        <v>45645</v>
      </c>
      <c r="B1792" s="116">
        <v>1409.35</v>
      </c>
      <c r="C1792" s="116">
        <v>1405.45</v>
      </c>
      <c r="D1792" s="116">
        <v>1378</v>
      </c>
      <c r="E1792" s="116">
        <v>1396.75</v>
      </c>
      <c r="F1792" s="116">
        <v>1405.45</v>
      </c>
      <c r="G1792">
        <v>32026</v>
      </c>
      <c r="H1792" s="116"/>
      <c r="I1792" s="116"/>
      <c r="L1792" s="170">
        <v>45645</v>
      </c>
      <c r="M1792" s="116">
        <v>1405.9</v>
      </c>
      <c r="N1792" s="116">
        <v>1409</v>
      </c>
      <c r="O1792" s="116">
        <v>1377.5</v>
      </c>
      <c r="P1792" s="116">
        <v>1380.05</v>
      </c>
      <c r="Q1792" s="116">
        <v>1405.9</v>
      </c>
      <c r="R1792">
        <v>1081337</v>
      </c>
    </row>
    <row r="1793" spans="1:18" x14ac:dyDescent="0.25">
      <c r="A1793" s="170">
        <v>45646</v>
      </c>
      <c r="B1793" s="116">
        <v>1414.55</v>
      </c>
      <c r="C1793" s="116">
        <v>1402.55</v>
      </c>
      <c r="D1793" s="116">
        <v>1391.5</v>
      </c>
      <c r="E1793" s="116">
        <v>1405.35</v>
      </c>
      <c r="F1793" s="116">
        <v>1402.55</v>
      </c>
      <c r="G1793">
        <v>62223</v>
      </c>
      <c r="H1793" s="116"/>
      <c r="I1793" s="116"/>
      <c r="L1793" s="170">
        <v>45646</v>
      </c>
      <c r="M1793" s="116">
        <v>1400.6</v>
      </c>
      <c r="N1793" s="116">
        <v>1414.8</v>
      </c>
      <c r="O1793" s="116">
        <v>1391.1</v>
      </c>
      <c r="P1793" s="116">
        <v>1402.45</v>
      </c>
      <c r="Q1793" s="116">
        <v>1400.6</v>
      </c>
      <c r="R1793">
        <v>1542712</v>
      </c>
    </row>
    <row r="1794" spans="1:18" x14ac:dyDescent="0.25">
      <c r="A1794" s="170">
        <v>45649</v>
      </c>
      <c r="B1794" s="116">
        <v>1407.35</v>
      </c>
      <c r="C1794" s="116">
        <v>1405.6</v>
      </c>
      <c r="D1794" s="116">
        <v>1382.45</v>
      </c>
      <c r="E1794" s="116">
        <v>1401.6</v>
      </c>
      <c r="F1794" s="116">
        <v>1405.6</v>
      </c>
      <c r="G1794">
        <v>28956</v>
      </c>
      <c r="H1794" s="116"/>
      <c r="I1794" s="116"/>
      <c r="L1794" s="170">
        <v>45649</v>
      </c>
      <c r="M1794" s="116">
        <v>1405.3</v>
      </c>
      <c r="N1794" s="116">
        <v>1408.15</v>
      </c>
      <c r="O1794" s="116">
        <v>1381.5</v>
      </c>
      <c r="P1794" s="116">
        <v>1400.6</v>
      </c>
      <c r="Q1794" s="116">
        <v>1405.3</v>
      </c>
      <c r="R1794">
        <v>1325302</v>
      </c>
    </row>
    <row r="1795" spans="1:18" x14ac:dyDescent="0.25">
      <c r="A1795" s="170">
        <v>45650</v>
      </c>
      <c r="B1795" s="116">
        <v>1417.9</v>
      </c>
      <c r="C1795" s="116">
        <v>1386.55</v>
      </c>
      <c r="D1795" s="116">
        <v>1385.05</v>
      </c>
      <c r="E1795" s="116">
        <v>1405.35</v>
      </c>
      <c r="F1795" s="116">
        <v>1386.55</v>
      </c>
      <c r="G1795">
        <v>21661</v>
      </c>
      <c r="H1795" s="116"/>
      <c r="I1795" s="116"/>
      <c r="L1795" s="170">
        <v>45650</v>
      </c>
      <c r="M1795" s="116">
        <v>1387</v>
      </c>
      <c r="N1795" s="116">
        <v>1418</v>
      </c>
      <c r="O1795" s="116">
        <v>1385</v>
      </c>
      <c r="P1795" s="116">
        <v>1406.95</v>
      </c>
      <c r="Q1795" s="116">
        <v>1387</v>
      </c>
      <c r="R1795">
        <v>756679</v>
      </c>
    </row>
    <row r="1796" spans="1:18" x14ac:dyDescent="0.25">
      <c r="A1796" s="170">
        <v>45652</v>
      </c>
      <c r="B1796" s="116">
        <v>1411.8</v>
      </c>
      <c r="C1796" s="116">
        <v>1409.85</v>
      </c>
      <c r="D1796" s="116">
        <v>1385.9</v>
      </c>
      <c r="E1796" s="116">
        <v>1399.75</v>
      </c>
      <c r="F1796" s="116">
        <v>1409.85</v>
      </c>
      <c r="G1796">
        <v>18392</v>
      </c>
      <c r="H1796" s="116"/>
      <c r="I1796" s="116"/>
      <c r="L1796" s="170">
        <v>45652</v>
      </c>
      <c r="M1796" s="116">
        <v>1409.05</v>
      </c>
      <c r="N1796" s="116">
        <v>1411.8</v>
      </c>
      <c r="O1796" s="116">
        <v>1385.2</v>
      </c>
      <c r="P1796" s="116">
        <v>1393.95</v>
      </c>
      <c r="Q1796" s="116">
        <v>1409.05</v>
      </c>
      <c r="R1796">
        <v>1935656</v>
      </c>
    </row>
    <row r="1797" spans="1:18" x14ac:dyDescent="0.25">
      <c r="A1797" s="170">
        <v>45653</v>
      </c>
      <c r="B1797" s="116">
        <v>1420.8</v>
      </c>
      <c r="C1797" s="116">
        <v>1404.5</v>
      </c>
      <c r="D1797" s="116">
        <v>1398.25</v>
      </c>
      <c r="E1797" s="116">
        <v>1413.8</v>
      </c>
      <c r="F1797" s="116">
        <v>1404.5</v>
      </c>
      <c r="G1797">
        <v>15803</v>
      </c>
      <c r="H1797" s="116"/>
      <c r="I1797" s="116"/>
      <c r="L1797" s="170">
        <v>45653</v>
      </c>
      <c r="M1797" s="116">
        <v>1405.3</v>
      </c>
      <c r="N1797" s="116">
        <v>1420.4</v>
      </c>
      <c r="O1797" s="116">
        <v>1400.8</v>
      </c>
      <c r="P1797" s="116">
        <v>1410</v>
      </c>
      <c r="Q1797" s="116">
        <v>1405.3</v>
      </c>
      <c r="R1797">
        <v>665711</v>
      </c>
    </row>
    <row r="1798" spans="1:18" x14ac:dyDescent="0.25">
      <c r="A1798" s="170">
        <v>45656</v>
      </c>
      <c r="B1798" s="116">
        <v>1410</v>
      </c>
      <c r="C1798" s="116">
        <v>1404.35</v>
      </c>
      <c r="D1798" s="116">
        <v>1390</v>
      </c>
      <c r="E1798" s="116">
        <v>1404.3</v>
      </c>
      <c r="F1798" s="116">
        <v>1404.35</v>
      </c>
      <c r="G1798">
        <v>32953</v>
      </c>
      <c r="H1798" s="116"/>
      <c r="I1798" s="116"/>
      <c r="L1798" s="170">
        <v>45656</v>
      </c>
      <c r="M1798" s="116">
        <v>1403.85</v>
      </c>
      <c r="N1798" s="116">
        <v>1414.95</v>
      </c>
      <c r="O1798" s="116">
        <v>1389</v>
      </c>
      <c r="P1798" s="116">
        <v>1391.25</v>
      </c>
      <c r="Q1798" s="116">
        <v>1403.85</v>
      </c>
      <c r="R1798">
        <v>1439560</v>
      </c>
    </row>
    <row r="1799" spans="1:18" x14ac:dyDescent="0.25">
      <c r="A1799" s="170">
        <v>45657</v>
      </c>
      <c r="B1799" s="116">
        <v>1401</v>
      </c>
      <c r="C1799" s="116">
        <v>1390.5</v>
      </c>
      <c r="D1799" s="116">
        <v>1382.6</v>
      </c>
      <c r="E1799" s="116">
        <v>1401</v>
      </c>
      <c r="F1799" s="116">
        <v>1390.5</v>
      </c>
      <c r="G1799">
        <v>18842</v>
      </c>
      <c r="H1799" s="116"/>
      <c r="I1799" s="116"/>
      <c r="L1799" s="170">
        <v>45657</v>
      </c>
      <c r="M1799" s="116">
        <v>1390.4</v>
      </c>
      <c r="N1799" s="116">
        <v>1399.75</v>
      </c>
      <c r="O1799" s="116">
        <v>1382.45</v>
      </c>
      <c r="P1799" s="116">
        <v>1399.75</v>
      </c>
      <c r="Q1799" s="116">
        <v>1390.4</v>
      </c>
      <c r="R1799">
        <v>2096160</v>
      </c>
    </row>
    <row r="1800" spans="1:18" x14ac:dyDescent="0.25">
      <c r="A1800" s="170">
        <v>45658</v>
      </c>
      <c r="B1800" s="116">
        <v>1403.9</v>
      </c>
      <c r="C1800" s="116">
        <v>1400.6</v>
      </c>
      <c r="D1800" s="116">
        <v>1385</v>
      </c>
      <c r="E1800" s="116">
        <v>1391.6</v>
      </c>
      <c r="F1800" s="116">
        <v>1400.6</v>
      </c>
      <c r="G1800">
        <v>10917</v>
      </c>
      <c r="H1800" s="116"/>
      <c r="I1800" s="116"/>
      <c r="L1800" s="170">
        <v>45658</v>
      </c>
      <c r="M1800" s="116">
        <v>1400.4</v>
      </c>
      <c r="N1800" s="116">
        <v>1404.7</v>
      </c>
      <c r="O1800" s="116">
        <v>1384.95</v>
      </c>
      <c r="P1800" s="116">
        <v>1392.2</v>
      </c>
      <c r="Q1800" s="116">
        <v>1400.4</v>
      </c>
      <c r="R1800">
        <v>511676</v>
      </c>
    </row>
    <row r="1801" spans="1:18" x14ac:dyDescent="0.25">
      <c r="A1801" s="170">
        <v>45659</v>
      </c>
      <c r="B1801" s="116">
        <v>1425.85</v>
      </c>
      <c r="C1801" s="116">
        <v>1422.6</v>
      </c>
      <c r="D1801" s="116">
        <v>1398.1</v>
      </c>
      <c r="E1801" s="116">
        <v>1400</v>
      </c>
      <c r="F1801" s="116">
        <v>1422.6</v>
      </c>
      <c r="G1801">
        <v>25512</v>
      </c>
      <c r="H1801" s="116"/>
      <c r="I1801" s="116"/>
      <c r="L1801" s="170">
        <v>45659</v>
      </c>
      <c r="M1801" s="116">
        <v>1422.25</v>
      </c>
      <c r="N1801" s="116">
        <v>1425.5</v>
      </c>
      <c r="O1801" s="116">
        <v>1398.05</v>
      </c>
      <c r="P1801" s="116">
        <v>1404</v>
      </c>
      <c r="Q1801" s="116">
        <v>1422.25</v>
      </c>
      <c r="R1801">
        <v>1083889</v>
      </c>
    </row>
    <row r="1802" spans="1:18" x14ac:dyDescent="0.25">
      <c r="A1802" s="170">
        <v>45660</v>
      </c>
      <c r="B1802" s="116">
        <v>1450.7</v>
      </c>
      <c r="C1802" s="116">
        <v>1445.95</v>
      </c>
      <c r="D1802" s="116">
        <v>1420.1</v>
      </c>
      <c r="E1802" s="116">
        <v>1420.1</v>
      </c>
      <c r="F1802" s="116">
        <v>1445.95</v>
      </c>
      <c r="G1802">
        <v>43700</v>
      </c>
      <c r="H1802" s="116"/>
      <c r="I1802" s="116"/>
      <c r="L1802" s="170">
        <v>45660</v>
      </c>
      <c r="M1802" s="116">
        <v>1447.7</v>
      </c>
      <c r="N1802" s="116">
        <v>1451</v>
      </c>
      <c r="O1802" s="116">
        <v>1424.9</v>
      </c>
      <c r="P1802" s="116">
        <v>1428.25</v>
      </c>
      <c r="Q1802" s="116">
        <v>1447.7</v>
      </c>
      <c r="R1802">
        <v>1107442</v>
      </c>
    </row>
    <row r="1803" spans="1:18" x14ac:dyDescent="0.25">
      <c r="A1803" s="170">
        <v>45663</v>
      </c>
      <c r="B1803" s="116">
        <v>1462.55</v>
      </c>
      <c r="C1803" s="116">
        <v>1434.35</v>
      </c>
      <c r="D1803" s="116">
        <v>1425.75</v>
      </c>
      <c r="E1803" s="116">
        <v>1451</v>
      </c>
      <c r="F1803" s="116">
        <v>1434.35</v>
      </c>
      <c r="G1803">
        <v>36393</v>
      </c>
      <c r="H1803" s="116"/>
      <c r="I1803" s="116"/>
      <c r="L1803" s="170">
        <v>45663</v>
      </c>
      <c r="M1803" s="116">
        <v>1434.65</v>
      </c>
      <c r="N1803" s="116">
        <v>1462.65</v>
      </c>
      <c r="O1803" s="116">
        <v>1425.2</v>
      </c>
      <c r="P1803" s="116">
        <v>1450</v>
      </c>
      <c r="Q1803" s="116">
        <v>1434.65</v>
      </c>
      <c r="R1803">
        <v>1012018</v>
      </c>
    </row>
    <row r="1804" spans="1:18" x14ac:dyDescent="0.25">
      <c r="A1804" s="170">
        <v>45664</v>
      </c>
      <c r="B1804" s="116">
        <v>1490.2</v>
      </c>
      <c r="C1804" s="116">
        <v>1475.95</v>
      </c>
      <c r="D1804" s="116">
        <v>1434.95</v>
      </c>
      <c r="E1804" s="116">
        <v>1435.4</v>
      </c>
      <c r="F1804" s="116">
        <v>1475.95</v>
      </c>
      <c r="G1804">
        <v>21818</v>
      </c>
      <c r="H1804" s="116"/>
      <c r="I1804" s="116"/>
      <c r="L1804" s="170">
        <v>45664</v>
      </c>
      <c r="M1804" s="116">
        <v>1477.75</v>
      </c>
      <c r="N1804" s="116">
        <v>1490.8</v>
      </c>
      <c r="O1804" s="116">
        <v>1434.35</v>
      </c>
      <c r="P1804" s="116">
        <v>1447</v>
      </c>
      <c r="Q1804" s="116">
        <v>1477.75</v>
      </c>
      <c r="R1804">
        <v>2362510</v>
      </c>
    </row>
    <row r="1805" spans="1:18" x14ac:dyDescent="0.25">
      <c r="A1805" s="170">
        <v>45665</v>
      </c>
      <c r="B1805" s="116">
        <v>1483.45</v>
      </c>
      <c r="C1805" s="116">
        <v>1462.6</v>
      </c>
      <c r="D1805" s="116">
        <v>1456.85</v>
      </c>
      <c r="E1805" s="116">
        <v>1481.75</v>
      </c>
      <c r="F1805" s="116">
        <v>1462.6</v>
      </c>
      <c r="G1805">
        <v>54639</v>
      </c>
      <c r="H1805" s="116"/>
      <c r="I1805" s="116"/>
      <c r="L1805" s="170">
        <v>45665</v>
      </c>
      <c r="M1805" s="116">
        <v>1463.15</v>
      </c>
      <c r="N1805" s="116">
        <v>1484.65</v>
      </c>
      <c r="O1805" s="116">
        <v>1455</v>
      </c>
      <c r="P1805" s="116">
        <v>1478.7</v>
      </c>
      <c r="Q1805" s="116">
        <v>1463.15</v>
      </c>
      <c r="R1805">
        <v>1229808</v>
      </c>
    </row>
    <row r="1806" spans="1:18" x14ac:dyDescent="0.25">
      <c r="A1806" s="170">
        <v>45666</v>
      </c>
      <c r="B1806" s="116">
        <v>1481.5</v>
      </c>
      <c r="C1806" s="116">
        <v>1469.05</v>
      </c>
      <c r="D1806" s="116">
        <v>1453.85</v>
      </c>
      <c r="E1806" s="116">
        <v>1462.6</v>
      </c>
      <c r="F1806" s="116">
        <v>1469.05</v>
      </c>
      <c r="G1806">
        <v>9067</v>
      </c>
      <c r="H1806" s="116"/>
      <c r="I1806" s="116"/>
      <c r="L1806" s="170">
        <v>45666</v>
      </c>
      <c r="M1806" s="116">
        <v>1468.45</v>
      </c>
      <c r="N1806" s="116">
        <v>1481.2</v>
      </c>
      <c r="O1806" s="116">
        <v>1453</v>
      </c>
      <c r="P1806" s="116">
        <v>1457.8</v>
      </c>
      <c r="Q1806" s="116">
        <v>1468.45</v>
      </c>
      <c r="R1806">
        <v>1253461</v>
      </c>
    </row>
    <row r="1807" spans="1:18" x14ac:dyDescent="0.25">
      <c r="A1807" s="170">
        <v>45667</v>
      </c>
      <c r="B1807" s="116">
        <v>1487</v>
      </c>
      <c r="C1807" s="116">
        <v>1478.25</v>
      </c>
      <c r="D1807" s="116">
        <v>1459</v>
      </c>
      <c r="E1807" s="116">
        <v>1469</v>
      </c>
      <c r="F1807" s="116">
        <v>1478.25</v>
      </c>
      <c r="G1807">
        <v>39507</v>
      </c>
      <c r="H1807" s="116"/>
      <c r="I1807" s="116"/>
      <c r="L1807" s="170">
        <v>45667</v>
      </c>
      <c r="M1807" s="116">
        <v>1478.3</v>
      </c>
      <c r="N1807" s="116">
        <v>1488</v>
      </c>
      <c r="O1807" s="116">
        <v>1458.65</v>
      </c>
      <c r="P1807" s="116">
        <v>1469.9</v>
      </c>
      <c r="Q1807" s="116">
        <v>1478.3</v>
      </c>
      <c r="R1807">
        <v>1124758</v>
      </c>
    </row>
    <row r="1808" spans="1:18" x14ac:dyDescent="0.25">
      <c r="A1808" s="170">
        <v>45670</v>
      </c>
      <c r="B1808" s="116">
        <v>1484.6</v>
      </c>
      <c r="C1808" s="116">
        <v>1469.4</v>
      </c>
      <c r="D1808" s="116">
        <v>1446.2</v>
      </c>
      <c r="E1808" s="116">
        <v>1484.6</v>
      </c>
      <c r="F1808" s="116">
        <v>1469.4</v>
      </c>
      <c r="G1808">
        <v>62984</v>
      </c>
      <c r="H1808" s="116"/>
      <c r="I1808" s="116"/>
      <c r="L1808" s="170">
        <v>45670</v>
      </c>
      <c r="M1808" s="116">
        <v>1467.4</v>
      </c>
      <c r="N1808" s="116">
        <v>1478.3</v>
      </c>
      <c r="O1808" s="116">
        <v>1445.65</v>
      </c>
      <c r="P1808" s="116">
        <v>1478.3</v>
      </c>
      <c r="Q1808" s="116">
        <v>1467.4</v>
      </c>
      <c r="R1808">
        <v>1444590</v>
      </c>
    </row>
    <row r="1809" spans="1:18" x14ac:dyDescent="0.25">
      <c r="A1809" s="170">
        <v>45671</v>
      </c>
      <c r="B1809" s="116">
        <v>1503.5</v>
      </c>
      <c r="C1809" s="116">
        <v>1499.55</v>
      </c>
      <c r="D1809" s="116">
        <v>1468.95</v>
      </c>
      <c r="E1809" s="116">
        <v>1469.4</v>
      </c>
      <c r="F1809" s="116">
        <v>1499.55</v>
      </c>
      <c r="G1809">
        <v>32147</v>
      </c>
      <c r="H1809" s="116"/>
      <c r="I1809" s="116"/>
      <c r="L1809" s="170">
        <v>45671</v>
      </c>
      <c r="M1809" s="116">
        <v>1499.25</v>
      </c>
      <c r="N1809" s="116">
        <v>1504</v>
      </c>
      <c r="O1809" s="116">
        <v>1468.85</v>
      </c>
      <c r="P1809" s="116">
        <v>1475</v>
      </c>
      <c r="Q1809" s="116">
        <v>1499.25</v>
      </c>
      <c r="R1809">
        <v>2024378</v>
      </c>
    </row>
    <row r="1810" spans="1:18" x14ac:dyDescent="0.25">
      <c r="A1810" s="170">
        <v>45672</v>
      </c>
      <c r="B1810" s="116">
        <v>1504.75</v>
      </c>
      <c r="C1810" s="116">
        <v>1472.25</v>
      </c>
      <c r="D1810" s="116">
        <v>1468.25</v>
      </c>
      <c r="E1810" s="116">
        <v>1499.55</v>
      </c>
      <c r="F1810" s="116">
        <v>1472.25</v>
      </c>
      <c r="G1810">
        <v>19234</v>
      </c>
      <c r="H1810" s="116"/>
      <c r="I1810" s="116"/>
      <c r="L1810" s="170">
        <v>45672</v>
      </c>
      <c r="M1810" s="116">
        <v>1472.75</v>
      </c>
      <c r="N1810" s="116">
        <v>1504.85</v>
      </c>
      <c r="O1810" s="116">
        <v>1469.35</v>
      </c>
      <c r="P1810" s="116">
        <v>1504.5</v>
      </c>
      <c r="Q1810" s="116">
        <v>1472.75</v>
      </c>
      <c r="R1810">
        <v>1433596</v>
      </c>
    </row>
    <row r="1811" spans="1:18" x14ac:dyDescent="0.25">
      <c r="A1811" s="170">
        <v>45673</v>
      </c>
      <c r="B1811" s="116">
        <v>1544.55</v>
      </c>
      <c r="C1811" s="116">
        <v>1513.85</v>
      </c>
      <c r="D1811" s="116">
        <v>1489.55</v>
      </c>
      <c r="E1811" s="116">
        <v>1494.65</v>
      </c>
      <c r="F1811" s="116">
        <v>1513.85</v>
      </c>
      <c r="G1811">
        <v>39646</v>
      </c>
      <c r="H1811" s="116"/>
      <c r="I1811" s="116"/>
      <c r="L1811" s="170">
        <v>45673</v>
      </c>
      <c r="M1811" s="116">
        <v>1513.6</v>
      </c>
      <c r="N1811" s="116">
        <v>1545</v>
      </c>
      <c r="O1811" s="116">
        <v>1486</v>
      </c>
      <c r="P1811" s="116">
        <v>1486</v>
      </c>
      <c r="Q1811" s="116">
        <v>1513.6</v>
      </c>
      <c r="R1811">
        <v>2929496</v>
      </c>
    </row>
    <row r="1812" spans="1:18" x14ac:dyDescent="0.25">
      <c r="A1812" s="170">
        <v>45674</v>
      </c>
      <c r="B1812" s="116">
        <v>1555.55</v>
      </c>
      <c r="C1812" s="116">
        <v>1540.5</v>
      </c>
      <c r="D1812" s="116">
        <v>1499.8</v>
      </c>
      <c r="E1812" s="116">
        <v>1520</v>
      </c>
      <c r="F1812" s="116">
        <v>1540.5</v>
      </c>
      <c r="G1812">
        <v>72188</v>
      </c>
      <c r="H1812" s="116"/>
      <c r="I1812" s="116"/>
      <c r="L1812" s="170">
        <v>45674</v>
      </c>
      <c r="M1812" s="116">
        <v>1540.5</v>
      </c>
      <c r="N1812" s="116">
        <v>1555</v>
      </c>
      <c r="O1812" s="116">
        <v>1500</v>
      </c>
      <c r="P1812" s="116">
        <v>1519.5</v>
      </c>
      <c r="Q1812" s="116">
        <v>1540.5</v>
      </c>
      <c r="R1812">
        <v>2603818</v>
      </c>
    </row>
    <row r="1813" spans="1:18" x14ac:dyDescent="0.25">
      <c r="A1813" s="170">
        <v>45677</v>
      </c>
      <c r="B1813" s="116">
        <v>1545.7</v>
      </c>
      <c r="C1813" s="116">
        <v>1499.55</v>
      </c>
      <c r="D1813" s="116">
        <v>1487.7</v>
      </c>
      <c r="E1813" s="116">
        <v>1542.3</v>
      </c>
      <c r="F1813" s="116">
        <v>1499.55</v>
      </c>
      <c r="G1813">
        <v>58472</v>
      </c>
      <c r="H1813" s="116"/>
      <c r="I1813" s="116"/>
      <c r="L1813" s="170">
        <v>45677</v>
      </c>
      <c r="M1813" s="116">
        <v>1499.7</v>
      </c>
      <c r="N1813" s="116">
        <v>1547.8</v>
      </c>
      <c r="O1813" s="116">
        <v>1487.3</v>
      </c>
      <c r="P1813" s="116">
        <v>1547.8</v>
      </c>
      <c r="Q1813" s="116">
        <v>1499.7</v>
      </c>
      <c r="R1813">
        <v>4033718</v>
      </c>
    </row>
    <row r="1814" spans="1:18" x14ac:dyDescent="0.25">
      <c r="A1814" s="170">
        <v>45678</v>
      </c>
      <c r="B1814" s="116">
        <v>1505.3</v>
      </c>
      <c r="C1814" s="116">
        <v>1467.25</v>
      </c>
      <c r="D1814" s="116">
        <v>1460.05</v>
      </c>
      <c r="E1814" s="116">
        <v>1504.2</v>
      </c>
      <c r="F1814" s="116">
        <v>1467.25</v>
      </c>
      <c r="G1814">
        <v>15835</v>
      </c>
      <c r="H1814" s="116"/>
      <c r="I1814" s="116"/>
      <c r="L1814" s="170">
        <v>45678</v>
      </c>
      <c r="M1814" s="116">
        <v>1466.55</v>
      </c>
      <c r="N1814" s="116">
        <v>1505.95</v>
      </c>
      <c r="O1814" s="116">
        <v>1460</v>
      </c>
      <c r="P1814" s="116">
        <v>1499.7</v>
      </c>
      <c r="Q1814" s="116">
        <v>1466.55</v>
      </c>
      <c r="R1814">
        <v>877160</v>
      </c>
    </row>
    <row r="1815" spans="1:18" x14ac:dyDescent="0.25">
      <c r="A1815" s="170">
        <v>45679</v>
      </c>
      <c r="B1815" s="116">
        <v>1469</v>
      </c>
      <c r="C1815" s="116">
        <v>1461.1</v>
      </c>
      <c r="D1815" s="116">
        <v>1450.15</v>
      </c>
      <c r="E1815" s="116">
        <v>1467.25</v>
      </c>
      <c r="F1815" s="116">
        <v>1461.1</v>
      </c>
      <c r="G1815">
        <v>19916</v>
      </c>
      <c r="H1815" s="116"/>
      <c r="I1815" s="116"/>
      <c r="L1815" s="170">
        <v>45679</v>
      </c>
      <c r="M1815" s="116">
        <v>1460.05</v>
      </c>
      <c r="N1815" s="116">
        <v>1470.75</v>
      </c>
      <c r="O1815" s="116">
        <v>1450.05</v>
      </c>
      <c r="P1815" s="116">
        <v>1466.1</v>
      </c>
      <c r="Q1815" s="116">
        <v>1460.05</v>
      </c>
      <c r="R1815">
        <v>631080</v>
      </c>
    </row>
    <row r="1816" spans="1:18" x14ac:dyDescent="0.25">
      <c r="A1816" s="170">
        <v>45680</v>
      </c>
      <c r="B1816" s="116">
        <v>1463.1</v>
      </c>
      <c r="C1816" s="116">
        <v>1449.45</v>
      </c>
      <c r="D1816" s="116">
        <v>1446.55</v>
      </c>
      <c r="E1816" s="116">
        <v>1452.4</v>
      </c>
      <c r="F1816" s="116">
        <v>1449.45</v>
      </c>
      <c r="G1816">
        <v>18317</v>
      </c>
      <c r="H1816" s="116"/>
      <c r="I1816" s="116"/>
      <c r="L1816" s="170">
        <v>45680</v>
      </c>
      <c r="M1816" s="116">
        <v>1449.85</v>
      </c>
      <c r="N1816" s="116">
        <v>1463.7</v>
      </c>
      <c r="O1816" s="116">
        <v>1447.15</v>
      </c>
      <c r="P1816" s="116">
        <v>1458.05</v>
      </c>
      <c r="Q1816" s="116">
        <v>1449.85</v>
      </c>
      <c r="R1816">
        <v>1301601</v>
      </c>
    </row>
    <row r="1817" spans="1:18" x14ac:dyDescent="0.25">
      <c r="A1817" s="170">
        <v>45681</v>
      </c>
      <c r="B1817" s="116">
        <v>1454.65</v>
      </c>
      <c r="C1817" s="116">
        <v>1440.95</v>
      </c>
      <c r="D1817" s="116">
        <v>1418.9</v>
      </c>
      <c r="E1817" s="116">
        <v>1454.65</v>
      </c>
      <c r="F1817" s="116">
        <v>1440.95</v>
      </c>
      <c r="G1817">
        <v>60543</v>
      </c>
      <c r="H1817" s="116"/>
      <c r="I1817" s="116"/>
      <c r="L1817" s="170">
        <v>45681</v>
      </c>
      <c r="M1817" s="116">
        <v>1440.4</v>
      </c>
      <c r="N1817" s="116">
        <v>1455.6</v>
      </c>
      <c r="O1817" s="116">
        <v>1418.15</v>
      </c>
      <c r="P1817" s="116">
        <v>1451.3</v>
      </c>
      <c r="Q1817" s="116">
        <v>1440.4</v>
      </c>
      <c r="R1817">
        <v>1504123</v>
      </c>
    </row>
    <row r="1818" spans="1:18" x14ac:dyDescent="0.25">
      <c r="A1818" s="170">
        <v>45684</v>
      </c>
      <c r="B1818" s="116">
        <v>1446.15</v>
      </c>
      <c r="C1818" s="116">
        <v>1424.65</v>
      </c>
      <c r="D1818" s="116">
        <v>1419</v>
      </c>
      <c r="E1818" s="116">
        <v>1430.95</v>
      </c>
      <c r="F1818" s="116">
        <v>1424.65</v>
      </c>
      <c r="G1818">
        <v>61195</v>
      </c>
      <c r="H1818" s="116"/>
      <c r="I1818" s="116"/>
      <c r="L1818" s="170">
        <v>45684</v>
      </c>
      <c r="M1818" s="116">
        <v>1424.4</v>
      </c>
      <c r="N1818" s="116">
        <v>1445.95</v>
      </c>
      <c r="O1818" s="116">
        <v>1416</v>
      </c>
      <c r="P1818" s="116">
        <v>1435</v>
      </c>
      <c r="Q1818" s="116">
        <v>1424.4</v>
      </c>
      <c r="R1818">
        <v>896819</v>
      </c>
    </row>
    <row r="1819" spans="1:18" x14ac:dyDescent="0.25">
      <c r="A1819" s="170">
        <v>45685</v>
      </c>
      <c r="B1819" s="116">
        <v>1435.35</v>
      </c>
      <c r="C1819" s="116">
        <v>1419.65</v>
      </c>
      <c r="D1819" s="116">
        <v>1412.35</v>
      </c>
      <c r="E1819" s="116">
        <v>1424.25</v>
      </c>
      <c r="F1819" s="116">
        <v>1419.65</v>
      </c>
      <c r="G1819">
        <v>16875</v>
      </c>
      <c r="H1819" s="116"/>
      <c r="I1819" s="116"/>
      <c r="L1819" s="170">
        <v>45685</v>
      </c>
      <c r="M1819" s="116">
        <v>1419.5</v>
      </c>
      <c r="N1819" s="116">
        <v>1435.7</v>
      </c>
      <c r="O1819" s="116">
        <v>1411.85</v>
      </c>
      <c r="P1819" s="116">
        <v>1420</v>
      </c>
      <c r="Q1819" s="116">
        <v>1419.5</v>
      </c>
      <c r="R1819">
        <v>1527262</v>
      </c>
    </row>
    <row r="1820" spans="1:18" x14ac:dyDescent="0.25">
      <c r="A1820" s="170">
        <v>45686</v>
      </c>
      <c r="B1820" s="116">
        <v>1472.15</v>
      </c>
      <c r="C1820" s="116">
        <v>1461.45</v>
      </c>
      <c r="D1820" s="116">
        <v>1412.05</v>
      </c>
      <c r="E1820" s="116">
        <v>1424</v>
      </c>
      <c r="F1820" s="116">
        <v>1461.45</v>
      </c>
      <c r="G1820">
        <v>13257</v>
      </c>
      <c r="H1820" s="116"/>
      <c r="I1820" s="116"/>
      <c r="L1820" s="170">
        <v>45686</v>
      </c>
      <c r="M1820" s="116">
        <v>1460.9</v>
      </c>
      <c r="N1820" s="116">
        <v>1470.1</v>
      </c>
      <c r="O1820" s="116">
        <v>1410.5</v>
      </c>
      <c r="P1820" s="116">
        <v>1419.5</v>
      </c>
      <c r="Q1820" s="116">
        <v>1460.9</v>
      </c>
      <c r="R1820">
        <v>1021447</v>
      </c>
    </row>
    <row r="1821" spans="1:18" x14ac:dyDescent="0.25">
      <c r="A1821" s="170">
        <v>45687</v>
      </c>
      <c r="B1821" s="116">
        <v>1480</v>
      </c>
      <c r="C1821" s="116">
        <v>1473.75</v>
      </c>
      <c r="D1821" s="116">
        <v>1455</v>
      </c>
      <c r="E1821" s="116">
        <v>1458.1</v>
      </c>
      <c r="F1821" s="116">
        <v>1473.75</v>
      </c>
      <c r="G1821">
        <v>20452</v>
      </c>
      <c r="H1821" s="116"/>
      <c r="I1821" s="116"/>
      <c r="L1821" s="170">
        <v>45687</v>
      </c>
      <c r="M1821" s="116">
        <v>1472.9</v>
      </c>
      <c r="N1821" s="116">
        <v>1480</v>
      </c>
      <c r="O1821" s="116">
        <v>1453.9</v>
      </c>
      <c r="P1821" s="116">
        <v>1465.9</v>
      </c>
      <c r="Q1821" s="116">
        <v>1472.9</v>
      </c>
      <c r="R1821">
        <v>1016159</v>
      </c>
    </row>
    <row r="1822" spans="1:18" x14ac:dyDescent="0.25">
      <c r="A1822" s="170">
        <v>45688</v>
      </c>
      <c r="B1822" s="116">
        <v>1489.1</v>
      </c>
      <c r="C1822" s="116">
        <v>1484.35</v>
      </c>
      <c r="D1822" s="116">
        <v>1466.1</v>
      </c>
      <c r="E1822" s="116">
        <v>1472.7</v>
      </c>
      <c r="F1822" s="116">
        <v>1484.35</v>
      </c>
      <c r="G1822">
        <v>14446</v>
      </c>
      <c r="H1822" s="116"/>
      <c r="I1822" s="116"/>
      <c r="L1822" s="170">
        <v>45688</v>
      </c>
      <c r="M1822" s="116">
        <v>1483.6</v>
      </c>
      <c r="N1822" s="116">
        <v>1490</v>
      </c>
      <c r="O1822" s="116">
        <v>1467</v>
      </c>
      <c r="P1822" s="116">
        <v>1479.7</v>
      </c>
      <c r="Q1822" s="116">
        <v>1483.6</v>
      </c>
      <c r="R1822">
        <v>892312</v>
      </c>
    </row>
    <row r="1823" spans="1:18" x14ac:dyDescent="0.25">
      <c r="A1823" s="170">
        <v>45689</v>
      </c>
      <c r="B1823" s="116">
        <v>1526.85</v>
      </c>
      <c r="C1823" s="116">
        <v>1454.6</v>
      </c>
      <c r="D1823" s="116">
        <v>1373.15</v>
      </c>
      <c r="E1823" s="116">
        <v>1494.85</v>
      </c>
      <c r="F1823" s="116">
        <v>1454.6</v>
      </c>
      <c r="G1823">
        <v>128980</v>
      </c>
      <c r="H1823" s="116"/>
      <c r="I1823" s="116"/>
      <c r="L1823" s="170">
        <v>45689</v>
      </c>
      <c r="M1823" s="116">
        <v>1454.35</v>
      </c>
      <c r="N1823" s="116">
        <v>1528</v>
      </c>
      <c r="O1823" s="116">
        <v>1372.55</v>
      </c>
      <c r="P1823" s="116">
        <v>1475.6</v>
      </c>
      <c r="Q1823" s="116">
        <v>1454.35</v>
      </c>
      <c r="R1823">
        <v>4329907</v>
      </c>
    </row>
    <row r="1824" spans="1:18" x14ac:dyDescent="0.25">
      <c r="A1824" s="170">
        <v>45691</v>
      </c>
      <c r="B1824" s="116">
        <v>1482.15</v>
      </c>
      <c r="C1824" s="116">
        <v>1460.15</v>
      </c>
      <c r="D1824" s="116">
        <v>1432.3</v>
      </c>
      <c r="E1824" s="116">
        <v>1449</v>
      </c>
      <c r="F1824" s="116">
        <v>1460.15</v>
      </c>
      <c r="G1824">
        <v>27003</v>
      </c>
      <c r="H1824" s="116"/>
      <c r="I1824" s="116"/>
      <c r="L1824" s="170">
        <v>45691</v>
      </c>
      <c r="M1824" s="116">
        <v>1459.95</v>
      </c>
      <c r="N1824" s="116">
        <v>1481.9</v>
      </c>
      <c r="O1824" s="116">
        <v>1434.35</v>
      </c>
      <c r="P1824" s="116">
        <v>1434.35</v>
      </c>
      <c r="Q1824" s="116">
        <v>1459.95</v>
      </c>
      <c r="R1824">
        <v>1127198</v>
      </c>
    </row>
    <row r="1825" spans="1:18" x14ac:dyDescent="0.25">
      <c r="A1825" s="170">
        <v>45692</v>
      </c>
      <c r="B1825" s="116">
        <v>1479.05</v>
      </c>
      <c r="C1825" s="116">
        <v>1472.3</v>
      </c>
      <c r="D1825" s="116">
        <v>1454.3</v>
      </c>
      <c r="E1825" s="116">
        <v>1458.9</v>
      </c>
      <c r="F1825" s="116">
        <v>1472.3</v>
      </c>
      <c r="G1825">
        <v>14194</v>
      </c>
      <c r="H1825" s="116"/>
      <c r="I1825" s="116"/>
      <c r="L1825" s="170">
        <v>45692</v>
      </c>
      <c r="M1825" s="116">
        <v>1472.4</v>
      </c>
      <c r="N1825" s="116">
        <v>1478.7</v>
      </c>
      <c r="O1825" s="116">
        <v>1454.05</v>
      </c>
      <c r="P1825" s="116">
        <v>1461.25</v>
      </c>
      <c r="Q1825" s="116">
        <v>1472.4</v>
      </c>
      <c r="R1825">
        <v>614905</v>
      </c>
    </row>
    <row r="1826" spans="1:18" x14ac:dyDescent="0.25">
      <c r="A1826" s="170">
        <v>45693</v>
      </c>
      <c r="B1826" s="116">
        <v>1483.5</v>
      </c>
      <c r="C1826" s="116">
        <v>1469.2</v>
      </c>
      <c r="D1826" s="116">
        <v>1465.3</v>
      </c>
      <c r="E1826" s="116">
        <v>1472.3</v>
      </c>
      <c r="F1826" s="116">
        <v>1469.2</v>
      </c>
      <c r="G1826">
        <v>28449</v>
      </c>
      <c r="H1826" s="116"/>
      <c r="I1826" s="116"/>
      <c r="L1826" s="170">
        <v>45693</v>
      </c>
      <c r="M1826" s="116">
        <v>1469.15</v>
      </c>
      <c r="N1826" s="116">
        <v>1484.3</v>
      </c>
      <c r="O1826" s="116">
        <v>1465</v>
      </c>
      <c r="P1826" s="116">
        <v>1472.4</v>
      </c>
      <c r="Q1826" s="116">
        <v>1469.15</v>
      </c>
      <c r="R1826">
        <v>791375</v>
      </c>
    </row>
    <row r="1827" spans="1:18" x14ac:dyDescent="0.25">
      <c r="A1827" s="170">
        <v>45694</v>
      </c>
      <c r="B1827" s="116">
        <v>1480</v>
      </c>
      <c r="C1827" s="116">
        <v>1465.35</v>
      </c>
      <c r="D1827" s="116">
        <v>1456.95</v>
      </c>
      <c r="E1827" s="116">
        <v>1474.05</v>
      </c>
      <c r="F1827" s="116">
        <v>1465.35</v>
      </c>
      <c r="G1827">
        <v>52387</v>
      </c>
      <c r="H1827" s="116"/>
      <c r="I1827" s="116"/>
      <c r="L1827" s="170">
        <v>45694</v>
      </c>
      <c r="M1827" s="116">
        <v>1465.1</v>
      </c>
      <c r="N1827" s="116">
        <v>1480.4</v>
      </c>
      <c r="O1827" s="116">
        <v>1456.45</v>
      </c>
      <c r="P1827" s="116">
        <v>1470</v>
      </c>
      <c r="Q1827" s="116">
        <v>1465.1</v>
      </c>
      <c r="R1827">
        <v>1510856</v>
      </c>
    </row>
    <row r="1828" spans="1:18" x14ac:dyDescent="0.25">
      <c r="A1828" s="170">
        <v>45695</v>
      </c>
      <c r="B1828" s="116">
        <v>1476</v>
      </c>
      <c r="C1828" s="116">
        <v>1471.15</v>
      </c>
      <c r="D1828" s="116">
        <v>1454.65</v>
      </c>
      <c r="E1828" s="116">
        <v>1465.15</v>
      </c>
      <c r="F1828" s="116">
        <v>1471.15</v>
      </c>
      <c r="G1828">
        <v>15318</v>
      </c>
      <c r="H1828" s="116"/>
      <c r="I1828" s="116"/>
      <c r="L1828" s="170">
        <v>45695</v>
      </c>
      <c r="M1828" s="116">
        <v>1470.95</v>
      </c>
      <c r="N1828" s="116">
        <v>1475.95</v>
      </c>
      <c r="O1828" s="116">
        <v>1454.25</v>
      </c>
      <c r="P1828" s="116">
        <v>1472.45</v>
      </c>
      <c r="Q1828" s="116">
        <v>1470.95</v>
      </c>
      <c r="R1828">
        <v>562410</v>
      </c>
    </row>
    <row r="1829" spans="1:18" x14ac:dyDescent="0.25">
      <c r="A1829" s="170">
        <v>45698</v>
      </c>
      <c r="B1829" s="116">
        <v>1472.2</v>
      </c>
      <c r="C1829" s="116">
        <v>1446.95</v>
      </c>
      <c r="D1829" s="116">
        <v>1445.7</v>
      </c>
      <c r="E1829" s="116">
        <v>1464.95</v>
      </c>
      <c r="F1829" s="116">
        <v>1446.95</v>
      </c>
      <c r="G1829">
        <v>9711</v>
      </c>
      <c r="H1829" s="116"/>
      <c r="I1829" s="116"/>
      <c r="L1829" s="170">
        <v>45698</v>
      </c>
      <c r="M1829" s="116">
        <v>1448.2</v>
      </c>
      <c r="N1829" s="116">
        <v>1474.55</v>
      </c>
      <c r="O1829" s="116">
        <v>1445</v>
      </c>
      <c r="P1829" s="116">
        <v>1462.9</v>
      </c>
      <c r="Q1829" s="116">
        <v>1448.2</v>
      </c>
      <c r="R1829">
        <v>530759</v>
      </c>
    </row>
    <row r="1830" spans="1:18" x14ac:dyDescent="0.25">
      <c r="A1830" s="170">
        <v>45699</v>
      </c>
      <c r="B1830" s="116">
        <v>1468.95</v>
      </c>
      <c r="C1830" s="116">
        <v>1418.15</v>
      </c>
      <c r="D1830" s="116">
        <v>1401.75</v>
      </c>
      <c r="E1830" s="116">
        <v>1468.95</v>
      </c>
      <c r="F1830" s="116">
        <v>1418.15</v>
      </c>
      <c r="G1830">
        <v>15663</v>
      </c>
      <c r="H1830" s="116"/>
      <c r="I1830" s="116"/>
      <c r="L1830" s="170">
        <v>45699</v>
      </c>
      <c r="M1830" s="116">
        <v>1419</v>
      </c>
      <c r="N1830" s="116">
        <v>1450</v>
      </c>
      <c r="O1830" s="116">
        <v>1402.9</v>
      </c>
      <c r="P1830" s="116">
        <v>1448.2</v>
      </c>
      <c r="Q1830" s="116">
        <v>1419</v>
      </c>
      <c r="R1830">
        <v>1448104</v>
      </c>
    </row>
    <row r="1831" spans="1:18" x14ac:dyDescent="0.25">
      <c r="A1831" s="170">
        <v>45700</v>
      </c>
      <c r="B1831" s="116">
        <v>1466.8</v>
      </c>
      <c r="C1831" s="116">
        <v>1452.5</v>
      </c>
      <c r="D1831" s="116">
        <v>1408.85</v>
      </c>
      <c r="E1831" s="116">
        <v>1424.25</v>
      </c>
      <c r="F1831" s="116">
        <v>1452.5</v>
      </c>
      <c r="G1831">
        <v>22682</v>
      </c>
      <c r="H1831" s="116"/>
      <c r="I1831" s="116"/>
      <c r="L1831" s="170">
        <v>45700</v>
      </c>
      <c r="M1831" s="116">
        <v>1452.15</v>
      </c>
      <c r="N1831" s="116">
        <v>1466.95</v>
      </c>
      <c r="O1831" s="116">
        <v>1407.5</v>
      </c>
      <c r="P1831" s="116">
        <v>1427.45</v>
      </c>
      <c r="Q1831" s="116">
        <v>1452.15</v>
      </c>
      <c r="R1831">
        <v>1590502</v>
      </c>
    </row>
    <row r="1832" spans="1:18" x14ac:dyDescent="0.25">
      <c r="A1832" s="170">
        <v>45701</v>
      </c>
      <c r="B1832" s="116">
        <v>1478.9</v>
      </c>
      <c r="C1832" s="116">
        <v>1469.95</v>
      </c>
      <c r="D1832" s="116">
        <v>1447.55</v>
      </c>
      <c r="E1832" s="116">
        <v>1447.85</v>
      </c>
      <c r="F1832" s="116">
        <v>1469.95</v>
      </c>
      <c r="G1832">
        <v>11854</v>
      </c>
      <c r="H1832" s="116"/>
      <c r="I1832" s="116"/>
      <c r="L1832" s="170">
        <v>45701</v>
      </c>
      <c r="M1832" s="116">
        <v>1470.5</v>
      </c>
      <c r="N1832" s="116">
        <v>1479.4</v>
      </c>
      <c r="O1832" s="116">
        <v>1446</v>
      </c>
      <c r="P1832" s="116">
        <v>1452.15</v>
      </c>
      <c r="Q1832" s="116">
        <v>1470.5</v>
      </c>
      <c r="R1832">
        <v>983142</v>
      </c>
    </row>
    <row r="1833" spans="1:18" x14ac:dyDescent="0.25">
      <c r="A1833" s="170">
        <v>45702</v>
      </c>
      <c r="B1833" s="116">
        <v>1477</v>
      </c>
      <c r="C1833" s="116">
        <v>1464.55</v>
      </c>
      <c r="D1833" s="116">
        <v>1450</v>
      </c>
      <c r="E1833" s="116">
        <v>1463.2</v>
      </c>
      <c r="F1833" s="116">
        <v>1464.55</v>
      </c>
      <c r="G1833">
        <v>9062</v>
      </c>
      <c r="H1833" s="116"/>
      <c r="I1833" s="116"/>
      <c r="L1833" s="170">
        <v>45702</v>
      </c>
      <c r="M1833" s="116">
        <v>1465.45</v>
      </c>
      <c r="N1833" s="116">
        <v>1477.15</v>
      </c>
      <c r="O1833" s="116">
        <v>1450</v>
      </c>
      <c r="P1833" s="116">
        <v>1470.5</v>
      </c>
      <c r="Q1833" s="116">
        <v>1465.45</v>
      </c>
      <c r="R1833">
        <v>625676</v>
      </c>
    </row>
    <row r="1834" spans="1:18" x14ac:dyDescent="0.25">
      <c r="A1834" s="170">
        <v>45705</v>
      </c>
      <c r="B1834" s="116">
        <v>1481.25</v>
      </c>
      <c r="C1834" s="116">
        <v>1478.7</v>
      </c>
      <c r="D1834" s="116">
        <v>1453</v>
      </c>
      <c r="E1834" s="116">
        <v>1466</v>
      </c>
      <c r="F1834" s="116">
        <v>1478.7</v>
      </c>
      <c r="G1834">
        <v>9357</v>
      </c>
      <c r="H1834" s="116"/>
      <c r="I1834" s="116"/>
      <c r="L1834" s="170">
        <v>45705</v>
      </c>
      <c r="M1834" s="116">
        <v>1476.2</v>
      </c>
      <c r="N1834" s="116">
        <v>1481.55</v>
      </c>
      <c r="O1834" s="116">
        <v>1451.85</v>
      </c>
      <c r="P1834" s="116">
        <v>1460.5</v>
      </c>
      <c r="Q1834" s="116">
        <v>1476.2</v>
      </c>
      <c r="R1834">
        <v>717439</v>
      </c>
    </row>
    <row r="1835" spans="1:18" x14ac:dyDescent="0.25">
      <c r="A1835" s="170">
        <v>45706</v>
      </c>
      <c r="B1835" s="116">
        <v>1480.15</v>
      </c>
      <c r="C1835" s="116">
        <v>1475.25</v>
      </c>
      <c r="D1835" s="116">
        <v>1455</v>
      </c>
      <c r="E1835" s="116">
        <v>1470.05</v>
      </c>
      <c r="F1835" s="116">
        <v>1475.25</v>
      </c>
      <c r="G1835">
        <v>8124</v>
      </c>
      <c r="H1835" s="116"/>
      <c r="I1835" s="116"/>
      <c r="L1835" s="170">
        <v>45706</v>
      </c>
      <c r="M1835" s="116">
        <v>1475.35</v>
      </c>
      <c r="N1835" s="116">
        <v>1481</v>
      </c>
      <c r="O1835" s="116">
        <v>1454.4</v>
      </c>
      <c r="P1835" s="116">
        <v>1476.25</v>
      </c>
      <c r="Q1835" s="116">
        <v>1475.35</v>
      </c>
      <c r="R1835">
        <v>679042</v>
      </c>
    </row>
    <row r="1836" spans="1:18" x14ac:dyDescent="0.25">
      <c r="A1836" s="170">
        <v>45707</v>
      </c>
      <c r="B1836" s="116">
        <v>1482.45</v>
      </c>
      <c r="C1836" s="116">
        <v>1470.3</v>
      </c>
      <c r="D1836" s="116">
        <v>1467.2</v>
      </c>
      <c r="E1836" s="116">
        <v>1479.1</v>
      </c>
      <c r="F1836" s="116">
        <v>1470.3</v>
      </c>
      <c r="G1836">
        <v>5945</v>
      </c>
      <c r="H1836" s="116"/>
      <c r="I1836" s="116"/>
      <c r="L1836" s="170">
        <v>45707</v>
      </c>
      <c r="M1836" s="116">
        <v>1475.6</v>
      </c>
      <c r="N1836" s="116">
        <v>1482.2</v>
      </c>
      <c r="O1836" s="116">
        <v>1465.05</v>
      </c>
      <c r="P1836" s="116">
        <v>1475</v>
      </c>
      <c r="Q1836" s="116">
        <v>1475.6</v>
      </c>
      <c r="R1836">
        <v>391966</v>
      </c>
    </row>
    <row r="1837" spans="1:18" x14ac:dyDescent="0.25">
      <c r="A1837" s="170">
        <v>45708</v>
      </c>
      <c r="B1837" s="116">
        <v>1489.1</v>
      </c>
      <c r="C1837" s="116">
        <v>1469.8</v>
      </c>
      <c r="D1837" s="116">
        <v>1467.25</v>
      </c>
      <c r="E1837" s="116">
        <v>1470</v>
      </c>
      <c r="F1837" s="116">
        <v>1469.8</v>
      </c>
      <c r="G1837">
        <v>5961</v>
      </c>
      <c r="H1837" s="116"/>
      <c r="I1837" s="116"/>
      <c r="L1837" s="170">
        <v>45708</v>
      </c>
      <c r="M1837" s="116">
        <v>1469.8</v>
      </c>
      <c r="N1837" s="116">
        <v>1489.65</v>
      </c>
      <c r="O1837" s="116">
        <v>1466</v>
      </c>
      <c r="P1837" s="116">
        <v>1473</v>
      </c>
      <c r="Q1837" s="116">
        <v>1469.8</v>
      </c>
      <c r="R1837">
        <v>346720</v>
      </c>
    </row>
    <row r="1838" spans="1:18" x14ac:dyDescent="0.25">
      <c r="A1838" s="170">
        <v>45709</v>
      </c>
      <c r="B1838" s="116">
        <v>1500.25</v>
      </c>
      <c r="C1838" s="116">
        <v>1494.95</v>
      </c>
      <c r="D1838" s="116">
        <v>1461.7</v>
      </c>
      <c r="E1838" s="116">
        <v>1469.75</v>
      </c>
      <c r="F1838" s="116">
        <v>1494.95</v>
      </c>
      <c r="G1838">
        <v>100285</v>
      </c>
      <c r="H1838" s="116"/>
      <c r="I1838" s="116"/>
      <c r="L1838" s="170">
        <v>45709</v>
      </c>
      <c r="M1838" s="116">
        <v>1495.4</v>
      </c>
      <c r="N1838" s="116">
        <v>1501.4</v>
      </c>
      <c r="O1838" s="116">
        <v>1461.7</v>
      </c>
      <c r="P1838" s="116">
        <v>1469.7</v>
      </c>
      <c r="Q1838" s="116">
        <v>1495.4</v>
      </c>
      <c r="R1838">
        <v>1051158</v>
      </c>
    </row>
    <row r="1839" spans="1:18" x14ac:dyDescent="0.25">
      <c r="A1839" s="170">
        <v>45712</v>
      </c>
      <c r="B1839" s="116">
        <v>1494.95</v>
      </c>
      <c r="C1839" s="116">
        <v>1485.65</v>
      </c>
      <c r="D1839" s="116">
        <v>1476.5</v>
      </c>
      <c r="E1839" s="116">
        <v>1488.9</v>
      </c>
      <c r="F1839" s="116">
        <v>1485.65</v>
      </c>
      <c r="G1839">
        <v>5869</v>
      </c>
      <c r="H1839" s="116"/>
      <c r="I1839" s="116"/>
      <c r="L1839" s="170">
        <v>45712</v>
      </c>
      <c r="M1839" s="116">
        <v>1486.5</v>
      </c>
      <c r="N1839" s="116">
        <v>1495.2</v>
      </c>
      <c r="O1839" s="116">
        <v>1475.2</v>
      </c>
      <c r="P1839" s="116">
        <v>1480</v>
      </c>
      <c r="Q1839" s="116">
        <v>1486.5</v>
      </c>
      <c r="R1839">
        <v>1116079</v>
      </c>
    </row>
    <row r="1840" spans="1:18" x14ac:dyDescent="0.25">
      <c r="A1840" s="170">
        <v>45713</v>
      </c>
      <c r="B1840" s="116">
        <v>1485.75</v>
      </c>
      <c r="C1840" s="116">
        <v>1471.7</v>
      </c>
      <c r="D1840" s="116">
        <v>1463.75</v>
      </c>
      <c r="E1840" s="116">
        <v>1485.75</v>
      </c>
      <c r="F1840" s="116">
        <v>1471.7</v>
      </c>
      <c r="G1840">
        <v>2588</v>
      </c>
      <c r="H1840" s="116"/>
      <c r="I1840" s="116"/>
      <c r="L1840" s="170">
        <v>45713</v>
      </c>
      <c r="M1840" s="116">
        <v>1471.75</v>
      </c>
      <c r="N1840" s="116">
        <v>1484.05</v>
      </c>
      <c r="O1840" s="116">
        <v>1463.45</v>
      </c>
      <c r="P1840" s="116">
        <v>1480</v>
      </c>
      <c r="Q1840" s="116">
        <v>1471.75</v>
      </c>
      <c r="R1840">
        <v>964505</v>
      </c>
    </row>
    <row r="1841" spans="1:18" x14ac:dyDescent="0.25">
      <c r="A1841" s="170">
        <v>45715</v>
      </c>
      <c r="B1841" s="116">
        <v>1480</v>
      </c>
      <c r="C1841" s="116">
        <v>1468.4</v>
      </c>
      <c r="D1841" s="116">
        <v>1454.95</v>
      </c>
      <c r="E1841" s="116">
        <v>1466</v>
      </c>
      <c r="F1841" s="116">
        <v>1468.4</v>
      </c>
      <c r="G1841">
        <v>10082</v>
      </c>
      <c r="H1841" s="116"/>
      <c r="I1841" s="116"/>
      <c r="L1841" s="170">
        <v>45715</v>
      </c>
      <c r="M1841" s="116">
        <v>1469.75</v>
      </c>
      <c r="N1841" s="116">
        <v>1479.9</v>
      </c>
      <c r="O1841" s="116">
        <v>1454</v>
      </c>
      <c r="P1841" s="116">
        <v>1464</v>
      </c>
      <c r="Q1841" s="116">
        <v>1469.75</v>
      </c>
      <c r="R1841">
        <v>1421562</v>
      </c>
    </row>
    <row r="1842" spans="1:18" x14ac:dyDescent="0.25">
      <c r="A1842" s="170">
        <v>45716</v>
      </c>
      <c r="B1842" s="116">
        <v>1468.35</v>
      </c>
      <c r="C1842" s="116">
        <v>1431.05</v>
      </c>
      <c r="D1842" s="116">
        <v>1413.6</v>
      </c>
      <c r="E1842" s="116">
        <v>1468.35</v>
      </c>
      <c r="F1842" s="116">
        <v>1431.05</v>
      </c>
      <c r="G1842">
        <v>22997</v>
      </c>
      <c r="H1842" s="116"/>
      <c r="I1842" s="116"/>
      <c r="L1842" s="170">
        <v>45716</v>
      </c>
      <c r="M1842" s="116">
        <v>1430.5</v>
      </c>
      <c r="N1842" s="116">
        <v>1462.05</v>
      </c>
      <c r="O1842" s="116">
        <v>1411.85</v>
      </c>
      <c r="P1842" s="116">
        <v>1460</v>
      </c>
      <c r="Q1842" s="116">
        <v>1430.5</v>
      </c>
      <c r="R1842">
        <v>2397364</v>
      </c>
    </row>
    <row r="1843" spans="1:18" x14ac:dyDescent="0.25">
      <c r="A1843" s="170">
        <v>45719</v>
      </c>
      <c r="B1843" s="116">
        <v>1451.8</v>
      </c>
      <c r="C1843" s="116">
        <v>1407.35</v>
      </c>
      <c r="D1843" s="116">
        <v>1404.5</v>
      </c>
      <c r="E1843" s="116">
        <v>1437.7</v>
      </c>
      <c r="F1843" s="116">
        <v>1407.35</v>
      </c>
      <c r="G1843">
        <v>14418</v>
      </c>
      <c r="H1843" s="116"/>
      <c r="I1843" s="116"/>
      <c r="L1843" s="170">
        <v>45719</v>
      </c>
      <c r="M1843" s="116">
        <v>1408.5</v>
      </c>
      <c r="N1843" s="116">
        <v>1452.15</v>
      </c>
      <c r="O1843" s="116">
        <v>1405.1</v>
      </c>
      <c r="P1843" s="116">
        <v>1432.55</v>
      </c>
      <c r="Q1843" s="116">
        <v>1408.5</v>
      </c>
      <c r="R1843">
        <v>1056418</v>
      </c>
    </row>
    <row r="1844" spans="1:18" x14ac:dyDescent="0.25">
      <c r="A1844" s="170">
        <v>45720</v>
      </c>
      <c r="B1844" s="116">
        <v>1415.15</v>
      </c>
      <c r="C1844" s="116">
        <v>1393.8</v>
      </c>
      <c r="D1844" s="116">
        <v>1385.05</v>
      </c>
      <c r="E1844" s="116">
        <v>1385.05</v>
      </c>
      <c r="F1844" s="116">
        <v>1393.8</v>
      </c>
      <c r="G1844">
        <v>9083</v>
      </c>
      <c r="H1844" s="116"/>
      <c r="I1844" s="116"/>
      <c r="L1844" s="170">
        <v>45720</v>
      </c>
      <c r="M1844" s="116">
        <v>1393.1</v>
      </c>
      <c r="N1844" s="116">
        <v>1415</v>
      </c>
      <c r="O1844" s="116">
        <v>1390</v>
      </c>
      <c r="P1844" s="116">
        <v>1392.2</v>
      </c>
      <c r="Q1844" s="116">
        <v>1393.1</v>
      </c>
      <c r="R1844">
        <v>977231</v>
      </c>
    </row>
    <row r="1845" spans="1:18" x14ac:dyDescent="0.25">
      <c r="A1845" s="170">
        <v>45721</v>
      </c>
      <c r="B1845" s="116">
        <v>1424.6</v>
      </c>
      <c r="C1845" s="116">
        <v>1420.9</v>
      </c>
      <c r="D1845" s="116">
        <v>1380</v>
      </c>
      <c r="E1845" s="116">
        <v>1406.5</v>
      </c>
      <c r="F1845" s="116">
        <v>1420.9</v>
      </c>
      <c r="G1845">
        <v>8863</v>
      </c>
      <c r="H1845" s="116"/>
      <c r="I1845" s="116"/>
      <c r="L1845" s="170">
        <v>45721</v>
      </c>
      <c r="M1845" s="116">
        <v>1420.7</v>
      </c>
      <c r="N1845" s="116">
        <v>1424</v>
      </c>
      <c r="O1845" s="116">
        <v>1379.85</v>
      </c>
      <c r="P1845" s="116">
        <v>1391.15</v>
      </c>
      <c r="Q1845" s="116">
        <v>1420.7</v>
      </c>
      <c r="R1845">
        <v>1118219</v>
      </c>
    </row>
    <row r="1846" spans="1:18" x14ac:dyDescent="0.25">
      <c r="A1846" s="170">
        <v>45722</v>
      </c>
      <c r="B1846" s="116">
        <v>1425.45</v>
      </c>
      <c r="C1846" s="116">
        <v>1420.9</v>
      </c>
      <c r="D1846" s="116">
        <v>1395</v>
      </c>
      <c r="E1846" s="116">
        <v>1420.7</v>
      </c>
      <c r="F1846" s="116">
        <v>1420.9</v>
      </c>
      <c r="G1846">
        <v>34650</v>
      </c>
      <c r="H1846" s="116"/>
      <c r="I1846" s="116"/>
      <c r="L1846" s="170">
        <v>45722</v>
      </c>
      <c r="M1846" s="116">
        <v>1421.3</v>
      </c>
      <c r="N1846" s="116">
        <v>1426.4</v>
      </c>
      <c r="O1846" s="116">
        <v>1395</v>
      </c>
      <c r="P1846" s="116">
        <v>1417.1</v>
      </c>
      <c r="Q1846" s="116">
        <v>1421.3</v>
      </c>
      <c r="R1846">
        <v>1606815</v>
      </c>
    </row>
    <row r="1847" spans="1:18" x14ac:dyDescent="0.25">
      <c r="A1847" s="170">
        <v>45723</v>
      </c>
      <c r="B1847" s="116">
        <v>1445</v>
      </c>
      <c r="C1847" s="116">
        <v>1412.15</v>
      </c>
      <c r="D1847" s="116">
        <v>1408.2</v>
      </c>
      <c r="E1847" s="116">
        <v>1425.55</v>
      </c>
      <c r="F1847" s="116">
        <v>1412.15</v>
      </c>
      <c r="G1847">
        <v>37788</v>
      </c>
      <c r="H1847" s="116"/>
      <c r="I1847" s="116"/>
      <c r="L1847" s="170">
        <v>45723</v>
      </c>
      <c r="M1847" s="116">
        <v>1411.6</v>
      </c>
      <c r="N1847" s="116">
        <v>1446.2</v>
      </c>
      <c r="O1847" s="116">
        <v>1406.55</v>
      </c>
      <c r="P1847" s="116">
        <v>1421.35</v>
      </c>
      <c r="Q1847" s="116">
        <v>1411.6</v>
      </c>
      <c r="R1847">
        <v>901496</v>
      </c>
    </row>
    <row r="1848" spans="1:18" x14ac:dyDescent="0.25">
      <c r="A1848" s="170">
        <v>45726</v>
      </c>
      <c r="B1848" s="116">
        <v>1427.35</v>
      </c>
      <c r="C1848" s="116">
        <v>1419.55</v>
      </c>
      <c r="D1848" s="116">
        <v>1406</v>
      </c>
      <c r="E1848" s="116">
        <v>1423.15</v>
      </c>
      <c r="F1848" s="116">
        <v>1419.55</v>
      </c>
      <c r="G1848">
        <v>57561</v>
      </c>
      <c r="H1848" s="116"/>
      <c r="I1848" s="116"/>
      <c r="L1848" s="170">
        <v>45726</v>
      </c>
      <c r="M1848" s="116">
        <v>1419.45</v>
      </c>
      <c r="N1848" s="116">
        <v>1427.75</v>
      </c>
      <c r="O1848" s="116">
        <v>1404.35</v>
      </c>
      <c r="P1848" s="116">
        <v>1419</v>
      </c>
      <c r="Q1848" s="116">
        <v>1419.45</v>
      </c>
      <c r="R1848">
        <v>1092967</v>
      </c>
    </row>
    <row r="1849" spans="1:18" x14ac:dyDescent="0.25">
      <c r="A1849" s="170">
        <v>45727</v>
      </c>
      <c r="B1849" s="116">
        <v>1424.45</v>
      </c>
      <c r="C1849" s="116">
        <v>1416.95</v>
      </c>
      <c r="D1849" s="116">
        <v>1392.6</v>
      </c>
      <c r="E1849" s="116">
        <v>1392.6</v>
      </c>
      <c r="F1849" s="116">
        <v>1416.95</v>
      </c>
      <c r="G1849">
        <v>25092</v>
      </c>
      <c r="H1849" s="116"/>
      <c r="I1849" s="116"/>
      <c r="L1849" s="170">
        <v>45727</v>
      </c>
      <c r="M1849" s="116">
        <v>1417.25</v>
      </c>
      <c r="N1849" s="116">
        <v>1424.4</v>
      </c>
      <c r="O1849" s="116">
        <v>1397.45</v>
      </c>
      <c r="P1849" s="116">
        <v>1403</v>
      </c>
      <c r="Q1849" s="116">
        <v>1417.25</v>
      </c>
      <c r="R1849">
        <v>691907</v>
      </c>
    </row>
    <row r="1850" spans="1:18" x14ac:dyDescent="0.25">
      <c r="A1850" s="170">
        <v>45728</v>
      </c>
      <c r="B1850" s="116">
        <v>1431.75</v>
      </c>
      <c r="C1850" s="116">
        <v>1409.35</v>
      </c>
      <c r="D1850" s="116">
        <v>1405</v>
      </c>
      <c r="E1850" s="116">
        <v>1431.75</v>
      </c>
      <c r="F1850" s="116">
        <v>1409.35</v>
      </c>
      <c r="G1850">
        <v>93026</v>
      </c>
      <c r="H1850" s="116"/>
      <c r="I1850" s="116"/>
      <c r="L1850" s="170">
        <v>45728</v>
      </c>
      <c r="M1850" s="116">
        <v>1409</v>
      </c>
      <c r="N1850" s="116">
        <v>1425</v>
      </c>
      <c r="O1850" s="116">
        <v>1404.5</v>
      </c>
      <c r="P1850" s="116">
        <v>1425</v>
      </c>
      <c r="Q1850" s="116">
        <v>1409</v>
      </c>
      <c r="R1850">
        <v>734156</v>
      </c>
    </row>
    <row r="1851" spans="1:18" x14ac:dyDescent="0.25">
      <c r="A1851" s="170">
        <v>45729</v>
      </c>
      <c r="B1851" s="116">
        <v>1419.95</v>
      </c>
      <c r="C1851" s="116">
        <v>1386.25</v>
      </c>
      <c r="D1851" s="116">
        <v>1382</v>
      </c>
      <c r="E1851" s="116">
        <v>1419.95</v>
      </c>
      <c r="F1851" s="116">
        <v>1386.25</v>
      </c>
      <c r="G1851">
        <v>28594</v>
      </c>
      <c r="H1851" s="116"/>
      <c r="I1851" s="116"/>
      <c r="L1851" s="170">
        <v>45729</v>
      </c>
      <c r="M1851" s="116">
        <v>1385.55</v>
      </c>
      <c r="N1851" s="116">
        <v>1413.95</v>
      </c>
      <c r="O1851" s="116">
        <v>1382.65</v>
      </c>
      <c r="P1851" s="116">
        <v>1411.7</v>
      </c>
      <c r="Q1851" s="116">
        <v>1385.55</v>
      </c>
      <c r="R1851">
        <v>911321</v>
      </c>
    </row>
    <row r="1852" spans="1:18" x14ac:dyDescent="0.25">
      <c r="A1852" s="170">
        <v>45733</v>
      </c>
      <c r="B1852" s="116">
        <v>1440</v>
      </c>
      <c r="C1852" s="116">
        <v>1435.05</v>
      </c>
      <c r="D1852" s="116">
        <v>1391.15</v>
      </c>
      <c r="E1852" s="116">
        <v>1403.7</v>
      </c>
      <c r="F1852" s="116">
        <v>1435.05</v>
      </c>
      <c r="G1852">
        <v>28486</v>
      </c>
      <c r="H1852" s="116"/>
      <c r="I1852" s="116"/>
      <c r="L1852" s="170">
        <v>45733</v>
      </c>
      <c r="M1852" s="116">
        <v>1434.25</v>
      </c>
      <c r="N1852" s="116">
        <v>1441.3</v>
      </c>
      <c r="O1852" s="116">
        <v>1392</v>
      </c>
      <c r="P1852" s="116">
        <v>1392</v>
      </c>
      <c r="Q1852" s="116">
        <v>1434.25</v>
      </c>
      <c r="R1852">
        <v>1352197</v>
      </c>
    </row>
    <row r="1853" spans="1:18" x14ac:dyDescent="0.25">
      <c r="A1853" s="170">
        <v>45734</v>
      </c>
      <c r="B1853" s="116">
        <v>1459</v>
      </c>
      <c r="C1853" s="116">
        <v>1457.3</v>
      </c>
      <c r="D1853" s="116">
        <v>1432.35</v>
      </c>
      <c r="E1853" s="116">
        <v>1445.6</v>
      </c>
      <c r="F1853" s="116">
        <v>1457.3</v>
      </c>
      <c r="G1853">
        <v>12843</v>
      </c>
      <c r="H1853" s="116"/>
      <c r="I1853" s="116"/>
      <c r="L1853" s="170">
        <v>45734</v>
      </c>
      <c r="M1853" s="116">
        <v>1457.5</v>
      </c>
      <c r="N1853" s="116">
        <v>1458.8</v>
      </c>
      <c r="O1853" s="116">
        <v>1431.05</v>
      </c>
      <c r="P1853" s="116">
        <v>1452.7</v>
      </c>
      <c r="Q1853" s="116">
        <v>1457.5</v>
      </c>
      <c r="R1853">
        <v>656130</v>
      </c>
    </row>
    <row r="1854" spans="1:18" x14ac:dyDescent="0.25">
      <c r="A1854" s="170">
        <v>45735</v>
      </c>
      <c r="B1854" s="116">
        <v>1488.7</v>
      </c>
      <c r="C1854" s="116">
        <v>1485.9</v>
      </c>
      <c r="D1854" s="116">
        <v>1454.85</v>
      </c>
      <c r="E1854" s="116">
        <v>1464.95</v>
      </c>
      <c r="F1854" s="116">
        <v>1485.9</v>
      </c>
      <c r="G1854">
        <v>6470</v>
      </c>
      <c r="H1854" s="116"/>
      <c r="I1854" s="116"/>
      <c r="L1854" s="170">
        <v>45735</v>
      </c>
      <c r="M1854" s="116">
        <v>1484.9</v>
      </c>
      <c r="N1854" s="116">
        <v>1488.9</v>
      </c>
      <c r="O1854" s="116">
        <v>1455</v>
      </c>
      <c r="P1854" s="116">
        <v>1457.95</v>
      </c>
      <c r="Q1854" s="116">
        <v>1484.9</v>
      </c>
      <c r="R1854">
        <v>917293</v>
      </c>
    </row>
    <row r="1855" spans="1:18" x14ac:dyDescent="0.25">
      <c r="A1855" s="170">
        <v>45736</v>
      </c>
      <c r="B1855" s="116">
        <v>1505.25</v>
      </c>
      <c r="C1855" s="116">
        <v>1499.25</v>
      </c>
      <c r="D1855" s="116">
        <v>1488.25</v>
      </c>
      <c r="E1855" s="116">
        <v>1499.8</v>
      </c>
      <c r="F1855" s="116">
        <v>1499.25</v>
      </c>
      <c r="G1855">
        <v>14903</v>
      </c>
      <c r="H1855" s="116"/>
      <c r="I1855" s="116"/>
      <c r="L1855" s="170">
        <v>45736</v>
      </c>
      <c r="M1855" s="116">
        <v>1498.35</v>
      </c>
      <c r="N1855" s="116">
        <v>1506.3</v>
      </c>
      <c r="O1855" s="116">
        <v>1488.5</v>
      </c>
      <c r="P1855" s="116">
        <v>1492</v>
      </c>
      <c r="Q1855" s="116">
        <v>1498.35</v>
      </c>
      <c r="R1855">
        <v>798992</v>
      </c>
    </row>
    <row r="1856" spans="1:18" x14ac:dyDescent="0.25">
      <c r="A1856" s="170">
        <v>45737</v>
      </c>
      <c r="B1856" s="116">
        <v>1552</v>
      </c>
      <c r="C1856" s="116">
        <v>1546.85</v>
      </c>
      <c r="D1856" s="116">
        <v>1492.85</v>
      </c>
      <c r="E1856" s="116">
        <v>1513.2</v>
      </c>
      <c r="F1856" s="116">
        <v>1546.85</v>
      </c>
      <c r="G1856">
        <v>30014</v>
      </c>
      <c r="H1856" s="116"/>
      <c r="I1856" s="116"/>
      <c r="L1856" s="170">
        <v>45737</v>
      </c>
      <c r="M1856" s="116">
        <v>1546.4</v>
      </c>
      <c r="N1856" s="116">
        <v>1553.3</v>
      </c>
      <c r="O1856" s="116">
        <v>1493.45</v>
      </c>
      <c r="P1856" s="116">
        <v>1500</v>
      </c>
      <c r="Q1856" s="116">
        <v>1546.4</v>
      </c>
      <c r="R1856">
        <v>1977397</v>
      </c>
    </row>
    <row r="1857" spans="1:18" x14ac:dyDescent="0.25">
      <c r="A1857" s="170">
        <v>45740</v>
      </c>
      <c r="B1857" s="116">
        <v>1583.75</v>
      </c>
      <c r="C1857" s="116">
        <v>1570.05</v>
      </c>
      <c r="D1857" s="116">
        <v>1538.15</v>
      </c>
      <c r="E1857" s="116">
        <v>1559.9</v>
      </c>
      <c r="F1857" s="116">
        <v>1570.05</v>
      </c>
      <c r="G1857">
        <v>34638</v>
      </c>
      <c r="H1857" s="116"/>
      <c r="I1857" s="116"/>
      <c r="L1857" s="170">
        <v>45740</v>
      </c>
      <c r="M1857" s="116">
        <v>1569.8</v>
      </c>
      <c r="N1857" s="116">
        <v>1584</v>
      </c>
      <c r="O1857" s="116">
        <v>1541.7</v>
      </c>
      <c r="P1857" s="116">
        <v>1550</v>
      </c>
      <c r="Q1857" s="116">
        <v>1569.8</v>
      </c>
      <c r="R1857">
        <v>1229003</v>
      </c>
    </row>
    <row r="1858" spans="1:18" x14ac:dyDescent="0.25">
      <c r="A1858" s="170">
        <v>45741</v>
      </c>
      <c r="B1858" s="116">
        <v>1583.35</v>
      </c>
      <c r="C1858" s="116">
        <v>1556.4</v>
      </c>
      <c r="D1858" s="116">
        <v>1551.75</v>
      </c>
      <c r="E1858" s="116">
        <v>1576.05</v>
      </c>
      <c r="F1858" s="116">
        <v>1556.4</v>
      </c>
      <c r="G1858">
        <v>28069</v>
      </c>
      <c r="H1858" s="116"/>
      <c r="I1858" s="116"/>
      <c r="L1858" s="170">
        <v>45741</v>
      </c>
      <c r="M1858" s="116">
        <v>1557.2</v>
      </c>
      <c r="N1858" s="116">
        <v>1583.9</v>
      </c>
      <c r="O1858" s="116">
        <v>1551.3</v>
      </c>
      <c r="P1858" s="116">
        <v>1577.65</v>
      </c>
      <c r="Q1858" s="116">
        <v>1557.2</v>
      </c>
      <c r="R1858">
        <v>1241287</v>
      </c>
    </row>
    <row r="1859" spans="1:18" x14ac:dyDescent="0.25">
      <c r="A1859" s="170">
        <v>45742</v>
      </c>
      <c r="B1859" s="116">
        <v>1569.7</v>
      </c>
      <c r="C1859" s="116">
        <v>1542.7</v>
      </c>
      <c r="D1859" s="116">
        <v>1532.95</v>
      </c>
      <c r="E1859" s="116">
        <v>1557</v>
      </c>
      <c r="F1859" s="116">
        <v>1542.7</v>
      </c>
      <c r="G1859">
        <v>7138</v>
      </c>
      <c r="H1859" s="116"/>
      <c r="I1859" s="116"/>
      <c r="L1859" s="170">
        <v>45742</v>
      </c>
      <c r="M1859" s="116">
        <v>1541.3</v>
      </c>
      <c r="N1859" s="116">
        <v>1570.3</v>
      </c>
      <c r="O1859" s="116">
        <v>1533.45</v>
      </c>
      <c r="P1859" s="116">
        <v>1564.3</v>
      </c>
      <c r="Q1859" s="116">
        <v>1541.3</v>
      </c>
      <c r="R1859">
        <v>1106876</v>
      </c>
    </row>
    <row r="1860" spans="1:18" x14ac:dyDescent="0.25">
      <c r="A1860" s="170">
        <v>45743</v>
      </c>
      <c r="B1860" s="116">
        <v>1552.2</v>
      </c>
      <c r="C1860" s="116">
        <v>1545.05</v>
      </c>
      <c r="D1860" s="116">
        <v>1520.4</v>
      </c>
      <c r="E1860" s="116">
        <v>1520.4</v>
      </c>
      <c r="F1860" s="116">
        <v>1545.05</v>
      </c>
      <c r="G1860">
        <v>16445</v>
      </c>
      <c r="H1860" s="116"/>
      <c r="I1860" s="116"/>
      <c r="L1860" s="170">
        <v>45743</v>
      </c>
      <c r="M1860" s="116">
        <v>1544.9</v>
      </c>
      <c r="N1860" s="116">
        <v>1552.1</v>
      </c>
      <c r="O1860" s="116">
        <v>1529.65</v>
      </c>
      <c r="P1860" s="116">
        <v>1541.4</v>
      </c>
      <c r="Q1860" s="116">
        <v>1544.9</v>
      </c>
      <c r="R1860">
        <v>1405775</v>
      </c>
    </row>
    <row r="1861" spans="1:18" x14ac:dyDescent="0.25">
      <c r="A1861" s="170">
        <v>45744</v>
      </c>
      <c r="B1861" s="116">
        <v>1564.5</v>
      </c>
      <c r="C1861" s="116">
        <v>1548.05</v>
      </c>
      <c r="D1861" s="116">
        <v>1535.8</v>
      </c>
      <c r="E1861" s="116">
        <v>1545.05</v>
      </c>
      <c r="F1861" s="116">
        <v>1548.05</v>
      </c>
      <c r="G1861">
        <v>28151</v>
      </c>
      <c r="H1861" s="116"/>
      <c r="I1861" s="116"/>
      <c r="L1861" s="170">
        <v>45744</v>
      </c>
      <c r="M1861" s="116">
        <v>1547.85</v>
      </c>
      <c r="N1861" s="116">
        <v>1564.5</v>
      </c>
      <c r="O1861" s="116">
        <v>1534.75</v>
      </c>
      <c r="P1861" s="116">
        <v>1544.9</v>
      </c>
      <c r="Q1861" s="116">
        <v>1547.85</v>
      </c>
      <c r="R1861">
        <v>1120169</v>
      </c>
    </row>
    <row r="1862" spans="1:18" x14ac:dyDescent="0.25">
      <c r="A1862" s="170">
        <v>45748</v>
      </c>
      <c r="B1862" s="116">
        <v>1566</v>
      </c>
      <c r="C1862" s="116">
        <v>1544.9</v>
      </c>
      <c r="D1862" s="116">
        <v>1506.9</v>
      </c>
      <c r="E1862" s="116">
        <v>1506.9</v>
      </c>
      <c r="F1862" s="116">
        <v>1544.9</v>
      </c>
      <c r="G1862">
        <v>13479</v>
      </c>
      <c r="H1862" s="116"/>
      <c r="I1862" s="116"/>
      <c r="L1862" s="170">
        <v>45748</v>
      </c>
      <c r="M1862" s="116">
        <v>1545.25</v>
      </c>
      <c r="N1862" s="116">
        <v>1566.4</v>
      </c>
      <c r="O1862" s="116">
        <v>1535.35</v>
      </c>
      <c r="P1862" s="116">
        <v>1537.75</v>
      </c>
      <c r="Q1862" s="116">
        <v>1545.25</v>
      </c>
      <c r="R1862">
        <v>937836</v>
      </c>
    </row>
    <row r="1863" spans="1:18" x14ac:dyDescent="0.25">
      <c r="A1863" s="170">
        <v>45749</v>
      </c>
      <c r="B1863" s="116">
        <v>1563</v>
      </c>
      <c r="C1863" s="116">
        <v>1560</v>
      </c>
      <c r="D1863" s="116">
        <v>1520.6</v>
      </c>
      <c r="E1863" s="116">
        <v>1520.6</v>
      </c>
      <c r="F1863" s="116">
        <v>1560</v>
      </c>
      <c r="G1863">
        <v>7863</v>
      </c>
      <c r="H1863" s="116"/>
      <c r="I1863" s="116"/>
      <c r="L1863" s="170">
        <v>45749</v>
      </c>
      <c r="M1863" s="116">
        <v>1559.85</v>
      </c>
      <c r="N1863" s="116">
        <v>1563.15</v>
      </c>
      <c r="O1863" s="116">
        <v>1542.3</v>
      </c>
      <c r="P1863" s="116">
        <v>1543</v>
      </c>
      <c r="Q1863" s="116">
        <v>1559.85</v>
      </c>
      <c r="R1863">
        <v>1876774</v>
      </c>
    </row>
    <row r="1864" spans="1:18" x14ac:dyDescent="0.25">
      <c r="A1864" s="170">
        <v>45750</v>
      </c>
      <c r="B1864" s="116">
        <v>1559</v>
      </c>
      <c r="C1864" s="116">
        <v>1540.55</v>
      </c>
      <c r="D1864" s="116">
        <v>1530.4</v>
      </c>
      <c r="E1864" s="116">
        <v>1530.4</v>
      </c>
      <c r="F1864" s="116">
        <v>1540.55</v>
      </c>
      <c r="G1864">
        <v>9278</v>
      </c>
      <c r="H1864" s="116"/>
      <c r="I1864" s="116"/>
      <c r="L1864" s="170">
        <v>45750</v>
      </c>
      <c r="M1864" s="116">
        <v>1542.25</v>
      </c>
      <c r="N1864" s="116">
        <v>1558.9</v>
      </c>
      <c r="O1864" s="116">
        <v>1540</v>
      </c>
      <c r="P1864" s="116">
        <v>1546</v>
      </c>
      <c r="Q1864" s="116">
        <v>1542.25</v>
      </c>
      <c r="R1864">
        <v>373548</v>
      </c>
    </row>
    <row r="1865" spans="1:18" x14ac:dyDescent="0.25">
      <c r="A1865" s="170">
        <v>45751</v>
      </c>
      <c r="B1865" s="116">
        <v>1545</v>
      </c>
      <c r="C1865" s="116">
        <v>1512.35</v>
      </c>
      <c r="D1865" s="116">
        <v>1501</v>
      </c>
      <c r="E1865" s="116">
        <v>1535.7</v>
      </c>
      <c r="F1865" s="116">
        <v>1512.35</v>
      </c>
      <c r="G1865">
        <v>8596</v>
      </c>
      <c r="H1865" s="116"/>
      <c r="I1865" s="116"/>
      <c r="L1865" s="170">
        <v>45751</v>
      </c>
      <c r="M1865" s="116">
        <v>1512.6</v>
      </c>
      <c r="N1865" s="116">
        <v>1546.9</v>
      </c>
      <c r="O1865" s="116">
        <v>1501.1</v>
      </c>
      <c r="P1865" s="116">
        <v>1536.35</v>
      </c>
      <c r="Q1865" s="116">
        <v>1512.6</v>
      </c>
      <c r="R1865">
        <v>826558</v>
      </c>
    </row>
    <row r="1866" spans="1:18" x14ac:dyDescent="0.25">
      <c r="A1866" s="170">
        <v>45754</v>
      </c>
      <c r="B1866" s="116">
        <v>1484.95</v>
      </c>
      <c r="C1866" s="116">
        <v>1461.5</v>
      </c>
      <c r="D1866" s="116">
        <v>1434</v>
      </c>
      <c r="E1866" s="116">
        <v>1482.35</v>
      </c>
      <c r="F1866" s="116">
        <v>1461.5</v>
      </c>
      <c r="G1866">
        <v>13430</v>
      </c>
      <c r="H1866" s="116"/>
      <c r="I1866" s="116"/>
      <c r="L1866" s="170">
        <v>45754</v>
      </c>
      <c r="M1866" s="116">
        <v>1460.8</v>
      </c>
      <c r="N1866" s="116">
        <v>1485.5</v>
      </c>
      <c r="O1866" s="116">
        <v>1430.55</v>
      </c>
      <c r="P1866" s="116">
        <v>1450</v>
      </c>
      <c r="Q1866" s="116">
        <v>1460.8</v>
      </c>
      <c r="R1866">
        <v>916977</v>
      </c>
    </row>
    <row r="1867" spans="1:18" x14ac:dyDescent="0.25">
      <c r="A1867" s="170">
        <v>45755</v>
      </c>
      <c r="B1867" s="116">
        <v>1496.7</v>
      </c>
      <c r="C1867" s="116">
        <v>1488.2</v>
      </c>
      <c r="D1867" s="116">
        <v>1459</v>
      </c>
      <c r="E1867" s="116">
        <v>1486.95</v>
      </c>
      <c r="F1867" s="116">
        <v>1488.2</v>
      </c>
      <c r="G1867">
        <v>19846</v>
      </c>
      <c r="H1867" s="116"/>
      <c r="I1867" s="116"/>
      <c r="L1867" s="170">
        <v>45755</v>
      </c>
      <c r="M1867" s="116">
        <v>1488</v>
      </c>
      <c r="N1867" s="116">
        <v>1498.05</v>
      </c>
      <c r="O1867" s="116">
        <v>1458.05</v>
      </c>
      <c r="P1867" s="116">
        <v>1490</v>
      </c>
      <c r="Q1867" s="116">
        <v>1488</v>
      </c>
      <c r="R1867">
        <v>2142568</v>
      </c>
    </row>
    <row r="1868" spans="1:18" x14ac:dyDescent="0.25">
      <c r="A1868" s="170">
        <v>45756</v>
      </c>
      <c r="B1868" s="116">
        <v>1500.3</v>
      </c>
      <c r="C1868" s="116">
        <v>1481.55</v>
      </c>
      <c r="D1868" s="116">
        <v>1475.5</v>
      </c>
      <c r="E1868" s="116">
        <v>1488.2</v>
      </c>
      <c r="F1868" s="116">
        <v>1481.55</v>
      </c>
      <c r="G1868">
        <v>9548</v>
      </c>
      <c r="H1868" s="116"/>
      <c r="I1868" s="116"/>
      <c r="L1868" s="170">
        <v>45756</v>
      </c>
      <c r="M1868" s="116">
        <v>1481.65</v>
      </c>
      <c r="N1868" s="116">
        <v>1499.9</v>
      </c>
      <c r="O1868" s="116">
        <v>1475</v>
      </c>
      <c r="P1868" s="116">
        <v>1488</v>
      </c>
      <c r="Q1868" s="116">
        <v>1481.65</v>
      </c>
      <c r="R1868">
        <v>1047950</v>
      </c>
    </row>
    <row r="1869" spans="1:18" x14ac:dyDescent="0.25">
      <c r="A1869" s="170">
        <v>45758</v>
      </c>
      <c r="B1869" s="116">
        <v>1530</v>
      </c>
      <c r="C1869" s="116">
        <v>1522.75</v>
      </c>
      <c r="D1869" s="116">
        <v>1503.7</v>
      </c>
      <c r="E1869" s="116">
        <v>1516.4</v>
      </c>
      <c r="F1869" s="116">
        <v>1522.75</v>
      </c>
      <c r="G1869">
        <v>6963</v>
      </c>
      <c r="H1869" s="116"/>
      <c r="I1869" s="116"/>
      <c r="L1869" s="170">
        <v>45758</v>
      </c>
      <c r="M1869" s="116">
        <v>1521.9</v>
      </c>
      <c r="N1869" s="116">
        <v>1539</v>
      </c>
      <c r="O1869" s="116">
        <v>1500.05</v>
      </c>
      <c r="P1869" s="116">
        <v>1539</v>
      </c>
      <c r="Q1869" s="116">
        <v>1521.9</v>
      </c>
      <c r="R1869">
        <v>1134200</v>
      </c>
    </row>
    <row r="1870" spans="1:18" x14ac:dyDescent="0.25">
      <c r="A1870" s="170">
        <v>45762</v>
      </c>
      <c r="B1870" s="116">
        <v>1573.5</v>
      </c>
      <c r="C1870" s="116">
        <v>1562.95</v>
      </c>
      <c r="D1870" s="116">
        <v>1526.15</v>
      </c>
      <c r="E1870" s="116">
        <v>1535.15</v>
      </c>
      <c r="F1870" s="116">
        <v>1562.95</v>
      </c>
      <c r="G1870">
        <v>24449</v>
      </c>
      <c r="H1870" s="116"/>
      <c r="I1870" s="116"/>
      <c r="L1870" s="170">
        <v>45762</v>
      </c>
      <c r="M1870" s="116">
        <v>1562.6</v>
      </c>
      <c r="N1870" s="116">
        <v>1574.1</v>
      </c>
      <c r="O1870" s="116">
        <v>1525</v>
      </c>
      <c r="P1870" s="116">
        <v>1555.5</v>
      </c>
      <c r="Q1870" s="116">
        <v>1562.6</v>
      </c>
      <c r="R1870">
        <v>1363406</v>
      </c>
    </row>
    <row r="1871" spans="1:18" x14ac:dyDescent="0.25">
      <c r="A1871" s="170">
        <v>45763</v>
      </c>
      <c r="B1871" s="116">
        <v>1576.3</v>
      </c>
      <c r="C1871" s="116">
        <v>1564.45</v>
      </c>
      <c r="D1871" s="116">
        <v>1550</v>
      </c>
      <c r="E1871" s="116">
        <v>1557.95</v>
      </c>
      <c r="F1871" s="116">
        <v>1564.45</v>
      </c>
      <c r="G1871">
        <v>12010</v>
      </c>
      <c r="H1871" s="116"/>
      <c r="I1871" s="116"/>
      <c r="L1871" s="170">
        <v>45763</v>
      </c>
      <c r="M1871" s="116">
        <v>1565.4</v>
      </c>
      <c r="N1871" s="116">
        <v>1576.8</v>
      </c>
      <c r="O1871" s="116">
        <v>1548.5</v>
      </c>
      <c r="P1871" s="116">
        <v>1548.5</v>
      </c>
      <c r="Q1871" s="116">
        <v>1565.4</v>
      </c>
      <c r="R1871">
        <v>784495</v>
      </c>
    </row>
    <row r="1872" spans="1:18" x14ac:dyDescent="0.25">
      <c r="A1872" s="170">
        <v>45764</v>
      </c>
      <c r="B1872" s="116">
        <v>1612.2</v>
      </c>
      <c r="C1872" s="116">
        <v>1609.1</v>
      </c>
      <c r="D1872" s="116">
        <v>1548.9</v>
      </c>
      <c r="E1872" s="116">
        <v>1550.05</v>
      </c>
      <c r="F1872" s="116">
        <v>1609.1</v>
      </c>
      <c r="G1872">
        <v>13226</v>
      </c>
      <c r="H1872" s="116"/>
      <c r="I1872" s="116"/>
      <c r="L1872" s="170">
        <v>45764</v>
      </c>
      <c r="M1872" s="116">
        <v>1608.2</v>
      </c>
      <c r="N1872" s="116">
        <v>1615</v>
      </c>
      <c r="O1872" s="116">
        <v>1549.4</v>
      </c>
      <c r="P1872" s="116">
        <v>1558</v>
      </c>
      <c r="Q1872" s="116">
        <v>1608.2</v>
      </c>
      <c r="R1872">
        <v>1500299</v>
      </c>
    </row>
    <row r="1873" spans="1:18" x14ac:dyDescent="0.25">
      <c r="A1873" s="170">
        <v>45768</v>
      </c>
      <c r="B1873" s="116">
        <v>1630</v>
      </c>
      <c r="C1873" s="116">
        <v>1628.95</v>
      </c>
      <c r="D1873" s="116">
        <v>1593.8</v>
      </c>
      <c r="E1873" s="116">
        <v>1623.5</v>
      </c>
      <c r="F1873" s="116">
        <v>1628.95</v>
      </c>
      <c r="G1873">
        <v>23450</v>
      </c>
      <c r="H1873" s="116"/>
      <c r="I1873" s="116"/>
      <c r="L1873" s="170">
        <v>45768</v>
      </c>
      <c r="M1873" s="116">
        <v>1628.5</v>
      </c>
      <c r="N1873" s="116">
        <v>1630.7</v>
      </c>
      <c r="O1873" s="116">
        <v>1595.3</v>
      </c>
      <c r="P1873" s="116">
        <v>1618</v>
      </c>
      <c r="Q1873" s="116">
        <v>1628.5</v>
      </c>
      <c r="R1873">
        <v>1016066</v>
      </c>
    </row>
    <row r="1874" spans="1:18" x14ac:dyDescent="0.25">
      <c r="A1874" s="170">
        <v>45769</v>
      </c>
      <c r="B1874" s="116">
        <v>1639.3</v>
      </c>
      <c r="C1874" s="116">
        <v>1617.85</v>
      </c>
      <c r="D1874" s="116">
        <v>1612</v>
      </c>
      <c r="E1874" s="116">
        <v>1616.5</v>
      </c>
      <c r="F1874" s="116">
        <v>1617.85</v>
      </c>
      <c r="G1874">
        <v>16600</v>
      </c>
      <c r="H1874" s="116"/>
      <c r="I1874" s="116"/>
      <c r="L1874" s="170">
        <v>45769</v>
      </c>
      <c r="M1874" s="116">
        <v>1619</v>
      </c>
      <c r="N1874" s="116">
        <v>1639.9</v>
      </c>
      <c r="O1874" s="116">
        <v>1612.8</v>
      </c>
      <c r="P1874" s="116">
        <v>1627.8</v>
      </c>
      <c r="Q1874" s="116">
        <v>1619</v>
      </c>
      <c r="R1874">
        <v>1102055</v>
      </c>
    </row>
    <row r="1875" spans="1:18" x14ac:dyDescent="0.25">
      <c r="A1875" s="170">
        <v>45770</v>
      </c>
      <c r="B1875" s="116">
        <v>1637.2</v>
      </c>
      <c r="C1875" s="116">
        <v>1615.55</v>
      </c>
      <c r="D1875" s="116">
        <v>1601.65</v>
      </c>
      <c r="E1875" s="116">
        <v>1637.2</v>
      </c>
      <c r="F1875" s="116">
        <v>1615.55</v>
      </c>
      <c r="G1875">
        <v>9375</v>
      </c>
      <c r="H1875" s="116"/>
      <c r="I1875" s="116"/>
      <c r="L1875" s="170">
        <v>45770</v>
      </c>
      <c r="M1875" s="116">
        <v>1615.5</v>
      </c>
      <c r="N1875" s="116">
        <v>1625</v>
      </c>
      <c r="O1875" s="116">
        <v>1601</v>
      </c>
      <c r="P1875" s="116">
        <v>1625</v>
      </c>
      <c r="Q1875" s="116">
        <v>1615.5</v>
      </c>
      <c r="R1875">
        <v>1136215</v>
      </c>
    </row>
    <row r="1876" spans="1:18" x14ac:dyDescent="0.25">
      <c r="A1876" s="170">
        <v>45771</v>
      </c>
      <c r="B1876" s="116">
        <v>1636.35</v>
      </c>
      <c r="C1876" s="116">
        <v>1608.85</v>
      </c>
      <c r="D1876" s="116">
        <v>1603.7</v>
      </c>
      <c r="E1876" s="116">
        <v>1615.2</v>
      </c>
      <c r="F1876" s="116">
        <v>1608.85</v>
      </c>
      <c r="G1876">
        <v>18772</v>
      </c>
      <c r="H1876" s="116"/>
      <c r="I1876" s="116"/>
      <c r="L1876" s="170">
        <v>45771</v>
      </c>
      <c r="M1876" s="116">
        <v>1608.2</v>
      </c>
      <c r="N1876" s="116">
        <v>1636.6</v>
      </c>
      <c r="O1876" s="116">
        <v>1603</v>
      </c>
      <c r="P1876" s="116">
        <v>1612.9</v>
      </c>
      <c r="Q1876" s="116">
        <v>1608.2</v>
      </c>
      <c r="R1876">
        <v>857476</v>
      </c>
    </row>
    <row r="1877" spans="1:18" x14ac:dyDescent="0.25">
      <c r="A1877" s="170">
        <v>45772</v>
      </c>
      <c r="B1877" s="116">
        <v>1763</v>
      </c>
      <c r="C1877" s="116">
        <v>1694.55</v>
      </c>
      <c r="D1877" s="116">
        <v>1651.8</v>
      </c>
      <c r="E1877" s="116">
        <v>1715.3</v>
      </c>
      <c r="F1877" s="116">
        <v>1694.55</v>
      </c>
      <c r="G1877">
        <v>477658</v>
      </c>
      <c r="H1877" s="116"/>
      <c r="I1877" s="116"/>
      <c r="L1877" s="170">
        <v>45772</v>
      </c>
      <c r="M1877" s="116">
        <v>1695.1</v>
      </c>
      <c r="N1877" s="116">
        <v>1762</v>
      </c>
      <c r="O1877" s="116">
        <v>1651.1</v>
      </c>
      <c r="P1877" s="116">
        <v>1723.5</v>
      </c>
      <c r="Q1877" s="116">
        <v>1695.1</v>
      </c>
      <c r="R1877">
        <v>10321746</v>
      </c>
    </row>
    <row r="1878" spans="1:18" x14ac:dyDescent="0.25">
      <c r="A1878" s="170">
        <v>45775</v>
      </c>
      <c r="B1878" s="116">
        <v>1753.9</v>
      </c>
      <c r="C1878" s="116">
        <v>1737.65</v>
      </c>
      <c r="D1878" s="116">
        <v>1683</v>
      </c>
      <c r="E1878" s="116">
        <v>1692.9</v>
      </c>
      <c r="F1878" s="116">
        <v>1737.65</v>
      </c>
      <c r="G1878">
        <v>67832</v>
      </c>
      <c r="H1878" s="116"/>
      <c r="I1878" s="116"/>
      <c r="L1878" s="170">
        <v>45775</v>
      </c>
      <c r="M1878" s="116">
        <v>1736.1</v>
      </c>
      <c r="N1878" s="116">
        <v>1755</v>
      </c>
      <c r="O1878" s="116">
        <v>1681.4</v>
      </c>
      <c r="P1878" s="116">
        <v>1690</v>
      </c>
      <c r="Q1878" s="116">
        <v>1736.1</v>
      </c>
      <c r="R1878">
        <v>2100813</v>
      </c>
    </row>
    <row r="1879" spans="1:18" x14ac:dyDescent="0.25">
      <c r="A1879" s="170">
        <v>45776</v>
      </c>
      <c r="B1879" s="116">
        <v>1764.9</v>
      </c>
      <c r="C1879" s="116">
        <v>1728.9</v>
      </c>
      <c r="D1879" s="116">
        <v>1721</v>
      </c>
      <c r="E1879" s="116">
        <v>1721.3</v>
      </c>
      <c r="F1879" s="116">
        <v>1728.9</v>
      </c>
      <c r="G1879">
        <v>38502</v>
      </c>
      <c r="H1879" s="116"/>
      <c r="I1879" s="116"/>
      <c r="L1879" s="170">
        <v>45776</v>
      </c>
      <c r="M1879" s="116">
        <v>1730.1</v>
      </c>
      <c r="N1879" s="116">
        <v>1764.9</v>
      </c>
      <c r="O1879" s="116">
        <v>1721</v>
      </c>
      <c r="P1879" s="116">
        <v>1733.9</v>
      </c>
      <c r="Q1879" s="116">
        <v>1730.1</v>
      </c>
      <c r="R1879">
        <v>2049847</v>
      </c>
    </row>
    <row r="1880" spans="1:18" x14ac:dyDescent="0.25">
      <c r="A1880" s="170">
        <v>45777</v>
      </c>
      <c r="B1880" s="116">
        <v>1771.2</v>
      </c>
      <c r="C1880" s="116">
        <v>1761.7</v>
      </c>
      <c r="D1880" s="116">
        <v>1717.15</v>
      </c>
      <c r="E1880" s="116">
        <v>1717.15</v>
      </c>
      <c r="F1880" s="116">
        <v>1761.7</v>
      </c>
      <c r="G1880">
        <v>32470</v>
      </c>
      <c r="H1880" s="116"/>
      <c r="I1880" s="116"/>
      <c r="L1880" s="170">
        <v>45777</v>
      </c>
      <c r="M1880" s="116">
        <v>1765.8</v>
      </c>
      <c r="N1880" s="116">
        <v>1772.5</v>
      </c>
      <c r="O1880" s="116">
        <v>1718.5</v>
      </c>
      <c r="P1880" s="116">
        <v>1722</v>
      </c>
      <c r="Q1880" s="116">
        <v>1765.8</v>
      </c>
      <c r="R1880">
        <v>2031563</v>
      </c>
    </row>
    <row r="1881" spans="1:18" x14ac:dyDescent="0.25">
      <c r="A1881" s="170">
        <v>45779</v>
      </c>
      <c r="B1881" s="116">
        <v>1776.5</v>
      </c>
      <c r="C1881" s="116">
        <v>1763.7</v>
      </c>
      <c r="D1881" s="116">
        <v>1749.2</v>
      </c>
      <c r="E1881" s="116">
        <v>1765.8</v>
      </c>
      <c r="F1881" s="116">
        <v>1763.7</v>
      </c>
      <c r="G1881">
        <v>12438</v>
      </c>
      <c r="H1881" s="116"/>
      <c r="I1881" s="116"/>
      <c r="L1881" s="170">
        <v>45779</v>
      </c>
      <c r="M1881" s="116">
        <v>1764.7</v>
      </c>
      <c r="N1881" s="116">
        <v>1777.1</v>
      </c>
      <c r="O1881" s="116">
        <v>1747.6</v>
      </c>
      <c r="P1881" s="116">
        <v>1761</v>
      </c>
      <c r="Q1881" s="116">
        <v>1764.7</v>
      </c>
      <c r="R1881">
        <v>1418603</v>
      </c>
    </row>
    <row r="1882" spans="1:18" x14ac:dyDescent="0.25">
      <c r="A1882" s="170">
        <v>45782</v>
      </c>
      <c r="B1882" s="116">
        <v>1788.6</v>
      </c>
      <c r="C1882" s="116">
        <v>1770.05</v>
      </c>
      <c r="D1882" s="116">
        <v>1763.95</v>
      </c>
      <c r="E1882" s="116">
        <v>1763.95</v>
      </c>
      <c r="F1882" s="116">
        <v>1770.05</v>
      </c>
      <c r="G1882">
        <v>14693</v>
      </c>
      <c r="H1882" s="116"/>
      <c r="I1882" s="116"/>
      <c r="L1882" s="170">
        <v>45782</v>
      </c>
      <c r="M1882" s="116">
        <v>1769.9</v>
      </c>
      <c r="N1882" s="116">
        <v>1787.6</v>
      </c>
      <c r="O1882" s="116">
        <v>1766.9</v>
      </c>
      <c r="P1882" s="116">
        <v>1773</v>
      </c>
      <c r="Q1882" s="116">
        <v>1769.9</v>
      </c>
      <c r="R1882">
        <v>947983</v>
      </c>
    </row>
    <row r="1883" spans="1:18" x14ac:dyDescent="0.25">
      <c r="A1883" s="170">
        <v>45783</v>
      </c>
      <c r="B1883" s="116">
        <v>1798</v>
      </c>
      <c r="C1883" s="116">
        <v>1725.8</v>
      </c>
      <c r="D1883" s="116">
        <v>1718.4</v>
      </c>
      <c r="E1883" s="116">
        <v>1776.1</v>
      </c>
      <c r="F1883" s="116">
        <v>1725.8</v>
      </c>
      <c r="G1883">
        <v>35611</v>
      </c>
      <c r="H1883" s="116"/>
      <c r="I1883" s="116"/>
      <c r="L1883" s="170">
        <v>45783</v>
      </c>
      <c r="M1883" s="116">
        <v>1726</v>
      </c>
      <c r="N1883" s="116">
        <v>1797.8</v>
      </c>
      <c r="O1883" s="116">
        <v>1717.2</v>
      </c>
      <c r="P1883" s="116">
        <v>1770</v>
      </c>
      <c r="Q1883" s="116">
        <v>1726</v>
      </c>
      <c r="R1883">
        <v>1295777</v>
      </c>
    </row>
    <row r="1884" spans="1:18" x14ac:dyDescent="0.25">
      <c r="A1884" s="170">
        <v>45784</v>
      </c>
      <c r="B1884" s="116">
        <v>1755</v>
      </c>
      <c r="C1884" s="116">
        <v>1744.2</v>
      </c>
      <c r="D1884" s="116">
        <v>1675.4</v>
      </c>
      <c r="E1884" s="116">
        <v>1675.4</v>
      </c>
      <c r="F1884" s="116">
        <v>1744.2</v>
      </c>
      <c r="G1884">
        <v>8108</v>
      </c>
      <c r="H1884" s="116"/>
      <c r="I1884" s="116"/>
      <c r="L1884" s="170">
        <v>45784</v>
      </c>
      <c r="M1884" s="116">
        <v>1744.5</v>
      </c>
      <c r="N1884" s="116">
        <v>1756.5</v>
      </c>
      <c r="O1884" s="116">
        <v>1712.3</v>
      </c>
      <c r="P1884" s="116">
        <v>1714</v>
      </c>
      <c r="Q1884" s="116">
        <v>1744.5</v>
      </c>
      <c r="R1884">
        <v>753313</v>
      </c>
    </row>
    <row r="1885" spans="1:18" x14ac:dyDescent="0.25">
      <c r="A1885" s="170">
        <v>45785</v>
      </c>
      <c r="B1885" s="116">
        <v>1741.45</v>
      </c>
      <c r="C1885" s="116">
        <v>1731.5</v>
      </c>
      <c r="D1885" s="116">
        <v>1720</v>
      </c>
      <c r="E1885" s="116">
        <v>1739.25</v>
      </c>
      <c r="F1885" s="116">
        <v>1731.5</v>
      </c>
      <c r="G1885">
        <v>4634</v>
      </c>
      <c r="H1885" s="116"/>
      <c r="I1885" s="116"/>
      <c r="L1885" s="170">
        <v>45785</v>
      </c>
      <c r="M1885" s="116">
        <v>1731.5</v>
      </c>
      <c r="N1885" s="116">
        <v>1744</v>
      </c>
      <c r="O1885" s="116">
        <v>1721.1</v>
      </c>
      <c r="P1885" s="116">
        <v>1741.3</v>
      </c>
      <c r="Q1885" s="116">
        <v>1731.5</v>
      </c>
      <c r="R1885">
        <v>1107891</v>
      </c>
    </row>
    <row r="1886" spans="1:18" x14ac:dyDescent="0.25">
      <c r="A1886" s="170">
        <v>45786</v>
      </c>
      <c r="B1886" s="116">
        <v>1727.8</v>
      </c>
      <c r="C1886" s="116">
        <v>1699.1</v>
      </c>
      <c r="D1886" s="116">
        <v>1663.2</v>
      </c>
      <c r="E1886" s="116">
        <v>1663.2</v>
      </c>
      <c r="F1886" s="116">
        <v>1699.1</v>
      </c>
      <c r="G1886">
        <v>14249</v>
      </c>
      <c r="H1886" s="116"/>
      <c r="I1886" s="116"/>
      <c r="L1886" s="170">
        <v>45786</v>
      </c>
      <c r="M1886" s="116">
        <v>1699.8</v>
      </c>
      <c r="N1886" s="116">
        <v>1728.7</v>
      </c>
      <c r="O1886" s="116">
        <v>1693.1</v>
      </c>
      <c r="P1886" s="116">
        <v>1706</v>
      </c>
      <c r="Q1886" s="116">
        <v>1699.8</v>
      </c>
      <c r="R1886">
        <v>1076900</v>
      </c>
    </row>
    <row r="1887" spans="1:18" x14ac:dyDescent="0.25">
      <c r="A1887" s="170">
        <v>45789</v>
      </c>
      <c r="B1887" s="116">
        <v>1755</v>
      </c>
      <c r="C1887" s="116">
        <v>1748.35</v>
      </c>
      <c r="D1887" s="116">
        <v>1725.85</v>
      </c>
      <c r="E1887" s="116">
        <v>1737.35</v>
      </c>
      <c r="F1887" s="116">
        <v>1748.35</v>
      </c>
      <c r="G1887">
        <v>20614</v>
      </c>
      <c r="H1887" s="116"/>
      <c r="I1887" s="116"/>
      <c r="L1887" s="170">
        <v>45789</v>
      </c>
      <c r="M1887" s="116">
        <v>1751.5</v>
      </c>
      <c r="N1887" s="116">
        <v>1756.9</v>
      </c>
      <c r="O1887" s="116">
        <v>1720</v>
      </c>
      <c r="P1887" s="116">
        <v>1725</v>
      </c>
      <c r="Q1887" s="116">
        <v>1751.5</v>
      </c>
      <c r="R1887">
        <v>728808</v>
      </c>
    </row>
    <row r="1888" spans="1:18" x14ac:dyDescent="0.25">
      <c r="A1888" s="170">
        <v>45790</v>
      </c>
      <c r="B1888" s="116">
        <v>1755.95</v>
      </c>
      <c r="C1888" s="116">
        <v>1739.8</v>
      </c>
      <c r="D1888" s="116">
        <v>1729.15</v>
      </c>
      <c r="E1888" s="116">
        <v>1729.15</v>
      </c>
      <c r="F1888" s="116">
        <v>1739.8</v>
      </c>
      <c r="G1888">
        <v>6308</v>
      </c>
      <c r="H1888" s="116"/>
      <c r="I1888" s="116"/>
      <c r="L1888" s="170">
        <v>45790</v>
      </c>
      <c r="M1888" s="116">
        <v>1740</v>
      </c>
      <c r="N1888" s="116">
        <v>1756</v>
      </c>
      <c r="O1888" s="116">
        <v>1732.3</v>
      </c>
      <c r="P1888" s="116">
        <v>1742.7</v>
      </c>
      <c r="Q1888" s="116">
        <v>1740</v>
      </c>
      <c r="R1888">
        <v>478541</v>
      </c>
    </row>
    <row r="1889" spans="1:18" x14ac:dyDescent="0.25">
      <c r="A1889" s="170">
        <v>45791</v>
      </c>
      <c r="B1889" s="116">
        <v>1757.2</v>
      </c>
      <c r="C1889" s="116">
        <v>1754.95</v>
      </c>
      <c r="D1889" s="116">
        <v>1739</v>
      </c>
      <c r="E1889" s="116">
        <v>1749.9</v>
      </c>
      <c r="F1889" s="116">
        <v>1754.95</v>
      </c>
      <c r="G1889">
        <v>8032</v>
      </c>
      <c r="H1889" s="116"/>
      <c r="I1889" s="116"/>
      <c r="L1889" s="170">
        <v>45791</v>
      </c>
      <c r="M1889" s="116">
        <v>1755.2</v>
      </c>
      <c r="N1889" s="116">
        <v>1760</v>
      </c>
      <c r="O1889" s="116">
        <v>1737.4</v>
      </c>
      <c r="P1889" s="116">
        <v>1741</v>
      </c>
      <c r="Q1889" s="116">
        <v>1755.2</v>
      </c>
      <c r="R1889">
        <v>603108</v>
      </c>
    </row>
    <row r="1890" spans="1:18" x14ac:dyDescent="0.25">
      <c r="A1890" s="170">
        <v>45792</v>
      </c>
      <c r="B1890" s="116">
        <v>1788.1</v>
      </c>
      <c r="C1890" s="116">
        <v>1782.85</v>
      </c>
      <c r="D1890" s="116">
        <v>1737</v>
      </c>
      <c r="E1890" s="116">
        <v>1752.35</v>
      </c>
      <c r="F1890" s="116">
        <v>1782.85</v>
      </c>
      <c r="G1890">
        <v>10848</v>
      </c>
      <c r="H1890" s="116"/>
      <c r="I1890" s="116"/>
      <c r="L1890" s="170">
        <v>45792</v>
      </c>
      <c r="M1890" s="116">
        <v>1784.6</v>
      </c>
      <c r="N1890" s="116">
        <v>1788.4</v>
      </c>
      <c r="O1890" s="116">
        <v>1737.1</v>
      </c>
      <c r="P1890" s="116">
        <v>1757.7</v>
      </c>
      <c r="Q1890" s="116">
        <v>1784.6</v>
      </c>
      <c r="R1890">
        <v>1318425</v>
      </c>
    </row>
    <row r="1891" spans="1:18" x14ac:dyDescent="0.25">
      <c r="A1891" s="170">
        <v>45793</v>
      </c>
      <c r="B1891" s="116">
        <v>1790.5</v>
      </c>
      <c r="C1891" s="116">
        <v>1772.35</v>
      </c>
      <c r="D1891" s="116">
        <v>1768</v>
      </c>
      <c r="E1891" s="116">
        <v>1784.95</v>
      </c>
      <c r="F1891" s="116">
        <v>1772.35</v>
      </c>
      <c r="G1891">
        <v>12167</v>
      </c>
      <c r="H1891" s="116"/>
      <c r="I1891" s="116"/>
      <c r="L1891" s="170">
        <v>45793</v>
      </c>
      <c r="M1891" s="116">
        <v>1773.4</v>
      </c>
      <c r="N1891" s="116">
        <v>1790.9</v>
      </c>
      <c r="O1891" s="116">
        <v>1767.9</v>
      </c>
      <c r="P1891" s="116">
        <v>1790</v>
      </c>
      <c r="Q1891" s="116">
        <v>1773.4</v>
      </c>
      <c r="R1891">
        <v>696146</v>
      </c>
    </row>
    <row r="1892" spans="1:18" x14ac:dyDescent="0.25">
      <c r="A1892" s="170">
        <v>45796</v>
      </c>
      <c r="B1892" s="116">
        <v>1781.05</v>
      </c>
      <c r="C1892" s="116">
        <v>1770.15</v>
      </c>
      <c r="D1892" s="116">
        <v>1763.6</v>
      </c>
      <c r="E1892" s="116">
        <v>1772.65</v>
      </c>
      <c r="F1892" s="116">
        <v>1770.15</v>
      </c>
      <c r="G1892">
        <v>3824</v>
      </c>
      <c r="H1892" s="116"/>
      <c r="I1892" s="116"/>
      <c r="L1892" s="170">
        <v>45796</v>
      </c>
      <c r="M1892" s="116">
        <v>1770</v>
      </c>
      <c r="N1892" s="116">
        <v>1781.2</v>
      </c>
      <c r="O1892" s="116">
        <v>1764.4</v>
      </c>
      <c r="P1892" s="116">
        <v>1773.1</v>
      </c>
      <c r="Q1892" s="116">
        <v>1770</v>
      </c>
      <c r="R1892">
        <v>288530</v>
      </c>
    </row>
    <row r="1893" spans="1:18" x14ac:dyDescent="0.25">
      <c r="A1893" s="170">
        <v>45797</v>
      </c>
      <c r="B1893" s="116">
        <v>1775.05</v>
      </c>
      <c r="C1893" s="116">
        <v>1758.1</v>
      </c>
      <c r="D1893" s="116">
        <v>1753.55</v>
      </c>
      <c r="E1893" s="116">
        <v>1773.5</v>
      </c>
      <c r="F1893" s="116">
        <v>1758.1</v>
      </c>
      <c r="G1893">
        <v>6288</v>
      </c>
      <c r="H1893" s="116"/>
      <c r="I1893" s="116"/>
      <c r="L1893" s="170">
        <v>45797</v>
      </c>
      <c r="M1893" s="116">
        <v>1757.8</v>
      </c>
      <c r="N1893" s="116">
        <v>1778.8</v>
      </c>
      <c r="O1893" s="116">
        <v>1753.3</v>
      </c>
      <c r="P1893" s="116">
        <v>1778.8</v>
      </c>
      <c r="Q1893" s="116">
        <v>1757.8</v>
      </c>
      <c r="R1893">
        <v>529693</v>
      </c>
    </row>
    <row r="1894" spans="1:18" x14ac:dyDescent="0.25">
      <c r="A1894" s="170">
        <v>45798</v>
      </c>
      <c r="B1894" s="116">
        <v>1778.1</v>
      </c>
      <c r="C1894" s="116">
        <v>1763.75</v>
      </c>
      <c r="D1894" s="116">
        <v>1755.9</v>
      </c>
      <c r="E1894" s="116">
        <v>1762</v>
      </c>
      <c r="F1894" s="116">
        <v>1763.75</v>
      </c>
      <c r="G1894">
        <v>8184</v>
      </c>
      <c r="H1894" s="116"/>
      <c r="I1894" s="116"/>
      <c r="L1894" s="170">
        <v>45798</v>
      </c>
      <c r="M1894" s="116">
        <v>1763.9</v>
      </c>
      <c r="N1894" s="116">
        <v>1777.9</v>
      </c>
      <c r="O1894" s="116">
        <v>1751.2</v>
      </c>
      <c r="P1894" s="116">
        <v>1756.9</v>
      </c>
      <c r="Q1894" s="116">
        <v>1763.9</v>
      </c>
      <c r="R1894">
        <v>521050</v>
      </c>
    </row>
    <row r="1895" spans="1:18" x14ac:dyDescent="0.25">
      <c r="A1895" s="170">
        <v>45799</v>
      </c>
      <c r="B1895" s="116">
        <v>1769.15</v>
      </c>
      <c r="C1895" s="116">
        <v>1759.5</v>
      </c>
      <c r="D1895" s="116">
        <v>1742</v>
      </c>
      <c r="E1895" s="116">
        <v>1769.15</v>
      </c>
      <c r="F1895" s="116">
        <v>1759.5</v>
      </c>
      <c r="G1895">
        <v>4697</v>
      </c>
      <c r="H1895" s="116"/>
      <c r="I1895" s="116"/>
      <c r="L1895" s="170">
        <v>45799</v>
      </c>
      <c r="M1895" s="116">
        <v>1759.3</v>
      </c>
      <c r="N1895" s="116">
        <v>1768.7</v>
      </c>
      <c r="O1895" s="116">
        <v>1741.2</v>
      </c>
      <c r="P1895" s="116">
        <v>1766.3</v>
      </c>
      <c r="Q1895" s="116">
        <v>1759.3</v>
      </c>
      <c r="R1895">
        <v>1103303</v>
      </c>
    </row>
    <row r="1896" spans="1:18" x14ac:dyDescent="0.25">
      <c r="A1896" s="170">
        <v>45800</v>
      </c>
      <c r="B1896" s="116">
        <v>1805</v>
      </c>
      <c r="C1896" s="116">
        <v>1798.7</v>
      </c>
      <c r="D1896" s="116">
        <v>1764.2</v>
      </c>
      <c r="E1896" s="116">
        <v>1765</v>
      </c>
      <c r="F1896" s="116">
        <v>1798.7</v>
      </c>
      <c r="G1896">
        <v>228388</v>
      </c>
      <c r="H1896" s="116"/>
      <c r="I1896" s="116"/>
      <c r="L1896" s="170">
        <v>45800</v>
      </c>
      <c r="M1896" s="116">
        <v>1798.7</v>
      </c>
      <c r="N1896" s="116">
        <v>1806</v>
      </c>
      <c r="O1896" s="116">
        <v>1759.8</v>
      </c>
      <c r="P1896" s="116">
        <v>1765</v>
      </c>
      <c r="Q1896" s="116">
        <v>1798.7</v>
      </c>
      <c r="R1896">
        <v>1067774</v>
      </c>
    </row>
    <row r="1897" spans="1:18" x14ac:dyDescent="0.25">
      <c r="A1897" s="170">
        <v>45803</v>
      </c>
      <c r="B1897" s="116">
        <v>1811.15</v>
      </c>
      <c r="C1897" s="116">
        <v>1801.1</v>
      </c>
      <c r="D1897" s="116">
        <v>1790.1</v>
      </c>
      <c r="E1897" s="116">
        <v>1805</v>
      </c>
      <c r="F1897" s="116">
        <v>1801.1</v>
      </c>
      <c r="G1897">
        <v>34331</v>
      </c>
      <c r="H1897" s="116"/>
      <c r="I1897" s="116"/>
      <c r="L1897" s="170">
        <v>45803</v>
      </c>
      <c r="M1897" s="116">
        <v>1801.6</v>
      </c>
      <c r="N1897" s="116">
        <v>1810.1</v>
      </c>
      <c r="O1897" s="116">
        <v>1790.1</v>
      </c>
      <c r="P1897" s="116">
        <v>1806</v>
      </c>
      <c r="Q1897" s="116">
        <v>1801.6</v>
      </c>
      <c r="R1897">
        <v>633624</v>
      </c>
    </row>
    <row r="1898" spans="1:18" x14ac:dyDescent="0.25">
      <c r="A1898" s="170">
        <v>45804</v>
      </c>
      <c r="B1898" s="116">
        <v>1809</v>
      </c>
      <c r="C1898" s="116">
        <v>1804.4</v>
      </c>
      <c r="D1898" s="116">
        <v>1794.5</v>
      </c>
      <c r="E1898" s="116">
        <v>1800</v>
      </c>
      <c r="F1898" s="116">
        <v>1804.4</v>
      </c>
      <c r="G1898">
        <v>8104</v>
      </c>
      <c r="H1898" s="116"/>
      <c r="I1898" s="116"/>
      <c r="L1898" s="170">
        <v>45804</v>
      </c>
      <c r="M1898" s="116">
        <v>1803.3</v>
      </c>
      <c r="N1898" s="116">
        <v>1809.6</v>
      </c>
      <c r="O1898" s="116">
        <v>1794</v>
      </c>
      <c r="P1898" s="116">
        <v>1801.6</v>
      </c>
      <c r="Q1898" s="116">
        <v>1803.3</v>
      </c>
      <c r="R1898">
        <v>1219984</v>
      </c>
    </row>
    <row r="1899" spans="1:18" x14ac:dyDescent="0.25">
      <c r="A1899" s="170">
        <v>45805</v>
      </c>
      <c r="B1899" s="116">
        <v>1814.55</v>
      </c>
      <c r="C1899" s="116">
        <v>1807.55</v>
      </c>
      <c r="D1899" s="116">
        <v>1802.2</v>
      </c>
      <c r="E1899" s="116">
        <v>1808.8</v>
      </c>
      <c r="F1899" s="116">
        <v>1807.55</v>
      </c>
      <c r="G1899">
        <v>9993</v>
      </c>
      <c r="H1899" s="116"/>
      <c r="I1899" s="116"/>
      <c r="L1899" s="170">
        <v>45805</v>
      </c>
      <c r="M1899" s="116">
        <v>1807.4</v>
      </c>
      <c r="N1899" s="116">
        <v>1814.5</v>
      </c>
      <c r="O1899" s="116">
        <v>1802.1</v>
      </c>
      <c r="P1899" s="116">
        <v>1810.6</v>
      </c>
      <c r="Q1899" s="116">
        <v>1807.4</v>
      </c>
      <c r="R1899">
        <v>763018</v>
      </c>
    </row>
    <row r="1900" spans="1:18" x14ac:dyDescent="0.25">
      <c r="A1900" s="170">
        <v>45806</v>
      </c>
      <c r="B1900" s="116">
        <v>1830</v>
      </c>
      <c r="C1900" s="116">
        <v>1825.65</v>
      </c>
      <c r="D1900" s="116">
        <v>1801.05</v>
      </c>
      <c r="E1900" s="116">
        <v>1807.6</v>
      </c>
      <c r="F1900" s="116">
        <v>1825.65</v>
      </c>
      <c r="G1900">
        <v>26197</v>
      </c>
      <c r="H1900" s="116"/>
      <c r="I1900" s="116"/>
      <c r="L1900" s="170">
        <v>45806</v>
      </c>
      <c r="M1900" s="116">
        <v>1825</v>
      </c>
      <c r="N1900" s="116">
        <v>1830</v>
      </c>
      <c r="O1900" s="116">
        <v>1801.4</v>
      </c>
      <c r="P1900" s="116">
        <v>1807.6</v>
      </c>
      <c r="Q1900" s="116">
        <v>1825</v>
      </c>
      <c r="R1900">
        <v>1189803</v>
      </c>
    </row>
    <row r="1901" spans="1:18" x14ac:dyDescent="0.25">
      <c r="A1901" s="170">
        <v>45807</v>
      </c>
      <c r="B1901" s="116">
        <v>1832</v>
      </c>
      <c r="C1901" s="116">
        <v>1812.85</v>
      </c>
      <c r="D1901" s="116">
        <v>1805.05</v>
      </c>
      <c r="E1901" s="116">
        <v>1825.65</v>
      </c>
      <c r="F1901" s="116">
        <v>1812.85</v>
      </c>
      <c r="G1901">
        <v>23052</v>
      </c>
      <c r="H1901" s="116"/>
      <c r="I1901" s="116"/>
      <c r="L1901" s="170">
        <v>45807</v>
      </c>
      <c r="M1901" s="116">
        <v>1812.2</v>
      </c>
      <c r="N1901" s="116">
        <v>1833.9</v>
      </c>
      <c r="O1901" s="116">
        <v>1804.9</v>
      </c>
      <c r="P1901" s="116">
        <v>1825</v>
      </c>
      <c r="Q1901" s="116">
        <v>1812.2</v>
      </c>
      <c r="R1901">
        <v>1364259</v>
      </c>
    </row>
    <row r="1902" spans="1:18" x14ac:dyDescent="0.25">
      <c r="A1902" s="170">
        <v>45810</v>
      </c>
      <c r="B1902" s="116">
        <v>1828.2</v>
      </c>
      <c r="C1902" s="116">
        <v>1802.1</v>
      </c>
      <c r="D1902" s="116">
        <v>1796.45</v>
      </c>
      <c r="E1902" s="116">
        <v>1823.8</v>
      </c>
      <c r="F1902" s="116">
        <v>1802.1</v>
      </c>
      <c r="G1902">
        <v>10624</v>
      </c>
      <c r="H1902" s="116"/>
      <c r="I1902" s="116"/>
      <c r="L1902" s="170">
        <v>45810</v>
      </c>
      <c r="M1902" s="116">
        <v>1802.5</v>
      </c>
      <c r="N1902" s="116">
        <v>1829</v>
      </c>
      <c r="O1902" s="116">
        <v>1795.6</v>
      </c>
      <c r="P1902" s="116">
        <v>1812.2</v>
      </c>
      <c r="Q1902" s="116">
        <v>1802.5</v>
      </c>
      <c r="R1902">
        <v>1238769</v>
      </c>
    </row>
    <row r="1903" spans="1:18" x14ac:dyDescent="0.25">
      <c r="A1903" s="170">
        <v>45811</v>
      </c>
      <c r="B1903" s="116">
        <v>1811.8</v>
      </c>
      <c r="C1903" s="116">
        <v>1777.95</v>
      </c>
      <c r="D1903" s="116">
        <v>1770.75</v>
      </c>
      <c r="E1903" s="116">
        <v>1796.25</v>
      </c>
      <c r="F1903" s="116">
        <v>1777.95</v>
      </c>
      <c r="G1903">
        <v>7143</v>
      </c>
      <c r="H1903" s="116"/>
      <c r="I1903" s="116"/>
      <c r="L1903" s="170">
        <v>45811</v>
      </c>
      <c r="M1903" s="116">
        <v>1775.3</v>
      </c>
      <c r="N1903" s="116">
        <v>1814</v>
      </c>
      <c r="O1903" s="116">
        <v>1770.1</v>
      </c>
      <c r="P1903" s="116">
        <v>1809.8</v>
      </c>
      <c r="Q1903" s="116">
        <v>1775.3</v>
      </c>
      <c r="R1903">
        <v>1576208</v>
      </c>
    </row>
    <row r="1904" spans="1:18" x14ac:dyDescent="0.25">
      <c r="A1904" s="170">
        <v>45812</v>
      </c>
      <c r="B1904" s="116">
        <v>1778.65</v>
      </c>
      <c r="C1904" s="116">
        <v>1775.15</v>
      </c>
      <c r="D1904" s="116">
        <v>1762</v>
      </c>
      <c r="E1904" s="116">
        <v>1778</v>
      </c>
      <c r="F1904" s="116">
        <v>1775.15</v>
      </c>
      <c r="G1904">
        <v>9754</v>
      </c>
      <c r="H1904" s="116"/>
      <c r="I1904" s="116"/>
      <c r="L1904" s="170">
        <v>45812</v>
      </c>
      <c r="M1904" s="116">
        <v>1775.9</v>
      </c>
      <c r="N1904" s="116">
        <v>1779.1</v>
      </c>
      <c r="O1904" s="116">
        <v>1762.3</v>
      </c>
      <c r="P1904" s="116">
        <v>1775</v>
      </c>
      <c r="Q1904" s="116">
        <v>1775.9</v>
      </c>
      <c r="R1904">
        <v>918721</v>
      </c>
    </row>
    <row r="1905" spans="1:18" x14ac:dyDescent="0.25">
      <c r="A1905" s="170">
        <v>45813</v>
      </c>
      <c r="B1905" s="116">
        <v>1790.75</v>
      </c>
      <c r="C1905" s="116">
        <v>1774.1</v>
      </c>
      <c r="D1905" s="116">
        <v>1766</v>
      </c>
      <c r="E1905" s="116">
        <v>1766.05</v>
      </c>
      <c r="F1905" s="116">
        <v>1774.1</v>
      </c>
      <c r="G1905">
        <v>3807</v>
      </c>
      <c r="H1905" s="116"/>
      <c r="I1905" s="116"/>
      <c r="L1905" s="170">
        <v>45813</v>
      </c>
      <c r="M1905" s="116">
        <v>1774.8</v>
      </c>
      <c r="N1905" s="116">
        <v>1791</v>
      </c>
      <c r="O1905" s="116">
        <v>1765</v>
      </c>
      <c r="P1905" s="116">
        <v>1782</v>
      </c>
      <c r="Q1905" s="116">
        <v>1774.8</v>
      </c>
      <c r="R1905">
        <v>912222</v>
      </c>
    </row>
    <row r="1906" spans="1:18" x14ac:dyDescent="0.25">
      <c r="A1906" s="170">
        <v>45814</v>
      </c>
      <c r="B1906" s="116">
        <v>1782.7</v>
      </c>
      <c r="C1906" s="116">
        <v>1780.95</v>
      </c>
      <c r="D1906" s="116">
        <v>1751.85</v>
      </c>
      <c r="E1906" s="116">
        <v>1781.4</v>
      </c>
      <c r="F1906" s="116">
        <v>1780.95</v>
      </c>
      <c r="G1906">
        <v>7212</v>
      </c>
      <c r="H1906" s="116"/>
      <c r="I1906" s="116"/>
      <c r="L1906" s="170">
        <v>45814</v>
      </c>
      <c r="M1906" s="116">
        <v>1780.6</v>
      </c>
      <c r="N1906" s="116">
        <v>1783.5</v>
      </c>
      <c r="O1906" s="116">
        <v>1751.3</v>
      </c>
      <c r="P1906" s="116">
        <v>1774.8</v>
      </c>
      <c r="Q1906" s="116">
        <v>1780.6</v>
      </c>
      <c r="R1906">
        <v>1589674</v>
      </c>
    </row>
    <row r="1907" spans="1:18" x14ac:dyDescent="0.25">
      <c r="A1907" s="170">
        <v>45817</v>
      </c>
      <c r="B1907" s="116">
        <v>1799</v>
      </c>
      <c r="C1907" s="116">
        <v>1790.55</v>
      </c>
      <c r="D1907" s="116">
        <v>1758.8</v>
      </c>
      <c r="E1907" s="116">
        <v>1781.1</v>
      </c>
      <c r="F1907" s="116">
        <v>1790.55</v>
      </c>
      <c r="G1907">
        <v>21961</v>
      </c>
      <c r="H1907" s="116"/>
      <c r="I1907" s="116"/>
      <c r="L1907" s="170">
        <v>45817</v>
      </c>
      <c r="M1907" s="116">
        <v>1790.8</v>
      </c>
      <c r="N1907" s="116">
        <v>1799</v>
      </c>
      <c r="O1907" s="116">
        <v>1759.1</v>
      </c>
      <c r="P1907" s="116">
        <v>1789.6</v>
      </c>
      <c r="Q1907" s="116">
        <v>1790.8</v>
      </c>
      <c r="R1907">
        <v>1221496</v>
      </c>
    </row>
    <row r="1908" spans="1:18" x14ac:dyDescent="0.25">
      <c r="A1908" s="170">
        <v>45818</v>
      </c>
      <c r="B1908" s="116">
        <v>1813.25</v>
      </c>
      <c r="C1908" s="116">
        <v>1785.7</v>
      </c>
      <c r="D1908" s="116">
        <v>1772</v>
      </c>
      <c r="E1908" s="116">
        <v>1813.25</v>
      </c>
      <c r="F1908" s="116">
        <v>1785.7</v>
      </c>
      <c r="G1908">
        <v>7472</v>
      </c>
      <c r="H1908" s="116"/>
      <c r="I1908" s="116"/>
      <c r="L1908" s="170">
        <v>45818</v>
      </c>
      <c r="M1908" s="116">
        <v>1785.5</v>
      </c>
      <c r="N1908" s="116">
        <v>1796.6</v>
      </c>
      <c r="O1908" s="116">
        <v>1772</v>
      </c>
      <c r="P1908" s="116">
        <v>1790.9</v>
      </c>
      <c r="Q1908" s="116">
        <v>1785.5</v>
      </c>
      <c r="R1908">
        <v>1400311</v>
      </c>
    </row>
    <row r="1909" spans="1:18" x14ac:dyDescent="0.25">
      <c r="A1909" s="170">
        <v>45819</v>
      </c>
      <c r="B1909" s="116">
        <v>1800.4</v>
      </c>
      <c r="C1909" s="116">
        <v>1798.9</v>
      </c>
      <c r="D1909" s="116">
        <v>1773.05</v>
      </c>
      <c r="E1909" s="116">
        <v>1773.05</v>
      </c>
      <c r="F1909" s="116">
        <v>1798.9</v>
      </c>
      <c r="G1909">
        <v>10905</v>
      </c>
      <c r="H1909" s="116"/>
      <c r="I1909" s="116"/>
      <c r="L1909" s="170">
        <v>45819</v>
      </c>
      <c r="M1909" s="116">
        <v>1799.3</v>
      </c>
      <c r="N1909" s="116">
        <v>1800.9</v>
      </c>
      <c r="O1909" s="116">
        <v>1774</v>
      </c>
      <c r="P1909" s="116">
        <v>1785.5</v>
      </c>
      <c r="Q1909" s="116">
        <v>1799.3</v>
      </c>
      <c r="R1909">
        <v>1089930</v>
      </c>
    </row>
    <row r="1910" spans="1:18" x14ac:dyDescent="0.25">
      <c r="A1910" s="170">
        <v>45820</v>
      </c>
      <c r="B1910" s="116">
        <v>1812.65</v>
      </c>
      <c r="C1910" s="116">
        <v>1766.05</v>
      </c>
      <c r="D1910" s="116">
        <v>1761.1</v>
      </c>
      <c r="E1910" s="116">
        <v>1794.1</v>
      </c>
      <c r="F1910" s="116">
        <v>1766.05</v>
      </c>
      <c r="G1910">
        <v>14018</v>
      </c>
      <c r="H1910" s="116"/>
      <c r="I1910" s="116"/>
      <c r="L1910" s="170">
        <v>45820</v>
      </c>
      <c r="M1910" s="116">
        <v>1766</v>
      </c>
      <c r="N1910" s="116">
        <v>1812.3</v>
      </c>
      <c r="O1910" s="116">
        <v>1760</v>
      </c>
      <c r="P1910" s="116">
        <v>1799.9</v>
      </c>
      <c r="Q1910" s="116">
        <v>1766</v>
      </c>
      <c r="R1910">
        <v>984693</v>
      </c>
    </row>
    <row r="1911" spans="1:18" x14ac:dyDescent="0.25">
      <c r="A1911" s="170">
        <v>45821</v>
      </c>
      <c r="B1911" s="116">
        <v>1766</v>
      </c>
      <c r="C1911" s="116">
        <v>1754.2</v>
      </c>
      <c r="D1911" s="116">
        <v>1724</v>
      </c>
      <c r="E1911" s="116">
        <v>1749.25</v>
      </c>
      <c r="F1911" s="116">
        <v>1754.2</v>
      </c>
      <c r="G1911">
        <v>31386</v>
      </c>
      <c r="H1911" s="116"/>
      <c r="I1911" s="116"/>
      <c r="L1911" s="170">
        <v>45821</v>
      </c>
      <c r="M1911" s="116">
        <v>1755.2</v>
      </c>
      <c r="N1911" s="116">
        <v>1766.5</v>
      </c>
      <c r="O1911" s="116">
        <v>1720</v>
      </c>
      <c r="P1911" s="116">
        <v>1720</v>
      </c>
      <c r="Q1911" s="116">
        <v>1755.2</v>
      </c>
      <c r="R1911">
        <v>1774169</v>
      </c>
    </row>
    <row r="1912" spans="1:18" x14ac:dyDescent="0.25">
      <c r="A1912" s="170">
        <v>45824</v>
      </c>
      <c r="B1912" s="116">
        <v>1799.7</v>
      </c>
      <c r="C1912" s="116">
        <v>1797.4</v>
      </c>
      <c r="D1912" s="116">
        <v>1734.15</v>
      </c>
      <c r="E1912" s="116">
        <v>1734.15</v>
      </c>
      <c r="F1912" s="116">
        <v>1797.4</v>
      </c>
      <c r="G1912">
        <v>18001</v>
      </c>
      <c r="H1912" s="116"/>
      <c r="I1912" s="116"/>
      <c r="L1912" s="170">
        <v>45824</v>
      </c>
      <c r="M1912" s="116">
        <v>1797.8</v>
      </c>
      <c r="N1912" s="116">
        <v>1800</v>
      </c>
      <c r="O1912" s="116">
        <v>1751.9</v>
      </c>
      <c r="P1912" s="116">
        <v>1762</v>
      </c>
      <c r="Q1912" s="116">
        <v>1797.8</v>
      </c>
      <c r="R1912">
        <v>728053</v>
      </c>
    </row>
    <row r="1913" spans="1:18" x14ac:dyDescent="0.25">
      <c r="A1913" s="170">
        <v>45825</v>
      </c>
      <c r="B1913" s="116">
        <v>1807.45</v>
      </c>
      <c r="C1913" s="116">
        <v>1799.5</v>
      </c>
      <c r="D1913" s="116">
        <v>1787.05</v>
      </c>
      <c r="E1913" s="116">
        <v>1804.35</v>
      </c>
      <c r="F1913" s="116">
        <v>1799.5</v>
      </c>
      <c r="G1913">
        <v>5686</v>
      </c>
      <c r="H1913" s="116"/>
      <c r="I1913" s="116"/>
      <c r="L1913" s="170">
        <v>45825</v>
      </c>
      <c r="M1913" s="116">
        <v>1800.2</v>
      </c>
      <c r="N1913" s="116">
        <v>1806.7</v>
      </c>
      <c r="O1913" s="116">
        <v>1785.4</v>
      </c>
      <c r="P1913" s="116">
        <v>1796.1</v>
      </c>
      <c r="Q1913" s="116">
        <v>1800.2</v>
      </c>
      <c r="R1913">
        <v>557790</v>
      </c>
    </row>
    <row r="1914" spans="1:18" x14ac:dyDescent="0.25">
      <c r="A1914" s="170">
        <v>45826</v>
      </c>
      <c r="B1914" s="116">
        <v>1802.7</v>
      </c>
      <c r="C1914" s="116">
        <v>1797.9</v>
      </c>
      <c r="D1914" s="116">
        <v>1785.3</v>
      </c>
      <c r="E1914" s="116">
        <v>1785.3</v>
      </c>
      <c r="F1914" s="116">
        <v>1797.9</v>
      </c>
      <c r="G1914">
        <v>3533</v>
      </c>
      <c r="H1914" s="116"/>
      <c r="I1914" s="116"/>
      <c r="L1914" s="170">
        <v>45826</v>
      </c>
      <c r="M1914" s="116">
        <v>1797.2</v>
      </c>
      <c r="N1914" s="116">
        <v>1805</v>
      </c>
      <c r="O1914" s="116">
        <v>1791.3</v>
      </c>
      <c r="P1914" s="116">
        <v>1800</v>
      </c>
      <c r="Q1914" s="116">
        <v>1797.2</v>
      </c>
      <c r="R1914">
        <v>349531</v>
      </c>
    </row>
    <row r="1915" spans="1:18" x14ac:dyDescent="0.25">
      <c r="A1915" s="170">
        <v>45827</v>
      </c>
      <c r="B1915" s="116">
        <v>1804.9</v>
      </c>
      <c r="C1915" s="116">
        <v>1789.05</v>
      </c>
      <c r="D1915" s="116">
        <v>1751.7</v>
      </c>
      <c r="E1915" s="116">
        <v>1751.7</v>
      </c>
      <c r="F1915" s="116">
        <v>1789.05</v>
      </c>
      <c r="G1915">
        <v>5519</v>
      </c>
      <c r="H1915" s="116"/>
      <c r="I1915" s="116"/>
      <c r="L1915" s="170">
        <v>45827</v>
      </c>
      <c r="M1915" s="116">
        <v>1789.4</v>
      </c>
      <c r="N1915" s="116">
        <v>1804.9</v>
      </c>
      <c r="O1915" s="116">
        <v>1781</v>
      </c>
      <c r="P1915" s="116">
        <v>1795</v>
      </c>
      <c r="Q1915" s="116">
        <v>1789.4</v>
      </c>
      <c r="R1915">
        <v>537885</v>
      </c>
    </row>
    <row r="1916" spans="1:18" x14ac:dyDescent="0.25">
      <c r="A1916" s="170">
        <v>45828</v>
      </c>
      <c r="B1916" s="116">
        <v>1820.5</v>
      </c>
      <c r="C1916" s="116">
        <v>1810.8</v>
      </c>
      <c r="D1916" s="116">
        <v>1765.9</v>
      </c>
      <c r="E1916" s="116">
        <v>1765.9</v>
      </c>
      <c r="F1916" s="116">
        <v>1810.8</v>
      </c>
      <c r="G1916">
        <v>7291</v>
      </c>
      <c r="H1916" s="116"/>
      <c r="I1916" s="116"/>
      <c r="L1916" s="170">
        <v>45828</v>
      </c>
      <c r="M1916" s="116">
        <v>1810.9</v>
      </c>
      <c r="N1916" s="116">
        <v>1821</v>
      </c>
      <c r="O1916" s="116">
        <v>1779.1</v>
      </c>
      <c r="P1916" s="116">
        <v>1787.1</v>
      </c>
      <c r="Q1916" s="116">
        <v>1810.9</v>
      </c>
      <c r="R1916">
        <v>1669329</v>
      </c>
    </row>
    <row r="1917" spans="1:18" x14ac:dyDescent="0.25">
      <c r="A1917" s="170">
        <v>45831</v>
      </c>
      <c r="B1917" s="116">
        <v>1826.2</v>
      </c>
      <c r="C1917" s="116">
        <v>1819</v>
      </c>
      <c r="D1917" s="116">
        <v>1791.65</v>
      </c>
      <c r="E1917" s="116">
        <v>1791.65</v>
      </c>
      <c r="F1917" s="116">
        <v>1819</v>
      </c>
      <c r="G1917">
        <v>7362</v>
      </c>
      <c r="H1917" s="116"/>
      <c r="I1917" s="116"/>
      <c r="L1917" s="170">
        <v>45831</v>
      </c>
      <c r="M1917" s="116">
        <v>1818.6</v>
      </c>
      <c r="N1917" s="116">
        <v>1826.2</v>
      </c>
      <c r="O1917" s="116">
        <v>1798.6</v>
      </c>
      <c r="P1917" s="116">
        <v>1810</v>
      </c>
      <c r="Q1917" s="116">
        <v>1818.6</v>
      </c>
      <c r="R1917">
        <v>627282</v>
      </c>
    </row>
    <row r="1918" spans="1:18" x14ac:dyDescent="0.25">
      <c r="A1918" s="170">
        <v>45832</v>
      </c>
      <c r="B1918" s="116">
        <v>1850.95</v>
      </c>
      <c r="C1918" s="116">
        <v>1844.05</v>
      </c>
      <c r="D1918" s="116">
        <v>1825.2</v>
      </c>
      <c r="E1918" s="116">
        <v>1825.2</v>
      </c>
      <c r="F1918" s="116">
        <v>1844.05</v>
      </c>
      <c r="G1918">
        <v>15237</v>
      </c>
      <c r="H1918" s="116"/>
      <c r="I1918" s="116"/>
      <c r="L1918" s="170">
        <v>45832</v>
      </c>
      <c r="M1918" s="116">
        <v>1843</v>
      </c>
      <c r="N1918" s="116">
        <v>1850.9</v>
      </c>
      <c r="O1918" s="116">
        <v>1828</v>
      </c>
      <c r="P1918" s="116">
        <v>1832.2</v>
      </c>
      <c r="Q1918" s="116">
        <v>1843</v>
      </c>
      <c r="R1918">
        <v>876488</v>
      </c>
    </row>
    <row r="1919" spans="1:18" x14ac:dyDescent="0.25">
      <c r="A1919" s="170">
        <v>45833</v>
      </c>
      <c r="B1919" s="116">
        <v>1849.95</v>
      </c>
      <c r="C1919" s="116">
        <v>1843.95</v>
      </c>
      <c r="D1919" s="116">
        <v>1824.7</v>
      </c>
      <c r="E1919" s="116">
        <v>1849.95</v>
      </c>
      <c r="F1919" s="116">
        <v>1843.95</v>
      </c>
      <c r="G1919">
        <v>38192</v>
      </c>
      <c r="H1919" s="116"/>
      <c r="I1919" s="116"/>
      <c r="L1919" s="170">
        <v>45833</v>
      </c>
      <c r="M1919" s="116">
        <v>1842.7</v>
      </c>
      <c r="N1919" s="116">
        <v>1855</v>
      </c>
      <c r="O1919" s="116">
        <v>1825</v>
      </c>
      <c r="P1919" s="116">
        <v>1843</v>
      </c>
      <c r="Q1919" s="116">
        <v>1842.7</v>
      </c>
      <c r="R1919">
        <v>990856</v>
      </c>
    </row>
    <row r="1920" spans="1:18" x14ac:dyDescent="0.25">
      <c r="A1920" s="170">
        <v>45834</v>
      </c>
      <c r="B1920" s="116">
        <v>1865.9</v>
      </c>
      <c r="C1920" s="116">
        <v>1860.4</v>
      </c>
      <c r="D1920" s="116">
        <v>1844.45</v>
      </c>
      <c r="E1920" s="116">
        <v>1844.45</v>
      </c>
      <c r="F1920" s="116">
        <v>1860.4</v>
      </c>
      <c r="G1920">
        <v>15484</v>
      </c>
      <c r="H1920" s="116"/>
      <c r="I1920" s="116"/>
      <c r="L1920" s="170">
        <v>45834</v>
      </c>
      <c r="M1920" s="116">
        <v>1860.8</v>
      </c>
      <c r="N1920" s="116">
        <v>1866.4</v>
      </c>
      <c r="O1920" s="116">
        <v>1842.7</v>
      </c>
      <c r="P1920" s="116">
        <v>1850</v>
      </c>
      <c r="Q1920" s="116">
        <v>1860.8</v>
      </c>
      <c r="R1920">
        <v>1147822</v>
      </c>
    </row>
    <row r="1921" spans="1:18" x14ac:dyDescent="0.25">
      <c r="A1921" s="170">
        <v>45835</v>
      </c>
      <c r="B1921" s="116">
        <v>1863</v>
      </c>
      <c r="C1921" s="116">
        <v>1850.55</v>
      </c>
      <c r="D1921" s="116">
        <v>1815.8</v>
      </c>
      <c r="E1921" s="116">
        <v>1854.95</v>
      </c>
      <c r="F1921" s="116">
        <v>1850.55</v>
      </c>
      <c r="G1921">
        <v>26459</v>
      </c>
      <c r="H1921" s="116"/>
      <c r="I1921" s="116"/>
      <c r="L1921" s="170">
        <v>45835</v>
      </c>
      <c r="M1921" s="116">
        <v>1850.6</v>
      </c>
      <c r="N1921" s="116">
        <v>1862.9</v>
      </c>
      <c r="O1921" s="116">
        <v>1815.3</v>
      </c>
      <c r="P1921" s="116">
        <v>1848</v>
      </c>
      <c r="Q1921" s="116">
        <v>1850.6</v>
      </c>
      <c r="R1921">
        <v>6763121</v>
      </c>
    </row>
    <row r="1922" spans="1:18" x14ac:dyDescent="0.25">
      <c r="A1922" s="170">
        <v>45838</v>
      </c>
      <c r="B1922" s="116">
        <v>1867.75</v>
      </c>
      <c r="C1922" s="116">
        <v>1838.1</v>
      </c>
      <c r="D1922" s="116">
        <v>1826</v>
      </c>
      <c r="E1922" s="116">
        <v>1867.75</v>
      </c>
      <c r="F1922" s="116">
        <v>1838.1</v>
      </c>
      <c r="G1922">
        <v>12009</v>
      </c>
      <c r="H1922" s="116"/>
      <c r="I1922" s="116"/>
      <c r="L1922" s="170">
        <v>45838</v>
      </c>
      <c r="M1922" s="116">
        <v>1838.3</v>
      </c>
      <c r="N1922" s="116">
        <v>1855.1</v>
      </c>
      <c r="O1922" s="116">
        <v>1826.1</v>
      </c>
      <c r="P1922" s="116">
        <v>1846</v>
      </c>
      <c r="Q1922" s="116">
        <v>1838.3</v>
      </c>
      <c r="R1922">
        <v>1362010</v>
      </c>
    </row>
    <row r="1923" spans="1:18" x14ac:dyDescent="0.25">
      <c r="A1923" s="170">
        <v>45839</v>
      </c>
      <c r="B1923" s="116">
        <v>1865.8</v>
      </c>
      <c r="C1923" s="116">
        <v>1864.7</v>
      </c>
      <c r="D1923" s="116">
        <v>1827.4</v>
      </c>
      <c r="E1923" s="116">
        <v>1838.1</v>
      </c>
      <c r="F1923" s="116">
        <v>1864.7</v>
      </c>
      <c r="G1923">
        <v>13304</v>
      </c>
      <c r="H1923" s="116"/>
      <c r="I1923" s="116"/>
      <c r="L1923" s="170">
        <v>45839</v>
      </c>
      <c r="M1923" s="116">
        <v>1862.5</v>
      </c>
      <c r="N1923" s="116">
        <v>1865.3</v>
      </c>
      <c r="O1923" s="116">
        <v>1827.3</v>
      </c>
      <c r="P1923" s="116">
        <v>1831</v>
      </c>
      <c r="Q1923" s="116">
        <v>1862.5</v>
      </c>
      <c r="R1923">
        <v>667136</v>
      </c>
    </row>
    <row r="1924" spans="1:18" x14ac:dyDescent="0.25">
      <c r="A1924" s="170">
        <v>45840</v>
      </c>
      <c r="B1924" s="116">
        <v>1875.35</v>
      </c>
      <c r="C1924" s="116">
        <v>1856.2</v>
      </c>
      <c r="D1924" s="116">
        <v>1854.05</v>
      </c>
      <c r="E1924" s="116">
        <v>1868.85</v>
      </c>
      <c r="F1924" s="116">
        <v>1856.2</v>
      </c>
      <c r="G1924">
        <v>8589</v>
      </c>
      <c r="H1924" s="116"/>
      <c r="I1924" s="116"/>
      <c r="L1924" s="170">
        <v>45840</v>
      </c>
      <c r="M1924" s="116">
        <v>1856.8</v>
      </c>
      <c r="N1924" s="116">
        <v>1875</v>
      </c>
      <c r="O1924" s="116">
        <v>1852.1</v>
      </c>
      <c r="P1924" s="116">
        <v>1865</v>
      </c>
      <c r="Q1924" s="116">
        <v>1856.8</v>
      </c>
      <c r="R1924">
        <v>1072946</v>
      </c>
    </row>
    <row r="1925" spans="1:18" x14ac:dyDescent="0.25">
      <c r="A1925" s="170">
        <v>45841</v>
      </c>
      <c r="B1925" s="116">
        <v>1862.35</v>
      </c>
      <c r="C1925" s="116">
        <v>1809.5</v>
      </c>
      <c r="D1925" s="116">
        <v>1805</v>
      </c>
      <c r="E1925" s="116">
        <v>1855.95</v>
      </c>
      <c r="F1925" s="116">
        <v>1809.5</v>
      </c>
      <c r="G1925">
        <v>15394</v>
      </c>
      <c r="H1925" s="116"/>
      <c r="I1925" s="116"/>
      <c r="L1925" s="170">
        <v>45841</v>
      </c>
      <c r="M1925" s="116">
        <v>1810.2</v>
      </c>
      <c r="N1925" s="116">
        <v>1861.8</v>
      </c>
      <c r="O1925" s="116">
        <v>1803</v>
      </c>
      <c r="P1925" s="116">
        <v>1850</v>
      </c>
      <c r="Q1925" s="116">
        <v>1810.2</v>
      </c>
      <c r="R1925">
        <v>916863</v>
      </c>
    </row>
    <row r="1926" spans="1:18" x14ac:dyDescent="0.25">
      <c r="A1926" s="170">
        <v>45842</v>
      </c>
      <c r="B1926" s="116">
        <v>1811</v>
      </c>
      <c r="C1926" s="116">
        <v>1799.75</v>
      </c>
      <c r="D1926" s="116">
        <v>1783.4</v>
      </c>
      <c r="E1926" s="116">
        <v>1811</v>
      </c>
      <c r="F1926" s="116">
        <v>1799.75</v>
      </c>
      <c r="G1926">
        <v>7109</v>
      </c>
      <c r="H1926" s="116"/>
      <c r="I1926" s="116"/>
      <c r="L1926" s="170">
        <v>45842</v>
      </c>
      <c r="M1926" s="116">
        <v>1799.7</v>
      </c>
      <c r="N1926" s="116">
        <v>1812.1</v>
      </c>
      <c r="O1926" s="116">
        <v>1783.1</v>
      </c>
      <c r="P1926" s="116">
        <v>1806</v>
      </c>
      <c r="Q1926" s="116">
        <v>1799.7</v>
      </c>
      <c r="R1926">
        <v>685665</v>
      </c>
    </row>
    <row r="1927" spans="1:18" x14ac:dyDescent="0.25">
      <c r="A1927" s="170">
        <v>45845</v>
      </c>
      <c r="B1927" s="116">
        <v>1811.25</v>
      </c>
      <c r="C1927" s="116">
        <v>1809.4</v>
      </c>
      <c r="D1927" s="116">
        <v>1792.7</v>
      </c>
      <c r="E1927" s="116">
        <v>1797.15</v>
      </c>
      <c r="F1927" s="116">
        <v>1809.4</v>
      </c>
      <c r="G1927">
        <v>6099</v>
      </c>
      <c r="H1927" s="116"/>
      <c r="I1927" s="116"/>
      <c r="L1927" s="170">
        <v>45845</v>
      </c>
      <c r="M1927" s="116">
        <v>1808.3</v>
      </c>
      <c r="N1927" s="116">
        <v>1811.8</v>
      </c>
      <c r="O1927" s="116">
        <v>1792.2</v>
      </c>
      <c r="P1927" s="116">
        <v>1799.7</v>
      </c>
      <c r="Q1927" s="116">
        <v>1808.3</v>
      </c>
      <c r="R1927">
        <v>376143</v>
      </c>
    </row>
    <row r="1928" spans="1:18" x14ac:dyDescent="0.25">
      <c r="A1928" s="170">
        <v>45846</v>
      </c>
      <c r="B1928" s="116">
        <v>1818</v>
      </c>
      <c r="C1928" s="116">
        <v>1815.7</v>
      </c>
      <c r="D1928" s="116">
        <v>1798.55</v>
      </c>
      <c r="E1928" s="116">
        <v>1809.35</v>
      </c>
      <c r="F1928" s="116">
        <v>1815.7</v>
      </c>
      <c r="G1928">
        <v>10670</v>
      </c>
      <c r="H1928" s="116"/>
      <c r="I1928" s="116"/>
      <c r="L1928" s="170">
        <v>45846</v>
      </c>
      <c r="M1928" s="116">
        <v>1816.9</v>
      </c>
      <c r="N1928" s="116">
        <v>1818.8</v>
      </c>
      <c r="O1928" s="116">
        <v>1797.3</v>
      </c>
      <c r="P1928" s="116">
        <v>1801</v>
      </c>
      <c r="Q1928" s="116">
        <v>1816.9</v>
      </c>
      <c r="R1928">
        <v>616714</v>
      </c>
    </row>
    <row r="1929" spans="1:18" x14ac:dyDescent="0.25">
      <c r="A1929" s="170">
        <v>45847</v>
      </c>
      <c r="B1929" s="116">
        <v>1821</v>
      </c>
      <c r="C1929" s="116">
        <v>1814.8</v>
      </c>
      <c r="D1929" s="116">
        <v>1785.65</v>
      </c>
      <c r="E1929" s="116">
        <v>1785.65</v>
      </c>
      <c r="F1929" s="116">
        <v>1814.8</v>
      </c>
      <c r="G1929">
        <v>16587</v>
      </c>
      <c r="H1929" s="116"/>
      <c r="I1929" s="116"/>
      <c r="L1929" s="170">
        <v>45847</v>
      </c>
      <c r="M1929" s="116">
        <v>1814.9</v>
      </c>
      <c r="N1929" s="116">
        <v>1821</v>
      </c>
      <c r="O1929" s="116">
        <v>1799</v>
      </c>
      <c r="P1929" s="116">
        <v>1820</v>
      </c>
      <c r="Q1929" s="116">
        <v>1814.9</v>
      </c>
      <c r="R1929">
        <v>597896</v>
      </c>
    </row>
    <row r="1930" spans="1:18" x14ac:dyDescent="0.25">
      <c r="A1930" s="170">
        <v>45848</v>
      </c>
      <c r="B1930" s="116">
        <v>1823</v>
      </c>
      <c r="C1930" s="116">
        <v>1813</v>
      </c>
      <c r="D1930" s="116">
        <v>1802.1</v>
      </c>
      <c r="E1930" s="116">
        <v>1809.45</v>
      </c>
      <c r="F1930" s="116">
        <v>1813</v>
      </c>
      <c r="G1930">
        <v>7702</v>
      </c>
      <c r="H1930" s="116"/>
      <c r="I1930" s="116"/>
      <c r="L1930" s="170">
        <v>45848</v>
      </c>
      <c r="M1930" s="116">
        <v>1810.2</v>
      </c>
      <c r="N1930" s="116">
        <v>1823.5</v>
      </c>
      <c r="O1930" s="116">
        <v>1801.4</v>
      </c>
      <c r="P1930" s="116">
        <v>1811</v>
      </c>
      <c r="Q1930" s="116">
        <v>1810.2</v>
      </c>
      <c r="R1930">
        <v>1104366</v>
      </c>
    </row>
    <row r="1931" spans="1:18" x14ac:dyDescent="0.25">
      <c r="A1931" s="170">
        <v>45849</v>
      </c>
      <c r="B1931" s="116">
        <v>1839.15</v>
      </c>
      <c r="C1931" s="116">
        <v>1834.75</v>
      </c>
      <c r="D1931" s="116">
        <v>1813.1</v>
      </c>
      <c r="E1931" s="116">
        <v>1819.95</v>
      </c>
      <c r="F1931" s="116">
        <v>1834.75</v>
      </c>
      <c r="G1931">
        <v>12164</v>
      </c>
      <c r="H1931" s="116"/>
      <c r="I1931" s="116"/>
      <c r="L1931" s="170">
        <v>45849</v>
      </c>
      <c r="M1931" s="116">
        <v>1835.2</v>
      </c>
      <c r="N1931" s="116">
        <v>1840</v>
      </c>
      <c r="O1931" s="116">
        <v>1812</v>
      </c>
      <c r="P1931" s="116">
        <v>1814</v>
      </c>
      <c r="Q1931" s="116">
        <v>1835.2</v>
      </c>
      <c r="R1931">
        <v>770854</v>
      </c>
    </row>
    <row r="1932" spans="1:18" x14ac:dyDescent="0.25">
      <c r="A1932" s="170">
        <v>45852</v>
      </c>
      <c r="B1932" s="116">
        <v>1855.85</v>
      </c>
      <c r="C1932" s="116">
        <v>1850.75</v>
      </c>
      <c r="D1932" s="116">
        <v>1832</v>
      </c>
      <c r="E1932" s="116">
        <v>1848.95</v>
      </c>
      <c r="F1932" s="116">
        <v>1850.75</v>
      </c>
      <c r="G1932">
        <v>25023</v>
      </c>
      <c r="H1932" s="116"/>
      <c r="I1932" s="116"/>
      <c r="L1932" s="170">
        <v>45852</v>
      </c>
      <c r="M1932" s="116">
        <v>1851.3</v>
      </c>
      <c r="N1932" s="116">
        <v>1856.3</v>
      </c>
      <c r="O1932" s="116">
        <v>1831.7</v>
      </c>
      <c r="P1932" s="116">
        <v>1843</v>
      </c>
      <c r="Q1932" s="116">
        <v>1851.3</v>
      </c>
      <c r="R1932">
        <v>1231109</v>
      </c>
    </row>
    <row r="1933" spans="1:18" x14ac:dyDescent="0.25">
      <c r="A1933" s="170">
        <v>45853</v>
      </c>
      <c r="B1933" s="116">
        <v>1851.5</v>
      </c>
      <c r="C1933" s="116">
        <v>1824.8</v>
      </c>
      <c r="D1933" s="116">
        <v>1822.45</v>
      </c>
      <c r="E1933" s="116">
        <v>1845.35</v>
      </c>
      <c r="F1933" s="116">
        <v>1824.8</v>
      </c>
      <c r="G1933">
        <v>43547</v>
      </c>
      <c r="H1933" s="116"/>
      <c r="I1933" s="116"/>
      <c r="L1933" s="170">
        <v>45853</v>
      </c>
      <c r="M1933" s="116">
        <v>1824.8</v>
      </c>
      <c r="N1933" s="116">
        <v>1851.7</v>
      </c>
      <c r="O1933" s="116">
        <v>1822.4</v>
      </c>
      <c r="P1933" s="116">
        <v>1849.9</v>
      </c>
      <c r="Q1933" s="116">
        <v>1824.8</v>
      </c>
      <c r="R1933">
        <v>1313007</v>
      </c>
    </row>
    <row r="1934" spans="1:18" x14ac:dyDescent="0.25">
      <c r="A1934" s="170">
        <v>45854</v>
      </c>
      <c r="B1934" s="116">
        <v>1839.4</v>
      </c>
      <c r="C1934" s="116">
        <v>1828.8</v>
      </c>
      <c r="D1934" s="116">
        <v>1821.65</v>
      </c>
      <c r="E1934" s="116">
        <v>1830.35</v>
      </c>
      <c r="F1934" s="116">
        <v>1828.8</v>
      </c>
      <c r="G1934">
        <v>12227</v>
      </c>
      <c r="H1934" s="116"/>
      <c r="I1934" s="116"/>
      <c r="L1934" s="170">
        <v>45854</v>
      </c>
      <c r="M1934" s="116">
        <v>1829.1</v>
      </c>
      <c r="N1934" s="116">
        <v>1839.9</v>
      </c>
      <c r="O1934" s="116">
        <v>1821.6</v>
      </c>
      <c r="P1934" s="116">
        <v>1833.9</v>
      </c>
      <c r="Q1934" s="116">
        <v>1829.1</v>
      </c>
      <c r="R1934">
        <v>652826</v>
      </c>
    </row>
    <row r="1935" spans="1:18" x14ac:dyDescent="0.25">
      <c r="A1935" s="170">
        <v>45855</v>
      </c>
      <c r="B1935" s="116">
        <v>1828.8</v>
      </c>
      <c r="C1935" s="116">
        <v>1802.05</v>
      </c>
      <c r="D1935" s="116">
        <v>1797.6</v>
      </c>
      <c r="E1935" s="116">
        <v>1822.05</v>
      </c>
      <c r="F1935" s="116">
        <v>1802.05</v>
      </c>
      <c r="G1935">
        <v>16439</v>
      </c>
      <c r="H1935" s="116"/>
      <c r="I1935" s="116"/>
      <c r="L1935" s="170">
        <v>45855</v>
      </c>
      <c r="M1935" s="116">
        <v>1802.8</v>
      </c>
      <c r="N1935" s="116">
        <v>1829</v>
      </c>
      <c r="O1935" s="116">
        <v>1796.3</v>
      </c>
      <c r="P1935" s="116">
        <v>1829</v>
      </c>
      <c r="Q1935" s="116">
        <v>1802.8</v>
      </c>
      <c r="R1935">
        <v>886192</v>
      </c>
    </row>
    <row r="1936" spans="1:18" x14ac:dyDescent="0.25">
      <c r="A1936" s="170">
        <v>45856</v>
      </c>
      <c r="B1936" s="116">
        <v>1800</v>
      </c>
      <c r="C1936" s="116">
        <v>1787.8</v>
      </c>
      <c r="D1936" s="116">
        <v>1754.6</v>
      </c>
      <c r="E1936" s="116">
        <v>1800</v>
      </c>
      <c r="F1936" s="116">
        <v>1787.8</v>
      </c>
      <c r="G1936">
        <v>31273</v>
      </c>
      <c r="H1936" s="116"/>
      <c r="I1936" s="116"/>
      <c r="L1936" s="170">
        <v>45856</v>
      </c>
      <c r="M1936" s="116">
        <v>1788.4</v>
      </c>
      <c r="N1936" s="116">
        <v>1802.8</v>
      </c>
      <c r="O1936" s="116">
        <v>1754.1</v>
      </c>
      <c r="P1936" s="116">
        <v>1799</v>
      </c>
      <c r="Q1936" s="116">
        <v>1788.4</v>
      </c>
      <c r="R1936">
        <v>1600088</v>
      </c>
    </row>
    <row r="1937" spans="1:18" x14ac:dyDescent="0.25">
      <c r="A1937" s="170">
        <v>45859</v>
      </c>
      <c r="B1937" s="116">
        <v>1807.5</v>
      </c>
      <c r="C1937" s="116">
        <v>1804.65</v>
      </c>
      <c r="D1937" s="116">
        <v>1782.25</v>
      </c>
      <c r="E1937" s="116">
        <v>1782.25</v>
      </c>
      <c r="F1937" s="116">
        <v>1804.65</v>
      </c>
      <c r="G1937">
        <v>4706</v>
      </c>
      <c r="H1937" s="116"/>
      <c r="I1937" s="116"/>
      <c r="L1937" s="170">
        <v>45859</v>
      </c>
      <c r="M1937" s="116">
        <v>1804.7</v>
      </c>
      <c r="N1937" s="116">
        <v>1807.4</v>
      </c>
      <c r="O1937" s="116">
        <v>1781</v>
      </c>
      <c r="P1937" s="116">
        <v>1794.7</v>
      </c>
      <c r="Q1937" s="116">
        <v>1804.7</v>
      </c>
      <c r="R1937">
        <v>481174</v>
      </c>
    </row>
    <row r="1938" spans="1:18" x14ac:dyDescent="0.25">
      <c r="A1938" s="170">
        <v>45860</v>
      </c>
      <c r="B1938" s="116">
        <v>1815.5</v>
      </c>
      <c r="C1938" s="116">
        <v>1807</v>
      </c>
      <c r="D1938" s="116">
        <v>1786.2</v>
      </c>
      <c r="E1938" s="116">
        <v>1786.2</v>
      </c>
      <c r="F1938" s="116">
        <v>1807</v>
      </c>
      <c r="G1938">
        <v>3409</v>
      </c>
      <c r="H1938" s="116"/>
      <c r="I1938" s="116"/>
      <c r="L1938" s="170">
        <v>45860</v>
      </c>
      <c r="M1938" s="116">
        <v>1809</v>
      </c>
      <c r="N1938" s="116">
        <v>1815.3</v>
      </c>
      <c r="O1938" s="116">
        <v>1791.1</v>
      </c>
      <c r="P1938" s="116">
        <v>1791.1</v>
      </c>
      <c r="Q1938" s="116">
        <v>1809</v>
      </c>
      <c r="R1938">
        <v>578221</v>
      </c>
    </row>
    <row r="1939" spans="1:18" x14ac:dyDescent="0.25">
      <c r="A1939" s="170">
        <v>45861</v>
      </c>
      <c r="B1939" s="116">
        <v>1817.8</v>
      </c>
      <c r="C1939" s="116">
        <v>1808.75</v>
      </c>
      <c r="D1939" s="116">
        <v>1793</v>
      </c>
      <c r="E1939" s="116">
        <v>1808.3</v>
      </c>
      <c r="F1939" s="116">
        <v>1808.75</v>
      </c>
      <c r="G1939">
        <v>6334</v>
      </c>
      <c r="H1939" s="116"/>
      <c r="I1939" s="116"/>
      <c r="L1939" s="170">
        <v>45861</v>
      </c>
      <c r="M1939" s="116">
        <v>1809.5</v>
      </c>
      <c r="N1939" s="116">
        <v>1818.5</v>
      </c>
      <c r="O1939" s="116">
        <v>1792</v>
      </c>
      <c r="P1939" s="116">
        <v>1809</v>
      </c>
      <c r="Q1939" s="116">
        <v>1809.5</v>
      </c>
      <c r="R1939">
        <v>555690</v>
      </c>
    </row>
    <row r="1940" spans="1:18" x14ac:dyDescent="0.25">
      <c r="A1940" s="170">
        <v>45862</v>
      </c>
      <c r="B1940" s="116">
        <v>1818.2</v>
      </c>
      <c r="C1940" s="116">
        <v>1798.35</v>
      </c>
      <c r="D1940" s="116">
        <v>1780</v>
      </c>
      <c r="E1940" s="116">
        <v>1806.6</v>
      </c>
      <c r="F1940" s="116">
        <v>1798.35</v>
      </c>
      <c r="G1940">
        <v>15044</v>
      </c>
      <c r="H1940" s="116"/>
      <c r="I1940" s="116"/>
      <c r="L1940" s="170">
        <v>45862</v>
      </c>
      <c r="M1940" s="116">
        <v>1793.6</v>
      </c>
      <c r="N1940" s="116">
        <v>1822.5</v>
      </c>
      <c r="O1940" s="116">
        <v>1778.7</v>
      </c>
      <c r="P1940" s="116">
        <v>1808</v>
      </c>
      <c r="Q1940" s="116">
        <v>1793.6</v>
      </c>
      <c r="R1940">
        <v>928018</v>
      </c>
    </row>
    <row r="1941" spans="1:18" x14ac:dyDescent="0.25">
      <c r="A1941" s="170">
        <v>45863</v>
      </c>
      <c r="B1941" s="116">
        <v>1847.3</v>
      </c>
      <c r="C1941" s="116">
        <v>1832.85</v>
      </c>
      <c r="D1941" s="116">
        <v>1809.3</v>
      </c>
      <c r="E1941" s="116">
        <v>1816.95</v>
      </c>
      <c r="F1941" s="116">
        <v>1832.85</v>
      </c>
      <c r="G1941">
        <v>64706</v>
      </c>
      <c r="H1941" s="116"/>
      <c r="I1941" s="116"/>
      <c r="L1941" s="170">
        <v>45863</v>
      </c>
      <c r="M1941" s="116">
        <v>1832.1</v>
      </c>
      <c r="N1941" s="116">
        <v>1847</v>
      </c>
      <c r="O1941" s="116">
        <v>1810.9</v>
      </c>
      <c r="P1941" s="116">
        <v>1814</v>
      </c>
      <c r="Q1941" s="116">
        <v>1832.1</v>
      </c>
      <c r="R1941">
        <v>1821229</v>
      </c>
    </row>
    <row r="1942" spans="1:18" x14ac:dyDescent="0.25">
      <c r="A1942" s="170">
        <v>45866</v>
      </c>
      <c r="B1942" s="116">
        <v>1857.5</v>
      </c>
      <c r="C1942" s="116">
        <v>1848.6</v>
      </c>
      <c r="D1942" s="116">
        <v>1820.4</v>
      </c>
      <c r="E1942" s="116">
        <v>1830.4</v>
      </c>
      <c r="F1942" s="116">
        <v>1848.6</v>
      </c>
      <c r="G1942">
        <v>226819</v>
      </c>
      <c r="H1942" s="116"/>
      <c r="I1942" s="116"/>
      <c r="L1942" s="170">
        <v>45866</v>
      </c>
      <c r="M1942" s="116">
        <v>1850.5</v>
      </c>
      <c r="N1942" s="116">
        <v>1858</v>
      </c>
      <c r="O1942" s="116">
        <v>1819</v>
      </c>
      <c r="P1942" s="116">
        <v>1832</v>
      </c>
      <c r="Q1942" s="116">
        <v>1850.5</v>
      </c>
      <c r="R1942">
        <v>1182404</v>
      </c>
    </row>
    <row r="1943" spans="1:18" x14ac:dyDescent="0.25">
      <c r="A1943" s="170">
        <v>45867</v>
      </c>
      <c r="B1943" s="116">
        <v>1850.4</v>
      </c>
      <c r="C1943" s="116">
        <v>1832.85</v>
      </c>
      <c r="D1943" s="116">
        <v>1823.65</v>
      </c>
      <c r="E1943" s="116">
        <v>1848.6</v>
      </c>
      <c r="F1943" s="116">
        <v>1832.85</v>
      </c>
      <c r="G1943">
        <v>9056</v>
      </c>
      <c r="H1943" s="116"/>
      <c r="I1943" s="116"/>
      <c r="L1943" s="170">
        <v>45867</v>
      </c>
      <c r="M1943" s="116">
        <v>1833.4</v>
      </c>
      <c r="N1943" s="116">
        <v>1851.8</v>
      </c>
      <c r="O1943" s="116">
        <v>1822.9</v>
      </c>
      <c r="P1943" s="116">
        <v>1848</v>
      </c>
      <c r="Q1943" s="116">
        <v>1833.4</v>
      </c>
      <c r="R1943">
        <v>585182</v>
      </c>
    </row>
    <row r="1944" spans="1:18" x14ac:dyDescent="0.25">
      <c r="A1944" s="170">
        <v>45868</v>
      </c>
      <c r="B1944" s="116">
        <v>1846.8</v>
      </c>
      <c r="C1944" s="116">
        <v>1838.8</v>
      </c>
      <c r="D1944" s="116">
        <v>1824.7</v>
      </c>
      <c r="E1944" s="116">
        <v>1831</v>
      </c>
      <c r="F1944" s="116">
        <v>1838.8</v>
      </c>
      <c r="G1944">
        <v>5583</v>
      </c>
      <c r="H1944" s="116"/>
      <c r="I1944" s="116"/>
      <c r="L1944" s="170">
        <v>45868</v>
      </c>
      <c r="M1944" s="116">
        <v>1839.1</v>
      </c>
      <c r="N1944" s="116">
        <v>1850</v>
      </c>
      <c r="O1944" s="116">
        <v>1824.5</v>
      </c>
      <c r="P1944" s="116">
        <v>1825</v>
      </c>
      <c r="Q1944" s="116">
        <v>1839.1</v>
      </c>
      <c r="R1944">
        <v>480951</v>
      </c>
    </row>
    <row r="1945" spans="1:18" x14ac:dyDescent="0.25">
      <c r="A1945" s="170">
        <v>45869</v>
      </c>
      <c r="B1945" s="116">
        <v>1857.1</v>
      </c>
      <c r="C1945" s="116">
        <v>1839.35</v>
      </c>
      <c r="D1945" s="116">
        <v>1821.2</v>
      </c>
      <c r="E1945" s="116">
        <v>1821.2</v>
      </c>
      <c r="F1945" s="116">
        <v>1839.35</v>
      </c>
      <c r="G1945">
        <v>318990</v>
      </c>
      <c r="H1945" s="116"/>
      <c r="I1945" s="116"/>
      <c r="L1945" s="170">
        <v>45869</v>
      </c>
      <c r="M1945" s="116">
        <v>1840.7</v>
      </c>
      <c r="N1945" s="116">
        <v>1857.4</v>
      </c>
      <c r="O1945" s="116">
        <v>1821.4</v>
      </c>
      <c r="P1945" s="116">
        <v>1838</v>
      </c>
      <c r="Q1945" s="116">
        <v>1840.7</v>
      </c>
      <c r="R1945">
        <v>1570804</v>
      </c>
    </row>
    <row r="1946" spans="1:18" x14ac:dyDescent="0.25">
      <c r="A1946" s="170">
        <v>45870</v>
      </c>
      <c r="B1946" s="116">
        <v>1841</v>
      </c>
      <c r="C1946" s="116">
        <v>1793.75</v>
      </c>
      <c r="D1946" s="116">
        <v>1790</v>
      </c>
      <c r="E1946" s="116">
        <v>1837.8</v>
      </c>
      <c r="F1946" s="116">
        <v>1793.75</v>
      </c>
      <c r="G1946">
        <v>7179</v>
      </c>
      <c r="H1946" s="116"/>
      <c r="I1946" s="116"/>
      <c r="L1946" s="170">
        <v>45870</v>
      </c>
      <c r="M1946" s="116">
        <v>1796.2</v>
      </c>
      <c r="N1946" s="116">
        <v>1843.3</v>
      </c>
      <c r="O1946" s="116">
        <v>1788.9</v>
      </c>
      <c r="P1946" s="116">
        <v>1840</v>
      </c>
      <c r="Q1946" s="116">
        <v>1796.2</v>
      </c>
      <c r="R1946">
        <v>559870</v>
      </c>
    </row>
    <row r="1947" spans="1:18" x14ac:dyDescent="0.25">
      <c r="A1947" s="170">
        <v>45873</v>
      </c>
      <c r="B1947" s="116">
        <v>1835</v>
      </c>
      <c r="C1947" s="116">
        <v>1831.95</v>
      </c>
      <c r="D1947" s="116">
        <v>1782</v>
      </c>
      <c r="E1947" s="116">
        <v>1790.35</v>
      </c>
      <c r="F1947" s="116">
        <v>1831.95</v>
      </c>
      <c r="G1947">
        <v>5947</v>
      </c>
      <c r="H1947" s="116"/>
      <c r="I1947" s="116"/>
      <c r="L1947" s="170">
        <v>45873</v>
      </c>
      <c r="M1947" s="116">
        <v>1831.5</v>
      </c>
      <c r="N1947" s="116">
        <v>1836.2</v>
      </c>
      <c r="O1947" s="116">
        <v>1781</v>
      </c>
      <c r="P1947" s="116">
        <v>1798</v>
      </c>
      <c r="Q1947" s="116">
        <v>1831.5</v>
      </c>
      <c r="R1947">
        <v>844169</v>
      </c>
    </row>
    <row r="1948" spans="1:18" x14ac:dyDescent="0.25">
      <c r="A1948" s="170">
        <v>45874</v>
      </c>
      <c r="B1948" s="116">
        <v>1860.3</v>
      </c>
      <c r="C1948" s="116">
        <v>1856.95</v>
      </c>
      <c r="D1948" s="116">
        <v>1819.25</v>
      </c>
      <c r="E1948" s="116">
        <v>1827</v>
      </c>
      <c r="F1948" s="116">
        <v>1856.95</v>
      </c>
      <c r="G1948">
        <v>63386</v>
      </c>
      <c r="H1948" s="116"/>
      <c r="I1948" s="116"/>
      <c r="L1948" s="170">
        <v>45874</v>
      </c>
      <c r="M1948" s="116">
        <v>1857</v>
      </c>
      <c r="N1948" s="116">
        <v>1860.4</v>
      </c>
      <c r="O1948" s="116">
        <v>1818.7</v>
      </c>
      <c r="P1948" s="116">
        <v>1833.3</v>
      </c>
      <c r="Q1948" s="116">
        <v>1857</v>
      </c>
      <c r="R1948">
        <v>1251783</v>
      </c>
    </row>
    <row r="1949" spans="1:18" x14ac:dyDescent="0.25">
      <c r="A1949" s="170">
        <v>45875</v>
      </c>
      <c r="B1949" s="116">
        <v>1875.5</v>
      </c>
      <c r="C1949" s="116">
        <v>1854.05</v>
      </c>
      <c r="D1949" s="116">
        <v>1851.55</v>
      </c>
      <c r="E1949" s="116">
        <v>1861.95</v>
      </c>
      <c r="F1949" s="116">
        <v>1854.05</v>
      </c>
      <c r="G1949">
        <v>6945</v>
      </c>
      <c r="H1949" s="116"/>
      <c r="I1949" s="116"/>
      <c r="L1949" s="170">
        <v>45875</v>
      </c>
      <c r="M1949" s="116">
        <v>1854.3</v>
      </c>
      <c r="N1949" s="116">
        <v>1876</v>
      </c>
      <c r="O1949" s="116">
        <v>1850.6</v>
      </c>
      <c r="P1949" s="116">
        <v>1858.6</v>
      </c>
      <c r="Q1949" s="116">
        <v>1854.3</v>
      </c>
      <c r="R1949">
        <v>816457</v>
      </c>
    </row>
    <row r="1950" spans="1:18" x14ac:dyDescent="0.25">
      <c r="A1950" s="170">
        <v>45876</v>
      </c>
      <c r="B1950" s="116">
        <v>1862.8</v>
      </c>
      <c r="C1950" s="116">
        <v>1861.05</v>
      </c>
      <c r="D1950" s="116">
        <v>1818</v>
      </c>
      <c r="E1950" s="116">
        <v>1818</v>
      </c>
      <c r="F1950" s="116">
        <v>1861.05</v>
      </c>
      <c r="G1950">
        <v>5052</v>
      </c>
      <c r="H1950" s="116"/>
      <c r="I1950" s="116"/>
      <c r="L1950" s="170">
        <v>45876</v>
      </c>
      <c r="M1950" s="116">
        <v>1861.1</v>
      </c>
      <c r="N1950" s="116">
        <v>1863.1</v>
      </c>
      <c r="O1950" s="116">
        <v>1835</v>
      </c>
      <c r="P1950" s="116">
        <v>1835</v>
      </c>
      <c r="Q1950" s="116">
        <v>1861.1</v>
      </c>
      <c r="R1950">
        <v>742694</v>
      </c>
    </row>
    <row r="1951" spans="1:18" x14ac:dyDescent="0.25">
      <c r="A1951" s="170">
        <v>45877</v>
      </c>
      <c r="B1951" s="116">
        <v>1868.5</v>
      </c>
      <c r="C1951" s="116">
        <v>1833.35</v>
      </c>
      <c r="D1951" s="116">
        <v>1831</v>
      </c>
      <c r="E1951" s="116">
        <v>1854</v>
      </c>
      <c r="F1951" s="116">
        <v>1833.35</v>
      </c>
      <c r="G1951">
        <v>8881</v>
      </c>
      <c r="H1951" s="116"/>
      <c r="I1951" s="116"/>
      <c r="L1951" s="170">
        <v>45877</v>
      </c>
      <c r="M1951" s="116">
        <v>1833.6</v>
      </c>
      <c r="N1951" s="116">
        <v>1870.9</v>
      </c>
      <c r="O1951" s="116">
        <v>1831</v>
      </c>
      <c r="P1951" s="116">
        <v>1851.1</v>
      </c>
      <c r="Q1951" s="116">
        <v>1833.6</v>
      </c>
      <c r="R1951">
        <v>779798</v>
      </c>
    </row>
    <row r="1952" spans="1:18" x14ac:dyDescent="0.25">
      <c r="A1952" s="170">
        <v>45880</v>
      </c>
      <c r="B1952" s="116">
        <v>1852.65</v>
      </c>
      <c r="C1952" s="116">
        <v>1850.3</v>
      </c>
      <c r="D1952" s="116">
        <v>1826.5</v>
      </c>
      <c r="E1952" s="116">
        <v>1848.35</v>
      </c>
      <c r="F1952" s="116">
        <v>1850.3</v>
      </c>
      <c r="G1952">
        <v>4871</v>
      </c>
      <c r="H1952" s="116"/>
      <c r="I1952" s="116"/>
      <c r="L1952" s="170">
        <v>45880</v>
      </c>
      <c r="M1952" s="116">
        <v>1851</v>
      </c>
      <c r="N1952" s="116">
        <v>1852.7</v>
      </c>
      <c r="O1952" s="116">
        <v>1825.9</v>
      </c>
      <c r="P1952" s="116">
        <v>1836</v>
      </c>
      <c r="Q1952" s="116">
        <v>1851</v>
      </c>
      <c r="R1952">
        <v>455452</v>
      </c>
    </row>
    <row r="1953" spans="1:18" x14ac:dyDescent="0.25">
      <c r="A1953" s="170">
        <v>45881</v>
      </c>
      <c r="B1953" s="116">
        <v>1866.05</v>
      </c>
      <c r="C1953" s="116">
        <v>1837.95</v>
      </c>
      <c r="D1953" s="116">
        <v>1833.7</v>
      </c>
      <c r="E1953" s="116">
        <v>1866.05</v>
      </c>
      <c r="F1953" s="116">
        <v>1837.95</v>
      </c>
      <c r="G1953">
        <v>22539</v>
      </c>
      <c r="H1953" s="116"/>
      <c r="I1953" s="116"/>
      <c r="L1953" s="170">
        <v>45881</v>
      </c>
      <c r="M1953" s="116">
        <v>1838</v>
      </c>
      <c r="N1953" s="116">
        <v>1863.9</v>
      </c>
      <c r="O1953" s="116">
        <v>1834</v>
      </c>
      <c r="P1953" s="116">
        <v>1849.7</v>
      </c>
      <c r="Q1953" s="116">
        <v>1838</v>
      </c>
      <c r="R1953">
        <v>627624</v>
      </c>
    </row>
    <row r="1954" spans="1:18" x14ac:dyDescent="0.25">
      <c r="A1954" s="170">
        <v>45882</v>
      </c>
      <c r="B1954" s="116">
        <v>1858.4</v>
      </c>
      <c r="C1954" s="116">
        <v>1839.5</v>
      </c>
      <c r="D1954" s="116">
        <v>1834.55</v>
      </c>
      <c r="E1954" s="116">
        <v>1834.55</v>
      </c>
      <c r="F1954" s="116">
        <v>1839.5</v>
      </c>
      <c r="G1954">
        <v>9741</v>
      </c>
      <c r="H1954" s="116"/>
      <c r="I1954" s="116"/>
      <c r="L1954" s="170">
        <v>45882</v>
      </c>
      <c r="M1954" s="116">
        <v>1840.3</v>
      </c>
      <c r="N1954" s="116">
        <v>1859</v>
      </c>
      <c r="O1954" s="116">
        <v>1838</v>
      </c>
      <c r="P1954" s="116">
        <v>1841.3</v>
      </c>
      <c r="Q1954" s="116">
        <v>1840.3</v>
      </c>
      <c r="R1954">
        <v>570828</v>
      </c>
    </row>
    <row r="1955" spans="1:18" x14ac:dyDescent="0.25">
      <c r="A1955" s="170">
        <v>45883</v>
      </c>
      <c r="B1955" s="116">
        <v>1852.55</v>
      </c>
      <c r="C1955" s="116">
        <v>1839.5</v>
      </c>
      <c r="D1955" s="116">
        <v>1832.4</v>
      </c>
      <c r="E1955" s="116">
        <v>1845</v>
      </c>
      <c r="F1955" s="116">
        <v>1839.5</v>
      </c>
      <c r="G1955">
        <v>4046</v>
      </c>
      <c r="H1955" s="116"/>
      <c r="I1955" s="116"/>
      <c r="L1955" s="170">
        <v>45883</v>
      </c>
      <c r="M1955" s="116">
        <v>1840.6</v>
      </c>
      <c r="N1955" s="116">
        <v>1853.7</v>
      </c>
      <c r="O1955" s="116">
        <v>1832.2</v>
      </c>
      <c r="P1955" s="116">
        <v>1842.1</v>
      </c>
      <c r="Q1955" s="116">
        <v>1840.6</v>
      </c>
      <c r="R1955">
        <v>468063</v>
      </c>
    </row>
    <row r="1956" spans="1:18" x14ac:dyDescent="0.25">
      <c r="A1956" s="170">
        <v>45887</v>
      </c>
      <c r="B1956" s="116">
        <v>1912.1</v>
      </c>
      <c r="C1956" s="116">
        <v>1863.45</v>
      </c>
      <c r="D1956" s="116">
        <v>1853.45</v>
      </c>
      <c r="E1956" s="116">
        <v>1897.8</v>
      </c>
      <c r="F1956" s="116">
        <v>1863.45</v>
      </c>
      <c r="G1956">
        <v>30228</v>
      </c>
      <c r="H1956" s="116"/>
      <c r="I1956" s="116"/>
      <c r="L1956" s="170">
        <v>45887</v>
      </c>
      <c r="M1956" s="116">
        <v>1863</v>
      </c>
      <c r="N1956" s="116">
        <v>1912</v>
      </c>
      <c r="O1956" s="116">
        <v>1850</v>
      </c>
      <c r="P1956" s="116">
        <v>1879</v>
      </c>
      <c r="Q1956" s="116">
        <v>1863</v>
      </c>
      <c r="R1956">
        <v>1924632</v>
      </c>
    </row>
    <row r="1957" spans="1:18" x14ac:dyDescent="0.25">
      <c r="A1957" s="170">
        <v>45888</v>
      </c>
      <c r="B1957" s="116">
        <v>1865.45</v>
      </c>
      <c r="C1957" s="116">
        <v>1854</v>
      </c>
      <c r="D1957" s="116">
        <v>1837.2</v>
      </c>
      <c r="E1957" s="116">
        <v>1865</v>
      </c>
      <c r="F1957" s="116">
        <v>1854</v>
      </c>
      <c r="G1957">
        <v>14954</v>
      </c>
      <c r="H1957" s="116"/>
      <c r="I1957" s="116"/>
      <c r="L1957" s="170">
        <v>45888</v>
      </c>
      <c r="M1957" s="116">
        <v>1854.1</v>
      </c>
      <c r="N1957" s="116">
        <v>1869.9</v>
      </c>
      <c r="O1957" s="116">
        <v>1836.6</v>
      </c>
      <c r="P1957" s="116">
        <v>1865</v>
      </c>
      <c r="Q1957" s="116">
        <v>1854.1</v>
      </c>
      <c r="R1957">
        <v>621923</v>
      </c>
    </row>
    <row r="1958" spans="1:18" x14ac:dyDescent="0.25">
      <c r="A1958" s="170">
        <v>45889</v>
      </c>
      <c r="B1958" s="116">
        <v>1863.35</v>
      </c>
      <c r="C1958" s="116">
        <v>1858.15</v>
      </c>
      <c r="D1958" s="116">
        <v>1843.45</v>
      </c>
      <c r="E1958" s="116">
        <v>1857.05</v>
      </c>
      <c r="F1958" s="116">
        <v>1858.15</v>
      </c>
      <c r="G1958">
        <v>6123</v>
      </c>
      <c r="H1958" s="116"/>
      <c r="I1958" s="116"/>
      <c r="L1958" s="170">
        <v>45889</v>
      </c>
      <c r="M1958" s="116">
        <v>1858.5</v>
      </c>
      <c r="N1958" s="116">
        <v>1864.9</v>
      </c>
      <c r="O1958" s="116">
        <v>1843.4</v>
      </c>
      <c r="P1958" s="116">
        <v>1846</v>
      </c>
      <c r="Q1958" s="116">
        <v>1858.5</v>
      </c>
      <c r="R1958">
        <v>446416</v>
      </c>
    </row>
    <row r="1959" spans="1:18" x14ac:dyDescent="0.25">
      <c r="A1959" s="170">
        <v>45890</v>
      </c>
      <c r="B1959" s="116">
        <v>1892.4</v>
      </c>
      <c r="C1959" s="116">
        <v>1876.7</v>
      </c>
      <c r="D1959" s="116">
        <v>1870.85</v>
      </c>
      <c r="E1959" s="116">
        <v>1875.25</v>
      </c>
      <c r="F1959" s="116">
        <v>1876.7</v>
      </c>
      <c r="G1959">
        <v>19706</v>
      </c>
      <c r="H1959" s="116"/>
      <c r="I1959" s="116"/>
      <c r="L1959" s="170">
        <v>45890</v>
      </c>
      <c r="M1959" s="116">
        <v>1877.3</v>
      </c>
      <c r="N1959" s="116">
        <v>1892.5</v>
      </c>
      <c r="O1959" s="116">
        <v>1870</v>
      </c>
      <c r="P1959" s="116">
        <v>1870</v>
      </c>
      <c r="Q1959" s="116">
        <v>1877.3</v>
      </c>
      <c r="R1959">
        <v>1316202</v>
      </c>
    </row>
    <row r="1960" spans="1:18" x14ac:dyDescent="0.25">
      <c r="A1960" s="170">
        <v>45891</v>
      </c>
      <c r="B1960" s="116">
        <v>1877.45</v>
      </c>
      <c r="C1960" s="116">
        <v>1858.85</v>
      </c>
      <c r="D1960" s="116">
        <v>1850</v>
      </c>
      <c r="E1960" s="116">
        <v>1877.45</v>
      </c>
      <c r="F1960" s="116">
        <v>1858.85</v>
      </c>
      <c r="G1960">
        <v>9144</v>
      </c>
      <c r="H1960" s="116"/>
      <c r="I1960" s="116"/>
      <c r="L1960" s="170">
        <v>45891</v>
      </c>
      <c r="M1960" s="116">
        <v>1859</v>
      </c>
      <c r="N1960" s="116">
        <v>1870</v>
      </c>
      <c r="O1960" s="116">
        <v>1849.4</v>
      </c>
      <c r="P1960" s="116">
        <v>1860.1</v>
      </c>
      <c r="Q1960" s="116">
        <v>1859</v>
      </c>
      <c r="R1960">
        <v>605948</v>
      </c>
    </row>
    <row r="1961" spans="1:18" x14ac:dyDescent="0.25">
      <c r="A1961" s="170">
        <v>45894</v>
      </c>
      <c r="B1961" s="116">
        <v>1860.45</v>
      </c>
      <c r="C1961" s="116">
        <v>1847.1</v>
      </c>
      <c r="D1961" s="116">
        <v>1843.4</v>
      </c>
      <c r="E1961" s="116">
        <v>1860</v>
      </c>
      <c r="F1961" s="116">
        <v>1847.1</v>
      </c>
      <c r="G1961">
        <v>5483</v>
      </c>
      <c r="H1961" s="116"/>
      <c r="I1961" s="116"/>
      <c r="L1961" s="170">
        <v>45894</v>
      </c>
      <c r="M1961" s="116">
        <v>1846.8</v>
      </c>
      <c r="N1961" s="116">
        <v>1862.4</v>
      </c>
      <c r="O1961" s="116">
        <v>1843.4</v>
      </c>
      <c r="P1961" s="116">
        <v>1858.9</v>
      </c>
      <c r="Q1961" s="116">
        <v>1846.8</v>
      </c>
      <c r="R1961">
        <v>613536</v>
      </c>
    </row>
    <row r="1962" spans="1:18" x14ac:dyDescent="0.25">
      <c r="A1962" s="170">
        <v>45895</v>
      </c>
      <c r="B1962" s="116">
        <v>1854.2</v>
      </c>
      <c r="C1962" s="116">
        <v>1816.6</v>
      </c>
      <c r="D1962" s="116">
        <v>1811.5</v>
      </c>
      <c r="E1962" s="116">
        <v>1851.5</v>
      </c>
      <c r="F1962" s="116">
        <v>1816.6</v>
      </c>
      <c r="G1962">
        <v>15709</v>
      </c>
      <c r="H1962" s="116"/>
      <c r="I1962" s="116"/>
      <c r="L1962" s="170">
        <v>45895</v>
      </c>
      <c r="M1962" s="116">
        <v>1816.6</v>
      </c>
      <c r="N1962" s="116">
        <v>1857.6</v>
      </c>
      <c r="O1962" s="116">
        <v>1809.8</v>
      </c>
      <c r="P1962" s="116">
        <v>1846.9</v>
      </c>
      <c r="Q1962" s="116">
        <v>1816.6</v>
      </c>
      <c r="R1962">
        <v>669578</v>
      </c>
    </row>
    <row r="1963" spans="1:18" x14ac:dyDescent="0.25">
      <c r="A1963" s="170">
        <v>45897</v>
      </c>
      <c r="B1963" s="116">
        <v>1841</v>
      </c>
      <c r="C1963" s="116">
        <v>1816.6</v>
      </c>
      <c r="D1963" s="116">
        <v>1802.2</v>
      </c>
      <c r="E1963" s="116">
        <v>1802.2</v>
      </c>
      <c r="F1963" s="116">
        <v>1816.6</v>
      </c>
      <c r="G1963">
        <v>17495</v>
      </c>
      <c r="H1963" s="116"/>
      <c r="I1963" s="116"/>
      <c r="L1963" s="170">
        <v>45897</v>
      </c>
      <c r="M1963" s="116">
        <v>1816.8</v>
      </c>
      <c r="N1963" s="116">
        <v>1841.3</v>
      </c>
      <c r="O1963" s="116">
        <v>1806.2</v>
      </c>
      <c r="P1963" s="116">
        <v>1815.7</v>
      </c>
      <c r="Q1963" s="116">
        <v>1816.8</v>
      </c>
      <c r="R1963">
        <v>948055</v>
      </c>
    </row>
    <row r="1964" spans="1:18" x14ac:dyDescent="0.25">
      <c r="A1964" s="170">
        <v>45898</v>
      </c>
      <c r="B1964" s="116">
        <v>1822.3</v>
      </c>
      <c r="C1964" s="116">
        <v>1804.35</v>
      </c>
      <c r="D1964" s="116">
        <v>1801</v>
      </c>
      <c r="E1964" s="116">
        <v>1807.55</v>
      </c>
      <c r="F1964" s="116">
        <v>1804.35</v>
      </c>
      <c r="G1964">
        <v>10811</v>
      </c>
      <c r="H1964" s="116"/>
      <c r="I1964" s="116"/>
      <c r="L1964" s="170">
        <v>45898</v>
      </c>
      <c r="M1964" s="116">
        <v>1805.5</v>
      </c>
      <c r="N1964" s="116">
        <v>1826.9</v>
      </c>
      <c r="O1964" s="116">
        <v>1801.1</v>
      </c>
      <c r="P1964" s="116">
        <v>1826.9</v>
      </c>
      <c r="Q1964" s="116">
        <v>1805.5</v>
      </c>
      <c r="R1964">
        <v>801378</v>
      </c>
    </row>
    <row r="1965" spans="1:18" x14ac:dyDescent="0.25">
      <c r="A1965" s="170">
        <v>45901</v>
      </c>
      <c r="B1965" s="116">
        <v>1815.6</v>
      </c>
      <c r="C1965" s="116">
        <v>1809.6</v>
      </c>
      <c r="D1965" s="116">
        <v>1798.05</v>
      </c>
      <c r="E1965" s="116">
        <v>1801</v>
      </c>
      <c r="F1965" s="116">
        <v>1809.6</v>
      </c>
      <c r="G1965">
        <v>4054</v>
      </c>
      <c r="H1965" s="116"/>
      <c r="I1965" s="116"/>
      <c r="L1965" s="170">
        <v>45901</v>
      </c>
      <c r="M1965" s="116">
        <v>1809.8</v>
      </c>
      <c r="N1965" s="116">
        <v>1815.9</v>
      </c>
      <c r="O1965" s="116">
        <v>1796.6</v>
      </c>
      <c r="P1965" s="116">
        <v>1800</v>
      </c>
      <c r="Q1965" s="116">
        <v>1809.8</v>
      </c>
      <c r="R1965">
        <v>530198</v>
      </c>
    </row>
    <row r="1966" spans="1:18" x14ac:dyDescent="0.25">
      <c r="A1966" s="170">
        <v>45902</v>
      </c>
      <c r="B1966" s="116">
        <v>1822.4</v>
      </c>
      <c r="C1966" s="116">
        <v>1814.8</v>
      </c>
      <c r="D1966" s="116">
        <v>1801.95</v>
      </c>
      <c r="E1966" s="116">
        <v>1803.05</v>
      </c>
      <c r="F1966" s="116">
        <v>1814.8</v>
      </c>
      <c r="G1966">
        <v>10183</v>
      </c>
      <c r="H1966" s="116"/>
      <c r="I1966" s="116"/>
      <c r="L1966" s="170">
        <v>45902</v>
      </c>
      <c r="M1966" s="116">
        <v>1814.5</v>
      </c>
      <c r="N1966" s="116">
        <v>1825</v>
      </c>
      <c r="O1966" s="116">
        <v>1802.7</v>
      </c>
      <c r="P1966" s="116">
        <v>1814.9</v>
      </c>
      <c r="Q1966" s="116">
        <v>1814.5</v>
      </c>
      <c r="R1966">
        <v>388232</v>
      </c>
    </row>
    <row r="1967" spans="1:18" x14ac:dyDescent="0.25">
      <c r="A1967" s="170">
        <v>45903</v>
      </c>
      <c r="B1967" s="116">
        <v>1814.4</v>
      </c>
      <c r="C1967" s="116">
        <v>1810.55</v>
      </c>
      <c r="D1967" s="116">
        <v>1798</v>
      </c>
      <c r="E1967" s="116">
        <v>1802.05</v>
      </c>
      <c r="F1967" s="116">
        <v>1810.55</v>
      </c>
      <c r="G1967">
        <v>7815</v>
      </c>
      <c r="H1967" s="116"/>
      <c r="I1967" s="116"/>
      <c r="L1967" s="170">
        <v>45903</v>
      </c>
      <c r="M1967" s="116">
        <v>1810.7</v>
      </c>
      <c r="N1967" s="116">
        <v>1818.9</v>
      </c>
      <c r="O1967" s="116">
        <v>1797</v>
      </c>
      <c r="P1967" s="116">
        <v>1814.5</v>
      </c>
      <c r="Q1967" s="116">
        <v>1810.7</v>
      </c>
      <c r="R1967">
        <v>1249945</v>
      </c>
    </row>
    <row r="1968" spans="1:18" x14ac:dyDescent="0.25">
      <c r="A1968" s="170">
        <v>45904</v>
      </c>
      <c r="B1968" s="116">
        <v>1899</v>
      </c>
      <c r="C1968" s="116">
        <v>1790.55</v>
      </c>
      <c r="D1968" s="116">
        <v>1772</v>
      </c>
      <c r="E1968" s="116">
        <v>1899</v>
      </c>
      <c r="F1968" s="116">
        <v>1790.55</v>
      </c>
      <c r="G1968">
        <v>42316</v>
      </c>
      <c r="H1968" s="116"/>
      <c r="I1968" s="116"/>
      <c r="L1968" s="170">
        <v>45904</v>
      </c>
      <c r="M1968" s="116">
        <v>1791.1</v>
      </c>
      <c r="N1968" s="116">
        <v>1890</v>
      </c>
      <c r="O1968" s="116">
        <v>1773</v>
      </c>
      <c r="P1968" s="116">
        <v>1890</v>
      </c>
      <c r="Q1968" s="116">
        <v>1791.1</v>
      </c>
      <c r="R1968">
        <v>2151243</v>
      </c>
    </row>
    <row r="1969" spans="1:18" x14ac:dyDescent="0.25">
      <c r="A1969" s="170">
        <v>45905</v>
      </c>
      <c r="B1969" s="116">
        <v>1833.8</v>
      </c>
      <c r="C1969" s="116">
        <v>1805.8</v>
      </c>
      <c r="D1969" s="116">
        <v>1800.2</v>
      </c>
      <c r="E1969" s="116">
        <v>1833.8</v>
      </c>
      <c r="F1969" s="116">
        <v>1805.8</v>
      </c>
      <c r="G1969">
        <v>12131</v>
      </c>
      <c r="H1969" s="116"/>
      <c r="I1969" s="116"/>
      <c r="L1969" s="170">
        <v>45905</v>
      </c>
      <c r="M1969" s="116">
        <v>1805.3</v>
      </c>
      <c r="N1969" s="116">
        <v>1827.5</v>
      </c>
      <c r="O1969" s="116">
        <v>1800.1</v>
      </c>
      <c r="P1969" s="116">
        <v>1815</v>
      </c>
      <c r="Q1969" s="116">
        <v>1805.3</v>
      </c>
      <c r="R1969">
        <v>757123</v>
      </c>
    </row>
    <row r="1970" spans="1:18" x14ac:dyDescent="0.25">
      <c r="A1970" s="170">
        <v>45908</v>
      </c>
      <c r="B1970" s="116">
        <v>1808.35</v>
      </c>
      <c r="C1970" s="116">
        <v>1780.4</v>
      </c>
      <c r="D1970" s="116">
        <v>1770</v>
      </c>
      <c r="E1970" s="116">
        <v>1801.15</v>
      </c>
      <c r="F1970" s="116">
        <v>1780.4</v>
      </c>
      <c r="G1970">
        <v>18754</v>
      </c>
      <c r="H1970" s="116"/>
      <c r="I1970" s="116"/>
      <c r="L1970" s="170">
        <v>45908</v>
      </c>
      <c r="M1970" s="116">
        <v>1780.9</v>
      </c>
      <c r="N1970" s="116">
        <v>1810</v>
      </c>
      <c r="O1970" s="116">
        <v>1769.5</v>
      </c>
      <c r="P1970" s="116">
        <v>1807</v>
      </c>
      <c r="Q1970" s="116">
        <v>1780.9</v>
      </c>
      <c r="R1970">
        <v>1553347</v>
      </c>
    </row>
    <row r="1971" spans="1:18" x14ac:dyDescent="0.25">
      <c r="A1971" s="170">
        <v>45909</v>
      </c>
      <c r="B1971" s="116">
        <v>1810</v>
      </c>
      <c r="C1971" s="116">
        <v>1806</v>
      </c>
      <c r="D1971" s="116">
        <v>1780</v>
      </c>
      <c r="E1971" s="116">
        <v>1783.2</v>
      </c>
      <c r="F1971" s="116">
        <v>1806</v>
      </c>
      <c r="G1971">
        <v>11217</v>
      </c>
      <c r="H1971" s="116"/>
      <c r="I1971" s="116"/>
      <c r="L1971" s="170">
        <v>45909</v>
      </c>
      <c r="M1971" s="116">
        <v>1805.7</v>
      </c>
      <c r="N1971" s="116">
        <v>1811.5</v>
      </c>
      <c r="O1971" s="116">
        <v>1778.3</v>
      </c>
      <c r="P1971" s="116">
        <v>1789.8</v>
      </c>
      <c r="Q1971" s="116">
        <v>1805.7</v>
      </c>
      <c r="R1971">
        <v>895295</v>
      </c>
    </row>
    <row r="1972" spans="1:18" x14ac:dyDescent="0.25">
      <c r="A1972" s="170">
        <v>45910</v>
      </c>
      <c r="B1972" s="116">
        <v>1842.5</v>
      </c>
      <c r="C1972" s="116">
        <v>1833.8</v>
      </c>
      <c r="D1972" s="116">
        <v>1800.65</v>
      </c>
      <c r="E1972" s="116">
        <v>1803.05</v>
      </c>
      <c r="F1972" s="116">
        <v>1833.8</v>
      </c>
      <c r="G1972">
        <v>15072</v>
      </c>
      <c r="H1972" s="116"/>
      <c r="I1972" s="116"/>
      <c r="L1972" s="170">
        <v>45910</v>
      </c>
      <c r="M1972" s="116">
        <v>1833.7</v>
      </c>
      <c r="N1972" s="116">
        <v>1843.6</v>
      </c>
      <c r="O1972" s="116">
        <v>1796</v>
      </c>
      <c r="P1972" s="116">
        <v>1804.9</v>
      </c>
      <c r="Q1972" s="116">
        <v>1833.7</v>
      </c>
      <c r="R1972">
        <v>881560</v>
      </c>
    </row>
    <row r="1973" spans="1:18" x14ac:dyDescent="0.25">
      <c r="A1973" s="170">
        <v>45911</v>
      </c>
      <c r="B1973" s="116">
        <v>1824</v>
      </c>
      <c r="C1973" s="116">
        <v>1813.25</v>
      </c>
      <c r="D1973" s="116">
        <v>1803.9</v>
      </c>
      <c r="E1973" s="116">
        <v>1820.25</v>
      </c>
      <c r="F1973" s="116">
        <v>1813.25</v>
      </c>
      <c r="G1973">
        <v>446775</v>
      </c>
      <c r="H1973" s="116"/>
      <c r="I1973" s="116"/>
      <c r="L1973" s="170">
        <v>45911</v>
      </c>
      <c r="M1973" s="116">
        <v>1814.2</v>
      </c>
      <c r="N1973" s="116">
        <v>1824.9</v>
      </c>
      <c r="O1973" s="116">
        <v>1802</v>
      </c>
      <c r="P1973" s="116">
        <v>1824.8</v>
      </c>
      <c r="Q1973" s="116">
        <v>1814.2</v>
      </c>
      <c r="R1973">
        <v>663203</v>
      </c>
    </row>
    <row r="1974" spans="1:18" x14ac:dyDescent="0.25">
      <c r="A1974" s="170">
        <v>45912</v>
      </c>
      <c r="B1974" s="116">
        <v>1834</v>
      </c>
      <c r="C1974" s="116">
        <v>1830.1</v>
      </c>
      <c r="D1974" s="116">
        <v>1804.35</v>
      </c>
      <c r="E1974" s="116">
        <v>1820.55</v>
      </c>
      <c r="F1974" s="116">
        <v>1830.1</v>
      </c>
      <c r="G1974">
        <v>9578</v>
      </c>
      <c r="H1974" s="116"/>
      <c r="I1974" s="116"/>
      <c r="L1974" s="170">
        <v>45912</v>
      </c>
      <c r="M1974" s="116">
        <v>1830.2</v>
      </c>
      <c r="N1974" s="116">
        <v>1834.5</v>
      </c>
      <c r="O1974" s="116">
        <v>1803.6</v>
      </c>
      <c r="P1974" s="116">
        <v>1814.2</v>
      </c>
      <c r="Q1974" s="116">
        <v>1830.2</v>
      </c>
      <c r="R1974">
        <v>509725</v>
      </c>
    </row>
    <row r="1975" spans="1:18" x14ac:dyDescent="0.25">
      <c r="A1975" s="170">
        <v>45915</v>
      </c>
      <c r="B1975" s="116">
        <v>1831.75</v>
      </c>
      <c r="C1975" s="116">
        <v>1821.25</v>
      </c>
      <c r="D1975" s="116">
        <v>1812.6</v>
      </c>
      <c r="E1975" s="116">
        <v>1830.35</v>
      </c>
      <c r="F1975" s="116">
        <v>1821.25</v>
      </c>
      <c r="G1975">
        <v>11128</v>
      </c>
      <c r="H1975" s="116"/>
      <c r="I1975" s="116"/>
      <c r="L1975" s="170">
        <v>45915</v>
      </c>
      <c r="M1975" s="116">
        <v>1822.2</v>
      </c>
      <c r="N1975" s="116">
        <v>1833</v>
      </c>
      <c r="O1975" s="116">
        <v>1812.3</v>
      </c>
      <c r="P1975" s="116">
        <v>1830.1</v>
      </c>
      <c r="Q1975" s="116">
        <v>1822.2</v>
      </c>
      <c r="R1975">
        <v>485383</v>
      </c>
    </row>
    <row r="1976" spans="1:18" x14ac:dyDescent="0.25">
      <c r="A1976" s="170">
        <v>45916</v>
      </c>
      <c r="B1976" s="116">
        <v>1827.15</v>
      </c>
      <c r="C1976" s="116">
        <v>1818.05</v>
      </c>
      <c r="D1976" s="116">
        <v>1811.2</v>
      </c>
      <c r="E1976" s="116">
        <v>1815.65</v>
      </c>
      <c r="F1976" s="116">
        <v>1818.05</v>
      </c>
      <c r="G1976">
        <v>7237</v>
      </c>
      <c r="H1976" s="116"/>
      <c r="I1976" s="116"/>
      <c r="L1976" s="170">
        <v>45916</v>
      </c>
      <c r="M1976" s="116">
        <v>1818.8</v>
      </c>
      <c r="N1976" s="116">
        <v>1832.9</v>
      </c>
      <c r="O1976" s="116">
        <v>1810</v>
      </c>
      <c r="P1976" s="116">
        <v>1830.4</v>
      </c>
      <c r="Q1976" s="116">
        <v>1818.8</v>
      </c>
      <c r="R1976">
        <v>496743</v>
      </c>
    </row>
    <row r="1977" spans="1:18" x14ac:dyDescent="0.25">
      <c r="A1977" s="170">
        <v>45917</v>
      </c>
      <c r="B1977" s="116">
        <v>1827.25</v>
      </c>
      <c r="C1977" s="116">
        <v>1803</v>
      </c>
      <c r="D1977" s="116">
        <v>1800.1</v>
      </c>
      <c r="E1977" s="116">
        <v>1815.95</v>
      </c>
      <c r="F1977" s="116">
        <v>1803</v>
      </c>
      <c r="G1977">
        <v>6553</v>
      </c>
      <c r="H1977" s="116"/>
      <c r="I1977" s="116"/>
      <c r="L1977" s="170">
        <v>45917</v>
      </c>
      <c r="M1977" s="116">
        <v>1804</v>
      </c>
      <c r="N1977" s="116">
        <v>1827.5</v>
      </c>
      <c r="O1977" s="116">
        <v>1800.7</v>
      </c>
      <c r="P1977" s="116">
        <v>1810.1</v>
      </c>
      <c r="Q1977" s="116">
        <v>1804</v>
      </c>
      <c r="R1977">
        <v>706812</v>
      </c>
    </row>
    <row r="1978" spans="1:18" x14ac:dyDescent="0.25">
      <c r="A1978" s="170">
        <v>45918</v>
      </c>
      <c r="B1978" s="116">
        <v>1830.5</v>
      </c>
      <c r="C1978" s="116">
        <v>1820.35</v>
      </c>
      <c r="D1978" s="116">
        <v>1797.8</v>
      </c>
      <c r="E1978" s="116">
        <v>1800.25</v>
      </c>
      <c r="F1978" s="116">
        <v>1820.35</v>
      </c>
      <c r="G1978">
        <v>7032</v>
      </c>
      <c r="H1978" s="116"/>
      <c r="I1978" s="116"/>
      <c r="L1978" s="170">
        <v>45918</v>
      </c>
      <c r="M1978" s="116">
        <v>1821.8</v>
      </c>
      <c r="N1978" s="116">
        <v>1831</v>
      </c>
      <c r="O1978" s="116">
        <v>1795.3</v>
      </c>
      <c r="P1978" s="116">
        <v>1804.9</v>
      </c>
      <c r="Q1978" s="116">
        <v>1821.8</v>
      </c>
      <c r="R1978">
        <v>817549</v>
      </c>
    </row>
    <row r="1979" spans="1:18" x14ac:dyDescent="0.25">
      <c r="A1979" s="170">
        <v>45919</v>
      </c>
      <c r="B1979" s="116">
        <v>1849.95</v>
      </c>
      <c r="C1979" s="116">
        <v>1842.55</v>
      </c>
      <c r="D1979" s="116">
        <v>1824.3</v>
      </c>
      <c r="E1979" s="116">
        <v>1849.95</v>
      </c>
      <c r="F1979" s="116">
        <v>1842.55</v>
      </c>
      <c r="G1979">
        <v>61763</v>
      </c>
      <c r="H1979" s="116"/>
      <c r="I1979" s="116"/>
      <c r="L1979" s="170">
        <v>45919</v>
      </c>
      <c r="M1979" s="116">
        <v>1841.7</v>
      </c>
      <c r="N1979" s="116">
        <v>1846.9</v>
      </c>
      <c r="O1979" s="116">
        <v>1821.8</v>
      </c>
      <c r="P1979" s="116">
        <v>1828</v>
      </c>
      <c r="Q1979" s="116">
        <v>1841.7</v>
      </c>
      <c r="R1979">
        <v>1633208</v>
      </c>
    </row>
    <row r="1980" spans="1:18" x14ac:dyDescent="0.25">
      <c r="A1980" s="170">
        <v>45922</v>
      </c>
      <c r="B1980" s="116">
        <v>1879.65</v>
      </c>
      <c r="C1980" s="116">
        <v>1858.95</v>
      </c>
      <c r="D1980" s="116">
        <v>1845.05</v>
      </c>
      <c r="E1980" s="116">
        <v>1845.05</v>
      </c>
      <c r="F1980" s="116">
        <v>1858.95</v>
      </c>
      <c r="G1980">
        <v>35354</v>
      </c>
      <c r="H1980" s="116"/>
      <c r="I1980" s="116"/>
      <c r="L1980" s="170">
        <v>45922</v>
      </c>
      <c r="M1980" s="116">
        <v>1857.7</v>
      </c>
      <c r="N1980" s="116">
        <v>1879.7</v>
      </c>
      <c r="O1980" s="116">
        <v>1852.8</v>
      </c>
      <c r="P1980" s="116">
        <v>1855</v>
      </c>
      <c r="Q1980" s="116">
        <v>1857.7</v>
      </c>
      <c r="R1980">
        <v>1003774</v>
      </c>
    </row>
    <row r="1981" spans="1:18" x14ac:dyDescent="0.25">
      <c r="A1981" s="170">
        <v>45923</v>
      </c>
      <c r="B1981" s="116">
        <v>1878.5</v>
      </c>
      <c r="C1981" s="116">
        <v>1819.7</v>
      </c>
      <c r="D1981" s="116">
        <v>1815.7</v>
      </c>
      <c r="E1981" s="116">
        <v>1878.5</v>
      </c>
      <c r="F1981" s="116">
        <v>1819.7</v>
      </c>
      <c r="G1981">
        <v>11752</v>
      </c>
      <c r="H1981" s="116"/>
      <c r="I1981" s="116"/>
      <c r="L1981" s="170">
        <v>45923</v>
      </c>
      <c r="M1981" s="116">
        <v>1819.4</v>
      </c>
      <c r="N1981" s="116">
        <v>1865.7</v>
      </c>
      <c r="O1981" s="116">
        <v>1815.4</v>
      </c>
      <c r="P1981" s="116">
        <v>1865</v>
      </c>
      <c r="Q1981" s="116">
        <v>1819.4</v>
      </c>
      <c r="R1981">
        <v>737343</v>
      </c>
    </row>
    <row r="1982" spans="1:18" x14ac:dyDescent="0.25">
      <c r="A1982" s="170">
        <v>45924</v>
      </c>
      <c r="B1982" s="116">
        <v>1824.25</v>
      </c>
      <c r="C1982" s="116">
        <v>1815.05</v>
      </c>
      <c r="D1982" s="116">
        <v>1806.65</v>
      </c>
      <c r="E1982" s="116">
        <v>1820.9</v>
      </c>
      <c r="F1982" s="116">
        <v>1815.05</v>
      </c>
      <c r="G1982">
        <v>78544</v>
      </c>
      <c r="H1982" s="116"/>
      <c r="I1982" s="116"/>
      <c r="L1982" s="170">
        <v>45924</v>
      </c>
      <c r="M1982" s="116">
        <v>1817.1</v>
      </c>
      <c r="N1982" s="116">
        <v>1825.4</v>
      </c>
      <c r="O1982" s="116">
        <v>1806</v>
      </c>
      <c r="P1982" s="116">
        <v>1824.9</v>
      </c>
      <c r="Q1982" s="116">
        <v>1817.1</v>
      </c>
      <c r="R1982">
        <v>507030</v>
      </c>
    </row>
    <row r="1983" spans="1:18" x14ac:dyDescent="0.25">
      <c r="A1983" s="170">
        <v>45925</v>
      </c>
      <c r="B1983" s="116">
        <v>1820</v>
      </c>
      <c r="C1983" s="116">
        <v>1810.1</v>
      </c>
      <c r="D1983" s="116">
        <v>1799.75</v>
      </c>
      <c r="E1983" s="116">
        <v>1815.05</v>
      </c>
      <c r="F1983" s="116">
        <v>1810.1</v>
      </c>
      <c r="G1983">
        <v>58977</v>
      </c>
      <c r="H1983" s="116"/>
      <c r="I1983" s="116"/>
      <c r="L1983" s="170">
        <v>45925</v>
      </c>
      <c r="M1983" s="116">
        <v>1809.8</v>
      </c>
      <c r="N1983" s="116">
        <v>1819.7</v>
      </c>
      <c r="O1983" s="116">
        <v>1797.5</v>
      </c>
      <c r="P1983" s="116">
        <v>1810.1</v>
      </c>
      <c r="Q1983" s="116">
        <v>1809.8</v>
      </c>
      <c r="R1983">
        <v>1003709</v>
      </c>
    </row>
    <row r="1984" spans="1:18" x14ac:dyDescent="0.25">
      <c r="A1984" s="170">
        <v>45926</v>
      </c>
      <c r="B1984" s="116">
        <v>1816.7</v>
      </c>
      <c r="C1984" s="116">
        <v>1798.7</v>
      </c>
      <c r="D1984" s="116">
        <v>1790.9</v>
      </c>
      <c r="E1984" s="116">
        <v>1800.05</v>
      </c>
      <c r="F1984" s="116">
        <v>1798.7</v>
      </c>
      <c r="G1984">
        <v>52052</v>
      </c>
      <c r="H1984" s="116"/>
      <c r="I1984" s="116"/>
      <c r="L1984" s="170">
        <v>45926</v>
      </c>
      <c r="M1984" s="116">
        <v>1798.8</v>
      </c>
      <c r="N1984" s="116">
        <v>1819</v>
      </c>
      <c r="O1984" s="116">
        <v>1790</v>
      </c>
      <c r="P1984" s="116">
        <v>1807.4</v>
      </c>
      <c r="Q1984" s="116">
        <v>1798.8</v>
      </c>
      <c r="R1984">
        <v>1561042</v>
      </c>
    </row>
    <row r="1985" spans="1:18" x14ac:dyDescent="0.25">
      <c r="A1985" s="170">
        <v>45929</v>
      </c>
      <c r="B1985" s="116">
        <v>1805.2</v>
      </c>
      <c r="C1985" s="116">
        <v>1788.9</v>
      </c>
      <c r="D1985" s="116">
        <v>1785.5</v>
      </c>
      <c r="E1985" s="116">
        <v>1800.05</v>
      </c>
      <c r="F1985" s="116">
        <v>1788.9</v>
      </c>
      <c r="G1985">
        <v>18641</v>
      </c>
      <c r="H1985" s="116"/>
      <c r="I1985" s="116"/>
      <c r="L1985" s="170">
        <v>45929</v>
      </c>
      <c r="M1985" s="116">
        <v>1788.7</v>
      </c>
      <c r="N1985" s="116">
        <v>1814</v>
      </c>
      <c r="O1985" s="116">
        <v>1785</v>
      </c>
      <c r="P1985" s="116">
        <v>1814</v>
      </c>
      <c r="Q1985" s="116">
        <v>1788.7</v>
      </c>
      <c r="R1985">
        <v>1003806</v>
      </c>
    </row>
    <row r="1986" spans="1:18" x14ac:dyDescent="0.25">
      <c r="A1986" s="170">
        <v>45930</v>
      </c>
      <c r="B1986" s="116">
        <v>1796.4</v>
      </c>
      <c r="C1986" s="116">
        <v>1790.9</v>
      </c>
      <c r="D1986" s="116">
        <v>1777.45</v>
      </c>
      <c r="E1986" s="116">
        <v>1777.45</v>
      </c>
      <c r="F1986" s="116">
        <v>1790.9</v>
      </c>
      <c r="G1986">
        <v>2090499</v>
      </c>
      <c r="H1986" s="116"/>
      <c r="I1986" s="116"/>
      <c r="L1986" s="170">
        <v>45930</v>
      </c>
      <c r="M1986" s="116">
        <v>1790.6</v>
      </c>
      <c r="N1986" s="116">
        <v>1795.7</v>
      </c>
      <c r="O1986" s="116">
        <v>1778</v>
      </c>
      <c r="P1986" s="116">
        <v>1783</v>
      </c>
      <c r="Q1986" s="116">
        <v>1790.6</v>
      </c>
      <c r="R1986">
        <v>1668918</v>
      </c>
    </row>
    <row r="1987" spans="1:18" x14ac:dyDescent="0.25">
      <c r="A1987" s="170">
        <v>45931</v>
      </c>
      <c r="B1987" s="116">
        <v>1804.25</v>
      </c>
      <c r="C1987" s="116">
        <v>1800.35</v>
      </c>
      <c r="D1987" s="116">
        <v>1769.8</v>
      </c>
      <c r="E1987" s="116">
        <v>1770</v>
      </c>
      <c r="F1987" s="116">
        <v>1800.35</v>
      </c>
      <c r="G1987">
        <v>76243</v>
      </c>
      <c r="H1987" s="116"/>
      <c r="I1987" s="116"/>
      <c r="L1987" s="170">
        <v>45931</v>
      </c>
      <c r="M1987" s="116">
        <v>1801.1</v>
      </c>
      <c r="N1987" s="116">
        <v>1806.5</v>
      </c>
      <c r="O1987" s="116">
        <v>1769.1</v>
      </c>
      <c r="P1987" s="116">
        <v>1783</v>
      </c>
      <c r="Q1987" s="116">
        <v>1801.1</v>
      </c>
      <c r="R1987">
        <v>704858</v>
      </c>
    </row>
    <row r="1988" spans="1:18" x14ac:dyDescent="0.25">
      <c r="A1988" s="170">
        <v>45933</v>
      </c>
      <c r="B1988" s="116">
        <v>1802.95</v>
      </c>
      <c r="C1988" s="116">
        <v>1785.1</v>
      </c>
      <c r="D1988" s="116">
        <v>1767.3</v>
      </c>
      <c r="E1988" s="116">
        <v>1800</v>
      </c>
      <c r="F1988" s="116">
        <v>1785.1</v>
      </c>
      <c r="G1988">
        <v>11544</v>
      </c>
      <c r="H1988" s="116"/>
      <c r="I1988" s="116"/>
      <c r="L1988" s="170">
        <v>45933</v>
      </c>
      <c r="M1988" s="116">
        <v>1785.1</v>
      </c>
      <c r="N1988" s="116">
        <v>1803.2</v>
      </c>
      <c r="O1988" s="116">
        <v>1766.2</v>
      </c>
      <c r="P1988" s="116">
        <v>1801.1</v>
      </c>
      <c r="Q1988" s="116">
        <v>1785.1</v>
      </c>
      <c r="R1988">
        <v>715403</v>
      </c>
    </row>
    <row r="1989" spans="1:18" x14ac:dyDescent="0.25">
      <c r="A1989" s="170">
        <v>45936</v>
      </c>
      <c r="B1989" s="116">
        <v>1775.65</v>
      </c>
      <c r="C1989" s="116">
        <v>1771.4</v>
      </c>
      <c r="D1989" s="116">
        <v>1759.6</v>
      </c>
      <c r="E1989" s="116">
        <v>1772.4</v>
      </c>
      <c r="F1989" s="116">
        <v>1771.4</v>
      </c>
      <c r="G1989">
        <v>17237</v>
      </c>
      <c r="H1989" s="116"/>
      <c r="I1989" s="116"/>
      <c r="L1989" s="170">
        <v>45936</v>
      </c>
      <c r="M1989" s="116">
        <v>1770.9</v>
      </c>
      <c r="N1989" s="116">
        <v>1784.2</v>
      </c>
      <c r="O1989" s="116">
        <v>1759.4</v>
      </c>
      <c r="P1989" s="116">
        <v>1776</v>
      </c>
      <c r="Q1989" s="116">
        <v>1770.9</v>
      </c>
      <c r="R1989">
        <v>1560572</v>
      </c>
    </row>
    <row r="1990" spans="1:18" x14ac:dyDescent="0.25">
      <c r="A1990" s="170">
        <v>45937</v>
      </c>
      <c r="B1990" s="116">
        <v>1793.35</v>
      </c>
      <c r="C1990" s="116">
        <v>1784.7</v>
      </c>
      <c r="D1990" s="116">
        <v>1771.8</v>
      </c>
      <c r="E1990" s="116">
        <v>1779.75</v>
      </c>
      <c r="F1990" s="116">
        <v>1784.7</v>
      </c>
      <c r="G1990">
        <v>38433</v>
      </c>
      <c r="H1990" s="116"/>
      <c r="I1990" s="116"/>
      <c r="L1990" s="170">
        <v>45937</v>
      </c>
      <c r="M1990" s="116">
        <v>1784.1</v>
      </c>
      <c r="N1990" s="116">
        <v>1793.7</v>
      </c>
      <c r="O1990" s="116">
        <v>1771.3</v>
      </c>
      <c r="P1990" s="116">
        <v>1777</v>
      </c>
      <c r="Q1990" s="116">
        <v>1784.1</v>
      </c>
      <c r="R1990">
        <v>859968</v>
      </c>
    </row>
    <row r="1991" spans="1:18" x14ac:dyDescent="0.25">
      <c r="A1991" s="170">
        <v>45938</v>
      </c>
      <c r="B1991" s="116">
        <v>1795</v>
      </c>
      <c r="C1991" s="116">
        <v>1773.3</v>
      </c>
      <c r="D1991" s="116">
        <v>1759.35</v>
      </c>
      <c r="E1991" s="116">
        <v>1775.55</v>
      </c>
      <c r="F1991" s="116">
        <v>1773.3</v>
      </c>
      <c r="G1991">
        <v>8495</v>
      </c>
      <c r="H1991" s="116"/>
      <c r="I1991" s="116"/>
      <c r="L1991" s="170">
        <v>45938</v>
      </c>
      <c r="M1991" s="116">
        <v>1772.9</v>
      </c>
      <c r="N1991" s="116">
        <v>1795.9</v>
      </c>
      <c r="O1991" s="116">
        <v>1757.7</v>
      </c>
      <c r="P1991" s="116">
        <v>1784</v>
      </c>
      <c r="Q1991" s="116">
        <v>1772.9</v>
      </c>
      <c r="R1991">
        <v>1323877</v>
      </c>
    </row>
    <row r="1992" spans="1:18" x14ac:dyDescent="0.25">
      <c r="A1992" s="170">
        <v>45939</v>
      </c>
      <c r="B1992" s="116">
        <v>1813</v>
      </c>
      <c r="C1992" s="116">
        <v>1810.65</v>
      </c>
      <c r="D1992" s="116">
        <v>1771.05</v>
      </c>
      <c r="E1992" s="116">
        <v>1772.75</v>
      </c>
      <c r="F1992" s="116">
        <v>1810.65</v>
      </c>
      <c r="G1992">
        <v>13556</v>
      </c>
      <c r="H1992" s="116"/>
      <c r="I1992" s="116"/>
      <c r="L1992" s="170">
        <v>45939</v>
      </c>
      <c r="M1992" s="116">
        <v>1809.8</v>
      </c>
      <c r="N1992" s="116">
        <v>1813.4</v>
      </c>
      <c r="O1992" s="116">
        <v>1770.6</v>
      </c>
      <c r="P1992" s="116">
        <v>1772.9</v>
      </c>
      <c r="Q1992" s="116">
        <v>1809.8</v>
      </c>
      <c r="R1992">
        <v>848466</v>
      </c>
    </row>
    <row r="1993" spans="1:18" x14ac:dyDescent="0.25">
      <c r="A1993" s="170">
        <v>45940</v>
      </c>
      <c r="B1993" s="116">
        <v>1842.75</v>
      </c>
      <c r="C1993" s="116">
        <v>1810.75</v>
      </c>
      <c r="D1993" s="116">
        <v>1806.65</v>
      </c>
      <c r="E1993" s="116">
        <v>1818.3</v>
      </c>
      <c r="F1993" s="116">
        <v>1810.75</v>
      </c>
      <c r="G1993">
        <v>16907</v>
      </c>
      <c r="H1993" s="116"/>
      <c r="I1993" s="116"/>
      <c r="L1993" s="170">
        <v>45940</v>
      </c>
      <c r="M1993" s="116">
        <v>1810.4</v>
      </c>
      <c r="N1993" s="116">
        <v>1843.7</v>
      </c>
      <c r="O1993" s="116">
        <v>1806.4</v>
      </c>
      <c r="P1993" s="116">
        <v>1825</v>
      </c>
      <c r="Q1993" s="116">
        <v>1810.4</v>
      </c>
      <c r="R1993">
        <v>1097936</v>
      </c>
    </row>
    <row r="1994" spans="1:18" x14ac:dyDescent="0.25">
      <c r="A1994" s="170">
        <v>45943</v>
      </c>
      <c r="B1994" s="116">
        <v>1827.5</v>
      </c>
      <c r="C1994" s="116">
        <v>1814.3</v>
      </c>
      <c r="D1994" s="116">
        <v>1792.55</v>
      </c>
      <c r="E1994" s="116">
        <v>1792.55</v>
      </c>
      <c r="F1994" s="116">
        <v>1814.3</v>
      </c>
      <c r="G1994">
        <v>10082</v>
      </c>
      <c r="H1994" s="116"/>
      <c r="I1994" s="116"/>
      <c r="L1994" s="170">
        <v>45943</v>
      </c>
      <c r="M1994" s="116">
        <v>1815.3</v>
      </c>
      <c r="N1994" s="116">
        <v>1827.9</v>
      </c>
      <c r="O1994" s="116">
        <v>1798.1</v>
      </c>
      <c r="P1994" s="116">
        <v>1810</v>
      </c>
      <c r="Q1994" s="116">
        <v>1815.3</v>
      </c>
      <c r="R1994">
        <v>409793</v>
      </c>
    </row>
    <row r="1995" spans="1:18" x14ac:dyDescent="0.25">
      <c r="A1995" s="170">
        <v>45944</v>
      </c>
      <c r="B1995" s="116">
        <v>1824.7</v>
      </c>
      <c r="C1995" s="116">
        <v>1815.75</v>
      </c>
      <c r="D1995" s="116">
        <v>1807.5</v>
      </c>
      <c r="E1995" s="116">
        <v>1807.5</v>
      </c>
      <c r="F1995" s="116">
        <v>1815.75</v>
      </c>
      <c r="G1995">
        <v>3657</v>
      </c>
      <c r="H1995" s="116"/>
      <c r="I1995" s="116"/>
      <c r="L1995" s="170">
        <v>45944</v>
      </c>
      <c r="M1995" s="116">
        <v>1816.2</v>
      </c>
      <c r="N1995" s="116">
        <v>1825.8</v>
      </c>
      <c r="O1995" s="116">
        <v>1807.6</v>
      </c>
      <c r="P1995" s="116">
        <v>1817.4</v>
      </c>
      <c r="Q1995" s="116">
        <v>1816.2</v>
      </c>
      <c r="R1995">
        <v>655909</v>
      </c>
    </row>
    <row r="1996" spans="1:18" x14ac:dyDescent="0.25">
      <c r="A1996" s="170">
        <v>45945</v>
      </c>
      <c r="B1996" s="116">
        <v>1858.1</v>
      </c>
      <c r="C1996" s="116">
        <v>1840.85</v>
      </c>
      <c r="D1996" s="116">
        <v>1814.45</v>
      </c>
      <c r="E1996" s="116">
        <v>1835.1</v>
      </c>
      <c r="F1996" s="116">
        <v>1840.85</v>
      </c>
      <c r="G1996">
        <v>9726</v>
      </c>
      <c r="H1996" s="116"/>
      <c r="I1996" s="116"/>
      <c r="L1996" s="170">
        <v>45945</v>
      </c>
      <c r="M1996" s="116">
        <v>1840.6</v>
      </c>
      <c r="N1996" s="116">
        <v>1858.4</v>
      </c>
      <c r="O1996" s="116">
        <v>1813.4</v>
      </c>
      <c r="P1996" s="116">
        <v>1816.1</v>
      </c>
      <c r="Q1996" s="116">
        <v>1840.6</v>
      </c>
      <c r="R1996">
        <v>891713</v>
      </c>
    </row>
    <row r="1997" spans="1:18" x14ac:dyDescent="0.25">
      <c r="A1997" s="170">
        <v>45946</v>
      </c>
      <c r="B1997" s="116">
        <v>1844</v>
      </c>
      <c r="C1997" s="116">
        <v>1835.1</v>
      </c>
      <c r="D1997" s="116">
        <v>1810</v>
      </c>
      <c r="E1997" s="116">
        <v>1842.15</v>
      </c>
      <c r="F1997" s="116">
        <v>1835.1</v>
      </c>
      <c r="G1997">
        <v>17844</v>
      </c>
      <c r="H1997" s="116"/>
      <c r="I1997" s="116"/>
      <c r="L1997" s="170">
        <v>45946</v>
      </c>
      <c r="M1997" s="116">
        <v>1835.7</v>
      </c>
      <c r="N1997" s="116">
        <v>1844.9</v>
      </c>
      <c r="O1997" s="116">
        <v>1809.5</v>
      </c>
      <c r="P1997" s="116">
        <v>1842.6</v>
      </c>
      <c r="Q1997" s="116">
        <v>1835.7</v>
      </c>
      <c r="R1997">
        <v>969316</v>
      </c>
    </row>
    <row r="1998" spans="1:18" x14ac:dyDescent="0.25">
      <c r="A1998" s="170">
        <v>45947</v>
      </c>
      <c r="B1998" s="116">
        <v>1851.4</v>
      </c>
      <c r="C1998" s="116">
        <v>1843.65</v>
      </c>
      <c r="D1998" s="116">
        <v>1821</v>
      </c>
      <c r="E1998" s="116">
        <v>1836.45</v>
      </c>
      <c r="F1998" s="116">
        <v>1843.65</v>
      </c>
      <c r="G1998">
        <v>9791</v>
      </c>
      <c r="H1998" s="116"/>
      <c r="I1998" s="116"/>
      <c r="L1998" s="170">
        <v>45947</v>
      </c>
      <c r="M1998" s="116">
        <v>1844.1</v>
      </c>
      <c r="N1998" s="116">
        <v>1852.4</v>
      </c>
      <c r="O1998" s="116">
        <v>1820.1</v>
      </c>
      <c r="P1998" s="116">
        <v>1844</v>
      </c>
      <c r="Q1998" s="116">
        <v>1844.1</v>
      </c>
      <c r="R1998">
        <v>1183570</v>
      </c>
    </row>
    <row r="1999" spans="1:18" x14ac:dyDescent="0.25">
      <c r="A1999" s="170">
        <v>45950</v>
      </c>
      <c r="B1999" s="116">
        <v>1857.65</v>
      </c>
      <c r="C1999" s="116">
        <v>1839.65</v>
      </c>
      <c r="D1999" s="116">
        <v>1829.65</v>
      </c>
      <c r="E1999" s="116">
        <v>1844.05</v>
      </c>
      <c r="F1999" s="116">
        <v>1839.65</v>
      </c>
      <c r="G1999">
        <v>6112</v>
      </c>
      <c r="H1999" s="116"/>
      <c r="I1999" s="116"/>
      <c r="L1999" s="170">
        <v>45950</v>
      </c>
      <c r="M1999" s="116">
        <v>1839.7</v>
      </c>
      <c r="N1999" s="116">
        <v>1857.2</v>
      </c>
      <c r="O1999" s="116">
        <v>1828</v>
      </c>
      <c r="P1999" s="116">
        <v>1850</v>
      </c>
      <c r="Q1999" s="116">
        <v>1839.7</v>
      </c>
      <c r="R1999">
        <v>590467</v>
      </c>
    </row>
    <row r="2000" spans="1:18" x14ac:dyDescent="0.25">
      <c r="A2000" s="170">
        <v>45951</v>
      </c>
      <c r="B2000" s="116">
        <v>1847</v>
      </c>
      <c r="C2000" s="116">
        <v>1840.05</v>
      </c>
      <c r="D2000" s="116">
        <v>1832.3</v>
      </c>
      <c r="E2000" s="116">
        <v>1835.1</v>
      </c>
      <c r="F2000" s="116">
        <v>1840.05</v>
      </c>
      <c r="G2000">
        <v>2254</v>
      </c>
      <c r="H2000" s="116"/>
      <c r="I2000" s="116"/>
      <c r="L2000" s="170">
        <v>45951</v>
      </c>
      <c r="M2000" s="116">
        <v>1841</v>
      </c>
      <c r="N2000" s="116">
        <v>1852</v>
      </c>
      <c r="O2000" s="116">
        <v>1832.5</v>
      </c>
      <c r="P2000" s="116">
        <v>1852</v>
      </c>
      <c r="Q2000" s="116">
        <v>1841</v>
      </c>
      <c r="R2000">
        <v>41649</v>
      </c>
    </row>
    <row r="2001" spans="1:18" x14ac:dyDescent="0.25">
      <c r="A2001" s="170">
        <v>45953</v>
      </c>
      <c r="B2001" s="116">
        <v>1863.8</v>
      </c>
      <c r="C2001" s="116">
        <v>1852.45</v>
      </c>
      <c r="D2001" s="116">
        <v>1843.05</v>
      </c>
      <c r="E2001" s="116">
        <v>1843.05</v>
      </c>
      <c r="F2001" s="116">
        <v>1852.45</v>
      </c>
      <c r="G2001">
        <v>11040</v>
      </c>
      <c r="H2001" s="116"/>
      <c r="I2001" s="116"/>
      <c r="L2001" s="170">
        <v>45953</v>
      </c>
      <c r="M2001" s="116">
        <v>1852.7</v>
      </c>
      <c r="N2001" s="116">
        <v>1864.2</v>
      </c>
      <c r="O2001" s="116">
        <v>1841</v>
      </c>
      <c r="P2001" s="116">
        <v>1850</v>
      </c>
      <c r="Q2001" s="116">
        <v>1852.7</v>
      </c>
      <c r="R2001">
        <v>543795</v>
      </c>
    </row>
    <row r="2002" spans="1:18" x14ac:dyDescent="0.25">
      <c r="A2002" s="170">
        <v>45954</v>
      </c>
      <c r="B2002" s="116">
        <v>1863.85</v>
      </c>
      <c r="C2002" s="116">
        <v>1840.5</v>
      </c>
      <c r="D2002" s="116">
        <v>1832.65</v>
      </c>
      <c r="E2002" s="116">
        <v>1863.85</v>
      </c>
      <c r="F2002" s="116">
        <v>1840.5</v>
      </c>
      <c r="G2002">
        <v>63889</v>
      </c>
      <c r="H2002" s="116"/>
      <c r="I2002" s="116"/>
      <c r="L2002" s="170">
        <v>45954</v>
      </c>
      <c r="M2002" s="116">
        <v>1839.8</v>
      </c>
      <c r="N2002" s="116">
        <v>1864</v>
      </c>
      <c r="O2002" s="116">
        <v>1831.8</v>
      </c>
      <c r="P2002" s="116">
        <v>1860</v>
      </c>
      <c r="Q2002" s="116">
        <v>1839.8</v>
      </c>
      <c r="R2002">
        <v>517403</v>
      </c>
    </row>
    <row r="2003" spans="1:18" x14ac:dyDescent="0.25">
      <c r="A2003" s="170">
        <v>45957</v>
      </c>
      <c r="B2003" s="116">
        <v>1923</v>
      </c>
      <c r="C2003" s="116">
        <v>1902.95</v>
      </c>
      <c r="D2003" s="116">
        <v>1872.05</v>
      </c>
      <c r="E2003" s="116">
        <v>1872.05</v>
      </c>
      <c r="F2003" s="116">
        <v>1902.95</v>
      </c>
      <c r="G2003">
        <v>134522</v>
      </c>
      <c r="H2003" s="116"/>
      <c r="I2003" s="116"/>
      <c r="L2003" s="170">
        <v>45957</v>
      </c>
      <c r="M2003" s="116">
        <v>1903.1</v>
      </c>
      <c r="N2003" s="116">
        <v>1923.9</v>
      </c>
      <c r="O2003" s="116">
        <v>1880.2</v>
      </c>
      <c r="P2003" s="116">
        <v>1880.2</v>
      </c>
      <c r="Q2003" s="116">
        <v>1903.1</v>
      </c>
      <c r="R2003">
        <v>2866910</v>
      </c>
    </row>
    <row r="2004" spans="1:18" x14ac:dyDescent="0.25">
      <c r="A2004" s="170">
        <v>45958</v>
      </c>
      <c r="B2004" s="116">
        <v>1946</v>
      </c>
      <c r="C2004" s="116">
        <v>1935.65</v>
      </c>
      <c r="D2004" s="116">
        <v>1896.5</v>
      </c>
      <c r="E2004" s="116">
        <v>1905</v>
      </c>
      <c r="F2004" s="116">
        <v>1935.65</v>
      </c>
      <c r="G2004">
        <v>174752</v>
      </c>
      <c r="H2004" s="116"/>
      <c r="I2004" s="116"/>
      <c r="L2004" s="170">
        <v>45958</v>
      </c>
      <c r="M2004" s="116">
        <v>1936.8</v>
      </c>
      <c r="N2004" s="116">
        <v>1945.6</v>
      </c>
      <c r="O2004" s="116">
        <v>1894.8</v>
      </c>
      <c r="P2004" s="116">
        <v>1903.1</v>
      </c>
      <c r="Q2004" s="116">
        <v>1936.8</v>
      </c>
      <c r="R2004">
        <v>2166517</v>
      </c>
    </row>
    <row r="2005" spans="1:18" x14ac:dyDescent="0.25">
      <c r="A2005" s="170">
        <v>45959</v>
      </c>
      <c r="B2005" s="116">
        <v>1974.7</v>
      </c>
      <c r="C2005" s="116">
        <v>1970.3</v>
      </c>
      <c r="D2005" s="116">
        <v>1935.05</v>
      </c>
      <c r="E2005" s="116">
        <v>1943.95</v>
      </c>
      <c r="F2005" s="116">
        <v>1970.3</v>
      </c>
      <c r="G2005">
        <v>48123</v>
      </c>
      <c r="H2005" s="116"/>
      <c r="I2005" s="116"/>
      <c r="L2005" s="170">
        <v>45959</v>
      </c>
      <c r="M2005" s="116">
        <v>1970.4</v>
      </c>
      <c r="N2005" s="116">
        <v>1975</v>
      </c>
      <c r="O2005" s="116">
        <v>1934</v>
      </c>
      <c r="P2005" s="116">
        <v>1934</v>
      </c>
      <c r="Q2005" s="116">
        <v>1970.4</v>
      </c>
      <c r="R2005">
        <v>2398496</v>
      </c>
    </row>
    <row r="2006" spans="1:18" x14ac:dyDescent="0.25">
      <c r="A2006" s="170">
        <v>45960</v>
      </c>
      <c r="B2006" s="116">
        <v>1971.15</v>
      </c>
      <c r="C2006" s="116">
        <v>1969.3</v>
      </c>
      <c r="D2006" s="116">
        <v>1955</v>
      </c>
      <c r="E2006" s="116">
        <v>1971.1</v>
      </c>
      <c r="F2006" s="116">
        <v>1969.3</v>
      </c>
      <c r="G2006">
        <v>12183</v>
      </c>
      <c r="H2006" s="116"/>
      <c r="I2006" s="116"/>
      <c r="L2006" s="170">
        <v>45960</v>
      </c>
      <c r="M2006" s="116">
        <v>1968.4</v>
      </c>
      <c r="N2006" s="116">
        <v>1971.9</v>
      </c>
      <c r="O2006" s="116">
        <v>1954.1</v>
      </c>
      <c r="P2006" s="116">
        <v>1970.4</v>
      </c>
      <c r="Q2006" s="116">
        <v>1968.4</v>
      </c>
      <c r="R2006">
        <v>842738</v>
      </c>
    </row>
    <row r="2007" spans="1:18" x14ac:dyDescent="0.25">
      <c r="A2007" s="170">
        <v>45961</v>
      </c>
      <c r="B2007" s="116">
        <v>1978.2</v>
      </c>
      <c r="C2007" s="116">
        <v>1954.75</v>
      </c>
      <c r="D2007" s="116">
        <v>1951.55</v>
      </c>
      <c r="E2007" s="116">
        <v>1969.3</v>
      </c>
      <c r="F2007" s="116">
        <v>1954.75</v>
      </c>
      <c r="G2007">
        <v>22306</v>
      </c>
      <c r="H2007" s="116"/>
      <c r="I2007" s="116"/>
      <c r="L2007" s="170">
        <v>45961</v>
      </c>
      <c r="M2007" s="116">
        <v>1955.7</v>
      </c>
      <c r="N2007" s="116">
        <v>1978.7</v>
      </c>
      <c r="O2007" s="116">
        <v>1951.8</v>
      </c>
      <c r="P2007" s="116">
        <v>1965</v>
      </c>
      <c r="Q2007" s="116">
        <v>1955.7</v>
      </c>
      <c r="R2007">
        <v>1167506</v>
      </c>
    </row>
    <row r="2008" spans="1:18" x14ac:dyDescent="0.25">
      <c r="A2008" s="170">
        <v>45964</v>
      </c>
      <c r="B2008" s="116">
        <v>1981</v>
      </c>
      <c r="C2008" s="116">
        <v>1970.25</v>
      </c>
      <c r="D2008" s="116">
        <v>1945.35</v>
      </c>
      <c r="E2008" s="116">
        <v>1954.75</v>
      </c>
      <c r="F2008" s="116">
        <v>1970.25</v>
      </c>
      <c r="G2008">
        <v>17749</v>
      </c>
      <c r="H2008" s="116"/>
      <c r="I2008" s="116"/>
      <c r="L2008" s="170">
        <v>45964</v>
      </c>
      <c r="M2008" s="116">
        <v>1969.6</v>
      </c>
      <c r="N2008" s="116">
        <v>1982.2</v>
      </c>
      <c r="O2008" s="116">
        <v>1945</v>
      </c>
      <c r="P2008" s="116">
        <v>1950</v>
      </c>
      <c r="Q2008" s="116">
        <v>1969.6</v>
      </c>
      <c r="R2008">
        <v>687299</v>
      </c>
    </row>
    <row r="2009" spans="1:18" x14ac:dyDescent="0.25">
      <c r="A2009" s="170">
        <v>45965</v>
      </c>
      <c r="B2009" s="116">
        <v>1996.4</v>
      </c>
      <c r="C2009" s="116">
        <v>1972.5</v>
      </c>
      <c r="D2009" s="116">
        <v>1959.95</v>
      </c>
      <c r="E2009" s="116">
        <v>1959.95</v>
      </c>
      <c r="F2009" s="116">
        <v>1972.5</v>
      </c>
      <c r="G2009">
        <v>15027</v>
      </c>
      <c r="H2009" s="116"/>
      <c r="I2009" s="116"/>
      <c r="L2009" s="170">
        <v>45965</v>
      </c>
      <c r="M2009" s="116">
        <v>1971.5</v>
      </c>
      <c r="N2009" s="116">
        <v>1997.3</v>
      </c>
      <c r="O2009" s="116">
        <v>1956.9</v>
      </c>
      <c r="P2009" s="116">
        <v>1959.1</v>
      </c>
      <c r="Q2009" s="116">
        <v>1971.5</v>
      </c>
      <c r="R2009">
        <v>664256</v>
      </c>
    </row>
    <row r="2010" spans="1:18" x14ac:dyDescent="0.25">
      <c r="A2010" s="170">
        <v>45967</v>
      </c>
      <c r="B2010" s="116">
        <v>1990</v>
      </c>
      <c r="C2010" s="116">
        <v>1970.75</v>
      </c>
      <c r="D2010" s="116">
        <v>1963.95</v>
      </c>
      <c r="E2010" s="116">
        <v>1968.1</v>
      </c>
      <c r="F2010" s="116">
        <v>1970.75</v>
      </c>
      <c r="G2010">
        <v>21829</v>
      </c>
      <c r="H2010" s="116"/>
      <c r="I2010" s="116"/>
      <c r="L2010" s="170">
        <v>45967</v>
      </c>
      <c r="M2010" s="116">
        <v>1970.8</v>
      </c>
      <c r="N2010" s="116">
        <v>1990.8</v>
      </c>
      <c r="O2010" s="116">
        <v>1964</v>
      </c>
      <c r="P2010" s="116">
        <v>1976.9</v>
      </c>
      <c r="Q2010" s="116">
        <v>1970.8</v>
      </c>
      <c r="R2010">
        <v>1094086</v>
      </c>
    </row>
    <row r="2011" spans="1:18" x14ac:dyDescent="0.25">
      <c r="A2011" s="170">
        <v>45968</v>
      </c>
      <c r="B2011" s="116">
        <v>2003.05</v>
      </c>
      <c r="C2011" s="116">
        <v>1999.05</v>
      </c>
      <c r="D2011" s="116">
        <v>1959.55</v>
      </c>
      <c r="E2011" s="116">
        <v>1960</v>
      </c>
      <c r="F2011" s="116">
        <v>1999.05</v>
      </c>
      <c r="G2011">
        <v>25369</v>
      </c>
      <c r="H2011" s="116"/>
      <c r="I2011" s="116"/>
      <c r="L2011" s="170">
        <v>45968</v>
      </c>
      <c r="M2011" s="116">
        <v>1998.9</v>
      </c>
      <c r="N2011" s="116">
        <v>2004</v>
      </c>
      <c r="O2011" s="116">
        <v>1957.7</v>
      </c>
      <c r="P2011" s="116">
        <v>1962.1</v>
      </c>
      <c r="Q2011" s="116">
        <v>1998.9</v>
      </c>
      <c r="R2011">
        <v>1241016</v>
      </c>
    </row>
    <row r="2012" spans="1:18" x14ac:dyDescent="0.25">
      <c r="A2012" s="170">
        <v>45971</v>
      </c>
      <c r="B2012" s="116">
        <v>2018.8</v>
      </c>
      <c r="C2012" s="116">
        <v>1989.2</v>
      </c>
      <c r="D2012" s="116">
        <v>1985</v>
      </c>
      <c r="E2012" s="116">
        <v>2000.35</v>
      </c>
      <c r="F2012" s="116">
        <v>1989.2</v>
      </c>
      <c r="G2012">
        <v>26958</v>
      </c>
      <c r="H2012" s="116"/>
      <c r="I2012" s="116"/>
      <c r="L2012" s="170">
        <v>45971</v>
      </c>
      <c r="M2012" s="116">
        <v>1989.3</v>
      </c>
      <c r="N2012" s="116">
        <v>2017.9</v>
      </c>
      <c r="O2012" s="116">
        <v>1985.2</v>
      </c>
      <c r="P2012" s="116">
        <v>2000.1</v>
      </c>
      <c r="Q2012" s="116">
        <v>1989.3</v>
      </c>
      <c r="R2012">
        <v>1087154</v>
      </c>
    </row>
    <row r="2013" spans="1:18" x14ac:dyDescent="0.25">
      <c r="A2013" s="170">
        <v>45972</v>
      </c>
      <c r="B2013" s="116">
        <v>2001.5</v>
      </c>
      <c r="C2013" s="116">
        <v>1995.4</v>
      </c>
      <c r="D2013" s="116">
        <v>1982.25</v>
      </c>
      <c r="E2013" s="116">
        <v>1989.45</v>
      </c>
      <c r="F2013" s="116">
        <v>1995.4</v>
      </c>
      <c r="G2013">
        <v>12274</v>
      </c>
      <c r="H2013" s="116"/>
      <c r="I2013" s="116"/>
      <c r="L2013" s="170">
        <v>45972</v>
      </c>
      <c r="M2013" s="116">
        <v>1997.3</v>
      </c>
      <c r="N2013" s="116">
        <v>2002.2</v>
      </c>
      <c r="O2013" s="116">
        <v>1982.3</v>
      </c>
      <c r="P2013" s="116">
        <v>1994.9</v>
      </c>
      <c r="Q2013" s="116">
        <v>1997.3</v>
      </c>
      <c r="R2013">
        <v>901898</v>
      </c>
    </row>
    <row r="2014" spans="1:18" x14ac:dyDescent="0.25">
      <c r="A2014" s="170">
        <v>45973</v>
      </c>
      <c r="B2014" s="116">
        <v>2006.1</v>
      </c>
      <c r="C2014" s="116">
        <v>1996</v>
      </c>
      <c r="D2014" s="116">
        <v>1983.6</v>
      </c>
      <c r="E2014" s="116">
        <v>1995.5</v>
      </c>
      <c r="F2014" s="116">
        <v>1996</v>
      </c>
      <c r="G2014">
        <v>4274</v>
      </c>
      <c r="H2014" s="116"/>
      <c r="I2014" s="116"/>
      <c r="L2014" s="170">
        <v>45973</v>
      </c>
      <c r="M2014" s="116">
        <v>1996.7</v>
      </c>
      <c r="N2014" s="116">
        <v>2009</v>
      </c>
      <c r="O2014" s="116">
        <v>1983.8</v>
      </c>
      <c r="P2014" s="116">
        <v>1997.3</v>
      </c>
      <c r="Q2014" s="116">
        <v>1996.7</v>
      </c>
      <c r="R2014">
        <v>1006737</v>
      </c>
    </row>
    <row r="2015" spans="1:18" x14ac:dyDescent="0.25">
      <c r="A2015" s="170">
        <v>45974</v>
      </c>
      <c r="B2015" s="116">
        <v>2000</v>
      </c>
      <c r="C2015" s="116">
        <v>1988.2</v>
      </c>
      <c r="D2015" s="116">
        <v>1977</v>
      </c>
      <c r="E2015" s="116">
        <v>1992.35</v>
      </c>
      <c r="F2015" s="116">
        <v>1988.2</v>
      </c>
      <c r="G2015">
        <v>5273</v>
      </c>
      <c r="H2015" s="116"/>
      <c r="I2015" s="116"/>
      <c r="L2015" s="170">
        <v>45974</v>
      </c>
      <c r="M2015" s="116">
        <v>1987.9</v>
      </c>
      <c r="N2015" s="116">
        <v>2005</v>
      </c>
      <c r="O2015" s="116">
        <v>1975.5</v>
      </c>
      <c r="P2015" s="116">
        <v>1980.6</v>
      </c>
      <c r="Q2015" s="116">
        <v>1987.9</v>
      </c>
      <c r="R2015">
        <v>671028</v>
      </c>
    </row>
    <row r="2016" spans="1:18" x14ac:dyDescent="0.25">
      <c r="A2016" s="170">
        <v>45975</v>
      </c>
      <c r="B2016" s="116">
        <v>2003.6</v>
      </c>
      <c r="C2016" s="116">
        <v>1999.45</v>
      </c>
      <c r="D2016" s="116">
        <v>1977.5</v>
      </c>
      <c r="E2016" s="116">
        <v>1988.2</v>
      </c>
      <c r="F2016" s="116">
        <v>1999.45</v>
      </c>
      <c r="G2016">
        <v>6321</v>
      </c>
      <c r="H2016" s="116"/>
      <c r="I2016" s="116"/>
      <c r="L2016" s="170">
        <v>45975</v>
      </c>
      <c r="M2016" s="116">
        <v>2000.9</v>
      </c>
      <c r="N2016" s="116">
        <v>2003.9</v>
      </c>
      <c r="O2016" s="116">
        <v>1977.8</v>
      </c>
      <c r="P2016" s="116">
        <v>1982.6</v>
      </c>
      <c r="Q2016" s="116">
        <v>2000.9</v>
      </c>
      <c r="R2016">
        <v>678599</v>
      </c>
    </row>
    <row r="2017" spans="1:18" x14ac:dyDescent="0.25">
      <c r="A2017" s="170">
        <v>45978</v>
      </c>
      <c r="B2017" s="116">
        <v>2011.8</v>
      </c>
      <c r="C2017" s="116">
        <v>1995.25</v>
      </c>
      <c r="D2017" s="116">
        <v>1993.6</v>
      </c>
      <c r="E2017" s="116">
        <v>2004.75</v>
      </c>
      <c r="F2017" s="116">
        <v>1995.25</v>
      </c>
      <c r="G2017">
        <v>3714</v>
      </c>
      <c r="H2017" s="116"/>
      <c r="I2017" s="116"/>
      <c r="L2017" s="170">
        <v>45978</v>
      </c>
      <c r="M2017" s="116">
        <v>1996</v>
      </c>
      <c r="N2017" s="116">
        <v>2012.9</v>
      </c>
      <c r="O2017" s="116">
        <v>1993.3</v>
      </c>
      <c r="P2017" s="116">
        <v>2000.9</v>
      </c>
      <c r="Q2017" s="116">
        <v>1996</v>
      </c>
      <c r="R2017">
        <v>726715</v>
      </c>
    </row>
    <row r="2018" spans="1:18" x14ac:dyDescent="0.25">
      <c r="A2018" s="170">
        <v>45979</v>
      </c>
      <c r="B2018" s="116">
        <v>2011</v>
      </c>
      <c r="C2018" s="116">
        <v>1993.85</v>
      </c>
      <c r="D2018" s="116">
        <v>1988.8</v>
      </c>
      <c r="E2018" s="116">
        <v>1995</v>
      </c>
      <c r="F2018" s="116">
        <v>1993.85</v>
      </c>
      <c r="G2018">
        <v>37953</v>
      </c>
      <c r="H2018" s="116"/>
      <c r="I2018" s="116"/>
      <c r="L2018" s="170">
        <v>45979</v>
      </c>
      <c r="M2018" s="116">
        <v>1993.3</v>
      </c>
      <c r="N2018" s="116">
        <v>2013.5</v>
      </c>
      <c r="O2018" s="116">
        <v>1988</v>
      </c>
      <c r="P2018" s="116">
        <v>1991.1</v>
      </c>
      <c r="Q2018" s="116">
        <v>1993.3</v>
      </c>
      <c r="R2018">
        <v>855558</v>
      </c>
    </row>
    <row r="2019" spans="1:18" x14ac:dyDescent="0.25">
      <c r="A2019" s="170">
        <v>45980</v>
      </c>
      <c r="B2019" s="116">
        <v>2007.9</v>
      </c>
      <c r="C2019" s="116">
        <v>2004.4</v>
      </c>
      <c r="D2019" s="116">
        <v>1980.9</v>
      </c>
      <c r="E2019" s="116">
        <v>1980.9</v>
      </c>
      <c r="F2019" s="116">
        <v>2004.4</v>
      </c>
      <c r="G2019">
        <v>8699</v>
      </c>
      <c r="H2019" s="116"/>
      <c r="I2019" s="116"/>
      <c r="L2019" s="170">
        <v>45980</v>
      </c>
      <c r="M2019" s="116">
        <v>2004.8</v>
      </c>
      <c r="N2019" s="116">
        <v>2008.3</v>
      </c>
      <c r="O2019" s="116">
        <v>1985</v>
      </c>
      <c r="P2019" s="116">
        <v>1990.9</v>
      </c>
      <c r="Q2019" s="116">
        <v>2004.8</v>
      </c>
      <c r="R2019">
        <v>894171</v>
      </c>
    </row>
    <row r="2020" spans="1:18" x14ac:dyDescent="0.25">
      <c r="A2020" s="170">
        <v>45981</v>
      </c>
      <c r="B2020" s="116">
        <v>2032.9</v>
      </c>
      <c r="C2020" s="116">
        <v>2027.8</v>
      </c>
      <c r="D2020" s="116">
        <v>2001.15</v>
      </c>
      <c r="E2020" s="116">
        <v>2015</v>
      </c>
      <c r="F2020" s="116">
        <v>2027.8</v>
      </c>
      <c r="G2020">
        <v>11440</v>
      </c>
      <c r="H2020" s="116"/>
      <c r="I2020" s="116"/>
      <c r="L2020" s="170">
        <v>45981</v>
      </c>
      <c r="M2020" s="116">
        <v>2027.1</v>
      </c>
      <c r="N2020" s="116">
        <v>2032</v>
      </c>
      <c r="O2020" s="116">
        <v>2000</v>
      </c>
      <c r="P2020" s="116">
        <v>2013.9</v>
      </c>
      <c r="Q2020" s="116">
        <v>2027.1</v>
      </c>
      <c r="R2020">
        <v>805778</v>
      </c>
    </row>
    <row r="2021" spans="1:18" x14ac:dyDescent="0.25">
      <c r="A2021" s="170">
        <v>45982</v>
      </c>
      <c r="B2021" s="116">
        <v>2039</v>
      </c>
      <c r="C2021" s="116">
        <v>2021.9</v>
      </c>
      <c r="D2021" s="116">
        <v>2015.6</v>
      </c>
      <c r="E2021" s="116">
        <v>2037.4</v>
      </c>
      <c r="F2021" s="116">
        <v>2021.9</v>
      </c>
      <c r="G2021">
        <v>14747</v>
      </c>
      <c r="H2021" s="116"/>
      <c r="I2021" s="116"/>
      <c r="L2021" s="170">
        <v>45982</v>
      </c>
      <c r="M2021" s="116">
        <v>2022.5</v>
      </c>
      <c r="N2021" s="116">
        <v>2030.5</v>
      </c>
      <c r="O2021" s="116">
        <v>2016.6</v>
      </c>
      <c r="P2021" s="116">
        <v>2026.9</v>
      </c>
      <c r="Q2021" s="116">
        <v>2022.5</v>
      </c>
      <c r="R2021">
        <v>506477</v>
      </c>
    </row>
    <row r="2022" spans="1:18" x14ac:dyDescent="0.25">
      <c r="A2022" s="170">
        <v>45985</v>
      </c>
      <c r="B2022" s="116">
        <v>2085</v>
      </c>
      <c r="C2022" s="116">
        <v>2015.85</v>
      </c>
      <c r="D2022" s="116">
        <v>2006.5</v>
      </c>
      <c r="E2022" s="116">
        <v>2023.35</v>
      </c>
      <c r="F2022" s="116">
        <v>2015.85</v>
      </c>
      <c r="G2022">
        <v>57913</v>
      </c>
      <c r="H2022" s="116"/>
      <c r="I2022" s="116"/>
      <c r="L2022" s="170">
        <v>45985</v>
      </c>
      <c r="M2022" s="116">
        <v>2014.8</v>
      </c>
      <c r="N2022" s="116">
        <v>2086.6</v>
      </c>
      <c r="O2022" s="116">
        <v>2005</v>
      </c>
      <c r="P2022" s="116">
        <v>2027</v>
      </c>
      <c r="Q2022" s="116">
        <v>2014.8</v>
      </c>
      <c r="R2022">
        <v>2592739</v>
      </c>
    </row>
    <row r="2023" spans="1:18" x14ac:dyDescent="0.25">
      <c r="A2023" s="170">
        <v>45986</v>
      </c>
      <c r="B2023" s="116">
        <v>2040</v>
      </c>
      <c r="C2023" s="116">
        <v>2032.15</v>
      </c>
      <c r="D2023" s="116">
        <v>1982</v>
      </c>
      <c r="E2023" s="116">
        <v>2015.8</v>
      </c>
      <c r="F2023" s="116">
        <v>2032.15</v>
      </c>
      <c r="G2023">
        <v>20315</v>
      </c>
      <c r="H2023" s="116"/>
      <c r="I2023" s="116"/>
      <c r="L2023" s="170">
        <v>45986</v>
      </c>
      <c r="M2023" s="116">
        <v>2031</v>
      </c>
      <c r="N2023" s="116">
        <v>2044</v>
      </c>
      <c r="O2023" s="116">
        <v>1972.4</v>
      </c>
      <c r="P2023" s="116">
        <v>1972.4</v>
      </c>
      <c r="Q2023" s="116">
        <v>2031</v>
      </c>
      <c r="R2023">
        <v>748087</v>
      </c>
    </row>
    <row r="2024" spans="1:18" x14ac:dyDescent="0.25">
      <c r="A2024" s="170">
        <v>45987</v>
      </c>
      <c r="B2024" s="116">
        <v>2044.45</v>
      </c>
      <c r="C2024" s="116">
        <v>2028.25</v>
      </c>
      <c r="D2024" s="116">
        <v>2025.8</v>
      </c>
      <c r="E2024" s="116">
        <v>2038.5</v>
      </c>
      <c r="F2024" s="116">
        <v>2028.25</v>
      </c>
      <c r="G2024">
        <v>10528</v>
      </c>
      <c r="H2024" s="116"/>
      <c r="I2024" s="116"/>
      <c r="L2024" s="170">
        <v>45987</v>
      </c>
      <c r="M2024" s="116">
        <v>2029.1</v>
      </c>
      <c r="N2024" s="116">
        <v>2045</v>
      </c>
      <c r="O2024" s="116">
        <v>2024</v>
      </c>
      <c r="P2024" s="116">
        <v>2031</v>
      </c>
      <c r="Q2024" s="116">
        <v>2029.1</v>
      </c>
      <c r="R2024">
        <v>826123</v>
      </c>
    </row>
    <row r="2025" spans="1:18" x14ac:dyDescent="0.25">
      <c r="A2025" s="170">
        <v>45988</v>
      </c>
      <c r="B2025" s="116">
        <v>2033</v>
      </c>
      <c r="C2025" s="116">
        <v>2004.8</v>
      </c>
      <c r="D2025" s="116">
        <v>2001.5</v>
      </c>
      <c r="E2025" s="116">
        <v>2028.25</v>
      </c>
      <c r="F2025" s="116">
        <v>2004.8</v>
      </c>
      <c r="G2025">
        <v>5617</v>
      </c>
      <c r="H2025" s="116"/>
      <c r="I2025" s="116"/>
      <c r="L2025" s="170">
        <v>45988</v>
      </c>
      <c r="M2025" s="116">
        <v>2004.5</v>
      </c>
      <c r="N2025" s="116">
        <v>2036</v>
      </c>
      <c r="O2025" s="116">
        <v>2000.8</v>
      </c>
      <c r="P2025" s="116">
        <v>2030</v>
      </c>
      <c r="Q2025" s="116">
        <v>2004.5</v>
      </c>
      <c r="R2025">
        <v>652128</v>
      </c>
    </row>
    <row r="2026" spans="1:18" x14ac:dyDescent="0.25">
      <c r="A2026" s="170">
        <v>45989</v>
      </c>
      <c r="B2026" s="116">
        <v>2011.25</v>
      </c>
      <c r="C2026" s="116">
        <v>1968.2</v>
      </c>
      <c r="D2026" s="116">
        <v>1961</v>
      </c>
      <c r="E2026" s="116">
        <v>2004.95</v>
      </c>
      <c r="F2026" s="116">
        <v>1968.2</v>
      </c>
      <c r="G2026">
        <v>94279</v>
      </c>
      <c r="H2026" s="116"/>
      <c r="I2026" s="116"/>
      <c r="L2026" s="170">
        <v>45989</v>
      </c>
      <c r="M2026" s="116">
        <v>1966</v>
      </c>
      <c r="N2026" s="116">
        <v>2011.1</v>
      </c>
      <c r="O2026" s="116">
        <v>1961</v>
      </c>
      <c r="P2026" s="116">
        <v>2011</v>
      </c>
      <c r="Q2026" s="116">
        <v>1966</v>
      </c>
      <c r="R2026">
        <v>1011160</v>
      </c>
    </row>
    <row r="2027" spans="1:18" x14ac:dyDescent="0.25">
      <c r="A2027" s="170">
        <v>45992</v>
      </c>
      <c r="B2027" s="116">
        <v>1976.45</v>
      </c>
      <c r="C2027" s="116">
        <v>1971.6</v>
      </c>
      <c r="D2027" s="116">
        <v>1952.05</v>
      </c>
      <c r="E2027" s="116">
        <v>1967.65</v>
      </c>
      <c r="F2027" s="116">
        <v>1971.6</v>
      </c>
      <c r="G2027">
        <v>13345</v>
      </c>
      <c r="H2027" s="116"/>
      <c r="I2027" s="116"/>
      <c r="L2027" s="170">
        <v>45992</v>
      </c>
      <c r="M2027" s="116">
        <v>1971.6</v>
      </c>
      <c r="N2027" s="116">
        <v>1977</v>
      </c>
      <c r="O2027" s="116">
        <v>1951.2</v>
      </c>
      <c r="P2027" s="116">
        <v>1967</v>
      </c>
      <c r="Q2027" s="116">
        <v>1971.6</v>
      </c>
      <c r="R2027">
        <v>483716</v>
      </c>
    </row>
    <row r="2028" spans="1:18" x14ac:dyDescent="0.25">
      <c r="A2028" s="170">
        <v>45993</v>
      </c>
      <c r="B2028" s="116">
        <v>1989.4</v>
      </c>
      <c r="C2028" s="116">
        <v>1981.4</v>
      </c>
      <c r="D2028" s="116">
        <v>1958.1</v>
      </c>
      <c r="E2028" s="116">
        <v>1976.45</v>
      </c>
      <c r="F2028" s="116">
        <v>1981.4</v>
      </c>
      <c r="G2028">
        <v>12187</v>
      </c>
      <c r="H2028" s="116"/>
      <c r="I2028" s="116"/>
      <c r="L2028" s="170">
        <v>45993</v>
      </c>
      <c r="M2028" s="116">
        <v>1981.5</v>
      </c>
      <c r="N2028" s="116">
        <v>1989.9</v>
      </c>
      <c r="O2028" s="116">
        <v>1952</v>
      </c>
      <c r="P2028" s="116">
        <v>1952</v>
      </c>
      <c r="Q2028" s="116">
        <v>1981.5</v>
      </c>
      <c r="R2028">
        <v>942591</v>
      </c>
    </row>
    <row r="2029" spans="1:18" x14ac:dyDescent="0.25">
      <c r="A2029" s="170">
        <v>45994</v>
      </c>
      <c r="B2029" s="116">
        <v>1987</v>
      </c>
      <c r="C2029" s="116">
        <v>1972.8</v>
      </c>
      <c r="D2029" s="116">
        <v>1961.7</v>
      </c>
      <c r="E2029" s="116">
        <v>1985</v>
      </c>
      <c r="F2029" s="116">
        <v>1972.8</v>
      </c>
      <c r="G2029">
        <v>3151</v>
      </c>
      <c r="H2029" s="116"/>
      <c r="I2029" s="116"/>
      <c r="L2029" s="170">
        <v>45994</v>
      </c>
      <c r="M2029" s="116">
        <v>1972.8</v>
      </c>
      <c r="N2029" s="116">
        <v>1991</v>
      </c>
      <c r="O2029" s="116">
        <v>1959.9</v>
      </c>
      <c r="P2029" s="116">
        <v>1982</v>
      </c>
      <c r="Q2029" s="116">
        <v>1972.8</v>
      </c>
      <c r="R2029">
        <v>515105</v>
      </c>
    </row>
    <row r="2030" spans="1:18" x14ac:dyDescent="0.25">
      <c r="A2030" s="170">
        <v>45995</v>
      </c>
      <c r="B2030" s="116">
        <v>2008.5</v>
      </c>
      <c r="C2030" s="116">
        <v>2001.05</v>
      </c>
      <c r="D2030" s="116">
        <v>1959</v>
      </c>
      <c r="E2030" s="116">
        <v>1972.75</v>
      </c>
      <c r="F2030" s="116">
        <v>2001.05</v>
      </c>
      <c r="G2030">
        <v>10354</v>
      </c>
      <c r="H2030" s="116"/>
      <c r="I2030" s="116"/>
      <c r="L2030" s="170">
        <v>45995</v>
      </c>
      <c r="M2030" s="116">
        <v>2002.9</v>
      </c>
      <c r="N2030" s="116">
        <v>2009</v>
      </c>
      <c r="O2030" s="116">
        <v>1959</v>
      </c>
      <c r="P2030" s="116">
        <v>1970.2</v>
      </c>
      <c r="Q2030" s="116">
        <v>2002.9</v>
      </c>
      <c r="R2030">
        <v>660360</v>
      </c>
    </row>
    <row r="2031" spans="1:18" x14ac:dyDescent="0.25">
      <c r="A2031" s="170">
        <v>45996</v>
      </c>
      <c r="B2031" s="116">
        <v>2046.1</v>
      </c>
      <c r="C2031" s="116">
        <v>2022.2</v>
      </c>
      <c r="D2031" s="116">
        <v>2001.95</v>
      </c>
      <c r="E2031" s="116">
        <v>2008.45</v>
      </c>
      <c r="F2031" s="116">
        <v>2022.2</v>
      </c>
      <c r="G2031">
        <v>13145</v>
      </c>
      <c r="H2031" s="116"/>
      <c r="I2031" s="116"/>
      <c r="L2031" s="170">
        <v>45996</v>
      </c>
      <c r="M2031" s="116">
        <v>2023.7</v>
      </c>
      <c r="N2031" s="116">
        <v>2046.3</v>
      </c>
      <c r="O2031" s="116">
        <v>2000.7</v>
      </c>
      <c r="P2031" s="116">
        <v>2003</v>
      </c>
      <c r="Q2031" s="116">
        <v>2023.7</v>
      </c>
      <c r="R2031">
        <v>749526</v>
      </c>
    </row>
    <row r="2032" spans="1:18" x14ac:dyDescent="0.25">
      <c r="A2032" s="170">
        <v>45999</v>
      </c>
      <c r="B2032" s="116">
        <v>2036</v>
      </c>
      <c r="C2032" s="116">
        <v>2019.9</v>
      </c>
      <c r="D2032" s="116">
        <v>2008</v>
      </c>
      <c r="E2032" s="116">
        <v>2008</v>
      </c>
      <c r="F2032" s="116">
        <v>2019.9</v>
      </c>
      <c r="G2032">
        <v>7487</v>
      </c>
      <c r="H2032" s="116"/>
      <c r="I2032" s="116"/>
      <c r="L2032" s="170">
        <v>45999</v>
      </c>
      <c r="M2032" s="116">
        <v>2020.7</v>
      </c>
      <c r="N2032" s="116">
        <v>2036</v>
      </c>
      <c r="O2032" s="116">
        <v>2005</v>
      </c>
      <c r="P2032" s="116">
        <v>2005</v>
      </c>
      <c r="Q2032" s="116">
        <v>2020.7</v>
      </c>
      <c r="R2032">
        <v>1050200</v>
      </c>
    </row>
    <row r="2033" spans="1:18" x14ac:dyDescent="0.25">
      <c r="A2033" s="170">
        <v>46000</v>
      </c>
      <c r="B2033" s="116">
        <v>2024.65</v>
      </c>
      <c r="C2033" s="116">
        <v>2005.1</v>
      </c>
      <c r="D2033" s="116">
        <v>1991.85</v>
      </c>
      <c r="E2033" s="116">
        <v>2020.7</v>
      </c>
      <c r="F2033" s="116">
        <v>2005.1</v>
      </c>
      <c r="G2033">
        <v>6652</v>
      </c>
      <c r="H2033" s="116"/>
      <c r="I2033" s="116"/>
      <c r="L2033" s="170">
        <v>46000</v>
      </c>
      <c r="M2033" s="116">
        <v>2006.2</v>
      </c>
      <c r="N2033" s="116">
        <v>2028.2</v>
      </c>
      <c r="O2033" s="116">
        <v>1990.4</v>
      </c>
      <c r="P2033" s="116">
        <v>2019</v>
      </c>
      <c r="Q2033" s="116">
        <v>2006.2</v>
      </c>
      <c r="R2033">
        <v>887191</v>
      </c>
    </row>
    <row r="2034" spans="1:18" x14ac:dyDescent="0.25">
      <c r="A2034" s="170">
        <v>46001</v>
      </c>
      <c r="B2034" s="116">
        <v>2030</v>
      </c>
      <c r="C2034" s="116">
        <v>2014.15</v>
      </c>
      <c r="D2034" s="116">
        <v>1995</v>
      </c>
      <c r="E2034" s="116">
        <v>1999.95</v>
      </c>
      <c r="F2034" s="116">
        <v>2014.15</v>
      </c>
      <c r="G2034">
        <v>12126</v>
      </c>
      <c r="H2034" s="116"/>
      <c r="I2034" s="116"/>
      <c r="L2034" s="170">
        <v>46001</v>
      </c>
      <c r="M2034" s="116">
        <v>2014.5</v>
      </c>
      <c r="N2034" s="116">
        <v>2030.8</v>
      </c>
      <c r="O2034" s="116">
        <v>1994.6</v>
      </c>
      <c r="P2034" s="116">
        <v>1996</v>
      </c>
      <c r="Q2034" s="116">
        <v>2014.5</v>
      </c>
      <c r="R2034">
        <v>598172</v>
      </c>
    </row>
    <row r="2035" spans="1:18" x14ac:dyDescent="0.25">
      <c r="A2035" s="170">
        <v>46002</v>
      </c>
      <c r="B2035" s="116">
        <v>2016.75</v>
      </c>
      <c r="C2035" s="116">
        <v>2004.9</v>
      </c>
      <c r="D2035" s="116">
        <v>1995.1</v>
      </c>
      <c r="E2035" s="116">
        <v>2014.1</v>
      </c>
      <c r="F2035" s="116">
        <v>2004.9</v>
      </c>
      <c r="G2035">
        <v>2332</v>
      </c>
      <c r="H2035" s="116"/>
      <c r="I2035" s="116"/>
      <c r="L2035" s="170">
        <v>46002</v>
      </c>
      <c r="M2035" s="116">
        <v>2006.9</v>
      </c>
      <c r="N2035" s="116">
        <v>2017.6</v>
      </c>
      <c r="O2035" s="116">
        <v>1995.5</v>
      </c>
      <c r="P2035" s="116">
        <v>2006.1</v>
      </c>
      <c r="Q2035" s="116">
        <v>2006.9</v>
      </c>
      <c r="R2035">
        <v>635250</v>
      </c>
    </row>
    <row r="2036" spans="1:18" x14ac:dyDescent="0.25">
      <c r="A2036" s="170">
        <v>46003</v>
      </c>
      <c r="B2036" s="116">
        <v>2055</v>
      </c>
      <c r="C2036" s="116">
        <v>2026.6</v>
      </c>
      <c r="D2036" s="116">
        <v>2004.05</v>
      </c>
      <c r="E2036" s="116">
        <v>2055</v>
      </c>
      <c r="F2036" s="116">
        <v>2026.6</v>
      </c>
      <c r="G2036">
        <v>4128</v>
      </c>
      <c r="H2036" s="116"/>
      <c r="I2036" s="116"/>
      <c r="L2036" s="170">
        <v>46003</v>
      </c>
      <c r="M2036" s="116">
        <v>2025.9</v>
      </c>
      <c r="N2036" s="116">
        <v>2030.4</v>
      </c>
      <c r="O2036" s="116">
        <v>2002.4</v>
      </c>
      <c r="P2036" s="116">
        <v>2012</v>
      </c>
      <c r="Q2036" s="116">
        <v>2025.9</v>
      </c>
      <c r="R2036">
        <v>557472</v>
      </c>
    </row>
    <row r="2037" spans="1:18" x14ac:dyDescent="0.25">
      <c r="A2037" s="170">
        <v>46006</v>
      </c>
      <c r="B2037" s="116">
        <v>2039.7</v>
      </c>
      <c r="C2037" s="116">
        <v>2034.4</v>
      </c>
      <c r="D2037" s="116">
        <v>2008</v>
      </c>
      <c r="E2037" s="116">
        <v>2032.5</v>
      </c>
      <c r="F2037" s="116">
        <v>2034.4</v>
      </c>
      <c r="G2037">
        <v>5398</v>
      </c>
      <c r="H2037" s="116"/>
      <c r="I2037" s="116"/>
      <c r="L2037" s="170">
        <v>46006</v>
      </c>
      <c r="M2037" s="116">
        <v>2034.9</v>
      </c>
      <c r="N2037" s="116">
        <v>2040</v>
      </c>
      <c r="O2037" s="116">
        <v>2008</v>
      </c>
      <c r="P2037" s="116">
        <v>2030.1</v>
      </c>
      <c r="Q2037" s="116">
        <v>2034.9</v>
      </c>
      <c r="R2037">
        <v>565860</v>
      </c>
    </row>
    <row r="2038" spans="1:18" x14ac:dyDescent="0.25">
      <c r="A2038" s="170">
        <v>46007</v>
      </c>
      <c r="B2038" s="116">
        <v>2051.9499999999998</v>
      </c>
      <c r="C2038" s="116">
        <v>2034.6</v>
      </c>
      <c r="D2038" s="116">
        <v>1950.3</v>
      </c>
      <c r="E2038" s="116">
        <v>1950.3</v>
      </c>
      <c r="F2038" s="116">
        <v>2034.6</v>
      </c>
      <c r="G2038">
        <v>8219</v>
      </c>
      <c r="H2038" s="116"/>
      <c r="I2038" s="116"/>
      <c r="L2038" s="170">
        <v>46007</v>
      </c>
      <c r="M2038" s="116">
        <v>2036</v>
      </c>
      <c r="N2038" s="116">
        <v>2052.1999999999998</v>
      </c>
      <c r="O2038" s="116">
        <v>2021</v>
      </c>
      <c r="P2038" s="116">
        <v>2034.9</v>
      </c>
      <c r="Q2038" s="116">
        <v>2036</v>
      </c>
      <c r="R2038">
        <v>815797</v>
      </c>
    </row>
    <row r="2039" spans="1:18" x14ac:dyDescent="0.25">
      <c r="A2039" s="170">
        <v>46008</v>
      </c>
      <c r="B2039" s="116">
        <v>2047</v>
      </c>
      <c r="C2039" s="116">
        <v>2011.3</v>
      </c>
      <c r="D2039" s="116">
        <v>1996</v>
      </c>
      <c r="E2039" s="116">
        <v>2036.05</v>
      </c>
      <c r="F2039" s="116">
        <v>2011.3</v>
      </c>
      <c r="G2039">
        <v>107988</v>
      </c>
      <c r="H2039" s="116"/>
      <c r="I2039" s="116"/>
      <c r="L2039" s="170">
        <v>46008</v>
      </c>
      <c r="M2039" s="116">
        <v>2010.2</v>
      </c>
      <c r="N2039" s="116">
        <v>2048.6999999999998</v>
      </c>
      <c r="O2039" s="116">
        <v>1995.5</v>
      </c>
      <c r="P2039" s="116">
        <v>2039.4</v>
      </c>
      <c r="Q2039" s="116">
        <v>2010.2</v>
      </c>
      <c r="R2039">
        <v>896027</v>
      </c>
    </row>
    <row r="2040" spans="1:18" x14ac:dyDescent="0.25">
      <c r="A2040" s="170">
        <v>46009</v>
      </c>
      <c r="B2040" s="116">
        <v>2019.95</v>
      </c>
      <c r="C2040" s="116">
        <v>2014.15</v>
      </c>
      <c r="D2040" s="116">
        <v>2002.35</v>
      </c>
      <c r="E2040" s="116">
        <v>2011.3</v>
      </c>
      <c r="F2040" s="116">
        <v>2014.15</v>
      </c>
      <c r="G2040">
        <v>111995</v>
      </c>
      <c r="H2040" s="116"/>
      <c r="I2040" s="116"/>
      <c r="L2040" s="170">
        <v>46009</v>
      </c>
      <c r="M2040" s="116">
        <v>2014.4</v>
      </c>
      <c r="N2040" s="116">
        <v>2020.4</v>
      </c>
      <c r="O2040" s="116">
        <v>2001.6</v>
      </c>
      <c r="P2040" s="116">
        <v>2018</v>
      </c>
      <c r="Q2040" s="116">
        <v>2014.4</v>
      </c>
      <c r="R2040">
        <v>301399</v>
      </c>
    </row>
    <row r="2041" spans="1:18" x14ac:dyDescent="0.25">
      <c r="A2041" s="170">
        <v>46010</v>
      </c>
      <c r="B2041" s="116">
        <v>2035.5</v>
      </c>
      <c r="C2041" s="116">
        <v>2027.6</v>
      </c>
      <c r="D2041" s="116">
        <v>2001.85</v>
      </c>
      <c r="E2041" s="116">
        <v>2001.85</v>
      </c>
      <c r="F2041" s="116">
        <v>2027.6</v>
      </c>
      <c r="G2041">
        <v>4640</v>
      </c>
      <c r="H2041" s="116"/>
      <c r="I2041" s="116"/>
      <c r="L2041" s="170">
        <v>46010</v>
      </c>
      <c r="M2041" s="116">
        <v>2028.4</v>
      </c>
      <c r="N2041" s="116">
        <v>2035.5</v>
      </c>
      <c r="O2041" s="116">
        <v>2012.4</v>
      </c>
      <c r="P2041" s="116">
        <v>2014.5</v>
      </c>
      <c r="Q2041" s="116">
        <v>2028.4</v>
      </c>
      <c r="R2041">
        <v>751874</v>
      </c>
    </row>
    <row r="2042" spans="1:18" x14ac:dyDescent="0.25">
      <c r="A2042" s="170">
        <v>46013</v>
      </c>
      <c r="B2042" s="116">
        <v>2030.9</v>
      </c>
      <c r="C2042" s="116">
        <v>2022.9</v>
      </c>
      <c r="D2042" s="116">
        <v>2014.1</v>
      </c>
      <c r="E2042" s="116">
        <v>2022.95</v>
      </c>
      <c r="F2042" s="116">
        <v>2022.9</v>
      </c>
      <c r="G2042">
        <v>3508</v>
      </c>
      <c r="H2042" s="116"/>
      <c r="I2042" s="116"/>
      <c r="L2042" s="170">
        <v>46013</v>
      </c>
      <c r="M2042" s="116">
        <v>2022.3</v>
      </c>
      <c r="N2042" s="116">
        <v>2031.1</v>
      </c>
      <c r="O2042" s="116">
        <v>2013.1</v>
      </c>
      <c r="P2042" s="116">
        <v>2027.7</v>
      </c>
      <c r="Q2042" s="116">
        <v>2022.3</v>
      </c>
      <c r="R2042">
        <v>526892</v>
      </c>
    </row>
    <row r="2043" spans="1:18" x14ac:dyDescent="0.25">
      <c r="A2043" s="170">
        <v>46014</v>
      </c>
      <c r="B2043" s="116">
        <v>2030.1</v>
      </c>
      <c r="C2043" s="116">
        <v>2023.7</v>
      </c>
      <c r="D2043" s="116">
        <v>2019.3</v>
      </c>
      <c r="E2043" s="116">
        <v>2025.45</v>
      </c>
      <c r="F2043" s="116">
        <v>2023.7</v>
      </c>
      <c r="G2043">
        <v>5337</v>
      </c>
      <c r="H2043" s="116"/>
      <c r="I2043" s="116"/>
      <c r="L2043" s="170">
        <v>46014</v>
      </c>
      <c r="M2043" s="116">
        <v>2024.8</v>
      </c>
      <c r="N2043" s="116">
        <v>2032.2</v>
      </c>
      <c r="O2043" s="116">
        <v>2018.3</v>
      </c>
      <c r="P2043" s="116">
        <v>2032.2</v>
      </c>
      <c r="Q2043" s="116">
        <v>2024.8</v>
      </c>
      <c r="R2043">
        <v>290105</v>
      </c>
    </row>
    <row r="2044" spans="1:18" x14ac:dyDescent="0.25">
      <c r="A2044" s="170">
        <v>46015</v>
      </c>
      <c r="B2044" s="116">
        <v>2032</v>
      </c>
      <c r="C2044" s="116">
        <v>2024</v>
      </c>
      <c r="D2044" s="116">
        <v>2020.8</v>
      </c>
      <c r="E2044" s="116">
        <v>2030.35</v>
      </c>
      <c r="F2044" s="116">
        <v>2024</v>
      </c>
      <c r="G2044">
        <v>3806</v>
      </c>
      <c r="H2044" s="116"/>
      <c r="I2044" s="116"/>
      <c r="L2044" s="170">
        <v>46015</v>
      </c>
      <c r="M2044" s="116">
        <v>2025.4</v>
      </c>
      <c r="N2044" s="116">
        <v>2033.6</v>
      </c>
      <c r="O2044" s="116">
        <v>2020.2</v>
      </c>
      <c r="P2044" s="116">
        <v>2029.2</v>
      </c>
      <c r="Q2044" s="116">
        <v>2025.4</v>
      </c>
      <c r="R2044">
        <v>353971</v>
      </c>
    </row>
    <row r="2045" spans="1:18" x14ac:dyDescent="0.25">
      <c r="A2045" s="170">
        <v>46017</v>
      </c>
      <c r="B2045" s="116">
        <v>2027.9</v>
      </c>
      <c r="C2045" s="116">
        <v>2019.2</v>
      </c>
      <c r="D2045" s="116">
        <v>2005</v>
      </c>
      <c r="E2045" s="116">
        <v>2027.9</v>
      </c>
      <c r="F2045" s="116">
        <v>2019.2</v>
      </c>
      <c r="G2045">
        <v>6657</v>
      </c>
      <c r="H2045" s="116"/>
      <c r="I2045" s="116"/>
      <c r="L2045" s="170">
        <v>46017</v>
      </c>
      <c r="M2045" s="116">
        <v>2019.1</v>
      </c>
      <c r="N2045" s="116">
        <v>2034.9</v>
      </c>
      <c r="O2045" s="116">
        <v>2004.1</v>
      </c>
      <c r="P2045" s="116">
        <v>2025.4</v>
      </c>
      <c r="Q2045" s="116">
        <v>2019.1</v>
      </c>
      <c r="R2045">
        <v>180039</v>
      </c>
    </row>
    <row r="2046" spans="1:18" x14ac:dyDescent="0.25">
      <c r="A2046" s="170">
        <v>46020</v>
      </c>
      <c r="B2046" s="116">
        <v>2022.5</v>
      </c>
      <c r="C2046" s="116">
        <v>2009.35</v>
      </c>
      <c r="D2046" s="116">
        <v>2006.8</v>
      </c>
      <c r="E2046" s="116">
        <v>2020.95</v>
      </c>
      <c r="F2046" s="116">
        <v>2009.35</v>
      </c>
      <c r="G2046">
        <v>5509</v>
      </c>
      <c r="H2046" s="116"/>
      <c r="I2046" s="116"/>
      <c r="L2046" s="170">
        <v>46020</v>
      </c>
      <c r="M2046" s="116">
        <v>2009.8</v>
      </c>
      <c r="N2046" s="116">
        <v>2026.7</v>
      </c>
      <c r="O2046" s="116">
        <v>2006.6</v>
      </c>
      <c r="P2046" s="116">
        <v>2026.7</v>
      </c>
      <c r="Q2046" s="116">
        <v>2009.8</v>
      </c>
      <c r="R2046">
        <v>407998</v>
      </c>
    </row>
    <row r="2047" spans="1:18" x14ac:dyDescent="0.25">
      <c r="A2047" s="170">
        <v>46021</v>
      </c>
      <c r="B2047" s="116">
        <v>2017.8</v>
      </c>
      <c r="C2047" s="116">
        <v>1995.45</v>
      </c>
      <c r="D2047" s="116">
        <v>1969.4</v>
      </c>
      <c r="E2047" s="116">
        <v>2017.8</v>
      </c>
      <c r="F2047" s="116">
        <v>1995.45</v>
      </c>
      <c r="G2047">
        <v>6357</v>
      </c>
      <c r="H2047" s="116"/>
      <c r="I2047" s="116"/>
      <c r="L2047" s="170">
        <v>46021</v>
      </c>
      <c r="M2047" s="116">
        <v>1995.5</v>
      </c>
      <c r="N2047" s="116">
        <v>2019.8</v>
      </c>
      <c r="O2047" s="116">
        <v>1968.2</v>
      </c>
      <c r="P2047" s="116">
        <v>2009.8</v>
      </c>
      <c r="Q2047" s="116">
        <v>1995.5</v>
      </c>
      <c r="R2047">
        <v>3166927</v>
      </c>
    </row>
    <row r="2048" spans="1:18" x14ac:dyDescent="0.25">
      <c r="A2048" s="170">
        <v>46022</v>
      </c>
      <c r="B2048" s="116">
        <v>2043.5</v>
      </c>
      <c r="C2048" s="116">
        <v>2034.7</v>
      </c>
      <c r="D2048" s="116">
        <v>1993</v>
      </c>
      <c r="E2048" s="116">
        <v>2001.15</v>
      </c>
      <c r="F2048" s="116">
        <v>2034.7</v>
      </c>
      <c r="G2048">
        <v>6474</v>
      </c>
      <c r="H2048" s="116"/>
      <c r="I2048" s="116"/>
      <c r="L2048" s="170">
        <v>46022</v>
      </c>
      <c r="M2048" s="116">
        <v>2034.9</v>
      </c>
      <c r="N2048" s="116">
        <v>2043.5</v>
      </c>
      <c r="O2048" s="116">
        <v>1992.5</v>
      </c>
      <c r="P2048" s="116">
        <v>2010.2</v>
      </c>
      <c r="Q2048" s="116">
        <v>2034.9</v>
      </c>
      <c r="R2048">
        <v>751134</v>
      </c>
    </row>
    <row r="2049" spans="1:18" x14ac:dyDescent="0.25">
      <c r="A2049" s="170">
        <v>46023</v>
      </c>
      <c r="B2049" s="116">
        <v>2043.9</v>
      </c>
      <c r="C2049" s="116">
        <v>2040.85</v>
      </c>
      <c r="D2049" s="116">
        <v>2027.5</v>
      </c>
      <c r="E2049" s="116">
        <v>2043.9</v>
      </c>
      <c r="F2049" s="116">
        <v>2040.85</v>
      </c>
      <c r="G2049">
        <v>8971</v>
      </c>
      <c r="H2049" s="116"/>
      <c r="I2049" s="116"/>
      <c r="L2049" s="170">
        <v>46023</v>
      </c>
      <c r="M2049" s="116">
        <v>2040.4</v>
      </c>
      <c r="N2049" s="116">
        <v>2045.9</v>
      </c>
      <c r="O2049" s="116">
        <v>2027.2</v>
      </c>
      <c r="P2049" s="116">
        <v>2034.9</v>
      </c>
      <c r="Q2049" s="116">
        <v>2040.4</v>
      </c>
      <c r="R2049">
        <v>235630</v>
      </c>
    </row>
    <row r="2050" spans="1:18" x14ac:dyDescent="0.25">
      <c r="A2050" s="170">
        <v>46024</v>
      </c>
      <c r="B2050" s="116">
        <v>2077</v>
      </c>
      <c r="C2050" s="116">
        <v>2066.9</v>
      </c>
      <c r="D2050" s="116">
        <v>2040.85</v>
      </c>
      <c r="E2050" s="116">
        <v>2041.8</v>
      </c>
      <c r="F2050" s="116">
        <v>2066.9</v>
      </c>
      <c r="G2050">
        <v>17413</v>
      </c>
      <c r="H2050" s="116"/>
      <c r="I2050" s="116"/>
      <c r="L2050" s="170">
        <v>46024</v>
      </c>
      <c r="M2050" s="116">
        <v>2067.4</v>
      </c>
      <c r="N2050" s="116">
        <v>2077.3000000000002</v>
      </c>
      <c r="O2050" s="116">
        <v>2040</v>
      </c>
      <c r="P2050" s="116">
        <v>2040.4</v>
      </c>
      <c r="Q2050" s="116">
        <v>2067.4</v>
      </c>
      <c r="R2050">
        <v>472182</v>
      </c>
    </row>
    <row r="2051" spans="1:18" x14ac:dyDescent="0.25">
      <c r="A2051" s="170">
        <v>46027</v>
      </c>
      <c r="B2051" s="116">
        <v>2095.8000000000002</v>
      </c>
      <c r="C2051" s="116">
        <v>2075.25</v>
      </c>
      <c r="D2051" s="116">
        <v>2061.3000000000002</v>
      </c>
      <c r="E2051" s="116">
        <v>2069.9</v>
      </c>
      <c r="F2051" s="116">
        <v>2075.25</v>
      </c>
      <c r="G2051">
        <v>9494</v>
      </c>
      <c r="H2051" s="116"/>
      <c r="I2051" s="116"/>
      <c r="L2051" s="170">
        <v>46027</v>
      </c>
      <c r="M2051" s="116">
        <v>2075.6</v>
      </c>
      <c r="N2051" s="116">
        <v>2094.9</v>
      </c>
      <c r="O2051" s="116">
        <v>2063.1999999999998</v>
      </c>
      <c r="P2051" s="116">
        <v>2067.4</v>
      </c>
      <c r="Q2051" s="116">
        <v>2075.6</v>
      </c>
      <c r="R2051">
        <v>788144</v>
      </c>
    </row>
    <row r="2052" spans="1:18" x14ac:dyDescent="0.25">
      <c r="A2052" s="170">
        <v>46028</v>
      </c>
      <c r="B2052" s="116">
        <v>2106</v>
      </c>
      <c r="C2052" s="116">
        <v>2094.9</v>
      </c>
      <c r="D2052" s="116">
        <v>2067.6</v>
      </c>
      <c r="E2052" s="116">
        <v>2074.75</v>
      </c>
      <c r="F2052" s="116">
        <v>2094.9</v>
      </c>
      <c r="G2052">
        <v>131780</v>
      </c>
      <c r="H2052" s="116"/>
      <c r="I2052" s="116"/>
      <c r="L2052" s="170">
        <v>46028</v>
      </c>
      <c r="M2052" s="116">
        <v>2095.8000000000002</v>
      </c>
      <c r="N2052" s="116">
        <v>2106</v>
      </c>
      <c r="O2052" s="116">
        <v>2064</v>
      </c>
      <c r="P2052" s="116">
        <v>2064</v>
      </c>
      <c r="Q2052" s="116">
        <v>2095.8000000000002</v>
      </c>
      <c r="R2052">
        <v>618958</v>
      </c>
    </row>
    <row r="2053" spans="1:18" x14ac:dyDescent="0.25">
      <c r="A2053" s="170">
        <v>46029</v>
      </c>
      <c r="B2053" s="116">
        <v>2108.65</v>
      </c>
      <c r="C2053" s="116">
        <v>2070.6</v>
      </c>
      <c r="D2053" s="116">
        <v>2066.4499999999998</v>
      </c>
      <c r="E2053" s="116">
        <v>2100.85</v>
      </c>
      <c r="F2053" s="116">
        <v>2070.6</v>
      </c>
      <c r="G2053">
        <v>609155</v>
      </c>
      <c r="H2053" s="116"/>
      <c r="I2053" s="116"/>
      <c r="L2053" s="170">
        <v>46029</v>
      </c>
      <c r="M2053" s="116">
        <v>2070.8000000000002</v>
      </c>
      <c r="N2053" s="116">
        <v>2109.6</v>
      </c>
      <c r="O2053" s="116">
        <v>2065</v>
      </c>
      <c r="P2053" s="116">
        <v>2090</v>
      </c>
      <c r="Q2053" s="116">
        <v>2070.8000000000002</v>
      </c>
      <c r="R2053">
        <v>1065734</v>
      </c>
    </row>
    <row r="2054" spans="1:18" x14ac:dyDescent="0.25">
      <c r="A2054" s="170">
        <v>46030</v>
      </c>
      <c r="B2054" s="116">
        <v>2096.8000000000002</v>
      </c>
      <c r="C2054" s="116">
        <v>2083.0500000000002</v>
      </c>
      <c r="D2054" s="116">
        <v>2069.5500000000002</v>
      </c>
      <c r="E2054" s="116">
        <v>2085.35</v>
      </c>
      <c r="F2054" s="116">
        <v>2083.0500000000002</v>
      </c>
      <c r="G2054">
        <v>10105</v>
      </c>
      <c r="H2054" s="116"/>
      <c r="I2054" s="116"/>
      <c r="L2054" s="170">
        <v>46030</v>
      </c>
      <c r="M2054" s="116">
        <v>2082.9</v>
      </c>
      <c r="N2054" s="116">
        <v>2095.5</v>
      </c>
      <c r="O2054" s="116">
        <v>2067.6999999999998</v>
      </c>
      <c r="P2054" s="116">
        <v>2080.9</v>
      </c>
      <c r="Q2054" s="116">
        <v>2082.9</v>
      </c>
      <c r="R2054">
        <v>956736</v>
      </c>
    </row>
    <row r="2055" spans="1:18" x14ac:dyDescent="0.25">
      <c r="A2055" s="170">
        <v>46031</v>
      </c>
      <c r="B2055" s="116">
        <v>2098.9</v>
      </c>
      <c r="C2055" s="116">
        <v>2069.6999999999998</v>
      </c>
      <c r="D2055" s="116">
        <v>2065.35</v>
      </c>
      <c r="E2055" s="116">
        <v>2098.9</v>
      </c>
      <c r="F2055" s="116">
        <v>2069.6999999999998</v>
      </c>
      <c r="G2055">
        <v>7957</v>
      </c>
      <c r="H2055" s="116"/>
      <c r="I2055" s="116"/>
      <c r="L2055" s="170">
        <v>46031</v>
      </c>
      <c r="M2055" s="116">
        <v>2070</v>
      </c>
      <c r="N2055" s="116">
        <v>2093.9</v>
      </c>
      <c r="O2055" s="116">
        <v>2065</v>
      </c>
      <c r="P2055" s="116">
        <v>2093.8000000000002</v>
      </c>
      <c r="Q2055" s="116">
        <v>2070</v>
      </c>
      <c r="R2055">
        <v>455165</v>
      </c>
    </row>
    <row r="2056" spans="1:18" x14ac:dyDescent="0.25">
      <c r="A2056" s="170">
        <v>46034</v>
      </c>
      <c r="B2056" s="116">
        <v>2105</v>
      </c>
      <c r="C2056" s="116">
        <v>2096.4499999999998</v>
      </c>
      <c r="D2056" s="116">
        <v>2081</v>
      </c>
      <c r="E2056" s="116">
        <v>2097.8000000000002</v>
      </c>
      <c r="F2056" s="116">
        <v>2096.4499999999998</v>
      </c>
      <c r="G2056">
        <v>12710</v>
      </c>
      <c r="H2056" s="116"/>
      <c r="I2056" s="116"/>
      <c r="L2056" s="170">
        <v>46034</v>
      </c>
      <c r="M2056" s="116">
        <v>2098</v>
      </c>
      <c r="N2056" s="116">
        <v>2105.6999999999998</v>
      </c>
      <c r="O2056" s="116">
        <v>2080</v>
      </c>
      <c r="P2056" s="116">
        <v>2085</v>
      </c>
      <c r="Q2056" s="116">
        <v>2098</v>
      </c>
      <c r="R2056">
        <v>1051481</v>
      </c>
    </row>
    <row r="2057" spans="1:18" x14ac:dyDescent="0.25">
      <c r="A2057" s="170">
        <v>46035</v>
      </c>
      <c r="B2057" s="116">
        <v>2116</v>
      </c>
      <c r="C2057" s="116">
        <v>2081.65</v>
      </c>
      <c r="D2057" s="116">
        <v>2072.5</v>
      </c>
      <c r="E2057" s="116">
        <v>2116</v>
      </c>
      <c r="F2057" s="116">
        <v>2081.65</v>
      </c>
      <c r="G2057">
        <v>111021</v>
      </c>
      <c r="H2057" s="116"/>
      <c r="I2057" s="116"/>
      <c r="L2057" s="170">
        <v>46035</v>
      </c>
      <c r="M2057" s="116">
        <v>2082.4</v>
      </c>
      <c r="N2057" s="116">
        <v>2102.1</v>
      </c>
      <c r="O2057" s="116">
        <v>2071.6999999999998</v>
      </c>
      <c r="P2057" s="116">
        <v>2090</v>
      </c>
      <c r="Q2057" s="116">
        <v>2082.4</v>
      </c>
      <c r="R2057">
        <v>425540</v>
      </c>
    </row>
    <row r="2058" spans="1:18" x14ac:dyDescent="0.25">
      <c r="A2058" s="170">
        <v>46036</v>
      </c>
      <c r="B2058" s="116">
        <v>2082.1</v>
      </c>
      <c r="C2058" s="116">
        <v>2068.15</v>
      </c>
      <c r="D2058" s="116">
        <v>2062.6</v>
      </c>
      <c r="E2058" s="116">
        <v>2074.6</v>
      </c>
      <c r="F2058" s="116">
        <v>2068.15</v>
      </c>
      <c r="G2058">
        <v>65858</v>
      </c>
      <c r="H2058" s="116"/>
      <c r="I2058" s="116"/>
      <c r="L2058" s="170">
        <v>46036</v>
      </c>
      <c r="M2058" s="116">
        <v>2068.8000000000002</v>
      </c>
      <c r="N2058" s="116">
        <v>2082</v>
      </c>
      <c r="O2058" s="116">
        <v>2063.3000000000002</v>
      </c>
      <c r="P2058" s="116">
        <v>2070.1999999999998</v>
      </c>
      <c r="Q2058" s="116">
        <v>2068.8000000000002</v>
      </c>
      <c r="R2058">
        <v>942775</v>
      </c>
    </row>
    <row r="2059" spans="1:18" x14ac:dyDescent="0.25">
      <c r="A2059" s="170">
        <v>46038</v>
      </c>
      <c r="B2059" s="116">
        <v>2097.85</v>
      </c>
      <c r="C2059" s="116">
        <v>2080.6</v>
      </c>
      <c r="D2059" s="116">
        <v>2062.4</v>
      </c>
      <c r="E2059" s="116">
        <v>2070.5</v>
      </c>
      <c r="F2059" s="116">
        <v>2080.6</v>
      </c>
      <c r="G2059">
        <v>10861</v>
      </c>
      <c r="H2059" s="116"/>
      <c r="I2059" s="116"/>
      <c r="L2059" s="170">
        <v>46038</v>
      </c>
      <c r="M2059" s="116">
        <v>2081</v>
      </c>
      <c r="N2059" s="116">
        <v>2097.1999999999998</v>
      </c>
      <c r="O2059" s="116">
        <v>2061.9</v>
      </c>
      <c r="P2059" s="116">
        <v>2062</v>
      </c>
      <c r="Q2059" s="116">
        <v>2081</v>
      </c>
      <c r="R2059">
        <v>753887</v>
      </c>
    </row>
    <row r="2060" spans="1:18" x14ac:dyDescent="0.25">
      <c r="A2060" s="170">
        <v>46041</v>
      </c>
      <c r="B2060" s="116">
        <v>2095</v>
      </c>
      <c r="C2060" s="116">
        <v>2074.6999999999998</v>
      </c>
      <c r="D2060" s="116">
        <v>2071.65</v>
      </c>
      <c r="E2060" s="116">
        <v>2078.65</v>
      </c>
      <c r="F2060" s="116">
        <v>2074.6999999999998</v>
      </c>
      <c r="G2060">
        <v>7668</v>
      </c>
      <c r="H2060" s="116"/>
      <c r="I2060" s="116"/>
      <c r="L2060" s="170">
        <v>46041</v>
      </c>
      <c r="M2060" s="116">
        <v>2073.6999999999998</v>
      </c>
      <c r="N2060" s="116">
        <v>2095.6</v>
      </c>
      <c r="O2060" s="116">
        <v>2066.1999999999998</v>
      </c>
      <c r="P2060" s="116">
        <v>2066.1999999999998</v>
      </c>
      <c r="Q2060" s="116">
        <v>2073.6999999999998</v>
      </c>
      <c r="R2060">
        <v>552463</v>
      </c>
    </row>
    <row r="2061" spans="1:18" x14ac:dyDescent="0.25">
      <c r="A2061" s="170">
        <v>46042</v>
      </c>
      <c r="B2061" s="116">
        <v>2076.5</v>
      </c>
      <c r="C2061" s="116">
        <v>2048.4</v>
      </c>
      <c r="D2061" s="116">
        <v>2042.1</v>
      </c>
      <c r="E2061" s="116">
        <v>2074.6999999999998</v>
      </c>
      <c r="F2061" s="116">
        <v>2048.4</v>
      </c>
      <c r="G2061">
        <v>6908</v>
      </c>
      <c r="H2061" s="116"/>
      <c r="I2061" s="116"/>
      <c r="L2061" s="170">
        <v>46042</v>
      </c>
      <c r="M2061" s="116">
        <v>2049.1</v>
      </c>
      <c r="N2061" s="116">
        <v>2080</v>
      </c>
      <c r="O2061" s="116">
        <v>2044</v>
      </c>
      <c r="P2061" s="116">
        <v>2080</v>
      </c>
      <c r="Q2061" s="116">
        <v>2049.1</v>
      </c>
      <c r="R2061">
        <v>576100</v>
      </c>
    </row>
    <row r="2062" spans="1:18" x14ac:dyDescent="0.25">
      <c r="A2062" s="170">
        <v>46043</v>
      </c>
      <c r="B2062" s="116">
        <v>2075.6</v>
      </c>
      <c r="C2062" s="116">
        <v>2055.5</v>
      </c>
      <c r="D2062" s="116">
        <v>2035.05</v>
      </c>
      <c r="E2062" s="116">
        <v>2035.05</v>
      </c>
      <c r="F2062" s="116">
        <v>2055.5</v>
      </c>
      <c r="G2062">
        <v>170178</v>
      </c>
      <c r="H2062" s="116"/>
      <c r="I2062" s="116"/>
      <c r="L2062" s="170">
        <v>46043</v>
      </c>
      <c r="M2062" s="116">
        <v>2055.4</v>
      </c>
      <c r="N2062" s="116">
        <v>2076.8000000000002</v>
      </c>
      <c r="O2062" s="116">
        <v>2038.2</v>
      </c>
      <c r="P2062" s="116">
        <v>2038.2</v>
      </c>
      <c r="Q2062" s="116">
        <v>2055.4</v>
      </c>
      <c r="R2062">
        <v>1014083</v>
      </c>
    </row>
    <row r="2063" spans="1:18" x14ac:dyDescent="0.25">
      <c r="A2063" s="170">
        <v>46044</v>
      </c>
      <c r="B2063" s="116">
        <v>2062.75</v>
      </c>
      <c r="C2063" s="116">
        <v>2021</v>
      </c>
      <c r="D2063" s="116">
        <v>2010</v>
      </c>
      <c r="E2063" s="116">
        <v>2052.5500000000002</v>
      </c>
      <c r="F2063" s="116">
        <v>2021</v>
      </c>
      <c r="G2063">
        <v>168391</v>
      </c>
      <c r="H2063" s="116"/>
      <c r="I2063" s="116"/>
      <c r="L2063" s="170">
        <v>46044</v>
      </c>
      <c r="M2063" s="116">
        <v>2022</v>
      </c>
      <c r="N2063" s="116">
        <v>2067.1</v>
      </c>
      <c r="O2063" s="116">
        <v>2009.3</v>
      </c>
      <c r="P2063" s="116">
        <v>2056.1</v>
      </c>
      <c r="Q2063" s="116">
        <v>2022</v>
      </c>
      <c r="R2063">
        <v>1829617</v>
      </c>
    </row>
    <row r="2064" spans="1:18" x14ac:dyDescent="0.25">
      <c r="A2064" s="170">
        <v>46045</v>
      </c>
      <c r="B2064" s="116">
        <v>2016</v>
      </c>
      <c r="C2064" s="116">
        <v>2003.65</v>
      </c>
      <c r="D2064" s="116">
        <v>1989.9</v>
      </c>
      <c r="E2064" s="116">
        <v>2016</v>
      </c>
      <c r="F2064" s="116">
        <v>2003.65</v>
      </c>
      <c r="G2064">
        <v>9227</v>
      </c>
      <c r="H2064" s="116"/>
      <c r="I2064" s="116"/>
      <c r="L2064" s="170">
        <v>46045</v>
      </c>
      <c r="M2064" s="116">
        <v>2002.6</v>
      </c>
      <c r="N2064" s="116">
        <v>2022</v>
      </c>
      <c r="O2064" s="116">
        <v>1986.3</v>
      </c>
      <c r="P2064" s="116">
        <v>2022</v>
      </c>
      <c r="Q2064" s="116">
        <v>2002.6</v>
      </c>
      <c r="R2064">
        <v>1128576</v>
      </c>
    </row>
    <row r="2065" spans="1:18" x14ac:dyDescent="0.25">
      <c r="A2065" s="170">
        <v>46049</v>
      </c>
      <c r="B2065" s="116">
        <v>2046.2</v>
      </c>
      <c r="C2065" s="116">
        <v>2038.8</v>
      </c>
      <c r="D2065" s="116">
        <v>1946.25</v>
      </c>
      <c r="E2065" s="116">
        <v>1946.25</v>
      </c>
      <c r="F2065" s="116">
        <v>2038.8</v>
      </c>
      <c r="G2065">
        <v>16157</v>
      </c>
      <c r="H2065" s="116"/>
      <c r="I2065" s="116"/>
      <c r="L2065" s="170">
        <v>46049</v>
      </c>
      <c r="M2065" s="116">
        <v>2038.2</v>
      </c>
      <c r="N2065" s="116">
        <v>2047.8</v>
      </c>
      <c r="O2065" s="116">
        <v>2005.2</v>
      </c>
      <c r="P2065" s="116">
        <v>2005.2</v>
      </c>
      <c r="Q2065" s="116">
        <v>2038.2</v>
      </c>
      <c r="R2065">
        <v>1396624</v>
      </c>
    </row>
    <row r="2066" spans="1:18" x14ac:dyDescent="0.25">
      <c r="A2066" s="170">
        <v>46050</v>
      </c>
      <c r="B2066" s="116">
        <v>2078.1</v>
      </c>
      <c r="C2066" s="116">
        <v>2052.6</v>
      </c>
      <c r="D2066" s="116">
        <v>2030.5</v>
      </c>
      <c r="E2066" s="116">
        <v>2030.5</v>
      </c>
      <c r="F2066" s="116">
        <v>2052.6</v>
      </c>
      <c r="G2066">
        <v>100974</v>
      </c>
      <c r="H2066" s="116"/>
      <c r="I2066" s="116"/>
      <c r="L2066" s="170">
        <v>46050</v>
      </c>
      <c r="M2066" s="116">
        <v>2053.1999999999998</v>
      </c>
      <c r="N2066" s="116">
        <v>2079.4</v>
      </c>
      <c r="O2066" s="116">
        <v>2037.6</v>
      </c>
      <c r="P2066" s="116">
        <v>2046.9</v>
      </c>
      <c r="Q2066" s="116">
        <v>2053.1999999999998</v>
      </c>
      <c r="R2066">
        <v>1391036</v>
      </c>
    </row>
    <row r="2067" spans="1:18" x14ac:dyDescent="0.25">
      <c r="A2067" s="170">
        <v>46051</v>
      </c>
      <c r="B2067" s="116">
        <v>2071.35</v>
      </c>
      <c r="C2067" s="116">
        <v>1995.85</v>
      </c>
      <c r="D2067" s="116">
        <v>1963.05</v>
      </c>
      <c r="E2067" s="116">
        <v>2071.35</v>
      </c>
      <c r="F2067" s="116">
        <v>1995.85</v>
      </c>
      <c r="G2067">
        <v>204206</v>
      </c>
      <c r="H2067" s="116"/>
      <c r="I2067" s="116"/>
      <c r="L2067" s="170">
        <v>46051</v>
      </c>
      <c r="M2067" s="116">
        <v>1996.3</v>
      </c>
      <c r="N2067" s="116">
        <v>2065</v>
      </c>
      <c r="O2067" s="116">
        <v>1962.9</v>
      </c>
      <c r="P2067" s="116">
        <v>2057.4</v>
      </c>
      <c r="Q2067" s="116">
        <v>1996.3</v>
      </c>
      <c r="R2067">
        <v>3546891</v>
      </c>
    </row>
    <row r="2068" spans="1:18" x14ac:dyDescent="0.25">
      <c r="A2068" s="170">
        <v>46052</v>
      </c>
      <c r="B2068" s="116">
        <v>2016.5</v>
      </c>
      <c r="C2068" s="116">
        <v>1998.15</v>
      </c>
      <c r="D2068" s="116">
        <v>1951.55</v>
      </c>
      <c r="E2068" s="116">
        <v>1969.75</v>
      </c>
      <c r="F2068" s="116">
        <v>1998.15</v>
      </c>
      <c r="G2068">
        <v>8492</v>
      </c>
      <c r="H2068" s="116"/>
      <c r="I2068" s="116"/>
      <c r="L2068" s="170">
        <v>46052</v>
      </c>
      <c r="M2068" s="116">
        <v>1998.5</v>
      </c>
      <c r="N2068" s="116">
        <v>2018.4</v>
      </c>
      <c r="O2068" s="116">
        <v>1951.5</v>
      </c>
      <c r="P2068" s="116">
        <v>1986.3</v>
      </c>
      <c r="Q2068" s="116">
        <v>1998.5</v>
      </c>
      <c r="R2068">
        <v>2050622</v>
      </c>
    </row>
    <row r="2069" spans="1:18" x14ac:dyDescent="0.25">
      <c r="A2069" s="170">
        <v>46054</v>
      </c>
      <c r="B2069" s="116">
        <v>2008.2</v>
      </c>
      <c r="C2069" s="116">
        <v>1973.7</v>
      </c>
      <c r="D2069" s="116">
        <v>1935</v>
      </c>
      <c r="E2069" s="116">
        <v>1998.15</v>
      </c>
      <c r="F2069" s="116">
        <v>1973.7</v>
      </c>
      <c r="G2069">
        <v>112148</v>
      </c>
      <c r="H2069" s="116"/>
      <c r="I2069" s="116"/>
      <c r="L2069" s="170">
        <v>46054</v>
      </c>
      <c r="M2069" s="116">
        <v>1974.3</v>
      </c>
      <c r="N2069" s="116">
        <v>2020</v>
      </c>
      <c r="O2069" s="116">
        <v>1933.5</v>
      </c>
      <c r="P2069" s="116">
        <v>1998.5</v>
      </c>
      <c r="Q2069" s="116">
        <v>1974.3</v>
      </c>
      <c r="R2069">
        <v>805792</v>
      </c>
    </row>
    <row r="2070" spans="1:18" x14ac:dyDescent="0.25">
      <c r="A2070" s="170">
        <v>46055</v>
      </c>
      <c r="B2070" s="116">
        <v>2016.5</v>
      </c>
      <c r="C2070" s="116">
        <v>2001.95</v>
      </c>
      <c r="D2070" s="116">
        <v>1958.1</v>
      </c>
      <c r="E2070" s="116">
        <v>1958.1</v>
      </c>
      <c r="F2070" s="116">
        <v>2001.95</v>
      </c>
      <c r="G2070">
        <v>14943</v>
      </c>
      <c r="H2070" s="116"/>
      <c r="I2070" s="116"/>
      <c r="L2070" s="170">
        <v>46055</v>
      </c>
      <c r="M2070" s="116">
        <v>2001</v>
      </c>
      <c r="N2070" s="116">
        <v>2020</v>
      </c>
      <c r="O2070" s="116">
        <v>1955.5</v>
      </c>
      <c r="P2070" s="116">
        <v>1972.5</v>
      </c>
      <c r="Q2070" s="116">
        <v>2001</v>
      </c>
      <c r="R2070">
        <v>1337964</v>
      </c>
    </row>
    <row r="2071" spans="1:18" x14ac:dyDescent="0.25">
      <c r="A2071" s="170">
        <v>46056</v>
      </c>
      <c r="B2071" s="116">
        <v>2063.5500000000002</v>
      </c>
      <c r="C2071" s="116">
        <v>2000.9</v>
      </c>
      <c r="D2071" s="116">
        <v>1998.25</v>
      </c>
      <c r="E2071" s="116">
        <v>2045.25</v>
      </c>
      <c r="F2071" s="116">
        <v>2000.9</v>
      </c>
      <c r="G2071">
        <v>50383</v>
      </c>
      <c r="H2071" s="116"/>
      <c r="I2071" s="116"/>
      <c r="L2071" s="170">
        <v>46056</v>
      </c>
      <c r="M2071" s="116">
        <v>2002.1</v>
      </c>
      <c r="N2071" s="116">
        <v>2064.9</v>
      </c>
      <c r="O2071" s="116">
        <v>1997.6</v>
      </c>
      <c r="P2071" s="116">
        <v>2056.4</v>
      </c>
      <c r="Q2071" s="116">
        <v>2002.1</v>
      </c>
      <c r="R2071">
        <v>1915073</v>
      </c>
    </row>
    <row r="2072" spans="1:18" x14ac:dyDescent="0.25">
      <c r="A2072" s="170">
        <v>46057</v>
      </c>
      <c r="B2072" s="116">
        <v>2046.7</v>
      </c>
      <c r="C2072" s="116">
        <v>2041.85</v>
      </c>
      <c r="D2072" s="116">
        <v>1995.8</v>
      </c>
      <c r="E2072" s="116">
        <v>2001</v>
      </c>
      <c r="F2072" s="116">
        <v>2041.85</v>
      </c>
      <c r="G2072">
        <v>5332</v>
      </c>
      <c r="H2072" s="116"/>
      <c r="I2072" s="116"/>
      <c r="L2072" s="170">
        <v>46057</v>
      </c>
      <c r="M2072" s="116">
        <v>2041.7</v>
      </c>
      <c r="N2072" s="116">
        <v>2047.5</v>
      </c>
      <c r="O2072" s="116">
        <v>1995.8</v>
      </c>
      <c r="P2072" s="116">
        <v>2002.1</v>
      </c>
      <c r="Q2072" s="116">
        <v>2041.7</v>
      </c>
      <c r="R2072">
        <v>1109824</v>
      </c>
    </row>
    <row r="2073" spans="1:18" x14ac:dyDescent="0.25">
      <c r="A2073" s="170">
        <v>46058</v>
      </c>
      <c r="B2073" s="116">
        <v>2043.95</v>
      </c>
      <c r="C2073" s="116">
        <v>2015.95</v>
      </c>
      <c r="D2073" s="116">
        <v>2006.5</v>
      </c>
      <c r="E2073" s="116">
        <v>2040.2</v>
      </c>
      <c r="F2073" s="116">
        <v>2015.95</v>
      </c>
      <c r="G2073">
        <v>5903</v>
      </c>
      <c r="H2073" s="116"/>
      <c r="I2073" s="116"/>
      <c r="L2073" s="170">
        <v>46058</v>
      </c>
      <c r="M2073" s="116">
        <v>2017.8</v>
      </c>
      <c r="N2073" s="116">
        <v>2045.3</v>
      </c>
      <c r="O2073" s="116">
        <v>2005.3</v>
      </c>
      <c r="P2073" s="116">
        <v>2031</v>
      </c>
      <c r="Q2073" s="116">
        <v>2017.8</v>
      </c>
      <c r="R2073">
        <v>925742</v>
      </c>
    </row>
    <row r="2074" spans="1:18" x14ac:dyDescent="0.25">
      <c r="A2074" s="170">
        <v>46059</v>
      </c>
      <c r="B2074" s="116">
        <v>2028.65</v>
      </c>
      <c r="C2074" s="116">
        <v>1996.75</v>
      </c>
      <c r="D2074" s="116">
        <v>1974.7</v>
      </c>
      <c r="E2074" s="116">
        <v>1980.2</v>
      </c>
      <c r="F2074" s="116">
        <v>1996.75</v>
      </c>
      <c r="G2074">
        <v>25319</v>
      </c>
      <c r="H2074" s="116"/>
      <c r="I2074" s="116"/>
      <c r="L2074" s="170">
        <v>46059</v>
      </c>
      <c r="M2074" s="116">
        <v>1996.7</v>
      </c>
      <c r="N2074" s="116">
        <v>2029.9</v>
      </c>
      <c r="O2074" s="116">
        <v>1974.3</v>
      </c>
      <c r="P2074" s="116">
        <v>2026</v>
      </c>
      <c r="Q2074" s="116">
        <v>1996.7</v>
      </c>
      <c r="R2074">
        <v>884292</v>
      </c>
    </row>
    <row r="2075" spans="1:18" x14ac:dyDescent="0.25">
      <c r="A2075" s="170">
        <v>46062</v>
      </c>
      <c r="B2075" s="116">
        <v>2035.6</v>
      </c>
      <c r="C2075" s="116">
        <v>2024.05</v>
      </c>
      <c r="D2075" s="116">
        <v>1993.2</v>
      </c>
      <c r="E2075" s="116">
        <v>1993.2</v>
      </c>
      <c r="F2075" s="116">
        <v>2024.05</v>
      </c>
      <c r="G2075">
        <v>33274</v>
      </c>
      <c r="H2075" s="116"/>
      <c r="I2075" s="116"/>
      <c r="L2075" s="170">
        <v>46062</v>
      </c>
      <c r="M2075" s="116">
        <v>2024</v>
      </c>
      <c r="N2075" s="116">
        <v>2036.2</v>
      </c>
      <c r="O2075" s="116">
        <v>1996.7</v>
      </c>
      <c r="P2075" s="116">
        <v>1996.7</v>
      </c>
      <c r="Q2075" s="116">
        <v>2024</v>
      </c>
      <c r="R2075">
        <v>1266623</v>
      </c>
    </row>
    <row r="2076" spans="1:18" x14ac:dyDescent="0.25">
      <c r="A2076" s="170">
        <v>46063</v>
      </c>
      <c r="B2076" s="116">
        <v>2027.1</v>
      </c>
      <c r="C2076" s="116">
        <v>2017.95</v>
      </c>
      <c r="D2076" s="116">
        <v>1999.5</v>
      </c>
      <c r="E2076" s="116">
        <v>2027.05</v>
      </c>
      <c r="F2076" s="116">
        <v>2017.95</v>
      </c>
      <c r="G2076">
        <v>18098</v>
      </c>
      <c r="H2076" s="116"/>
      <c r="I2076" s="116"/>
      <c r="L2076" s="170">
        <v>46063</v>
      </c>
      <c r="M2076" s="116">
        <v>2018.3</v>
      </c>
      <c r="N2076" s="116">
        <v>2027.6</v>
      </c>
      <c r="O2076" s="116">
        <v>1999</v>
      </c>
      <c r="P2076" s="116">
        <v>2024</v>
      </c>
      <c r="Q2076" s="116">
        <v>2018.3</v>
      </c>
      <c r="R2076">
        <v>570843</v>
      </c>
    </row>
    <row r="2077" spans="1:18" x14ac:dyDescent="0.25">
      <c r="A2077" s="170">
        <v>46064</v>
      </c>
      <c r="B2077" s="116">
        <v>2038.9</v>
      </c>
      <c r="C2077" s="116">
        <v>2027.65</v>
      </c>
      <c r="D2077" s="116">
        <v>2000.7</v>
      </c>
      <c r="E2077" s="116">
        <v>2000.7</v>
      </c>
      <c r="F2077" s="116">
        <v>2027.65</v>
      </c>
      <c r="G2077">
        <v>12102</v>
      </c>
      <c r="H2077" s="116"/>
      <c r="I2077" s="116"/>
      <c r="L2077" s="170">
        <v>46064</v>
      </c>
      <c r="M2077" s="116">
        <v>2026.3</v>
      </c>
      <c r="N2077" s="116">
        <v>2039.1</v>
      </c>
      <c r="O2077" s="116">
        <v>2017.3</v>
      </c>
      <c r="P2077" s="116">
        <v>2023</v>
      </c>
      <c r="Q2077" s="116">
        <v>2026.3</v>
      </c>
      <c r="R2077">
        <v>662626</v>
      </c>
    </row>
    <row r="2078" spans="1:18" x14ac:dyDescent="0.25">
      <c r="A2078" s="170">
        <v>46065</v>
      </c>
      <c r="B2078" s="116">
        <v>2039.4</v>
      </c>
      <c r="C2078" s="116">
        <v>2021.3</v>
      </c>
      <c r="D2078" s="116">
        <v>1998.35</v>
      </c>
      <c r="E2078" s="116">
        <v>2039.4</v>
      </c>
      <c r="F2078" s="116">
        <v>2021.3</v>
      </c>
      <c r="G2078">
        <v>7897</v>
      </c>
      <c r="H2078" s="116"/>
      <c r="I2078" s="116"/>
      <c r="L2078" s="170">
        <v>46065</v>
      </c>
      <c r="M2078" s="116">
        <v>2022.1</v>
      </c>
      <c r="N2078" s="116">
        <v>2026</v>
      </c>
      <c r="O2078" s="116">
        <v>1998</v>
      </c>
      <c r="P2078" s="116">
        <v>2022</v>
      </c>
      <c r="Q2078" s="116">
        <v>2022.1</v>
      </c>
      <c r="R2078">
        <v>426707</v>
      </c>
    </row>
    <row r="2079" spans="1:18" x14ac:dyDescent="0.25">
      <c r="A2079" s="170">
        <v>46066</v>
      </c>
      <c r="B2079" s="116">
        <v>2044</v>
      </c>
      <c r="C2079" s="116">
        <v>2034.85</v>
      </c>
      <c r="D2079" s="116">
        <v>2004.25</v>
      </c>
      <c r="E2079" s="116">
        <v>2004.25</v>
      </c>
      <c r="F2079" s="116">
        <v>2034.85</v>
      </c>
      <c r="G2079">
        <v>27895</v>
      </c>
      <c r="H2079" s="116"/>
      <c r="I2079" s="116"/>
      <c r="L2079" s="170">
        <v>46066</v>
      </c>
      <c r="M2079" s="116">
        <v>2034.2</v>
      </c>
      <c r="N2079" s="116">
        <v>2043.9</v>
      </c>
      <c r="O2079" s="116">
        <v>2005.2</v>
      </c>
      <c r="P2079" s="116">
        <v>2039</v>
      </c>
      <c r="Q2079" s="116">
        <v>2034.2</v>
      </c>
      <c r="R2079">
        <v>1240712</v>
      </c>
    </row>
    <row r="2080" spans="1:18" x14ac:dyDescent="0.25">
      <c r="A2080" s="170">
        <v>46069</v>
      </c>
      <c r="B2080" s="116">
        <v>2050</v>
      </c>
      <c r="C2080" s="116">
        <v>2043.55</v>
      </c>
      <c r="D2080" s="116">
        <v>2023.3</v>
      </c>
      <c r="E2080" s="116">
        <v>2026.9</v>
      </c>
      <c r="F2080" s="116">
        <v>2043.55</v>
      </c>
      <c r="G2080">
        <v>14969</v>
      </c>
      <c r="H2080" s="116"/>
      <c r="I2080" s="116"/>
      <c r="L2080" s="170">
        <v>46069</v>
      </c>
      <c r="M2080" s="116">
        <v>2042.4</v>
      </c>
      <c r="N2080" s="116">
        <v>2050.3000000000002</v>
      </c>
      <c r="O2080" s="116">
        <v>2023.8</v>
      </c>
      <c r="P2080" s="116">
        <v>2033.9</v>
      </c>
      <c r="Q2080" s="116">
        <v>2042.4</v>
      </c>
      <c r="R2080">
        <v>580680</v>
      </c>
    </row>
    <row r="2081" spans="1:18" x14ac:dyDescent="0.25">
      <c r="A2081" s="170">
        <v>46070</v>
      </c>
      <c r="B2081" s="116">
        <v>2044.6</v>
      </c>
      <c r="C2081" s="116">
        <v>2038.95</v>
      </c>
      <c r="D2081" s="116">
        <v>2026</v>
      </c>
      <c r="E2081" s="116">
        <v>2026.85</v>
      </c>
      <c r="F2081" s="116">
        <v>2038.95</v>
      </c>
      <c r="G2081">
        <v>6839</v>
      </c>
      <c r="H2081" s="116"/>
      <c r="I2081" s="116"/>
      <c r="L2081" s="170">
        <v>46070</v>
      </c>
      <c r="M2081" s="116">
        <v>2039.5</v>
      </c>
      <c r="N2081" s="116">
        <v>2045</v>
      </c>
      <c r="O2081" s="116">
        <v>2026.6</v>
      </c>
      <c r="P2081" s="116">
        <v>2042.4</v>
      </c>
      <c r="Q2081" s="116">
        <v>2039.5</v>
      </c>
      <c r="R2081">
        <v>377148</v>
      </c>
    </row>
    <row r="2082" spans="1:18" x14ac:dyDescent="0.25">
      <c r="A2082" s="170">
        <v>46071</v>
      </c>
      <c r="B2082" s="116">
        <v>2063.75</v>
      </c>
      <c r="C2082" s="116">
        <v>2058.35</v>
      </c>
      <c r="D2082" s="116">
        <v>2005.45</v>
      </c>
      <c r="E2082" s="116">
        <v>2005.45</v>
      </c>
      <c r="F2082" s="116">
        <v>2058.35</v>
      </c>
      <c r="G2082">
        <v>9567</v>
      </c>
      <c r="H2082" s="116"/>
      <c r="I2082" s="116"/>
      <c r="L2082" s="170">
        <v>46071</v>
      </c>
      <c r="M2082" s="116">
        <v>2059.6</v>
      </c>
      <c r="N2082" s="116">
        <v>2062.4</v>
      </c>
      <c r="O2082" s="116">
        <v>2034.4</v>
      </c>
      <c r="P2082" s="116">
        <v>2034.4</v>
      </c>
      <c r="Q2082" s="116">
        <v>2059.6</v>
      </c>
      <c r="R2082">
        <v>353144</v>
      </c>
    </row>
    <row r="2083" spans="1:18" x14ac:dyDescent="0.25">
      <c r="A2083" s="170">
        <v>46072</v>
      </c>
      <c r="B2083" s="116">
        <v>2066.9</v>
      </c>
      <c r="C2083" s="116">
        <v>2042.55</v>
      </c>
      <c r="D2083" s="116">
        <v>2038</v>
      </c>
      <c r="E2083" s="116">
        <v>2054.9499999999998</v>
      </c>
      <c r="F2083" s="116">
        <v>2042.55</v>
      </c>
      <c r="G2083">
        <v>3841</v>
      </c>
      <c r="H2083" s="116"/>
      <c r="I2083" s="116"/>
      <c r="L2083" s="170">
        <v>46072</v>
      </c>
      <c r="M2083" s="116">
        <v>2043</v>
      </c>
      <c r="N2083" s="116">
        <v>2068</v>
      </c>
      <c r="O2083" s="116">
        <v>2037.6</v>
      </c>
      <c r="P2083" s="116">
        <v>2065</v>
      </c>
      <c r="Q2083" s="116">
        <v>2043</v>
      </c>
      <c r="R2083">
        <v>420142</v>
      </c>
    </row>
    <row r="2084" spans="1:18" x14ac:dyDescent="0.25">
      <c r="A2084" s="170">
        <v>46073</v>
      </c>
      <c r="B2084" s="116">
        <v>2082.1999999999998</v>
      </c>
      <c r="C2084" s="116">
        <v>2080.4</v>
      </c>
      <c r="D2084" s="116">
        <v>2038.35</v>
      </c>
      <c r="E2084" s="116">
        <v>2045.5</v>
      </c>
      <c r="F2084" s="116">
        <v>2080.4</v>
      </c>
      <c r="G2084">
        <v>5852</v>
      </c>
      <c r="H2084" s="116"/>
      <c r="I2084" s="116"/>
      <c r="L2084" s="170">
        <v>46073</v>
      </c>
      <c r="M2084" s="116">
        <v>2080</v>
      </c>
      <c r="N2084" s="116">
        <v>2083.3000000000002</v>
      </c>
      <c r="O2084" s="116">
        <v>2036</v>
      </c>
      <c r="P2084" s="116">
        <v>2042.9</v>
      </c>
      <c r="Q2084" s="116">
        <v>2080</v>
      </c>
      <c r="R2084">
        <v>922200</v>
      </c>
    </row>
    <row r="2085" spans="1:18" x14ac:dyDescent="0.25">
      <c r="A2085" s="170">
        <v>46076</v>
      </c>
      <c r="B2085" s="116">
        <v>2132.9</v>
      </c>
      <c r="C2085" s="116">
        <v>2109.4</v>
      </c>
      <c r="D2085" s="116">
        <v>2075</v>
      </c>
      <c r="E2085" s="116">
        <v>2085.1999999999998</v>
      </c>
      <c r="F2085" s="116">
        <v>2109.4</v>
      </c>
      <c r="G2085">
        <v>31918</v>
      </c>
      <c r="H2085" s="116"/>
      <c r="I2085" s="116"/>
      <c r="L2085" s="170">
        <v>46076</v>
      </c>
      <c r="M2085" s="116">
        <v>2109.6</v>
      </c>
      <c r="N2085" s="116">
        <v>2132</v>
      </c>
      <c r="O2085" s="116">
        <v>2072.1999999999998</v>
      </c>
      <c r="P2085" s="116">
        <v>2089.6999999999998</v>
      </c>
      <c r="Q2085" s="116">
        <v>2109.6</v>
      </c>
      <c r="R2085">
        <v>998892</v>
      </c>
    </row>
    <row r="2086" spans="1:18" x14ac:dyDescent="0.25">
      <c r="A2086" s="170">
        <v>46077</v>
      </c>
      <c r="B2086" s="116">
        <v>2114.1</v>
      </c>
      <c r="C2086" s="116">
        <v>2083.4</v>
      </c>
      <c r="D2086" s="116">
        <v>2078.5</v>
      </c>
      <c r="E2086" s="116">
        <v>2114.1</v>
      </c>
      <c r="F2086" s="116">
        <v>2083.4</v>
      </c>
      <c r="G2086">
        <v>20156</v>
      </c>
      <c r="H2086" s="116"/>
      <c r="I2086" s="116"/>
      <c r="L2086" s="170">
        <v>46077</v>
      </c>
      <c r="M2086" s="116">
        <v>2082.9</v>
      </c>
      <c r="N2086" s="116">
        <v>2119</v>
      </c>
      <c r="O2086" s="116">
        <v>2076.6</v>
      </c>
      <c r="P2086" s="116">
        <v>2109.6</v>
      </c>
      <c r="Q2086" s="116">
        <v>2082.9</v>
      </c>
      <c r="R2086">
        <v>841918</v>
      </c>
    </row>
    <row r="2087" spans="1:18" x14ac:dyDescent="0.25">
      <c r="A2087" s="170">
        <v>46078</v>
      </c>
      <c r="B2087" s="116">
        <v>2105.1</v>
      </c>
      <c r="C2087" s="116">
        <v>2073</v>
      </c>
      <c r="D2087" s="116">
        <v>2068.8000000000002</v>
      </c>
      <c r="E2087" s="116">
        <v>2081.0500000000002</v>
      </c>
      <c r="F2087" s="116">
        <v>2073</v>
      </c>
      <c r="G2087">
        <v>8557</v>
      </c>
      <c r="H2087" s="116"/>
      <c r="I2087" s="116"/>
      <c r="L2087" s="170">
        <v>46078</v>
      </c>
      <c r="M2087" s="116">
        <v>2073.6</v>
      </c>
      <c r="N2087" s="116">
        <v>2106</v>
      </c>
      <c r="O2087" s="116">
        <v>2069.5</v>
      </c>
      <c r="P2087" s="116">
        <v>2089.6999999999998</v>
      </c>
      <c r="Q2087" s="116">
        <v>2073.6</v>
      </c>
      <c r="R2087">
        <v>355352</v>
      </c>
    </row>
    <row r="2088" spans="1:18" x14ac:dyDescent="0.25">
      <c r="A2088" s="170">
        <v>46079</v>
      </c>
      <c r="B2088" s="116">
        <v>2102</v>
      </c>
      <c r="C2088" s="116">
        <v>2082.6</v>
      </c>
      <c r="D2088" s="116">
        <v>2065</v>
      </c>
      <c r="E2088" s="116">
        <v>2065.1999999999998</v>
      </c>
      <c r="F2088" s="116">
        <v>2082.6</v>
      </c>
      <c r="G2088">
        <v>6541</v>
      </c>
      <c r="H2088" s="116"/>
      <c r="I2088" s="116"/>
      <c r="L2088" s="170">
        <v>46079</v>
      </c>
      <c r="M2088" s="116">
        <v>2082.8000000000002</v>
      </c>
      <c r="N2088" s="116">
        <v>2103.4</v>
      </c>
      <c r="O2088" s="116">
        <v>2063.3000000000002</v>
      </c>
      <c r="P2088" s="116">
        <v>2080</v>
      </c>
      <c r="Q2088" s="116">
        <v>2082.8000000000002</v>
      </c>
      <c r="R2088">
        <v>567098</v>
      </c>
    </row>
    <row r="2089" spans="1:18" x14ac:dyDescent="0.25">
      <c r="A2089" s="170">
        <v>46080</v>
      </c>
      <c r="B2089" s="116">
        <v>2093.5</v>
      </c>
      <c r="C2089" s="116">
        <v>2036.4</v>
      </c>
      <c r="D2089" s="116">
        <v>2031.1</v>
      </c>
      <c r="E2089" s="116">
        <v>2082.6</v>
      </c>
      <c r="F2089" s="116">
        <v>2036.4</v>
      </c>
      <c r="G2089">
        <v>19399</v>
      </c>
      <c r="H2089" s="116"/>
      <c r="I2089" s="116"/>
      <c r="L2089" s="170">
        <v>46080</v>
      </c>
      <c r="M2089" s="116">
        <v>2037.2</v>
      </c>
      <c r="N2089" s="116">
        <v>2093.8000000000002</v>
      </c>
      <c r="O2089" s="116">
        <v>2030.9</v>
      </c>
      <c r="P2089" s="116">
        <v>2076.1</v>
      </c>
      <c r="Q2089" s="116">
        <v>2037.2</v>
      </c>
      <c r="R2089">
        <v>1374835</v>
      </c>
    </row>
    <row r="2090" spans="1:18" x14ac:dyDescent="0.25">
      <c r="A2090" s="170">
        <v>46083</v>
      </c>
      <c r="B2090" s="116">
        <v>2052</v>
      </c>
      <c r="C2090" s="116">
        <v>2029.95</v>
      </c>
      <c r="D2090" s="116">
        <v>1997.4</v>
      </c>
      <c r="E2090" s="116">
        <v>2000.9</v>
      </c>
      <c r="F2090" s="116">
        <v>2029.95</v>
      </c>
      <c r="G2090">
        <v>19126</v>
      </c>
      <c r="H2090" s="116"/>
      <c r="I2090" s="116"/>
      <c r="L2090" s="170">
        <v>46083</v>
      </c>
      <c r="M2090" s="116">
        <v>2032.2</v>
      </c>
      <c r="N2090" s="116">
        <v>2053.4</v>
      </c>
      <c r="O2090" s="116">
        <v>1996.5</v>
      </c>
      <c r="P2090" s="116">
        <v>2028</v>
      </c>
      <c r="Q2090" s="116">
        <v>2032.2</v>
      </c>
      <c r="R2090">
        <v>1009225</v>
      </c>
    </row>
    <row r="2091" spans="1:18" x14ac:dyDescent="0.25">
      <c r="A2091" s="170">
        <v>46085</v>
      </c>
      <c r="B2091" s="116">
        <v>2002</v>
      </c>
      <c r="C2091" s="116">
        <v>1930</v>
      </c>
      <c r="D2091" s="116">
        <v>1924</v>
      </c>
      <c r="E2091" s="116">
        <v>2002</v>
      </c>
      <c r="F2091" s="116">
        <v>1930</v>
      </c>
      <c r="G2091">
        <v>16119</v>
      </c>
      <c r="H2091" s="116"/>
      <c r="I2091" s="116"/>
      <c r="L2091" s="170">
        <v>46085</v>
      </c>
      <c r="M2091" s="116">
        <v>1930.6</v>
      </c>
      <c r="N2091" s="116">
        <v>1997.2</v>
      </c>
      <c r="O2091" s="116">
        <v>1923.6</v>
      </c>
      <c r="P2091" s="116">
        <v>1964</v>
      </c>
      <c r="Q2091" s="116">
        <v>1930.6</v>
      </c>
      <c r="R2091">
        <v>966848</v>
      </c>
    </row>
    <row r="2092" spans="1:18" x14ac:dyDescent="0.25">
      <c r="A2092" s="170">
        <v>46086</v>
      </c>
      <c r="B2092" s="116">
        <v>1967.9</v>
      </c>
      <c r="C2092" s="116">
        <v>1947.3</v>
      </c>
      <c r="D2092" s="116">
        <v>1899.05</v>
      </c>
      <c r="E2092" s="116">
        <v>1967.9</v>
      </c>
      <c r="F2092" s="116">
        <v>1947.3</v>
      </c>
      <c r="G2092">
        <v>28241</v>
      </c>
      <c r="H2092" s="116"/>
      <c r="I2092" s="116"/>
      <c r="L2092" s="170">
        <v>46086</v>
      </c>
      <c r="M2092" s="116">
        <v>1945</v>
      </c>
      <c r="N2092" s="116">
        <v>1951.1</v>
      </c>
      <c r="O2092" s="116">
        <v>1898</v>
      </c>
      <c r="P2092" s="116">
        <v>1947.6</v>
      </c>
      <c r="Q2092" s="116">
        <v>1945</v>
      </c>
      <c r="R2092">
        <v>1955176</v>
      </c>
    </row>
    <row r="2093" spans="1:18" x14ac:dyDescent="0.25">
      <c r="A2093" s="170">
        <v>46087</v>
      </c>
      <c r="B2093" s="116">
        <v>1962</v>
      </c>
      <c r="C2093" s="116">
        <v>1940.6</v>
      </c>
      <c r="D2093" s="116">
        <v>1913.5</v>
      </c>
      <c r="E2093" s="116">
        <v>1913.5</v>
      </c>
      <c r="F2093" s="116">
        <v>1940.6</v>
      </c>
      <c r="G2093">
        <v>12522</v>
      </c>
      <c r="H2093" s="116"/>
      <c r="I2093" s="116"/>
      <c r="L2093" s="170">
        <v>46087</v>
      </c>
      <c r="M2093" s="116">
        <v>1941.6</v>
      </c>
      <c r="N2093" s="116">
        <v>1962.9</v>
      </c>
      <c r="O2093" s="116">
        <v>1924.8</v>
      </c>
      <c r="P2093" s="116">
        <v>1930</v>
      </c>
      <c r="Q2093" s="116">
        <v>1941.6</v>
      </c>
      <c r="R2093">
        <v>858666</v>
      </c>
    </row>
    <row r="2094" spans="1:18" x14ac:dyDescent="0.25">
      <c r="A2094" s="170">
        <v>46090</v>
      </c>
      <c r="B2094" s="116">
        <v>1926</v>
      </c>
      <c r="C2094" s="116">
        <v>1911.15</v>
      </c>
      <c r="D2094" s="116">
        <v>1894.25</v>
      </c>
      <c r="E2094" s="116">
        <v>1900</v>
      </c>
      <c r="F2094" s="116">
        <v>1911.15</v>
      </c>
      <c r="G2094">
        <v>442103</v>
      </c>
      <c r="H2094" s="116"/>
      <c r="I2094" s="116"/>
      <c r="L2094" s="170">
        <v>46090</v>
      </c>
      <c r="M2094" s="116">
        <v>1912.5</v>
      </c>
      <c r="N2094" s="116">
        <v>1926.1</v>
      </c>
      <c r="O2094" s="116">
        <v>1890</v>
      </c>
      <c r="P2094" s="116">
        <v>1900</v>
      </c>
      <c r="Q2094" s="116">
        <v>1912.5</v>
      </c>
      <c r="R2094">
        <v>1617012</v>
      </c>
    </row>
    <row r="2095" spans="1:18" x14ac:dyDescent="0.25">
      <c r="A2095" s="170">
        <v>46091</v>
      </c>
      <c r="B2095" s="116">
        <v>1974.85</v>
      </c>
      <c r="C2095" s="116">
        <v>1963.5</v>
      </c>
      <c r="D2095" s="116">
        <v>1927.8</v>
      </c>
      <c r="E2095" s="116">
        <v>1949.25</v>
      </c>
      <c r="F2095" s="116">
        <v>1963.5</v>
      </c>
      <c r="G2095">
        <v>6428</v>
      </c>
      <c r="H2095" s="116"/>
      <c r="I2095" s="116"/>
      <c r="L2095" s="170">
        <v>46091</v>
      </c>
      <c r="M2095" s="116">
        <v>1963.7</v>
      </c>
      <c r="N2095" s="116">
        <v>1974.8</v>
      </c>
      <c r="O2095" s="116">
        <v>1926.5</v>
      </c>
      <c r="P2095" s="116">
        <v>1933.3</v>
      </c>
      <c r="Q2095" s="116">
        <v>1963.7</v>
      </c>
      <c r="R2095">
        <v>587710</v>
      </c>
    </row>
    <row r="2096" spans="1:18" x14ac:dyDescent="0.25">
      <c r="A2096" s="170">
        <v>46092</v>
      </c>
      <c r="B2096" s="116">
        <v>1975.35</v>
      </c>
      <c r="C2096" s="116">
        <v>1936.8</v>
      </c>
      <c r="D2096" s="116">
        <v>1927.9</v>
      </c>
      <c r="E2096" s="116">
        <v>1960.25</v>
      </c>
      <c r="F2096" s="116">
        <v>1936.8</v>
      </c>
      <c r="G2096">
        <v>5880</v>
      </c>
      <c r="H2096" s="116"/>
      <c r="I2096" s="116"/>
      <c r="L2096" s="170">
        <v>46092</v>
      </c>
      <c r="M2096" s="116">
        <v>1938.6</v>
      </c>
      <c r="N2096" s="116">
        <v>1985</v>
      </c>
      <c r="O2096" s="116">
        <v>1927.3</v>
      </c>
      <c r="P2096" s="116">
        <v>1985</v>
      </c>
      <c r="Q2096" s="116">
        <v>1938.6</v>
      </c>
      <c r="R2096">
        <v>829640</v>
      </c>
    </row>
    <row r="2097" spans="1:18" x14ac:dyDescent="0.25">
      <c r="A2097" s="170">
        <v>46093</v>
      </c>
      <c r="B2097" s="116">
        <v>1947.7</v>
      </c>
      <c r="C2097" s="116">
        <v>1941.1</v>
      </c>
      <c r="D2097" s="116">
        <v>1907.1</v>
      </c>
      <c r="E2097" s="116">
        <v>1917.95</v>
      </c>
      <c r="F2097" s="116">
        <v>1941.1</v>
      </c>
      <c r="G2097">
        <v>11740</v>
      </c>
      <c r="H2097" s="116"/>
      <c r="I2097" s="116"/>
      <c r="L2097" s="170">
        <v>46093</v>
      </c>
      <c r="M2097" s="116">
        <v>1939.4</v>
      </c>
      <c r="N2097" s="116">
        <v>1948.1</v>
      </c>
      <c r="O2097" s="116">
        <v>1907</v>
      </c>
      <c r="P2097" s="116">
        <v>1925</v>
      </c>
      <c r="Q2097" s="116">
        <v>1939.4</v>
      </c>
      <c r="R2097">
        <v>868643</v>
      </c>
    </row>
    <row r="2098" spans="1:18" x14ac:dyDescent="0.25">
      <c r="A2098" s="170">
        <v>46094</v>
      </c>
      <c r="B2098" s="116">
        <v>1938.3</v>
      </c>
      <c r="C2098" s="116">
        <v>1904.65</v>
      </c>
      <c r="D2098" s="116">
        <v>1900.7</v>
      </c>
      <c r="E2098" s="116">
        <v>1938.3</v>
      </c>
      <c r="F2098" s="116">
        <v>1904.65</v>
      </c>
      <c r="G2098">
        <v>10437</v>
      </c>
      <c r="H2098" s="116"/>
      <c r="I2098" s="116"/>
      <c r="L2098" s="170">
        <v>46094</v>
      </c>
      <c r="M2098" s="116">
        <v>1904.4</v>
      </c>
      <c r="N2098" s="116">
        <v>1938.9</v>
      </c>
      <c r="O2098" s="116">
        <v>1900.4</v>
      </c>
      <c r="P2098" s="116">
        <v>1932.5</v>
      </c>
      <c r="Q2098" s="116">
        <v>1904.4</v>
      </c>
      <c r="R2098">
        <v>989732</v>
      </c>
    </row>
    <row r="2099" spans="1:18" x14ac:dyDescent="0.25">
      <c r="A2099" s="170">
        <v>46097</v>
      </c>
      <c r="B2099" s="116">
        <v>1916.95</v>
      </c>
      <c r="C2099" s="116">
        <v>1909.65</v>
      </c>
      <c r="D2099" s="116">
        <v>1880.55</v>
      </c>
      <c r="E2099" s="116">
        <v>1885.05</v>
      </c>
      <c r="F2099" s="116">
        <v>1909.65</v>
      </c>
      <c r="G2099">
        <v>14616</v>
      </c>
      <c r="H2099" s="116"/>
      <c r="I2099" s="116"/>
      <c r="L2099" s="170">
        <v>46097</v>
      </c>
      <c r="M2099" s="116">
        <v>1909.2</v>
      </c>
      <c r="N2099" s="116">
        <v>1918</v>
      </c>
      <c r="O2099" s="116">
        <v>1881</v>
      </c>
      <c r="P2099" s="116">
        <v>1901</v>
      </c>
      <c r="Q2099" s="116">
        <v>1909.2</v>
      </c>
      <c r="R2099">
        <v>902404</v>
      </c>
    </row>
    <row r="2100" spans="1:18" x14ac:dyDescent="0.25">
      <c r="A2100" s="170">
        <v>46098</v>
      </c>
      <c r="B2100" s="116">
        <v>1938.45</v>
      </c>
      <c r="C2100" s="116">
        <v>1932.05</v>
      </c>
      <c r="D2100" s="116">
        <v>1885.05</v>
      </c>
      <c r="E2100" s="116">
        <v>1885.05</v>
      </c>
      <c r="F2100" s="116">
        <v>1932.05</v>
      </c>
      <c r="G2100">
        <v>183836</v>
      </c>
      <c r="H2100" s="116"/>
      <c r="I2100" s="116"/>
      <c r="L2100" s="170">
        <v>46098</v>
      </c>
      <c r="M2100" s="116">
        <v>1932.1</v>
      </c>
      <c r="N2100" s="116">
        <v>1938.7</v>
      </c>
      <c r="O2100" s="116">
        <v>1901.5</v>
      </c>
      <c r="P2100" s="116">
        <v>1903</v>
      </c>
      <c r="Q2100" s="116">
        <v>1932.1</v>
      </c>
      <c r="R2100">
        <v>1255806</v>
      </c>
    </row>
    <row r="2101" spans="1:18" x14ac:dyDescent="0.25">
      <c r="A2101" s="170">
        <v>46099</v>
      </c>
      <c r="B2101" s="116">
        <v>1973.75</v>
      </c>
      <c r="C2101" s="116">
        <v>1961.9</v>
      </c>
      <c r="D2101" s="116">
        <v>1932.05</v>
      </c>
      <c r="E2101" s="116">
        <v>1932.05</v>
      </c>
      <c r="F2101" s="116">
        <v>1961.9</v>
      </c>
      <c r="G2101">
        <v>5001</v>
      </c>
      <c r="H2101" s="116"/>
      <c r="I2101" s="116"/>
      <c r="L2101" s="170">
        <v>46099</v>
      </c>
      <c r="M2101" s="116">
        <v>1962.5</v>
      </c>
      <c r="N2101" s="116">
        <v>1974.7</v>
      </c>
      <c r="O2101" s="116">
        <v>1932</v>
      </c>
      <c r="P2101" s="116">
        <v>1932</v>
      </c>
      <c r="Q2101" s="116">
        <v>1962.5</v>
      </c>
      <c r="R2101">
        <v>705652</v>
      </c>
    </row>
    <row r="2102" spans="1:18" x14ac:dyDescent="0.25">
      <c r="A2102" s="170">
        <v>46100</v>
      </c>
      <c r="B2102" s="116">
        <v>1954.2</v>
      </c>
      <c r="C2102" s="116">
        <v>1903.05</v>
      </c>
      <c r="D2102" s="116">
        <v>1899.15</v>
      </c>
      <c r="E2102" s="116">
        <v>1951.1</v>
      </c>
      <c r="F2102" s="116">
        <v>1903.05</v>
      </c>
      <c r="G2102">
        <v>12918</v>
      </c>
      <c r="H2102" s="116"/>
      <c r="I2102" s="116"/>
      <c r="L2102" s="170">
        <v>46100</v>
      </c>
      <c r="M2102" s="116">
        <v>1903.1</v>
      </c>
      <c r="N2102" s="116">
        <v>1956.2</v>
      </c>
      <c r="O2102" s="116">
        <v>1897.5</v>
      </c>
      <c r="P2102" s="116">
        <v>1950</v>
      </c>
      <c r="Q2102" s="116">
        <v>1903.1</v>
      </c>
      <c r="R2102">
        <v>741211</v>
      </c>
    </row>
    <row r="2103" spans="1:18" x14ac:dyDescent="0.25">
      <c r="A2103" s="170">
        <v>46101</v>
      </c>
      <c r="B2103" s="116">
        <v>1914.85</v>
      </c>
      <c r="C2103" s="116">
        <v>1894.7</v>
      </c>
      <c r="D2103" s="116">
        <v>1890</v>
      </c>
      <c r="E2103" s="116">
        <v>1903.2</v>
      </c>
      <c r="F2103" s="116">
        <v>1894.7</v>
      </c>
      <c r="G2103">
        <v>12844</v>
      </c>
      <c r="H2103" s="116"/>
      <c r="I2103" s="116"/>
      <c r="L2103" s="170">
        <v>46101</v>
      </c>
      <c r="M2103" s="116">
        <v>1896.9</v>
      </c>
      <c r="N2103" s="116">
        <v>1919.9</v>
      </c>
      <c r="O2103" s="116">
        <v>1890</v>
      </c>
      <c r="P2103" s="116">
        <v>1906.9</v>
      </c>
      <c r="Q2103" s="116">
        <v>1896.9</v>
      </c>
      <c r="R2103">
        <v>1782505</v>
      </c>
    </row>
    <row r="2104" spans="1:18" x14ac:dyDescent="0.25">
      <c r="A2104" s="170">
        <v>46104</v>
      </c>
      <c r="B2104" s="116">
        <v>1887.5</v>
      </c>
      <c r="C2104" s="116">
        <v>1832.45</v>
      </c>
      <c r="D2104" s="116">
        <v>1812</v>
      </c>
      <c r="E2104" s="116">
        <v>1885</v>
      </c>
      <c r="F2104" s="116">
        <v>1832.45</v>
      </c>
      <c r="G2104">
        <v>11299</v>
      </c>
      <c r="H2104" s="116"/>
      <c r="I2104" s="116"/>
      <c r="L2104" s="170">
        <v>46104</v>
      </c>
      <c r="M2104" s="116">
        <v>1832.3</v>
      </c>
      <c r="N2104" s="116">
        <v>1889.8</v>
      </c>
      <c r="O2104" s="116">
        <v>1811.5</v>
      </c>
      <c r="P2104" s="116">
        <v>1875</v>
      </c>
      <c r="Q2104" s="116">
        <v>1832.3</v>
      </c>
      <c r="R2104">
        <v>1338816</v>
      </c>
    </row>
    <row r="2105" spans="1:18" x14ac:dyDescent="0.25">
      <c r="A2105" s="170">
        <v>46105</v>
      </c>
      <c r="B2105" s="116">
        <v>1866.55</v>
      </c>
      <c r="C2105" s="116">
        <v>1835.95</v>
      </c>
      <c r="D2105" s="116">
        <v>1812.2</v>
      </c>
      <c r="E2105" s="116">
        <v>1840</v>
      </c>
      <c r="F2105" s="116">
        <v>1835.95</v>
      </c>
      <c r="G2105">
        <v>19353</v>
      </c>
      <c r="H2105" s="116"/>
      <c r="I2105" s="116"/>
      <c r="L2105" s="170">
        <v>46105</v>
      </c>
      <c r="M2105" s="116">
        <v>1836</v>
      </c>
      <c r="N2105" s="116">
        <v>1866.5</v>
      </c>
      <c r="O2105" s="116">
        <v>1812.2</v>
      </c>
      <c r="P2105" s="116">
        <v>1842</v>
      </c>
      <c r="Q2105" s="116">
        <v>1836</v>
      </c>
      <c r="R2105">
        <v>1403010</v>
      </c>
    </row>
    <row r="2106" spans="1:18" x14ac:dyDescent="0.25">
      <c r="A2106" s="170">
        <v>46106</v>
      </c>
      <c r="B2106" s="116">
        <v>1867.05</v>
      </c>
      <c r="C2106" s="116">
        <v>1851.3</v>
      </c>
      <c r="D2106" s="116">
        <v>1834.3</v>
      </c>
      <c r="E2106" s="116">
        <v>1834.3</v>
      </c>
      <c r="F2106" s="116">
        <v>1851.3</v>
      </c>
      <c r="G2106">
        <v>122551</v>
      </c>
      <c r="H2106" s="116"/>
      <c r="I2106" s="116"/>
      <c r="L2106" s="170">
        <v>46106</v>
      </c>
      <c r="M2106" s="116">
        <v>1851.8</v>
      </c>
      <c r="N2106" s="116">
        <v>1867.4</v>
      </c>
      <c r="O2106" s="116">
        <v>1839.2</v>
      </c>
      <c r="P2106" s="116">
        <v>1845.3</v>
      </c>
      <c r="Q2106" s="116">
        <v>1851.8</v>
      </c>
      <c r="R2106">
        <v>1167758</v>
      </c>
    </row>
    <row r="2107" spans="1:18" x14ac:dyDescent="0.25">
      <c r="A2107" s="170">
        <v>46108</v>
      </c>
      <c r="B2107" s="116">
        <v>1849.95</v>
      </c>
      <c r="C2107" s="116">
        <v>1837.7</v>
      </c>
      <c r="D2107" s="116">
        <v>1826</v>
      </c>
      <c r="E2107" s="116">
        <v>1849.95</v>
      </c>
      <c r="F2107" s="116">
        <v>1837.7</v>
      </c>
      <c r="G2107">
        <v>84282</v>
      </c>
      <c r="H2107" s="116"/>
      <c r="I2107" s="116"/>
      <c r="L2107" s="170">
        <v>46108</v>
      </c>
      <c r="M2107" s="116">
        <v>1837.6</v>
      </c>
      <c r="N2107" s="116">
        <v>1851.1</v>
      </c>
      <c r="O2107" s="116">
        <v>1828.9</v>
      </c>
      <c r="P2107" s="116">
        <v>1835.2</v>
      </c>
      <c r="Q2107" s="116">
        <v>1837.6</v>
      </c>
      <c r="R2107">
        <v>1156884</v>
      </c>
    </row>
    <row r="2108" spans="1:18" x14ac:dyDescent="0.25">
      <c r="A2108" s="170">
        <v>46111</v>
      </c>
      <c r="B2108" s="116">
        <v>1824.8</v>
      </c>
      <c r="C2108" s="116">
        <v>1777.65</v>
      </c>
      <c r="D2108" s="116">
        <v>1773</v>
      </c>
      <c r="E2108" s="116">
        <v>1801.15</v>
      </c>
      <c r="F2108" s="116">
        <v>1777.65</v>
      </c>
      <c r="G2108">
        <v>21806</v>
      </c>
      <c r="H2108" s="116"/>
      <c r="I2108" s="116"/>
      <c r="L2108" s="170">
        <v>46111</v>
      </c>
      <c r="M2108" s="116">
        <v>1777.3</v>
      </c>
      <c r="N2108" s="116">
        <v>1828.4</v>
      </c>
      <c r="O2108" s="116">
        <v>1766</v>
      </c>
      <c r="P2108" s="116">
        <v>1820.8</v>
      </c>
      <c r="Q2108" s="116">
        <v>1777.3</v>
      </c>
      <c r="R2108">
        <v>2274502</v>
      </c>
    </row>
    <row r="2109" spans="1:18" x14ac:dyDescent="0.25">
      <c r="A2109" s="170">
        <v>46113</v>
      </c>
      <c r="B2109" s="116">
        <v>1839.65</v>
      </c>
      <c r="C2109" s="116">
        <v>1789.15</v>
      </c>
      <c r="D2109" s="116">
        <v>1761.95</v>
      </c>
      <c r="E2109" s="116">
        <v>1778.15</v>
      </c>
      <c r="F2109" s="116">
        <v>1789.15</v>
      </c>
      <c r="G2109">
        <v>19499</v>
      </c>
      <c r="H2109" s="116"/>
      <c r="I2109" s="116"/>
      <c r="L2109" s="170">
        <v>46113</v>
      </c>
      <c r="M2109" s="116">
        <v>1790.5</v>
      </c>
      <c r="N2109" s="116">
        <v>1845.6</v>
      </c>
      <c r="O2109" s="116">
        <v>1762.5</v>
      </c>
      <c r="P2109" s="116">
        <v>1828.4</v>
      </c>
      <c r="Q2109" s="116">
        <v>1790.5</v>
      </c>
      <c r="R2109">
        <v>1132054</v>
      </c>
    </row>
    <row r="2110" spans="1:18" x14ac:dyDescent="0.25">
      <c r="A2110" s="170">
        <v>46114</v>
      </c>
      <c r="B2110" s="116">
        <v>1783.05</v>
      </c>
      <c r="C2110" s="116">
        <v>1773.75</v>
      </c>
      <c r="D2110" s="116">
        <v>1730</v>
      </c>
      <c r="E2110" s="116">
        <v>1783.05</v>
      </c>
      <c r="F2110" s="116">
        <v>1773.75</v>
      </c>
      <c r="G2110">
        <v>30808</v>
      </c>
      <c r="H2110" s="116"/>
      <c r="I2110" s="116"/>
      <c r="L2110" s="170">
        <v>46114</v>
      </c>
      <c r="M2110" s="116">
        <v>1774</v>
      </c>
      <c r="N2110" s="116">
        <v>1778.9</v>
      </c>
      <c r="O2110" s="116">
        <v>1728.1</v>
      </c>
      <c r="P2110" s="116">
        <v>1760</v>
      </c>
      <c r="Q2110" s="116">
        <v>1774</v>
      </c>
      <c r="R2110">
        <v>1494738</v>
      </c>
    </row>
    <row r="2111" spans="1:18" x14ac:dyDescent="0.25">
      <c r="A2111" s="170">
        <v>46118</v>
      </c>
      <c r="B2111" s="116">
        <v>1844.8</v>
      </c>
      <c r="C2111" s="116">
        <v>1838.8</v>
      </c>
      <c r="D2111" s="116">
        <v>1761.4</v>
      </c>
      <c r="E2111" s="116">
        <v>1768.6</v>
      </c>
      <c r="F2111" s="116">
        <v>1838.8</v>
      </c>
      <c r="G2111">
        <v>157229</v>
      </c>
      <c r="H2111" s="116"/>
      <c r="I2111" s="116"/>
      <c r="L2111" s="170">
        <v>46118</v>
      </c>
      <c r="M2111" s="116">
        <v>1836.8</v>
      </c>
      <c r="N2111" s="116">
        <v>1844.5</v>
      </c>
      <c r="O2111" s="116">
        <v>1757.5</v>
      </c>
      <c r="P2111" s="116">
        <v>1757.5</v>
      </c>
      <c r="Q2111" s="116">
        <v>1836.8</v>
      </c>
      <c r="R2111">
        <v>1721071</v>
      </c>
    </row>
    <row r="2112" spans="1:18" x14ac:dyDescent="0.25">
      <c r="A2112" s="170">
        <v>46119</v>
      </c>
      <c r="B2112" s="116">
        <v>1845</v>
      </c>
      <c r="C2112" s="116">
        <v>1841.45</v>
      </c>
      <c r="D2112" s="116">
        <v>1806.2</v>
      </c>
      <c r="E2112" s="116">
        <v>1838.45</v>
      </c>
      <c r="F2112" s="116">
        <v>1841.45</v>
      </c>
      <c r="G2112">
        <v>10204</v>
      </c>
      <c r="H2112" s="116"/>
      <c r="I2112" s="116"/>
      <c r="L2112" s="170">
        <v>46119</v>
      </c>
      <c r="M2112" s="116">
        <v>1841.4</v>
      </c>
      <c r="N2112" s="116">
        <v>1845.9</v>
      </c>
      <c r="O2112" s="116">
        <v>1805.5</v>
      </c>
      <c r="P2112" s="116">
        <v>1814.5</v>
      </c>
      <c r="Q2112" s="116">
        <v>1841.4</v>
      </c>
      <c r="R2112">
        <v>974742</v>
      </c>
    </row>
    <row r="2113" spans="1:18" x14ac:dyDescent="0.25">
      <c r="A2113" s="170">
        <v>46120</v>
      </c>
      <c r="B2113" s="116">
        <v>1922.4</v>
      </c>
      <c r="C2113" s="116">
        <v>1907.45</v>
      </c>
      <c r="D2113" s="116">
        <v>1875</v>
      </c>
      <c r="E2113" s="116">
        <v>1896.75</v>
      </c>
      <c r="F2113" s="116">
        <v>1907.45</v>
      </c>
      <c r="G2113">
        <v>16591</v>
      </c>
      <c r="H2113" s="116"/>
      <c r="I2113" s="116"/>
      <c r="L2113" s="170">
        <v>46120</v>
      </c>
      <c r="M2113" s="116">
        <v>1907.6</v>
      </c>
      <c r="N2113" s="116">
        <v>1923</v>
      </c>
      <c r="O2113" s="116">
        <v>1870</v>
      </c>
      <c r="P2113" s="116">
        <v>1880</v>
      </c>
      <c r="Q2113" s="116">
        <v>1907.6</v>
      </c>
      <c r="R2113">
        <v>1104494</v>
      </c>
    </row>
    <row r="2114" spans="1:18" x14ac:dyDescent="0.25">
      <c r="A2114" s="170">
        <v>46121</v>
      </c>
      <c r="B2114" s="116">
        <v>1929.9</v>
      </c>
      <c r="C2114" s="116">
        <v>1903.6</v>
      </c>
      <c r="D2114" s="116">
        <v>1882.4</v>
      </c>
      <c r="E2114" s="116">
        <v>1892.1</v>
      </c>
      <c r="F2114" s="116">
        <v>1903.6</v>
      </c>
      <c r="G2114">
        <v>22408</v>
      </c>
      <c r="H2114" s="116"/>
      <c r="I2114" s="116"/>
      <c r="L2114" s="170">
        <v>46121</v>
      </c>
      <c r="M2114" s="116">
        <v>1904</v>
      </c>
      <c r="N2114" s="116">
        <v>1930</v>
      </c>
      <c r="O2114" s="116">
        <v>1881.1</v>
      </c>
      <c r="P2114" s="116">
        <v>1907</v>
      </c>
      <c r="Q2114" s="116">
        <v>1904</v>
      </c>
      <c r="R2114">
        <v>1330082</v>
      </c>
    </row>
    <row r="2115" spans="1:18" x14ac:dyDescent="0.25">
      <c r="A2115" s="170">
        <v>46122</v>
      </c>
      <c r="B2115" s="116">
        <v>1950</v>
      </c>
      <c r="C2115" s="116">
        <v>1921.05</v>
      </c>
      <c r="D2115" s="116">
        <v>1908.95</v>
      </c>
      <c r="E2115" s="116">
        <v>1908.95</v>
      </c>
      <c r="F2115" s="116">
        <v>1921.05</v>
      </c>
      <c r="G2115">
        <v>10377</v>
      </c>
      <c r="H2115" s="116"/>
      <c r="I2115" s="116"/>
      <c r="L2115" s="170">
        <v>46122</v>
      </c>
      <c r="M2115" s="116">
        <v>1923.2</v>
      </c>
      <c r="N2115" s="116">
        <v>1950.6</v>
      </c>
      <c r="O2115" s="116">
        <v>1914.3</v>
      </c>
      <c r="P2115" s="116">
        <v>1914.9</v>
      </c>
      <c r="Q2115" s="116">
        <v>1923.2</v>
      </c>
      <c r="R2115">
        <v>763543</v>
      </c>
    </row>
    <row r="2116" spans="1:18" x14ac:dyDescent="0.25">
      <c r="A2116" s="170">
        <v>46125</v>
      </c>
      <c r="B2116" s="116">
        <v>1931.2</v>
      </c>
      <c r="C2116" s="116">
        <v>1914.35</v>
      </c>
      <c r="D2116" s="116">
        <v>1889.75</v>
      </c>
      <c r="E2116" s="116">
        <v>1914.6</v>
      </c>
      <c r="F2116" s="116">
        <v>1914.35</v>
      </c>
      <c r="G2116">
        <v>69516</v>
      </c>
      <c r="H2116" s="116"/>
      <c r="I2116" s="116"/>
      <c r="L2116" s="170">
        <v>46125</v>
      </c>
      <c r="M2116" s="116">
        <v>1914.4</v>
      </c>
      <c r="N2116" s="116">
        <v>1931.8</v>
      </c>
      <c r="O2116" s="116">
        <v>1889</v>
      </c>
      <c r="P2116" s="116">
        <v>1909</v>
      </c>
      <c r="Q2116" s="116">
        <v>1914.4</v>
      </c>
      <c r="R2116">
        <v>638729</v>
      </c>
    </row>
    <row r="2117" spans="1:18" x14ac:dyDescent="0.25">
      <c r="A2117" s="170">
        <v>46127</v>
      </c>
      <c r="B2117" s="116">
        <v>1973.45</v>
      </c>
      <c r="C2117" s="116">
        <v>1970.65</v>
      </c>
      <c r="D2117" s="116">
        <v>1926.8</v>
      </c>
      <c r="E2117" s="116">
        <v>1945.5</v>
      </c>
      <c r="F2117" s="116">
        <v>1970.65</v>
      </c>
      <c r="G2117">
        <v>13791</v>
      </c>
      <c r="H2117" s="116"/>
      <c r="I2117" s="116"/>
      <c r="L2117" s="170">
        <v>46127</v>
      </c>
      <c r="M2117" s="116">
        <v>1971</v>
      </c>
      <c r="N2117" s="116">
        <v>1974.2</v>
      </c>
      <c r="O2117" s="116">
        <v>1928.1</v>
      </c>
      <c r="P2117" s="116">
        <v>1929.8</v>
      </c>
      <c r="Q2117" s="116">
        <v>1971</v>
      </c>
      <c r="R2117">
        <v>1341053</v>
      </c>
    </row>
    <row r="2118" spans="1:18" x14ac:dyDescent="0.25">
      <c r="A2118" s="170">
        <v>46128</v>
      </c>
      <c r="B2118" s="116">
        <v>1990.75</v>
      </c>
      <c r="C2118" s="116">
        <v>1974.25</v>
      </c>
      <c r="D2118" s="116">
        <v>1964</v>
      </c>
      <c r="E2118" s="116">
        <v>1989.85</v>
      </c>
      <c r="F2118" s="116">
        <v>1974.25</v>
      </c>
      <c r="G2118">
        <v>16528</v>
      </c>
      <c r="H2118" s="116"/>
      <c r="I2118" s="116"/>
      <c r="L2118" s="170">
        <v>46128</v>
      </c>
      <c r="M2118" s="116">
        <v>1974.7</v>
      </c>
      <c r="N2118" s="116">
        <v>1990.9</v>
      </c>
      <c r="O2118" s="116">
        <v>1962.1</v>
      </c>
      <c r="P2118" s="116">
        <v>1971.1</v>
      </c>
      <c r="Q2118" s="116">
        <v>1974.7</v>
      </c>
      <c r="R2118">
        <v>642257</v>
      </c>
    </row>
    <row r="2119" spans="1:18" x14ac:dyDescent="0.25">
      <c r="A2119" s="170">
        <v>46129</v>
      </c>
      <c r="B2119" s="116">
        <v>1975.9</v>
      </c>
      <c r="C2119" s="116">
        <v>1970.8</v>
      </c>
      <c r="D2119" s="116">
        <v>1954.8</v>
      </c>
      <c r="E2119" s="116">
        <v>1974.9</v>
      </c>
      <c r="F2119" s="116">
        <v>1970.8</v>
      </c>
      <c r="G2119">
        <v>6279</v>
      </c>
      <c r="H2119" s="116"/>
      <c r="I2119" s="116"/>
      <c r="L2119" s="170">
        <v>46129</v>
      </c>
      <c r="M2119" s="116">
        <v>1970.9</v>
      </c>
      <c r="N2119" s="116">
        <v>1975.8</v>
      </c>
      <c r="O2119" s="116">
        <v>1954.9</v>
      </c>
      <c r="P2119" s="116">
        <v>1967</v>
      </c>
      <c r="Q2119" s="116">
        <v>1970.9</v>
      </c>
      <c r="R2119">
        <v>533713</v>
      </c>
    </row>
    <row r="2120" spans="1:18" x14ac:dyDescent="0.25">
      <c r="A2120" s="170">
        <v>46132</v>
      </c>
      <c r="B2120" s="116">
        <v>1987.65</v>
      </c>
      <c r="C2120" s="116">
        <v>1980.85</v>
      </c>
      <c r="D2120" s="116">
        <v>1957.95</v>
      </c>
      <c r="E2120" s="116">
        <v>1971.9</v>
      </c>
      <c r="F2120" s="116">
        <v>1980.85</v>
      </c>
      <c r="G2120">
        <v>7846</v>
      </c>
      <c r="H2120" s="116"/>
      <c r="I2120" s="116"/>
      <c r="L2120" s="170">
        <v>46132</v>
      </c>
      <c r="M2120" s="116">
        <v>1982.5</v>
      </c>
      <c r="N2120" s="116">
        <v>1989.6</v>
      </c>
      <c r="O2120" s="116">
        <v>1956.6</v>
      </c>
      <c r="P2120" s="116">
        <v>1976.3</v>
      </c>
      <c r="Q2120" s="116">
        <v>1982.5</v>
      </c>
      <c r="R2120">
        <v>1033871</v>
      </c>
    </row>
    <row r="2121" spans="1:18" x14ac:dyDescent="0.25">
      <c r="A2121" s="170">
        <v>46133</v>
      </c>
      <c r="B2121" s="116">
        <v>1980.45</v>
      </c>
      <c r="C2121" s="116">
        <v>1912.35</v>
      </c>
      <c r="D2121" s="116">
        <v>1892.5</v>
      </c>
      <c r="E2121" s="116">
        <v>1980.45</v>
      </c>
      <c r="F2121" s="116">
        <v>1912.35</v>
      </c>
      <c r="G2121">
        <v>128128</v>
      </c>
      <c r="H2121" s="116"/>
      <c r="I2121" s="116"/>
      <c r="L2121" s="170">
        <v>46133</v>
      </c>
      <c r="M2121" s="116">
        <v>1911.6</v>
      </c>
      <c r="N2121" s="116">
        <v>1975.8</v>
      </c>
      <c r="O2121" s="116">
        <v>1891.7</v>
      </c>
      <c r="P2121" s="116">
        <v>1974.4</v>
      </c>
      <c r="Q2121" s="116">
        <v>1911.6</v>
      </c>
      <c r="R2121">
        <v>5153618</v>
      </c>
    </row>
    <row r="2122" spans="1:18" x14ac:dyDescent="0.25">
      <c r="A2122" s="170">
        <v>46134</v>
      </c>
      <c r="B2122" s="116">
        <v>1930</v>
      </c>
      <c r="C2122" s="116">
        <v>1884.75</v>
      </c>
      <c r="D2122" s="116">
        <v>1880.05</v>
      </c>
      <c r="E2122" s="116">
        <v>1913</v>
      </c>
      <c r="F2122" s="116">
        <v>1884.75</v>
      </c>
      <c r="G2122">
        <v>242972</v>
      </c>
      <c r="H2122" s="116"/>
      <c r="I2122" s="116"/>
      <c r="L2122" s="170">
        <v>46134</v>
      </c>
      <c r="M2122" s="116">
        <v>1884.8</v>
      </c>
      <c r="N2122" s="116">
        <v>1930.6</v>
      </c>
      <c r="O2122" s="116">
        <v>1880</v>
      </c>
      <c r="P2122" s="116">
        <v>1910</v>
      </c>
      <c r="Q2122" s="116">
        <v>1884.8</v>
      </c>
      <c r="R2122">
        <v>4044590</v>
      </c>
    </row>
    <row r="2123" spans="1:18" x14ac:dyDescent="0.25">
      <c r="A2123" s="170">
        <v>46135</v>
      </c>
      <c r="B2123" s="116">
        <v>1886.1</v>
      </c>
      <c r="C2123" s="116">
        <v>1827.45</v>
      </c>
      <c r="D2123" s="116">
        <v>1808.8</v>
      </c>
      <c r="E2123" s="116">
        <v>1874.1</v>
      </c>
      <c r="F2123" s="116">
        <v>1827.45</v>
      </c>
      <c r="G2123">
        <v>151358</v>
      </c>
      <c r="H2123" s="116"/>
      <c r="I2123" s="116"/>
      <c r="L2123" s="170">
        <v>46135</v>
      </c>
      <c r="M2123" s="116">
        <v>1828.1</v>
      </c>
      <c r="N2123" s="116">
        <v>1886.7</v>
      </c>
      <c r="O2123" s="116">
        <v>1807.7</v>
      </c>
      <c r="P2123" s="116">
        <v>1865</v>
      </c>
      <c r="Q2123" s="116">
        <v>1828.1</v>
      </c>
      <c r="R2123">
        <v>4199895</v>
      </c>
    </row>
    <row r="2124" spans="1:18" x14ac:dyDescent="0.25">
      <c r="A2124" s="170">
        <v>46136</v>
      </c>
      <c r="B2124" s="116">
        <v>1836</v>
      </c>
      <c r="C2124" s="116">
        <v>1767.3</v>
      </c>
      <c r="D2124" s="116">
        <v>1761.2</v>
      </c>
      <c r="E2124" s="116">
        <v>1829.95</v>
      </c>
      <c r="F2124" s="116">
        <v>1767.3</v>
      </c>
      <c r="G2124">
        <v>90621</v>
      </c>
      <c r="H2124" s="116"/>
      <c r="I2124" s="116"/>
      <c r="L2124" s="170">
        <v>46136</v>
      </c>
      <c r="M2124" s="116">
        <v>1768.9</v>
      </c>
      <c r="N2124" s="116">
        <v>1836.3</v>
      </c>
      <c r="O2124" s="116">
        <v>1762.1</v>
      </c>
      <c r="P2124" s="116">
        <v>1817</v>
      </c>
      <c r="Q2124" s="116">
        <v>1768.9</v>
      </c>
      <c r="R2124">
        <v>5283235</v>
      </c>
    </row>
    <row r="2125" spans="1:18" x14ac:dyDescent="0.25">
      <c r="A2125" s="170">
        <v>46139</v>
      </c>
      <c r="B2125" s="116">
        <v>1819</v>
      </c>
      <c r="C2125" s="116">
        <v>1815.05</v>
      </c>
      <c r="D2125" s="116">
        <v>1759.55</v>
      </c>
      <c r="E2125" s="116">
        <v>1771</v>
      </c>
      <c r="F2125" s="116">
        <v>1815.05</v>
      </c>
      <c r="G2125">
        <v>577920</v>
      </c>
      <c r="H2125" s="116"/>
      <c r="I2125" s="116"/>
      <c r="L2125" s="170">
        <v>46139</v>
      </c>
      <c r="M2125" s="116">
        <v>1815.4</v>
      </c>
      <c r="N2125" s="116">
        <v>1818.5</v>
      </c>
      <c r="O2125" s="116">
        <v>1759</v>
      </c>
      <c r="P2125" s="116">
        <v>1768.9</v>
      </c>
      <c r="Q2125" s="116">
        <v>1815.4</v>
      </c>
      <c r="R2125">
        <v>1918952</v>
      </c>
    </row>
    <row r="2126" spans="1:18" x14ac:dyDescent="0.25">
      <c r="A2126" s="170">
        <v>46140</v>
      </c>
      <c r="B2126" s="116">
        <v>1849.5</v>
      </c>
      <c r="C2126" s="116">
        <v>1808.05</v>
      </c>
      <c r="D2126" s="116">
        <v>1799.15</v>
      </c>
      <c r="E2126" s="116">
        <v>1849.5</v>
      </c>
      <c r="F2126" s="116">
        <v>1808.05</v>
      </c>
      <c r="G2126">
        <v>24891</v>
      </c>
      <c r="H2126" s="116"/>
      <c r="I2126" s="116"/>
      <c r="L2126" s="170">
        <v>46140</v>
      </c>
      <c r="M2126" s="116">
        <v>1808.3</v>
      </c>
      <c r="N2126" s="116">
        <v>1824</v>
      </c>
      <c r="O2126" s="116">
        <v>1798.8</v>
      </c>
      <c r="P2126" s="116">
        <v>1814.6</v>
      </c>
      <c r="Q2126" s="116">
        <v>1808.3</v>
      </c>
      <c r="R2126">
        <v>1487099</v>
      </c>
    </row>
    <row r="2127" spans="1:18" x14ac:dyDescent="0.25">
      <c r="A2127" s="170">
        <v>46141</v>
      </c>
      <c r="B2127" s="116">
        <v>1829.2</v>
      </c>
      <c r="C2127" s="116">
        <v>1821.3</v>
      </c>
      <c r="D2127" s="116">
        <v>1795</v>
      </c>
      <c r="E2127" s="116">
        <v>1828.35</v>
      </c>
      <c r="F2127" s="116">
        <v>1821.3</v>
      </c>
      <c r="G2127">
        <v>28056</v>
      </c>
      <c r="H2127" s="116"/>
      <c r="I2127" s="116"/>
      <c r="L2127" s="170">
        <v>46141</v>
      </c>
      <c r="M2127" s="116">
        <v>1816.2</v>
      </c>
      <c r="N2127" s="116">
        <v>1829.5</v>
      </c>
      <c r="O2127" s="116">
        <v>1792.9</v>
      </c>
      <c r="P2127" s="116">
        <v>1808.6</v>
      </c>
      <c r="Q2127" s="116">
        <v>1816.2</v>
      </c>
      <c r="R2127">
        <v>1431080</v>
      </c>
    </row>
    <row r="2128" spans="1:18" x14ac:dyDescent="0.25">
      <c r="A2128" s="170">
        <v>46142</v>
      </c>
      <c r="B2128" s="116">
        <v>1825.6</v>
      </c>
      <c r="C2128" s="116">
        <v>1819.8</v>
      </c>
      <c r="D2128" s="116">
        <v>1785.9</v>
      </c>
      <c r="E2128" s="116">
        <v>1816.3</v>
      </c>
      <c r="F2128" s="116">
        <v>1819.8</v>
      </c>
      <c r="G2128">
        <v>39697</v>
      </c>
      <c r="H2128" s="116"/>
      <c r="I2128" s="116"/>
      <c r="L2128" s="170">
        <v>46142</v>
      </c>
      <c r="M2128" s="116">
        <v>1819</v>
      </c>
      <c r="N2128" s="116">
        <v>1826</v>
      </c>
      <c r="O2128" s="116">
        <v>1785.2</v>
      </c>
      <c r="P2128" s="116">
        <v>1814.9</v>
      </c>
      <c r="Q2128" s="116">
        <v>1819</v>
      </c>
      <c r="R2128">
        <v>1082053</v>
      </c>
    </row>
    <row r="2129" spans="1:18" x14ac:dyDescent="0.25">
      <c r="A2129" s="170">
        <v>46146</v>
      </c>
      <c r="B2129" s="116">
        <v>1844.8</v>
      </c>
      <c r="C2129" s="116">
        <v>1818.75</v>
      </c>
      <c r="D2129" s="116">
        <v>1811.05</v>
      </c>
      <c r="E2129" s="116">
        <v>1817.95</v>
      </c>
      <c r="F2129" s="116">
        <v>1818.75</v>
      </c>
      <c r="G2129">
        <v>33458</v>
      </c>
      <c r="H2129" s="116"/>
      <c r="I2129" s="116"/>
      <c r="L2129" s="170">
        <v>46146</v>
      </c>
      <c r="M2129" s="116">
        <v>1820.1</v>
      </c>
      <c r="N2129" s="116">
        <v>1845</v>
      </c>
      <c r="O2129" s="116">
        <v>1810.1</v>
      </c>
      <c r="P2129" s="116">
        <v>1810.1</v>
      </c>
      <c r="Q2129" s="116">
        <v>1820.1</v>
      </c>
      <c r="R2129">
        <v>1929706</v>
      </c>
    </row>
    <row r="2130" spans="1:18" x14ac:dyDescent="0.25">
      <c r="A2130" s="170">
        <v>46147</v>
      </c>
      <c r="B2130" s="116">
        <v>1834.5</v>
      </c>
      <c r="C2130" s="116">
        <v>1821.95</v>
      </c>
      <c r="D2130" s="116">
        <v>1803.75</v>
      </c>
      <c r="E2130" s="116">
        <v>1818.75</v>
      </c>
      <c r="F2130" s="116">
        <v>1821.95</v>
      </c>
      <c r="G2130">
        <v>14477</v>
      </c>
      <c r="H2130" s="116"/>
      <c r="I2130" s="116"/>
      <c r="L2130" s="170">
        <v>46147</v>
      </c>
      <c r="M2130" s="116">
        <v>1821.2</v>
      </c>
      <c r="N2130" s="116">
        <v>1835</v>
      </c>
      <c r="O2130" s="116">
        <v>1802.6</v>
      </c>
      <c r="P2130" s="116">
        <v>1820</v>
      </c>
      <c r="Q2130" s="116">
        <v>1821.2</v>
      </c>
      <c r="R2130">
        <v>1003169</v>
      </c>
    </row>
    <row r="2131" spans="1:18" x14ac:dyDescent="0.25">
      <c r="A2131" s="170">
        <v>46148</v>
      </c>
      <c r="B2131" s="116">
        <v>1869</v>
      </c>
      <c r="C2131" s="116">
        <v>1861.2</v>
      </c>
      <c r="D2131" s="116">
        <v>1823</v>
      </c>
      <c r="E2131" s="116">
        <v>1823</v>
      </c>
      <c r="F2131" s="116">
        <v>1861.2</v>
      </c>
      <c r="G2131">
        <v>34358</v>
      </c>
      <c r="H2131" s="116"/>
      <c r="I2131" s="116"/>
      <c r="L2131" s="170">
        <v>46148</v>
      </c>
      <c r="M2131" s="116">
        <v>1859</v>
      </c>
      <c r="N2131" s="116">
        <v>1868.9</v>
      </c>
      <c r="O2131" s="116">
        <v>1825.9</v>
      </c>
      <c r="P2131" s="116">
        <v>1839</v>
      </c>
      <c r="Q2131" s="116">
        <v>1859</v>
      </c>
      <c r="R2131">
        <v>1236623</v>
      </c>
    </row>
    <row r="2132" spans="1:18" x14ac:dyDescent="0.25">
      <c r="A2132" s="170">
        <v>46149</v>
      </c>
      <c r="B2132" s="116">
        <v>1878.9</v>
      </c>
      <c r="C2132" s="116">
        <v>1873.05</v>
      </c>
      <c r="D2132" s="116">
        <v>1862.45</v>
      </c>
      <c r="E2132" s="116">
        <v>1863.05</v>
      </c>
      <c r="F2132" s="116">
        <v>1873.05</v>
      </c>
      <c r="G2132">
        <v>169756</v>
      </c>
      <c r="H2132" s="116"/>
      <c r="I2132" s="116"/>
      <c r="L2132" s="170">
        <v>46149</v>
      </c>
      <c r="M2132" s="116">
        <v>1872.2</v>
      </c>
      <c r="N2132" s="116">
        <v>1879.2</v>
      </c>
      <c r="O2132" s="116">
        <v>1860</v>
      </c>
      <c r="P2132" s="116">
        <v>1868</v>
      </c>
      <c r="Q2132" s="116">
        <v>1872.2</v>
      </c>
      <c r="R2132">
        <v>1232684</v>
      </c>
    </row>
    <row r="2133" spans="1:18" x14ac:dyDescent="0.25">
      <c r="A2133" s="170">
        <v>46150</v>
      </c>
      <c r="B2133" s="116">
        <v>1885</v>
      </c>
      <c r="C2133" s="116">
        <v>1872.45</v>
      </c>
      <c r="D2133" s="116">
        <v>1865.5</v>
      </c>
      <c r="E2133" s="116">
        <v>1870.25</v>
      </c>
      <c r="F2133" s="116">
        <v>1872.45</v>
      </c>
      <c r="G2133">
        <v>96780</v>
      </c>
      <c r="H2133" s="116"/>
      <c r="I2133" s="116"/>
      <c r="L2133" s="170">
        <v>46150</v>
      </c>
      <c r="M2133" s="116">
        <v>1872.1</v>
      </c>
      <c r="N2133" s="116">
        <v>1885</v>
      </c>
      <c r="O2133" s="116">
        <v>1865.2</v>
      </c>
      <c r="P2133" s="116">
        <v>1874.9</v>
      </c>
      <c r="Q2133" s="116">
        <v>1872.1</v>
      </c>
      <c r="R2133">
        <v>673259</v>
      </c>
    </row>
    <row r="2134" spans="1:18" x14ac:dyDescent="0.25">
      <c r="A2134" s="170">
        <v>46153</v>
      </c>
      <c r="B2134" s="116">
        <v>1895.55</v>
      </c>
      <c r="C2134" s="116">
        <v>1884.55</v>
      </c>
      <c r="D2134" s="116">
        <v>1850.75</v>
      </c>
      <c r="E2134" s="116">
        <v>1850.75</v>
      </c>
      <c r="F2134" s="116">
        <v>1884.55</v>
      </c>
      <c r="G2134">
        <v>44030</v>
      </c>
      <c r="H2134" s="116"/>
      <c r="I2134" s="116"/>
      <c r="L2134" s="170">
        <v>46153</v>
      </c>
      <c r="M2134" s="116">
        <v>1884.4</v>
      </c>
      <c r="N2134" s="116">
        <v>1895</v>
      </c>
      <c r="O2134" s="116">
        <v>1863.9</v>
      </c>
      <c r="P2134" s="116">
        <v>1865.6</v>
      </c>
      <c r="Q2134" s="116">
        <v>1884.4</v>
      </c>
      <c r="R2134">
        <v>672604</v>
      </c>
    </row>
    <row r="2135" spans="1:18" x14ac:dyDescent="0.25">
      <c r="A2135" s="170">
        <v>46154</v>
      </c>
      <c r="B2135" s="116">
        <v>1877.15</v>
      </c>
      <c r="C2135" s="116">
        <v>1835.2</v>
      </c>
      <c r="D2135" s="116">
        <v>1824.85</v>
      </c>
      <c r="E2135" s="116">
        <v>1824.85</v>
      </c>
      <c r="F2135" s="116">
        <v>1835.2</v>
      </c>
      <c r="G2135">
        <v>143020</v>
      </c>
      <c r="H2135" s="116"/>
      <c r="I2135" s="116"/>
      <c r="L2135" s="170">
        <v>46154</v>
      </c>
      <c r="M2135" s="116">
        <v>1833.9</v>
      </c>
      <c r="N2135" s="116">
        <v>1875.6</v>
      </c>
      <c r="O2135" s="116">
        <v>1825</v>
      </c>
      <c r="P2135" s="116">
        <v>1866</v>
      </c>
      <c r="Q2135" s="116">
        <v>1833.9</v>
      </c>
      <c r="R2135">
        <v>1291216</v>
      </c>
    </row>
    <row r="2136" spans="1:18" x14ac:dyDescent="0.25">
      <c r="A2136" s="170">
        <v>46155</v>
      </c>
      <c r="B2136" s="116">
        <v>1850</v>
      </c>
      <c r="C2136" s="116">
        <v>1837.65</v>
      </c>
      <c r="D2136" s="116">
        <v>1790.45</v>
      </c>
      <c r="E2136" s="116">
        <v>1790.45</v>
      </c>
      <c r="F2136" s="116">
        <v>1837.65</v>
      </c>
      <c r="G2136">
        <v>67992</v>
      </c>
      <c r="H2136" s="116"/>
      <c r="I2136" s="116"/>
      <c r="L2136" s="170">
        <v>46155</v>
      </c>
      <c r="M2136" s="116">
        <v>1837.5</v>
      </c>
      <c r="N2136" s="116">
        <v>1851.4</v>
      </c>
      <c r="O2136" s="116">
        <v>1818.2</v>
      </c>
      <c r="P2136" s="116">
        <v>1820</v>
      </c>
      <c r="Q2136" s="116">
        <v>1837.5</v>
      </c>
      <c r="R2136">
        <v>853301</v>
      </c>
    </row>
    <row r="2137" spans="1:18" x14ac:dyDescent="0.25">
      <c r="A2137" s="170">
        <v>46156</v>
      </c>
      <c r="B2137" s="116">
        <v>1870</v>
      </c>
      <c r="C2137" s="116">
        <v>1866.7</v>
      </c>
      <c r="D2137" s="116">
        <v>1827</v>
      </c>
      <c r="E2137" s="116">
        <v>1844.2</v>
      </c>
      <c r="F2137" s="116">
        <v>1866.7</v>
      </c>
      <c r="G2137">
        <v>16667</v>
      </c>
      <c r="H2137" s="116"/>
      <c r="I2137" s="116"/>
      <c r="L2137" s="170">
        <v>46156</v>
      </c>
      <c r="M2137" s="116">
        <v>1866.7</v>
      </c>
      <c r="N2137" s="116">
        <v>1870</v>
      </c>
      <c r="O2137" s="116">
        <v>1825</v>
      </c>
      <c r="P2137" s="116">
        <v>1831</v>
      </c>
      <c r="Q2137" s="116">
        <v>1866.7</v>
      </c>
      <c r="R2137">
        <v>765124</v>
      </c>
    </row>
    <row r="2138" spans="1:18" x14ac:dyDescent="0.25">
      <c r="A2138" s="170">
        <v>46157</v>
      </c>
      <c r="B2138" s="116">
        <v>1883.15</v>
      </c>
      <c r="C2138" s="116">
        <v>1864.25</v>
      </c>
      <c r="D2138" s="116">
        <v>1856.5</v>
      </c>
      <c r="E2138" s="116">
        <v>1866.7</v>
      </c>
      <c r="F2138" s="116">
        <v>1864.25</v>
      </c>
      <c r="G2138">
        <v>17726</v>
      </c>
      <c r="H2138" s="116"/>
      <c r="I2138" s="116"/>
      <c r="L2138" s="170">
        <v>46157</v>
      </c>
      <c r="M2138" s="116">
        <v>1864.5</v>
      </c>
      <c r="N2138" s="116">
        <v>1883.9</v>
      </c>
      <c r="O2138" s="116">
        <v>1850</v>
      </c>
      <c r="P2138" s="116">
        <v>1866.7</v>
      </c>
      <c r="Q2138" s="116">
        <v>1864.5</v>
      </c>
      <c r="R2138">
        <v>851184</v>
      </c>
    </row>
    <row r="2139" spans="1:18" x14ac:dyDescent="0.25">
      <c r="A2139" s="170">
        <v>46160</v>
      </c>
      <c r="B2139" s="116">
        <v>1868.5</v>
      </c>
      <c r="C2139" s="116">
        <v>1861.05</v>
      </c>
      <c r="D2139" s="116">
        <v>1826.45</v>
      </c>
      <c r="E2139" s="116">
        <v>1845.4</v>
      </c>
      <c r="F2139" s="116">
        <v>1861.05</v>
      </c>
      <c r="G2139">
        <v>24874</v>
      </c>
      <c r="H2139" s="116"/>
      <c r="I2139" s="116"/>
      <c r="L2139" s="170">
        <v>46160</v>
      </c>
      <c r="M2139" s="116">
        <v>1860.4</v>
      </c>
      <c r="N2139" s="116">
        <v>1867.5</v>
      </c>
      <c r="O2139" s="116">
        <v>1825.3</v>
      </c>
      <c r="P2139" s="116">
        <v>1846</v>
      </c>
      <c r="Q2139" s="116">
        <v>1860.4</v>
      </c>
      <c r="R2139">
        <v>746942</v>
      </c>
    </row>
    <row r="2140" spans="1:18" x14ac:dyDescent="0.25">
      <c r="A2140" s="170">
        <v>46161</v>
      </c>
      <c r="B2140" s="116">
        <v>1891.8</v>
      </c>
      <c r="C2140" s="116">
        <v>1882.85</v>
      </c>
      <c r="D2140" s="116">
        <v>1846.35</v>
      </c>
      <c r="E2140" s="116">
        <v>1847.8</v>
      </c>
      <c r="F2140" s="116">
        <v>1882.85</v>
      </c>
      <c r="G2140">
        <v>74640</v>
      </c>
      <c r="H2140" s="116"/>
      <c r="I2140" s="116"/>
      <c r="L2140" s="170">
        <v>46161</v>
      </c>
      <c r="M2140" s="116">
        <v>1881.4</v>
      </c>
      <c r="N2140" s="116">
        <v>1892</v>
      </c>
      <c r="O2140" s="116">
        <v>1845.4</v>
      </c>
      <c r="P2140" s="116">
        <v>1846</v>
      </c>
      <c r="Q2140" s="116">
        <v>1881.4</v>
      </c>
      <c r="R2140">
        <v>1351813</v>
      </c>
    </row>
    <row r="2141" spans="1:18" x14ac:dyDescent="0.25">
      <c r="A2141" s="170">
        <v>46162</v>
      </c>
      <c r="B2141" s="116">
        <v>1881.3</v>
      </c>
      <c r="C2141" s="116">
        <v>1864.6</v>
      </c>
      <c r="D2141" s="116">
        <v>1855.25</v>
      </c>
      <c r="E2141" s="116">
        <v>1857.2</v>
      </c>
      <c r="F2141" s="116">
        <v>1864.6</v>
      </c>
      <c r="G2141">
        <v>27131</v>
      </c>
      <c r="H2141" s="116"/>
      <c r="I2141" s="116"/>
      <c r="L2141" s="170">
        <v>46162</v>
      </c>
      <c r="M2141" s="116">
        <v>1864.2</v>
      </c>
      <c r="N2141" s="116">
        <v>1882.4</v>
      </c>
      <c r="O2141" s="116">
        <v>1856.1</v>
      </c>
      <c r="P2141" s="116">
        <v>1860</v>
      </c>
      <c r="Q2141" s="116">
        <v>1864.2</v>
      </c>
      <c r="R2141">
        <v>563774</v>
      </c>
    </row>
    <row r="2142" spans="1:18" x14ac:dyDescent="0.25">
      <c r="A2142" s="170">
        <v>46163</v>
      </c>
      <c r="B2142" s="116">
        <v>1878.95</v>
      </c>
      <c r="C2142" s="116">
        <v>1860.25</v>
      </c>
      <c r="D2142" s="116">
        <v>1855.2</v>
      </c>
      <c r="E2142" s="116">
        <v>1864.85</v>
      </c>
      <c r="F2142" s="116">
        <v>1860.25</v>
      </c>
      <c r="G2142">
        <v>17352</v>
      </c>
      <c r="H2142" s="116"/>
      <c r="I2142" s="116"/>
      <c r="L2142" s="170">
        <v>46163</v>
      </c>
      <c r="M2142" s="116">
        <v>1859.9</v>
      </c>
      <c r="N2142" s="116">
        <v>1876.4</v>
      </c>
      <c r="O2142" s="116">
        <v>1854.9</v>
      </c>
      <c r="P2142" s="116">
        <v>1869.9</v>
      </c>
      <c r="Q2142" s="116">
        <v>1859.9</v>
      </c>
      <c r="R2142">
        <v>383464</v>
      </c>
    </row>
    <row r="2143" spans="1:18" x14ac:dyDescent="0.25">
      <c r="A2143" s="170">
        <v>46164</v>
      </c>
      <c r="B2143" s="116">
        <v>1893.4</v>
      </c>
      <c r="C2143" s="116">
        <v>1870.45</v>
      </c>
      <c r="D2143" s="116">
        <v>1862.95</v>
      </c>
      <c r="E2143" s="116">
        <v>1866.15</v>
      </c>
      <c r="F2143" s="116">
        <v>1870.45</v>
      </c>
      <c r="G2143">
        <v>36431</v>
      </c>
      <c r="H2143" s="116"/>
      <c r="I2143" s="116"/>
      <c r="L2143" s="170">
        <v>46164</v>
      </c>
      <c r="M2143" s="116">
        <v>1870.7</v>
      </c>
      <c r="N2143" s="116">
        <v>1893</v>
      </c>
      <c r="O2143" s="116">
        <v>1860.9</v>
      </c>
      <c r="P2143" s="116">
        <v>1872</v>
      </c>
      <c r="Q2143" s="116">
        <v>1870.7</v>
      </c>
      <c r="R2143">
        <v>934443</v>
      </c>
    </row>
    <row r="2144" spans="1:18" x14ac:dyDescent="0.25">
      <c r="A2144" s="170">
        <v>46167</v>
      </c>
      <c r="B2144" s="116">
        <v>1903.75</v>
      </c>
      <c r="C2144" s="116">
        <v>1901.45</v>
      </c>
      <c r="D2144" s="116">
        <v>1880.7</v>
      </c>
      <c r="E2144" s="116">
        <v>1883.35</v>
      </c>
      <c r="F2144" s="116">
        <v>1901.45</v>
      </c>
      <c r="G2144">
        <v>19732</v>
      </c>
      <c r="H2144" s="116"/>
      <c r="I2144" s="116"/>
      <c r="L2144" s="170">
        <v>46167</v>
      </c>
      <c r="M2144" s="116">
        <v>1901.9</v>
      </c>
      <c r="N2144" s="116">
        <v>1905</v>
      </c>
      <c r="O2144" s="116">
        <v>1879.8</v>
      </c>
      <c r="P2144" s="116">
        <v>1881.5</v>
      </c>
      <c r="Q2144" s="116">
        <v>1901.9</v>
      </c>
      <c r="R2144">
        <v>445135</v>
      </c>
    </row>
    <row r="2145" spans="1:18" x14ac:dyDescent="0.25">
      <c r="A2145" s="170">
        <v>46168</v>
      </c>
      <c r="B2145" s="116">
        <v>1919.85</v>
      </c>
      <c r="C2145" s="116">
        <v>1883.7</v>
      </c>
      <c r="D2145" s="116">
        <v>1878</v>
      </c>
      <c r="E2145" s="116">
        <v>1919.85</v>
      </c>
      <c r="F2145" s="116">
        <v>1883.7</v>
      </c>
      <c r="G2145">
        <v>26026</v>
      </c>
      <c r="H2145" s="116"/>
      <c r="I2145" s="116"/>
      <c r="L2145" s="170">
        <v>46168</v>
      </c>
      <c r="M2145" s="116">
        <v>1883.2</v>
      </c>
      <c r="N2145" s="116">
        <v>1906.9</v>
      </c>
      <c r="O2145" s="116">
        <v>1876.1</v>
      </c>
      <c r="P2145" s="116">
        <v>1904.8</v>
      </c>
      <c r="Q2145" s="116">
        <v>1883.2</v>
      </c>
      <c r="R2145">
        <v>812898</v>
      </c>
    </row>
    <row r="2146" spans="1:18" x14ac:dyDescent="0.25">
      <c r="A2146" s="170">
        <v>46169</v>
      </c>
      <c r="B2146" s="116">
        <v>1888.2</v>
      </c>
      <c r="C2146" s="116">
        <v>1864.55</v>
      </c>
      <c r="D2146" s="116">
        <v>1860.8</v>
      </c>
      <c r="E2146" s="116">
        <v>1870.5</v>
      </c>
      <c r="F2146" s="116">
        <v>1864.55</v>
      </c>
      <c r="G2146">
        <v>13591</v>
      </c>
      <c r="H2146" s="116"/>
      <c r="I2146" s="116"/>
      <c r="L2146" s="170">
        <v>46169</v>
      </c>
      <c r="M2146" s="116">
        <v>1864.5</v>
      </c>
      <c r="N2146" s="116">
        <v>1888.5</v>
      </c>
      <c r="O2146" s="116">
        <v>1860</v>
      </c>
      <c r="P2146" s="116">
        <v>1883</v>
      </c>
      <c r="Q2146" s="116">
        <v>1864.5</v>
      </c>
      <c r="R2146">
        <v>372683</v>
      </c>
    </row>
    <row r="2147" spans="1:18" x14ac:dyDescent="0.25">
      <c r="A2147" s="170">
        <v>46171</v>
      </c>
      <c r="B2147" s="116">
        <v>1864.6</v>
      </c>
      <c r="C2147" s="116">
        <v>1831.75</v>
      </c>
      <c r="D2147" s="116">
        <v>1821</v>
      </c>
      <c r="E2147" s="116">
        <v>1860.1</v>
      </c>
      <c r="F2147" s="116">
        <v>1831.75</v>
      </c>
      <c r="G2147">
        <v>33928</v>
      </c>
      <c r="H2147" s="116"/>
      <c r="I2147" s="116"/>
      <c r="L2147" s="170">
        <v>46171</v>
      </c>
      <c r="M2147" s="116">
        <v>1830.1</v>
      </c>
      <c r="N2147" s="116">
        <v>1864</v>
      </c>
      <c r="O2147" s="116">
        <v>1820.5</v>
      </c>
      <c r="P2147" s="116">
        <v>1862.4</v>
      </c>
      <c r="Q2147" s="116">
        <v>1830.1</v>
      </c>
      <c r="R2147">
        <v>2094924</v>
      </c>
    </row>
    <row r="2148" spans="1:18" x14ac:dyDescent="0.25">
      <c r="A2148" s="170">
        <v>46174</v>
      </c>
      <c r="B2148" s="116">
        <v>1843.15</v>
      </c>
      <c r="C2148" s="116">
        <v>1812.95</v>
      </c>
      <c r="D2148" s="116">
        <v>1802.45</v>
      </c>
      <c r="E2148" s="116">
        <v>1832.3</v>
      </c>
      <c r="F2148" s="116">
        <v>1812.95</v>
      </c>
      <c r="G2148">
        <v>177138</v>
      </c>
      <c r="H2148" s="116"/>
      <c r="I2148" s="116"/>
      <c r="L2148" s="170">
        <v>46174</v>
      </c>
      <c r="M2148" s="116">
        <v>1812.5</v>
      </c>
      <c r="N2148" s="116">
        <v>1846.4</v>
      </c>
      <c r="O2148" s="116">
        <v>1801.8</v>
      </c>
      <c r="P2148" s="116">
        <v>1839</v>
      </c>
      <c r="Q2148" s="116">
        <v>1812.5</v>
      </c>
      <c r="R2148">
        <v>1991126</v>
      </c>
    </row>
    <row r="2149" spans="1:18" x14ac:dyDescent="0.25">
      <c r="A2149" s="170">
        <v>46175</v>
      </c>
      <c r="B2149" s="116">
        <v>1818.6</v>
      </c>
      <c r="C2149" s="116">
        <v>1802.3</v>
      </c>
      <c r="D2149" s="116">
        <v>1782</v>
      </c>
      <c r="E2149" s="116">
        <v>1791</v>
      </c>
      <c r="F2149" s="116">
        <v>1802.3</v>
      </c>
      <c r="G2149">
        <v>36397</v>
      </c>
      <c r="H2149" s="116"/>
      <c r="I2149" s="116"/>
      <c r="L2149" s="170">
        <v>46175</v>
      </c>
      <c r="M2149" s="116">
        <v>1801.7</v>
      </c>
      <c r="N2149" s="116">
        <v>1819</v>
      </c>
      <c r="O2149" s="116">
        <v>1781.7</v>
      </c>
      <c r="P2149" s="116">
        <v>1786</v>
      </c>
      <c r="Q2149" s="116">
        <v>1801.7</v>
      </c>
      <c r="R2149">
        <v>1196704</v>
      </c>
    </row>
    <row r="2150" spans="1:18" x14ac:dyDescent="0.25">
      <c r="A2150" s="170">
        <v>46176</v>
      </c>
      <c r="B2150" s="116">
        <v>1802.5</v>
      </c>
      <c r="C2150" s="116">
        <v>1783.2</v>
      </c>
      <c r="D2150" s="116">
        <v>1759</v>
      </c>
      <c r="E2150" s="116">
        <v>1801.7</v>
      </c>
      <c r="F2150" s="116">
        <v>1783.2</v>
      </c>
      <c r="G2150">
        <v>27481</v>
      </c>
      <c r="H2150" s="116"/>
      <c r="I2150" s="116"/>
      <c r="L2150" s="170">
        <v>46176</v>
      </c>
      <c r="M2150" s="116">
        <v>1784.2</v>
      </c>
      <c r="N2150" s="116">
        <v>1809.9</v>
      </c>
      <c r="O2150" s="116">
        <v>1759</v>
      </c>
      <c r="P2150" s="116">
        <v>1801.7</v>
      </c>
      <c r="Q2150" s="116">
        <v>1784.2</v>
      </c>
      <c r="R2150">
        <v>784328</v>
      </c>
    </row>
    <row r="2151" spans="1:18" x14ac:dyDescent="0.25">
      <c r="A2151" s="170">
        <v>46177</v>
      </c>
      <c r="B2151" s="116">
        <v>1784.2</v>
      </c>
      <c r="C2151" s="116">
        <v>1764.9</v>
      </c>
      <c r="D2151" s="116">
        <v>1762</v>
      </c>
      <c r="E2151" s="116">
        <v>1784.2</v>
      </c>
      <c r="F2151" s="116">
        <v>1764.9</v>
      </c>
      <c r="G2151">
        <v>673451</v>
      </c>
      <c r="H2151" s="116"/>
      <c r="I2151" s="116"/>
      <c r="L2151" s="170">
        <v>46177</v>
      </c>
      <c r="M2151" s="116">
        <v>1764.9</v>
      </c>
      <c r="N2151" s="116">
        <v>1784.1</v>
      </c>
      <c r="O2151" s="116">
        <v>1760.5</v>
      </c>
      <c r="P2151" s="116">
        <v>1781.6</v>
      </c>
      <c r="Q2151" s="116">
        <v>1764.9</v>
      </c>
      <c r="R2151">
        <v>727483</v>
      </c>
    </row>
    <row r="2152" spans="1:18" x14ac:dyDescent="0.25">
      <c r="A2152" s="170">
        <v>46178</v>
      </c>
      <c r="B2152" s="116">
        <v>1797.95</v>
      </c>
      <c r="C2152" s="116">
        <v>1784.1</v>
      </c>
      <c r="D2152" s="116">
        <v>1767.05</v>
      </c>
      <c r="E2152" s="116">
        <v>1767.05</v>
      </c>
      <c r="F2152" s="116">
        <v>1784.1</v>
      </c>
      <c r="G2152">
        <v>253419</v>
      </c>
      <c r="H2152" s="116"/>
      <c r="I2152" s="116"/>
      <c r="L2152" s="170">
        <v>46178</v>
      </c>
      <c r="M2152" s="116">
        <v>1782.8</v>
      </c>
      <c r="N2152" s="116">
        <v>1797.8</v>
      </c>
      <c r="O2152" s="116">
        <v>1766.1</v>
      </c>
      <c r="P2152" s="116">
        <v>1774</v>
      </c>
      <c r="Q2152" s="116">
        <v>1782.8</v>
      </c>
      <c r="R2152">
        <v>715458</v>
      </c>
    </row>
    <row r="2153" spans="1:18" x14ac:dyDescent="0.25">
      <c r="A2153" s="170">
        <v>46181</v>
      </c>
      <c r="B2153" s="116">
        <v>1787.1</v>
      </c>
      <c r="C2153" s="116">
        <v>1765.8</v>
      </c>
      <c r="D2153" s="116">
        <v>1757</v>
      </c>
      <c r="E2153" s="116">
        <v>1766.8</v>
      </c>
      <c r="F2153" s="116">
        <v>1765.8</v>
      </c>
      <c r="G2153">
        <v>53951</v>
      </c>
      <c r="H2153" s="116"/>
      <c r="I2153" s="116"/>
      <c r="L2153" s="170">
        <v>46181</v>
      </c>
      <c r="M2153" s="116">
        <v>1764.4</v>
      </c>
      <c r="N2153" s="116">
        <v>1786.4</v>
      </c>
      <c r="O2153" s="116">
        <v>1755.3</v>
      </c>
      <c r="P2153" s="116">
        <v>1772.6</v>
      </c>
      <c r="Q2153" s="116">
        <v>1764.4</v>
      </c>
      <c r="R2153">
        <v>438892</v>
      </c>
    </row>
    <row r="2154" spans="1:18" x14ac:dyDescent="0.25">
      <c r="A2154" s="170">
        <v>46182</v>
      </c>
      <c r="B2154" s="116">
        <v>1781.75</v>
      </c>
      <c r="C2154" s="116">
        <v>1768.85</v>
      </c>
      <c r="D2154" s="116">
        <v>1764</v>
      </c>
      <c r="E2154" s="116">
        <v>1765.75</v>
      </c>
      <c r="F2154" s="116">
        <v>1768.85</v>
      </c>
      <c r="G2154">
        <v>9198</v>
      </c>
      <c r="H2154" s="116"/>
      <c r="I2154" s="116"/>
      <c r="L2154" s="170">
        <v>46182</v>
      </c>
      <c r="M2154" s="116">
        <v>1769.1</v>
      </c>
      <c r="N2154" s="116">
        <v>1782.1</v>
      </c>
      <c r="O2154" s="116">
        <v>1754.7</v>
      </c>
      <c r="P2154" s="116">
        <v>1755</v>
      </c>
      <c r="Q2154" s="116">
        <v>1769.1</v>
      </c>
      <c r="R2154">
        <v>857754</v>
      </c>
    </row>
    <row r="2155" spans="1:18" x14ac:dyDescent="0.25">
      <c r="A2155" s="170">
        <v>46183</v>
      </c>
      <c r="B2155" s="116">
        <v>1774</v>
      </c>
      <c r="C2155" s="116">
        <v>1728.8</v>
      </c>
      <c r="D2155" s="116">
        <v>1725</v>
      </c>
      <c r="E2155" s="116">
        <v>1759.95</v>
      </c>
      <c r="F2155" s="116">
        <v>1728.8</v>
      </c>
      <c r="G2155">
        <v>23766</v>
      </c>
      <c r="H2155" s="116"/>
      <c r="I2155" s="116"/>
      <c r="L2155" s="170">
        <v>46183</v>
      </c>
      <c r="M2155" s="116">
        <v>1728.7</v>
      </c>
      <c r="N2155" s="116">
        <v>1774</v>
      </c>
      <c r="O2155" s="116">
        <v>1722.2</v>
      </c>
      <c r="P2155" s="116">
        <v>1756.9</v>
      </c>
      <c r="Q2155" s="116">
        <v>1728.7</v>
      </c>
      <c r="R2155">
        <v>1149490</v>
      </c>
    </row>
    <row r="2156" spans="1:18" x14ac:dyDescent="0.25">
      <c r="A2156" s="170">
        <v>46184</v>
      </c>
      <c r="B2156" s="116">
        <v>1740</v>
      </c>
      <c r="C2156" s="116">
        <v>1723.2</v>
      </c>
      <c r="D2156" s="116">
        <v>1704.55</v>
      </c>
      <c r="E2156" s="116">
        <v>1734.75</v>
      </c>
      <c r="F2156" s="116">
        <v>1723.2</v>
      </c>
      <c r="G2156">
        <v>872427</v>
      </c>
      <c r="H2156" s="116"/>
      <c r="I2156" s="116"/>
      <c r="L2156" s="170">
        <v>46184</v>
      </c>
      <c r="M2156" s="116">
        <v>1719.1</v>
      </c>
      <c r="N2156" s="116">
        <v>1740</v>
      </c>
      <c r="O2156" s="116">
        <v>1704.2</v>
      </c>
      <c r="P2156" s="116">
        <v>1727</v>
      </c>
      <c r="Q2156" s="116">
        <v>1719.1</v>
      </c>
      <c r="R2156">
        <v>965035</v>
      </c>
    </row>
    <row r="2157" spans="1:18" x14ac:dyDescent="0.25">
      <c r="A2157" s="170">
        <v>46185</v>
      </c>
      <c r="B2157" s="116">
        <v>1749.3</v>
      </c>
      <c r="C2157" s="116">
        <v>1706.9</v>
      </c>
      <c r="D2157" s="116">
        <v>1701.05</v>
      </c>
      <c r="E2157" s="116">
        <v>1749.3</v>
      </c>
      <c r="F2157" s="116">
        <v>1706.9</v>
      </c>
      <c r="G2157">
        <v>130807</v>
      </c>
      <c r="H2157" s="116"/>
      <c r="I2157" s="116"/>
      <c r="L2157" s="170">
        <v>46185</v>
      </c>
      <c r="M2157" s="116">
        <v>1706</v>
      </c>
      <c r="N2157" s="116">
        <v>1744.9</v>
      </c>
      <c r="O2157" s="116">
        <v>1700.4</v>
      </c>
      <c r="P2157" s="116">
        <v>1742</v>
      </c>
      <c r="Q2157" s="116">
        <v>1706</v>
      </c>
      <c r="R2157">
        <v>1438254</v>
      </c>
    </row>
    <row r="2158" spans="1:18" x14ac:dyDescent="0.25">
      <c r="A2158" s="170">
        <v>46188</v>
      </c>
      <c r="B2158" s="116">
        <v>1766.3</v>
      </c>
      <c r="C2158" s="116">
        <v>1759.15</v>
      </c>
      <c r="D2158" s="116">
        <v>1711</v>
      </c>
      <c r="E2158" s="116">
        <v>1716.8</v>
      </c>
      <c r="F2158" s="116">
        <v>1759.15</v>
      </c>
      <c r="G2158">
        <v>135936</v>
      </c>
      <c r="H2158" s="116"/>
      <c r="I2158" s="116"/>
      <c r="L2158" s="170">
        <v>46188</v>
      </c>
      <c r="M2158" s="116">
        <v>1759.5</v>
      </c>
      <c r="N2158" s="116">
        <v>1766.3</v>
      </c>
      <c r="O2158" s="116">
        <v>1710</v>
      </c>
      <c r="P2158" s="116">
        <v>1723</v>
      </c>
      <c r="Q2158" s="116">
        <v>1759.5</v>
      </c>
      <c r="R2158">
        <v>1258362</v>
      </c>
    </row>
    <row r="2159" spans="1:18" x14ac:dyDescent="0.25">
      <c r="A2159" s="170">
        <v>46189</v>
      </c>
      <c r="B2159" s="116">
        <v>1789.8</v>
      </c>
      <c r="C2159" s="116">
        <v>1767.15</v>
      </c>
      <c r="D2159" s="116">
        <v>1765</v>
      </c>
      <c r="E2159" s="116">
        <v>1784.65</v>
      </c>
      <c r="F2159" s="116">
        <v>1767.15</v>
      </c>
      <c r="G2159">
        <v>135569</v>
      </c>
      <c r="H2159" s="116"/>
      <c r="I2159" s="116"/>
      <c r="L2159" s="170">
        <v>46189</v>
      </c>
      <c r="M2159" s="116">
        <v>1767.6</v>
      </c>
      <c r="N2159" s="116">
        <v>1793</v>
      </c>
      <c r="O2159" s="116">
        <v>1764</v>
      </c>
      <c r="P2159" s="116">
        <v>1771.7</v>
      </c>
      <c r="Q2159" s="116">
        <v>1767.6</v>
      </c>
      <c r="R2159">
        <v>1423732</v>
      </c>
    </row>
    <row r="2160" spans="1:18" x14ac:dyDescent="0.25">
      <c r="A2160" s="170">
        <v>46190</v>
      </c>
      <c r="B2160" s="116">
        <v>1803</v>
      </c>
      <c r="C2160" s="116">
        <v>1795.35</v>
      </c>
      <c r="D2160" s="116">
        <v>1755</v>
      </c>
      <c r="E2160" s="116">
        <v>1760.9</v>
      </c>
      <c r="F2160" s="116">
        <v>1795.35</v>
      </c>
      <c r="G2160">
        <v>10139</v>
      </c>
      <c r="H2160" s="116"/>
      <c r="I2160" s="116"/>
      <c r="L2160" s="170">
        <v>46190</v>
      </c>
      <c r="M2160" s="116">
        <v>1793.6</v>
      </c>
      <c r="N2160" s="116">
        <v>1803.1</v>
      </c>
      <c r="O2160" s="116">
        <v>1756</v>
      </c>
      <c r="P2160" s="116">
        <v>1756</v>
      </c>
      <c r="Q2160" s="116">
        <v>1793.6</v>
      </c>
      <c r="R2160">
        <v>730989</v>
      </c>
    </row>
    <row r="2161" spans="1:12" x14ac:dyDescent="0.25">
      <c r="A2161" s="170"/>
      <c r="B2161" s="116"/>
      <c r="C2161" s="116"/>
      <c r="D2161" s="116"/>
      <c r="E2161" s="116"/>
      <c r="F2161" s="116"/>
      <c r="H2161" s="116"/>
      <c r="I2161" s="116"/>
      <c r="L2161" s="170"/>
    </row>
    <row r="2162" spans="1:12" x14ac:dyDescent="0.25">
      <c r="A2162" s="170"/>
      <c r="B2162" s="116"/>
      <c r="C2162" s="116"/>
      <c r="D2162" s="116"/>
      <c r="E2162" s="116"/>
      <c r="F2162" s="116"/>
      <c r="H2162" s="116"/>
      <c r="I2162" s="116"/>
      <c r="L2162" s="170"/>
    </row>
    <row r="2163" spans="1:12" x14ac:dyDescent="0.25">
      <c r="A2163" s="170"/>
      <c r="B2163" s="116"/>
      <c r="C2163" s="116"/>
      <c r="D2163" s="116"/>
      <c r="E2163" s="116"/>
      <c r="F2163" s="116"/>
      <c r="H2163" s="116"/>
      <c r="I2163" s="116"/>
      <c r="L2163" s="170"/>
    </row>
    <row r="2164" spans="1:12" x14ac:dyDescent="0.25">
      <c r="A2164" s="170"/>
      <c r="B2164" s="116"/>
      <c r="C2164" s="116"/>
      <c r="D2164" s="116"/>
      <c r="E2164" s="116"/>
      <c r="F2164" s="116"/>
      <c r="H2164" s="116"/>
      <c r="I2164" s="116"/>
      <c r="L2164" s="170"/>
    </row>
    <row r="2165" spans="1:12" x14ac:dyDescent="0.25">
      <c r="A2165" s="170"/>
      <c r="B2165" s="116"/>
      <c r="C2165" s="116"/>
      <c r="D2165" s="116"/>
      <c r="E2165" s="116"/>
      <c r="F2165" s="116"/>
      <c r="H2165" s="116"/>
      <c r="I2165" s="116"/>
      <c r="L2165" s="170"/>
    </row>
    <row r="2166" spans="1:12" x14ac:dyDescent="0.25">
      <c r="A2166" s="170"/>
      <c r="B2166" s="116"/>
      <c r="C2166" s="116"/>
      <c r="D2166" s="116"/>
      <c r="E2166" s="116"/>
      <c r="F2166" s="116"/>
      <c r="H2166" s="116"/>
      <c r="I2166" s="116"/>
      <c r="L2166" s="170"/>
    </row>
    <row r="2167" spans="1:12" x14ac:dyDescent="0.25">
      <c r="A2167" s="170"/>
      <c r="B2167" s="116"/>
      <c r="C2167" s="116"/>
      <c r="D2167" s="116"/>
      <c r="E2167" s="116"/>
      <c r="F2167" s="116"/>
      <c r="H2167" s="116"/>
      <c r="I2167" s="116"/>
      <c r="L2167" s="170"/>
    </row>
    <row r="2168" spans="1:12" x14ac:dyDescent="0.25">
      <c r="A2168" s="170"/>
      <c r="B2168" s="116"/>
      <c r="C2168" s="116"/>
      <c r="D2168" s="116"/>
      <c r="E2168" s="116"/>
      <c r="F2168" s="116"/>
      <c r="H2168" s="116"/>
      <c r="I2168" s="116"/>
      <c r="L2168" s="170"/>
    </row>
    <row r="2169" spans="1:12" x14ac:dyDescent="0.25">
      <c r="A2169" s="170"/>
      <c r="B2169" s="116"/>
      <c r="C2169" s="116"/>
      <c r="D2169" s="116"/>
      <c r="E2169" s="116"/>
      <c r="F2169" s="116"/>
      <c r="H2169" s="116"/>
      <c r="I2169" s="116"/>
      <c r="L2169" s="170"/>
    </row>
    <row r="2170" spans="1:12" x14ac:dyDescent="0.25">
      <c r="A2170" s="170"/>
      <c r="B2170" s="116"/>
      <c r="C2170" s="116"/>
      <c r="D2170" s="116"/>
      <c r="E2170" s="116"/>
      <c r="F2170" s="116"/>
      <c r="H2170" s="116"/>
      <c r="I2170" s="116"/>
      <c r="L2170" s="170"/>
    </row>
    <row r="2171" spans="1:12" x14ac:dyDescent="0.25">
      <c r="A2171" s="170"/>
      <c r="B2171" s="116"/>
      <c r="C2171" s="116"/>
      <c r="D2171" s="116"/>
      <c r="E2171" s="116"/>
      <c r="F2171" s="116"/>
      <c r="H2171" s="116"/>
      <c r="I2171" s="116"/>
      <c r="L2171" s="170"/>
    </row>
    <row r="2172" spans="1:12" x14ac:dyDescent="0.25">
      <c r="A2172" s="170"/>
      <c r="B2172" s="116"/>
      <c r="C2172" s="116"/>
      <c r="D2172" s="116"/>
      <c r="E2172" s="116"/>
      <c r="F2172" s="116"/>
      <c r="H2172" s="116"/>
      <c r="I2172" s="116"/>
      <c r="L2172" s="170"/>
    </row>
    <row r="2173" spans="1:12" x14ac:dyDescent="0.25">
      <c r="A2173" s="170"/>
      <c r="B2173" s="116"/>
      <c r="C2173" s="116"/>
      <c r="D2173" s="116"/>
      <c r="E2173" s="116"/>
      <c r="F2173" s="116"/>
      <c r="H2173" s="116"/>
      <c r="I2173" s="116"/>
      <c r="L2173" s="170"/>
    </row>
    <row r="2174" spans="1:12" x14ac:dyDescent="0.25">
      <c r="A2174" s="170"/>
      <c r="B2174" s="116"/>
      <c r="C2174" s="116"/>
      <c r="D2174" s="116"/>
      <c r="E2174" s="116"/>
      <c r="F2174" s="116"/>
      <c r="H2174" s="116"/>
      <c r="I2174" s="116"/>
      <c r="L2174" s="170"/>
    </row>
    <row r="2175" spans="1:12" x14ac:dyDescent="0.25">
      <c r="A2175" s="170"/>
      <c r="B2175" s="116"/>
      <c r="C2175" s="116"/>
      <c r="D2175" s="116"/>
      <c r="E2175" s="116"/>
      <c r="F2175" s="116"/>
      <c r="H2175" s="116"/>
      <c r="I2175" s="116"/>
      <c r="L2175" s="170"/>
    </row>
    <row r="2176" spans="1:12" x14ac:dyDescent="0.25">
      <c r="A2176" s="170"/>
      <c r="B2176" s="116"/>
      <c r="C2176" s="116"/>
      <c r="D2176" s="116"/>
      <c r="E2176" s="116"/>
      <c r="F2176" s="116"/>
      <c r="H2176" s="116"/>
      <c r="I2176" s="116"/>
      <c r="L2176" s="170"/>
    </row>
    <row r="2177" spans="1:12" x14ac:dyDescent="0.25">
      <c r="A2177" s="170"/>
      <c r="B2177" s="116"/>
      <c r="C2177" s="116"/>
      <c r="D2177" s="116"/>
      <c r="E2177" s="116"/>
      <c r="F2177" s="116"/>
      <c r="H2177" s="116"/>
      <c r="I2177" s="116"/>
      <c r="L2177" s="170"/>
    </row>
    <row r="2178" spans="1:12" x14ac:dyDescent="0.25">
      <c r="A2178" s="170"/>
      <c r="B2178" s="116"/>
      <c r="C2178" s="116"/>
      <c r="D2178" s="116"/>
      <c r="E2178" s="116"/>
      <c r="F2178" s="116"/>
      <c r="H2178" s="116"/>
      <c r="I2178" s="116"/>
      <c r="L2178" s="170"/>
    </row>
    <row r="2179" spans="1:12" x14ac:dyDescent="0.25">
      <c r="A2179" s="170"/>
      <c r="B2179" s="116"/>
      <c r="C2179" s="116"/>
      <c r="D2179" s="116"/>
      <c r="E2179" s="116"/>
      <c r="F2179" s="116"/>
      <c r="H2179" s="116"/>
      <c r="I2179" s="116"/>
      <c r="L2179" s="170"/>
    </row>
    <row r="2180" spans="1:12" x14ac:dyDescent="0.25">
      <c r="A2180" s="170"/>
      <c r="B2180" s="116"/>
      <c r="C2180" s="116"/>
      <c r="D2180" s="116"/>
      <c r="E2180" s="116"/>
      <c r="F2180" s="116"/>
      <c r="H2180" s="116"/>
      <c r="I2180" s="116"/>
      <c r="L2180" s="170"/>
    </row>
    <row r="2181" spans="1:12" x14ac:dyDescent="0.25">
      <c r="A2181" s="170"/>
      <c r="B2181" s="116"/>
      <c r="C2181" s="116"/>
      <c r="D2181" s="116"/>
      <c r="E2181" s="116"/>
      <c r="F2181" s="116"/>
      <c r="H2181" s="116"/>
      <c r="I2181" s="116"/>
      <c r="L2181" s="170"/>
    </row>
    <row r="2182" spans="1:12" x14ac:dyDescent="0.25">
      <c r="A2182" s="170"/>
      <c r="B2182" s="116"/>
      <c r="C2182" s="116"/>
      <c r="D2182" s="116"/>
      <c r="E2182" s="116"/>
      <c r="F2182" s="116"/>
      <c r="H2182" s="116"/>
      <c r="I2182" s="116"/>
      <c r="L2182" s="170"/>
    </row>
    <row r="2183" spans="1:12" x14ac:dyDescent="0.25">
      <c r="A2183" s="170"/>
      <c r="B2183" s="116"/>
      <c r="C2183" s="116"/>
      <c r="D2183" s="116"/>
      <c r="E2183" s="116"/>
      <c r="F2183" s="116"/>
      <c r="H2183" s="116"/>
      <c r="I2183" s="116"/>
      <c r="L2183" s="170"/>
    </row>
    <row r="2184" spans="1:12" x14ac:dyDescent="0.25">
      <c r="A2184" s="170"/>
      <c r="B2184" s="116"/>
      <c r="C2184" s="116"/>
      <c r="D2184" s="116"/>
      <c r="E2184" s="116"/>
      <c r="F2184" s="116"/>
      <c r="H2184" s="116"/>
      <c r="I2184" s="116"/>
      <c r="L2184" s="170"/>
    </row>
    <row r="2185" spans="1:12" x14ac:dyDescent="0.25">
      <c r="A2185" s="170"/>
      <c r="B2185" s="116"/>
      <c r="C2185" s="116"/>
      <c r="D2185" s="116"/>
      <c r="E2185" s="116"/>
      <c r="F2185" s="116"/>
      <c r="H2185" s="116"/>
      <c r="I2185" s="116"/>
      <c r="L2185" s="170"/>
    </row>
    <row r="2186" spans="1:12" x14ac:dyDescent="0.25">
      <c r="A2186" s="170"/>
      <c r="B2186" s="116"/>
      <c r="C2186" s="116"/>
      <c r="D2186" s="116"/>
      <c r="E2186" s="116"/>
      <c r="F2186" s="116"/>
      <c r="H2186" s="116"/>
      <c r="I2186" s="116"/>
      <c r="L2186" s="170"/>
    </row>
    <row r="2187" spans="1:12" x14ac:dyDescent="0.25">
      <c r="A2187" s="170"/>
      <c r="B2187" s="116"/>
      <c r="C2187" s="116"/>
      <c r="D2187" s="116"/>
      <c r="E2187" s="116"/>
      <c r="F2187" s="116"/>
      <c r="H2187" s="116"/>
      <c r="I2187" s="116"/>
      <c r="L2187" s="170"/>
    </row>
    <row r="2188" spans="1:12" x14ac:dyDescent="0.25">
      <c r="A2188" s="170"/>
      <c r="B2188" s="116"/>
      <c r="C2188" s="116"/>
      <c r="D2188" s="116"/>
      <c r="E2188" s="116"/>
      <c r="F2188" s="116"/>
      <c r="H2188" s="116"/>
      <c r="I2188" s="116"/>
      <c r="L2188" s="170"/>
    </row>
    <row r="2189" spans="1:12" x14ac:dyDescent="0.25">
      <c r="A2189" s="170"/>
      <c r="B2189" s="116"/>
      <c r="C2189" s="116"/>
      <c r="D2189" s="116"/>
      <c r="E2189" s="116"/>
      <c r="F2189" s="116"/>
      <c r="H2189" s="116"/>
      <c r="I2189" s="116"/>
      <c r="L2189" s="170"/>
    </row>
    <row r="2190" spans="1:12" x14ac:dyDescent="0.25">
      <c r="A2190" s="170"/>
      <c r="B2190" s="116"/>
      <c r="C2190" s="116"/>
      <c r="D2190" s="116"/>
      <c r="E2190" s="116"/>
      <c r="F2190" s="116"/>
      <c r="H2190" s="116"/>
      <c r="I2190" s="116"/>
      <c r="L2190" s="170"/>
    </row>
    <row r="2191" spans="1:12" x14ac:dyDescent="0.25">
      <c r="A2191" s="170"/>
      <c r="B2191" s="116"/>
      <c r="C2191" s="116"/>
      <c r="D2191" s="116"/>
      <c r="E2191" s="116"/>
      <c r="F2191" s="116"/>
      <c r="H2191" s="116"/>
      <c r="I2191" s="116"/>
      <c r="L2191" s="170"/>
    </row>
    <row r="2192" spans="1:12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/>
    </row>
    <row r="2193" spans="1:12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/>
    </row>
    <row r="2194" spans="1:12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/>
    </row>
    <row r="2195" spans="1:12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/>
    </row>
    <row r="2196" spans="1:12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/>
    </row>
    <row r="2197" spans="1:12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/>
    </row>
    <row r="2198" spans="1:12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/>
    </row>
    <row r="2199" spans="1:12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/>
    </row>
    <row r="2200" spans="1:12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/>
    </row>
    <row r="2201" spans="1:12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/>
    </row>
    <row r="2202" spans="1:12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/>
    </row>
    <row r="2203" spans="1:12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/>
    </row>
    <row r="2204" spans="1:12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/>
    </row>
    <row r="2205" spans="1:12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/>
    </row>
    <row r="2206" spans="1:12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/>
    </row>
    <row r="2207" spans="1:12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/>
    </row>
    <row r="2208" spans="1:12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/>
    </row>
    <row r="2209" spans="1:12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/>
    </row>
    <row r="2210" spans="1:12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/>
    </row>
    <row r="2211" spans="1:12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/>
    </row>
    <row r="2212" spans="1:12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/>
    </row>
    <row r="2213" spans="1:12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/>
    </row>
    <row r="2214" spans="1:12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/>
    </row>
    <row r="2215" spans="1:12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/>
    </row>
    <row r="2216" spans="1:12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/>
    </row>
    <row r="2217" spans="1:12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/>
    </row>
    <row r="2218" spans="1:12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/>
    </row>
    <row r="2219" spans="1:12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/>
    </row>
    <row r="2220" spans="1:12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/>
    </row>
    <row r="2221" spans="1:12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/>
    </row>
    <row r="2222" spans="1:12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/>
    </row>
    <row r="2223" spans="1:12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/>
    </row>
    <row r="2224" spans="1:12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/>
    </row>
    <row r="2225" spans="1:12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/>
    </row>
    <row r="2226" spans="1:12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/>
    </row>
    <row r="2227" spans="1:12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/>
    </row>
    <row r="2228" spans="1:12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/>
    </row>
    <row r="2229" spans="1:12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/>
    </row>
    <row r="2230" spans="1:12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/>
    </row>
    <row r="2231" spans="1:12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/>
    </row>
    <row r="2232" spans="1:12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/>
    </row>
    <row r="2233" spans="1:12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/>
    </row>
    <row r="2234" spans="1:12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/>
    </row>
    <row r="2235" spans="1:12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/>
    </row>
    <row r="2236" spans="1:12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/>
    </row>
    <row r="2237" spans="1:12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/>
    </row>
    <row r="2238" spans="1:12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/>
    </row>
    <row r="2239" spans="1:12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/>
    </row>
    <row r="2240" spans="1:12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/>
    </row>
    <row r="2241" spans="1:12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/>
    </row>
    <row r="2242" spans="1:12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/>
    </row>
    <row r="2243" spans="1:12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/>
    </row>
    <row r="2244" spans="1:12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/>
    </row>
    <row r="2245" spans="1:12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/>
    </row>
    <row r="2246" spans="1:12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/>
    </row>
    <row r="2247" spans="1:12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/>
    </row>
    <row r="2248" spans="1:12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2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2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2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2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2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2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2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2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8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8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8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8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8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8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2026-06-17T16:24:04Z</dcterms:modified>
  <cp:category/>
  <cp:contentStatus/>
</cp:coreProperties>
</file>